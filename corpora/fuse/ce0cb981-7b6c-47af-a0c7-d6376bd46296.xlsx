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404" yWindow="3852" windowWidth="17016" windowHeight="5268" activeTab="1"/>
  </bookViews>
  <sheets>
    <sheet name="Data" sheetId="1" r:id="rId1"/>
    <sheet name="DB barges vs UL NO barges" sheetId="2" r:id="rId2"/>
    <sheet name="Sheet1" sheetId="3" r:id="rId3"/>
    <sheet name="Sheet2" sheetId="4" r:id="rId4"/>
  </sheets>
  <calcPr calcId="145621"/>
</workbook>
</file>

<file path=xl/calcChain.xml><?xml version="1.0" encoding="utf-8"?>
<calcChain xmlns="http://schemas.openxmlformats.org/spreadsheetml/2006/main">
  <c r="G476" i="1" l="1"/>
  <c r="H476" i="1"/>
  <c r="I476" i="1"/>
  <c r="J476" i="1"/>
  <c r="K476" i="1"/>
  <c r="L476" i="1"/>
  <c r="E476" i="1"/>
  <c r="D476" i="1"/>
  <c r="C476" i="1"/>
  <c r="B476" i="1"/>
  <c r="A476" i="1"/>
  <c r="L475" i="1" l="1"/>
  <c r="K475" i="1"/>
  <c r="H475" i="1"/>
  <c r="E475" i="1"/>
  <c r="I475" i="1" s="1"/>
  <c r="A475" i="1"/>
  <c r="G475" i="1" l="1"/>
  <c r="J475" i="1"/>
  <c r="E474" i="1"/>
  <c r="D474" i="1"/>
  <c r="C474" i="1"/>
  <c r="B474" i="1"/>
  <c r="G474" i="1" l="1"/>
  <c r="H474" i="1"/>
  <c r="I474" i="1"/>
  <c r="J474" i="1"/>
  <c r="K474" i="1"/>
  <c r="L474" i="1"/>
  <c r="A474" i="1"/>
  <c r="G473" i="1" l="1"/>
  <c r="H473" i="1"/>
  <c r="I473" i="1"/>
  <c r="J473" i="1"/>
  <c r="K473" i="1"/>
  <c r="L473" i="1"/>
  <c r="E473" i="1"/>
  <c r="D473" i="1"/>
  <c r="C473" i="1"/>
  <c r="B473" i="1"/>
  <c r="A473" i="1"/>
  <c r="G472" i="1" l="1"/>
  <c r="H472" i="1"/>
  <c r="I472" i="1"/>
  <c r="J472" i="1"/>
  <c r="K472" i="1"/>
  <c r="L472" i="1"/>
  <c r="E472" i="1"/>
  <c r="D472" i="1"/>
  <c r="C472" i="1"/>
  <c r="B472" i="1"/>
  <c r="A472" i="1"/>
  <c r="G471" i="1" l="1"/>
  <c r="H471" i="1"/>
  <c r="I471" i="1"/>
  <c r="J471" i="1"/>
  <c r="K471" i="1"/>
  <c r="L471" i="1"/>
  <c r="E471" i="1"/>
  <c r="D471" i="1"/>
  <c r="C471" i="1"/>
  <c r="B471" i="1"/>
  <c r="A471" i="1"/>
  <c r="G470" i="1" l="1"/>
  <c r="H470" i="1"/>
  <c r="I470" i="1"/>
  <c r="J470" i="1"/>
  <c r="K470" i="1"/>
  <c r="L470" i="1"/>
  <c r="E470" i="1"/>
  <c r="D470" i="1"/>
  <c r="C470" i="1"/>
  <c r="B470" i="1"/>
  <c r="A470" i="1"/>
  <c r="G469" i="1" l="1"/>
  <c r="H469" i="1"/>
  <c r="I469" i="1"/>
  <c r="J469" i="1"/>
  <c r="K469" i="1"/>
  <c r="L469" i="1"/>
  <c r="E469" i="1"/>
  <c r="D469" i="1"/>
  <c r="C469" i="1"/>
  <c r="B469" i="1"/>
  <c r="A469" i="1"/>
  <c r="G468" i="1" l="1"/>
  <c r="H468" i="1"/>
  <c r="I468" i="1"/>
  <c r="J468" i="1"/>
  <c r="K468" i="1"/>
  <c r="L468" i="1"/>
  <c r="E468" i="1"/>
  <c r="D468" i="1"/>
  <c r="C468" i="1"/>
  <c r="B468" i="1"/>
  <c r="A468" i="1"/>
  <c r="G467" i="1" l="1"/>
  <c r="H467" i="1"/>
  <c r="I467" i="1"/>
  <c r="J467" i="1"/>
  <c r="K467" i="1"/>
  <c r="L467" i="1"/>
  <c r="E467" i="1"/>
  <c r="D467" i="1"/>
  <c r="C467" i="1"/>
  <c r="B467" i="1"/>
  <c r="A467" i="1"/>
  <c r="E466" i="1" l="1"/>
  <c r="D466" i="1"/>
  <c r="C466" i="1"/>
  <c r="B466" i="1"/>
  <c r="G466" i="1" l="1"/>
  <c r="H466" i="1"/>
  <c r="I466" i="1"/>
  <c r="J466" i="1"/>
  <c r="K466" i="1"/>
  <c r="L466" i="1"/>
  <c r="A466" i="1"/>
  <c r="G465" i="1" l="1"/>
  <c r="H465" i="1"/>
  <c r="I465" i="1"/>
  <c r="J465" i="1"/>
  <c r="K465" i="1"/>
  <c r="L465" i="1"/>
  <c r="E465" i="1"/>
  <c r="D465" i="1"/>
  <c r="C465" i="1"/>
  <c r="B465" i="1"/>
  <c r="A465" i="1"/>
  <c r="G464" i="1" l="1"/>
  <c r="H464" i="1"/>
  <c r="I464" i="1"/>
  <c r="J464" i="1"/>
  <c r="K464" i="1"/>
  <c r="L464" i="1"/>
  <c r="E464" i="1"/>
  <c r="D464" i="1"/>
  <c r="B464" i="1"/>
  <c r="A464" i="1"/>
  <c r="E463" i="1" l="1"/>
  <c r="I463" i="1" s="1"/>
  <c r="D463" i="1"/>
  <c r="C463" i="1"/>
  <c r="B463" i="1"/>
  <c r="G463" i="1"/>
  <c r="H463" i="1"/>
  <c r="J463" i="1"/>
  <c r="K463" i="1"/>
  <c r="L463" i="1"/>
  <c r="A463" i="1"/>
  <c r="G462" i="1" l="1"/>
  <c r="H462" i="1"/>
  <c r="I462" i="1"/>
  <c r="J462" i="1"/>
  <c r="K462" i="1"/>
  <c r="L462" i="1"/>
  <c r="E462" i="1"/>
  <c r="D462" i="1"/>
  <c r="C462" i="1"/>
  <c r="B462" i="1"/>
  <c r="A462" i="1"/>
  <c r="G461" i="1" l="1"/>
  <c r="H461" i="1"/>
  <c r="I461" i="1"/>
  <c r="J461" i="1"/>
  <c r="K461" i="1"/>
  <c r="L461" i="1"/>
  <c r="E461" i="1" l="1"/>
  <c r="D461" i="1"/>
  <c r="C461" i="1"/>
  <c r="B461" i="1"/>
  <c r="A461" i="1"/>
  <c r="G460" i="1" l="1"/>
  <c r="H460" i="1"/>
  <c r="I460" i="1"/>
  <c r="J460" i="1"/>
  <c r="K460" i="1"/>
  <c r="L460" i="1"/>
  <c r="E460" i="1"/>
  <c r="D460" i="1"/>
  <c r="C460" i="1"/>
  <c r="B460" i="1"/>
  <c r="A460" i="1"/>
  <c r="G459" i="1" l="1"/>
  <c r="H459" i="1"/>
  <c r="I459" i="1"/>
  <c r="J459" i="1"/>
  <c r="K459" i="1"/>
  <c r="L459" i="1"/>
  <c r="E459" i="1"/>
  <c r="D459" i="1"/>
  <c r="C459" i="1"/>
  <c r="B459" i="1"/>
  <c r="A459" i="1"/>
  <c r="G458" i="1" l="1"/>
  <c r="H458" i="1"/>
  <c r="I458" i="1"/>
  <c r="J458" i="1"/>
  <c r="K458" i="1"/>
  <c r="L458" i="1"/>
  <c r="E458" i="1"/>
  <c r="D458" i="1"/>
  <c r="C458" i="1"/>
  <c r="B458" i="1"/>
  <c r="A458" i="1"/>
  <c r="G457" i="1" l="1"/>
  <c r="H457" i="1"/>
  <c r="I457" i="1"/>
  <c r="J457" i="1"/>
  <c r="K457" i="1"/>
  <c r="L457" i="1"/>
  <c r="E457" i="1"/>
  <c r="D457" i="1"/>
  <c r="C457" i="1"/>
  <c r="B457" i="1"/>
  <c r="A457" i="1"/>
  <c r="H456" i="1" l="1"/>
  <c r="K456" i="1"/>
  <c r="L456" i="1"/>
  <c r="D456" i="1"/>
  <c r="C456" i="1"/>
  <c r="B456" i="1"/>
  <c r="E456" i="1" s="1"/>
  <c r="G456" i="1" l="1"/>
  <c r="H455" i="1"/>
  <c r="K455" i="1"/>
  <c r="L455" i="1"/>
  <c r="E455" i="1"/>
  <c r="D455" i="1"/>
  <c r="C455" i="1"/>
  <c r="B455" i="1"/>
  <c r="J456" i="1" l="1"/>
  <c r="G455" i="1"/>
  <c r="I456" i="1"/>
  <c r="H454" i="1"/>
  <c r="K454" i="1"/>
  <c r="L454" i="1"/>
  <c r="D454" i="1"/>
  <c r="C454" i="1"/>
  <c r="B454" i="1"/>
  <c r="E454" i="1" s="1"/>
  <c r="J455" i="1" l="1"/>
  <c r="G454" i="1"/>
  <c r="I455" i="1"/>
  <c r="H453" i="1"/>
  <c r="K453" i="1"/>
  <c r="L453" i="1"/>
  <c r="D453" i="1"/>
  <c r="C453" i="1"/>
  <c r="B453" i="1"/>
  <c r="E453" i="1" s="1"/>
  <c r="I454" i="1" l="1"/>
  <c r="J454" i="1"/>
  <c r="G453" i="1"/>
  <c r="H452" i="1"/>
  <c r="K452" i="1"/>
  <c r="L452" i="1"/>
  <c r="D452" i="1"/>
  <c r="C452" i="1"/>
  <c r="B452" i="1"/>
  <c r="E452" i="1" s="1"/>
  <c r="J453" i="1" l="1"/>
  <c r="G452" i="1"/>
  <c r="I453" i="1"/>
  <c r="H451" i="1"/>
  <c r="K451" i="1"/>
  <c r="L451" i="1"/>
  <c r="D451" i="1"/>
  <c r="C451" i="1"/>
  <c r="B451" i="1"/>
  <c r="E451" i="1" s="1"/>
  <c r="G451" i="1" l="1"/>
  <c r="I452" i="1"/>
  <c r="J452" i="1"/>
  <c r="H450" i="1"/>
  <c r="K450" i="1"/>
  <c r="L450" i="1"/>
  <c r="D450" i="1"/>
  <c r="C450" i="1"/>
  <c r="B450" i="1"/>
  <c r="E450" i="1" s="1"/>
  <c r="J451" i="1" l="1"/>
  <c r="G450" i="1"/>
  <c r="I451" i="1"/>
  <c r="H449" i="1"/>
  <c r="K449" i="1"/>
  <c r="L449" i="1"/>
  <c r="D449" i="1"/>
  <c r="C449" i="1"/>
  <c r="B449" i="1"/>
  <c r="E449" i="1" s="1"/>
  <c r="J450" i="1" l="1"/>
  <c r="G449" i="1"/>
  <c r="I450" i="1"/>
  <c r="H448" i="1"/>
  <c r="K448" i="1"/>
  <c r="L448" i="1"/>
  <c r="D448" i="1"/>
  <c r="C448" i="1"/>
  <c r="B448" i="1"/>
  <c r="E448" i="1" s="1"/>
  <c r="J449" i="1" l="1"/>
  <c r="G448" i="1"/>
  <c r="I449" i="1"/>
  <c r="H447" i="1"/>
  <c r="K447" i="1"/>
  <c r="L447" i="1"/>
  <c r="D447" i="1"/>
  <c r="C447" i="1"/>
  <c r="B447" i="1"/>
  <c r="E447" i="1" s="1"/>
  <c r="I448" i="1" l="1"/>
  <c r="G447" i="1"/>
  <c r="J448" i="1"/>
  <c r="D446" i="1"/>
  <c r="C446" i="1"/>
  <c r="B446" i="1"/>
  <c r="E446" i="1" l="1"/>
  <c r="G446" i="1" s="1"/>
  <c r="H446" i="1"/>
  <c r="K446" i="1"/>
  <c r="L446" i="1"/>
  <c r="I447" i="1" l="1"/>
  <c r="J447" i="1"/>
  <c r="H445" i="1"/>
  <c r="K445" i="1"/>
  <c r="L445" i="1"/>
  <c r="E445" i="1"/>
  <c r="I446" i="1" s="1"/>
  <c r="D445" i="1"/>
  <c r="C445" i="1"/>
  <c r="B445" i="1"/>
  <c r="G445" i="1" l="1"/>
  <c r="J446" i="1"/>
  <c r="H444" i="1"/>
  <c r="K444" i="1"/>
  <c r="L444" i="1"/>
  <c r="E444" i="1"/>
  <c r="J445" i="1" s="1"/>
  <c r="D444" i="1"/>
  <c r="C444" i="1"/>
  <c r="B444" i="1"/>
  <c r="G444" i="1" l="1"/>
  <c r="I445" i="1"/>
  <c r="H443" i="1"/>
  <c r="K443" i="1"/>
  <c r="L443" i="1"/>
  <c r="D443" i="1"/>
  <c r="C443" i="1"/>
  <c r="B443" i="1"/>
  <c r="E443" i="1" s="1"/>
  <c r="J444" i="1" l="1"/>
  <c r="I444" i="1"/>
  <c r="G443" i="1"/>
  <c r="H442" i="1"/>
  <c r="K442" i="1"/>
  <c r="L442" i="1"/>
  <c r="D442" i="1"/>
  <c r="C442" i="1"/>
  <c r="B442" i="1"/>
  <c r="E442" i="1" s="1"/>
  <c r="J443" i="1" l="1"/>
  <c r="I443" i="1"/>
  <c r="G442" i="1"/>
  <c r="D441" i="1"/>
  <c r="C441" i="1"/>
  <c r="B441" i="1"/>
  <c r="E441" i="1" s="1"/>
  <c r="J442" i="1" l="1"/>
  <c r="I442" i="1"/>
  <c r="G441" i="1"/>
  <c r="H441" i="1"/>
  <c r="K441" i="1"/>
  <c r="L441" i="1"/>
  <c r="D440" i="1" l="1"/>
  <c r="C440" i="1"/>
  <c r="B440" i="1"/>
  <c r="H440" i="1" l="1"/>
  <c r="K440" i="1"/>
  <c r="L440" i="1"/>
  <c r="E440" i="1"/>
  <c r="I441" i="1" l="1"/>
  <c r="J441" i="1"/>
  <c r="G440" i="1"/>
  <c r="D439" i="1"/>
  <c r="C439" i="1"/>
  <c r="B439" i="1"/>
  <c r="E439" i="1" s="1"/>
  <c r="H439" i="1"/>
  <c r="K439" i="1"/>
  <c r="L439" i="1"/>
  <c r="I440" i="1" l="1"/>
  <c r="G439" i="1"/>
  <c r="J440" i="1"/>
  <c r="H438" i="1"/>
  <c r="K438" i="1"/>
  <c r="L438" i="1"/>
  <c r="D438" i="1"/>
  <c r="C438" i="1"/>
  <c r="B438" i="1"/>
  <c r="E438" i="1" s="1"/>
  <c r="I439" i="1" l="1"/>
  <c r="J439" i="1"/>
  <c r="G438" i="1"/>
  <c r="C437" i="1"/>
  <c r="B437" i="1"/>
  <c r="D437" i="1"/>
  <c r="H437" i="1"/>
  <c r="K437" i="1"/>
  <c r="L437" i="1"/>
  <c r="E437" i="1" l="1"/>
  <c r="H436" i="1"/>
  <c r="K436" i="1"/>
  <c r="L436" i="1"/>
  <c r="E436" i="1"/>
  <c r="G436" i="1" s="1"/>
  <c r="D436" i="1"/>
  <c r="C436" i="1"/>
  <c r="B436" i="1"/>
  <c r="G437" i="1" l="1"/>
  <c r="J438" i="1"/>
  <c r="I438" i="1"/>
  <c r="I437" i="1"/>
  <c r="J437" i="1"/>
  <c r="H435" i="1"/>
  <c r="K435" i="1"/>
  <c r="L435" i="1"/>
  <c r="D435" i="1"/>
  <c r="C435" i="1"/>
  <c r="B435" i="1"/>
  <c r="E435" i="1" s="1"/>
  <c r="I436" i="1" l="1"/>
  <c r="J436" i="1"/>
  <c r="G435" i="1"/>
  <c r="H434" i="1"/>
  <c r="K434" i="1"/>
  <c r="L434" i="1"/>
  <c r="D434" i="1"/>
  <c r="C434" i="1"/>
  <c r="B434" i="1"/>
  <c r="E434" i="1" s="1"/>
  <c r="I435" i="1" l="1"/>
  <c r="J435" i="1"/>
  <c r="G434" i="1"/>
  <c r="L433" i="1"/>
  <c r="K433" i="1"/>
  <c r="H433" i="1"/>
  <c r="L432" i="1" l="1"/>
  <c r="K432" i="1"/>
  <c r="H432" i="1"/>
  <c r="E432" i="1" l="1"/>
  <c r="E433" i="1"/>
  <c r="J434" i="1" l="1"/>
  <c r="I433" i="1"/>
  <c r="G433" i="1"/>
  <c r="I434" i="1"/>
  <c r="J433" i="1"/>
  <c r="G432" i="1"/>
  <c r="H431" i="1"/>
  <c r="K431" i="1"/>
  <c r="L431" i="1"/>
  <c r="D431" i="1"/>
  <c r="E431" i="1" s="1"/>
  <c r="C431" i="1"/>
  <c r="B431" i="1"/>
  <c r="G431" i="1" l="1"/>
  <c r="J432" i="1"/>
  <c r="I432" i="1"/>
  <c r="H430" i="1"/>
  <c r="K430" i="1"/>
  <c r="L430" i="1"/>
  <c r="D430" i="1"/>
  <c r="C430" i="1"/>
  <c r="B430" i="1"/>
  <c r="E430" i="1" s="1"/>
  <c r="G430" i="1" l="1"/>
  <c r="I431" i="1"/>
  <c r="J431" i="1"/>
  <c r="H429" i="1"/>
  <c r="K429" i="1"/>
  <c r="L429" i="1"/>
  <c r="D429" i="1"/>
  <c r="C429" i="1"/>
  <c r="B429" i="1"/>
  <c r="E429" i="1" s="1"/>
  <c r="J430" i="1" l="1"/>
  <c r="I430" i="1"/>
  <c r="G429" i="1"/>
  <c r="H428" i="1"/>
  <c r="K428" i="1"/>
  <c r="L428" i="1"/>
  <c r="D428" i="1"/>
  <c r="C428" i="1"/>
  <c r="B428" i="1"/>
  <c r="E428" i="1" s="1"/>
  <c r="J429" i="1" l="1"/>
  <c r="G428" i="1"/>
  <c r="I429" i="1"/>
  <c r="H427" i="1"/>
  <c r="K427" i="1"/>
  <c r="L427" i="1"/>
  <c r="D427" i="1"/>
  <c r="C427" i="1"/>
  <c r="B427" i="1"/>
  <c r="E427" i="1" s="1"/>
  <c r="J428" i="1" l="1"/>
  <c r="I428" i="1"/>
  <c r="G427" i="1"/>
  <c r="H426" i="1"/>
  <c r="K426" i="1"/>
  <c r="L426" i="1"/>
  <c r="D426" i="1"/>
  <c r="C426" i="1"/>
  <c r="B426" i="1"/>
  <c r="E426" i="1" s="1"/>
  <c r="G426" i="1" l="1"/>
  <c r="J427" i="1"/>
  <c r="I427" i="1"/>
  <c r="H425" i="1"/>
  <c r="K425" i="1"/>
  <c r="L425" i="1"/>
  <c r="D425" i="1"/>
  <c r="C425" i="1"/>
  <c r="B425" i="1"/>
  <c r="D424" i="1"/>
  <c r="C424" i="1"/>
  <c r="B424" i="1"/>
  <c r="D423" i="1"/>
  <c r="C423" i="1"/>
  <c r="B423" i="1"/>
  <c r="E425" i="1" l="1"/>
  <c r="I426" i="1" s="1"/>
  <c r="J426" i="1"/>
  <c r="G425" i="1"/>
  <c r="I425" i="1"/>
  <c r="L424" i="1"/>
  <c r="K424" i="1"/>
  <c r="H424" i="1"/>
  <c r="L423" i="1"/>
  <c r="K423" i="1"/>
  <c r="H423" i="1"/>
  <c r="E424" i="1"/>
  <c r="G424" i="1" s="1"/>
  <c r="E423" i="1"/>
  <c r="J425" i="1" l="1"/>
  <c r="I424" i="1"/>
  <c r="G423" i="1"/>
  <c r="J424" i="1"/>
  <c r="D422" i="1" l="1"/>
  <c r="C422" i="1"/>
  <c r="B422" i="1"/>
  <c r="E422" i="1" l="1"/>
  <c r="J423" i="1" s="1"/>
  <c r="I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D419" i="1"/>
  <c r="C419" i="1"/>
  <c r="B419" i="1"/>
  <c r="E419" i="1" s="1"/>
  <c r="I420" i="1" s="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l="1"/>
  <c r="I417" i="1" s="1"/>
  <c r="J417" i="1"/>
  <c r="G416" i="1"/>
  <c r="H415" i="1"/>
  <c r="K415" i="1"/>
  <c r="L415" i="1"/>
  <c r="D415" i="1"/>
  <c r="B415" i="1"/>
  <c r="E415" i="1" l="1"/>
  <c r="G415" i="1" s="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C412" i="1"/>
  <c r="B412" i="1"/>
  <c r="E412" i="1" l="1"/>
  <c r="I413" i="1" s="1"/>
  <c r="J413" i="1"/>
  <c r="H411" i="1"/>
  <c r="K411" i="1"/>
  <c r="L411" i="1"/>
  <c r="D411" i="1"/>
  <c r="C411" i="1"/>
  <c r="B411" i="1"/>
  <c r="G412" i="1" l="1"/>
  <c r="E411" i="1"/>
  <c r="J412" i="1" s="1"/>
  <c r="G411" i="1"/>
  <c r="D410" i="1"/>
  <c r="B410" i="1"/>
  <c r="E410" i="1" s="1"/>
  <c r="I412" i="1" l="1"/>
  <c r="J411" i="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l="1"/>
  <c r="G407" i="1"/>
  <c r="I408" i="1"/>
  <c r="J408" i="1"/>
  <c r="H406" i="1"/>
  <c r="K406" i="1"/>
  <c r="L406" i="1"/>
  <c r="D406" i="1"/>
  <c r="C406" i="1"/>
  <c r="B406" i="1"/>
  <c r="E406" i="1" l="1"/>
  <c r="I407" i="1" s="1"/>
  <c r="J407" i="1"/>
  <c r="G406" i="1"/>
  <c r="H405" i="1"/>
  <c r="K405" i="1"/>
  <c r="L405" i="1"/>
  <c r="D405" i="1"/>
  <c r="C405" i="1"/>
  <c r="B405" i="1"/>
  <c r="E405" i="1" l="1"/>
  <c r="J406" i="1" s="1"/>
  <c r="I406" i="1"/>
  <c r="G405" i="1"/>
  <c r="H404" i="1"/>
  <c r="K404" i="1"/>
  <c r="L404" i="1"/>
  <c r="D404" i="1"/>
  <c r="C404" i="1"/>
  <c r="B404" i="1"/>
  <c r="E404" i="1" l="1"/>
  <c r="G404" i="1" s="1"/>
  <c r="J405" i="1"/>
  <c r="I405" i="1"/>
  <c r="H403" i="1"/>
  <c r="K403" i="1"/>
  <c r="L403" i="1"/>
  <c r="D403" i="1"/>
  <c r="B403" i="1"/>
  <c r="E403" i="1" l="1"/>
  <c r="G403" i="1" s="1"/>
  <c r="J404"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l="1"/>
  <c r="J400" i="1" s="1"/>
  <c r="H398" i="1"/>
  <c r="K398" i="1"/>
  <c r="L398" i="1"/>
  <c r="D398" i="1"/>
  <c r="C398" i="1"/>
  <c r="B398" i="1"/>
  <c r="I400" i="1" l="1"/>
  <c r="G399" i="1"/>
  <c r="E398" i="1"/>
  <c r="J399" i="1" s="1"/>
  <c r="D397" i="1"/>
  <c r="C397" i="1"/>
  <c r="E397" i="1" s="1"/>
  <c r="B397" i="1"/>
  <c r="I399" i="1" l="1"/>
  <c r="G398" i="1"/>
  <c r="J398" i="1"/>
  <c r="I398" i="1"/>
  <c r="G397" i="1"/>
  <c r="H397" i="1"/>
  <c r="K397" i="1"/>
  <c r="L397" i="1"/>
  <c r="D396" i="1" l="1"/>
  <c r="C396" i="1"/>
  <c r="B396" i="1"/>
  <c r="E396" i="1" s="1"/>
  <c r="J397" i="1" l="1"/>
  <c r="I397" i="1"/>
  <c r="G396" i="1"/>
  <c r="H396" i="1"/>
  <c r="K396" i="1"/>
  <c r="L396" i="1"/>
  <c r="H395" i="1" l="1"/>
  <c r="K395" i="1"/>
  <c r="L395" i="1"/>
  <c r="D395" i="1"/>
  <c r="C395" i="1"/>
  <c r="B395" i="1"/>
  <c r="E395" i="1" l="1"/>
  <c r="J396" i="1" s="1"/>
  <c r="G395" i="1"/>
  <c r="D394" i="1"/>
  <c r="C394" i="1"/>
  <c r="B394" i="1"/>
  <c r="I396" i="1" l="1"/>
  <c r="H394" i="1"/>
  <c r="K394" i="1"/>
  <c r="L394" i="1"/>
  <c r="E394" i="1"/>
  <c r="G394" i="1" l="1"/>
  <c r="J395" i="1"/>
  <c r="I395" i="1"/>
  <c r="H393" i="1"/>
  <c r="K393" i="1"/>
  <c r="L393" i="1"/>
  <c r="D393" i="1"/>
  <c r="C393" i="1"/>
  <c r="B393" i="1"/>
  <c r="E393" i="1" l="1"/>
  <c r="I394" i="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s="1"/>
  <c r="H380" i="1"/>
  <c r="K380" i="1"/>
  <c r="L380" i="1"/>
  <c r="G380" i="1" l="1"/>
  <c r="I381" i="1"/>
  <c r="D379" i="1"/>
  <c r="C379" i="1"/>
  <c r="B379" i="1"/>
  <c r="H379" i="1"/>
  <c r="K379" i="1"/>
  <c r="L379" i="1"/>
  <c r="E379" i="1" l="1"/>
  <c r="I380" i="1" s="1"/>
  <c r="B378" i="1"/>
  <c r="C378" i="1"/>
  <c r="D378" i="1"/>
  <c r="G379" i="1" l="1"/>
  <c r="J380" i="1"/>
  <c r="E378" i="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s="1"/>
  <c r="H375" i="1"/>
  <c r="K375" i="1"/>
  <c r="L375" i="1"/>
  <c r="G375" i="1" l="1"/>
  <c r="I376" i="1"/>
  <c r="H374" i="1"/>
  <c r="K374" i="1"/>
  <c r="L374" i="1"/>
  <c r="D374" i="1"/>
  <c r="C374" i="1"/>
  <c r="B374" i="1"/>
  <c r="E374" i="1" l="1"/>
  <c r="I375" i="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s="1"/>
  <c r="L370" i="1"/>
  <c r="K370" i="1"/>
  <c r="H370" i="1"/>
  <c r="E370" i="1"/>
  <c r="J371" i="1" s="1"/>
  <c r="I371" i="1" l="1"/>
  <c r="G371" i="1"/>
  <c r="I372" i="1"/>
  <c r="G370" i="1"/>
  <c r="H369" i="1"/>
  <c r="K369" i="1"/>
  <c r="L369" i="1"/>
  <c r="D369" i="1"/>
  <c r="C369" i="1"/>
  <c r="B369" i="1"/>
  <c r="E369" i="1" l="1"/>
  <c r="J370" i="1" s="1"/>
  <c r="I370" i="1"/>
  <c r="G369" i="1"/>
  <c r="D368" i="1"/>
  <c r="C368" i="1"/>
  <c r="B368" i="1"/>
  <c r="H368" i="1"/>
  <c r="K368" i="1"/>
  <c r="L368" i="1"/>
  <c r="E368" i="1" l="1"/>
  <c r="G368" i="1"/>
  <c r="I369" i="1"/>
  <c r="J369" i="1"/>
  <c r="D367" i="1"/>
  <c r="C367" i="1"/>
  <c r="B367" i="1"/>
  <c r="H367" i="1"/>
  <c r="K367" i="1"/>
  <c r="L367" i="1"/>
  <c r="E367" i="1" l="1"/>
  <c r="G367" i="1" s="1"/>
  <c r="I368" i="1"/>
  <c r="D366" i="1"/>
  <c r="C366" i="1"/>
  <c r="B366" i="1"/>
  <c r="H366" i="1"/>
  <c r="K366" i="1"/>
  <c r="L366" i="1"/>
  <c r="J368" i="1" l="1"/>
  <c r="E366" i="1"/>
  <c r="G366" i="1" s="1"/>
  <c r="I367" i="1"/>
  <c r="J367" i="1"/>
  <c r="D365" i="1"/>
  <c r="C365" i="1"/>
  <c r="B365" i="1"/>
  <c r="H365" i="1" l="1"/>
  <c r="K365" i="1"/>
  <c r="L365" i="1"/>
  <c r="E365" i="1"/>
  <c r="J366" i="1" l="1"/>
  <c r="I366" i="1"/>
  <c r="G365" i="1"/>
  <c r="H364" i="1"/>
  <c r="K364" i="1"/>
  <c r="L364" i="1"/>
  <c r="D364" i="1"/>
  <c r="C364" i="1"/>
  <c r="B364" i="1"/>
  <c r="E364" i="1" l="1"/>
  <c r="I365" i="1" s="1"/>
  <c r="G364" i="1"/>
  <c r="H363" i="1"/>
  <c r="K363" i="1"/>
  <c r="L363" i="1"/>
  <c r="D363" i="1"/>
  <c r="C363" i="1"/>
  <c r="B363" i="1"/>
  <c r="J365" i="1" l="1"/>
  <c r="E363" i="1"/>
  <c r="I364" i="1" s="1"/>
  <c r="D362" i="1"/>
  <c r="C362" i="1"/>
  <c r="E362" i="1" s="1"/>
  <c r="B362" i="1"/>
  <c r="G363" i="1" l="1"/>
  <c r="J364" i="1"/>
  <c r="J363" i="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s="1"/>
  <c r="J360" i="1"/>
  <c r="G359" i="1"/>
  <c r="H359" i="1"/>
  <c r="K359" i="1"/>
  <c r="L359" i="1"/>
  <c r="D358" i="1" l="1"/>
  <c r="C358" i="1"/>
  <c r="B358" i="1"/>
  <c r="E358" i="1" l="1"/>
  <c r="I359" i="1" s="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E354" i="1"/>
  <c r="J355" i="1" s="1"/>
  <c r="E353" i="1"/>
  <c r="G353" i="1" s="1"/>
  <c r="E352" i="1"/>
  <c r="G352" i="1" s="1"/>
  <c r="E351" i="1"/>
  <c r="E350" i="1"/>
  <c r="G350" i="1" s="1"/>
  <c r="G354" i="1" l="1"/>
  <c r="J351" i="1"/>
  <c r="J352" i="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s="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s="1"/>
  <c r="H341" i="1"/>
  <c r="K341" i="1"/>
  <c r="L341" i="1"/>
  <c r="G341" i="1" l="1"/>
  <c r="J342" i="1"/>
  <c r="H340" i="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G338" i="1" s="1"/>
  <c r="J339" i="1"/>
  <c r="I339" i="1"/>
  <c r="D337" i="1"/>
  <c r="C337" i="1"/>
  <c r="B337" i="1"/>
  <c r="E337" i="1" l="1"/>
  <c r="J338" i="1" s="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s="1"/>
  <c r="G333" i="1"/>
  <c r="D332" i="1"/>
  <c r="C332" i="1"/>
  <c r="B332" i="1"/>
  <c r="I334" i="1" l="1"/>
  <c r="H332" i="1"/>
  <c r="K332" i="1"/>
  <c r="L332" i="1"/>
  <c r="E332" i="1"/>
  <c r="J333" i="1" l="1"/>
  <c r="I333" i="1"/>
  <c r="G332" i="1"/>
  <c r="H331" i="1"/>
  <c r="K331" i="1"/>
  <c r="L331" i="1"/>
  <c r="D331" i="1"/>
  <c r="C331" i="1"/>
  <c r="B331" i="1"/>
  <c r="E331" i="1" l="1"/>
  <c r="J332" i="1" s="1"/>
  <c r="G331" i="1"/>
  <c r="H330" i="1"/>
  <c r="K330" i="1"/>
  <c r="L330" i="1"/>
  <c r="D330" i="1"/>
  <c r="C330" i="1"/>
  <c r="B330" i="1"/>
  <c r="I332" i="1" l="1"/>
  <c r="E330" i="1"/>
  <c r="J331" i="1" s="1"/>
  <c r="G330" i="1"/>
  <c r="I331" i="1"/>
  <c r="D329" i="1"/>
  <c r="C329" i="1"/>
  <c r="B329" i="1"/>
  <c r="H329" i="1"/>
  <c r="K329" i="1"/>
  <c r="L329" i="1"/>
  <c r="E329" i="1" l="1"/>
  <c r="G329" i="1" s="1"/>
  <c r="J330" i="1"/>
  <c r="I330" i="1"/>
  <c r="H328" i="1"/>
  <c r="K328" i="1"/>
  <c r="L328" i="1"/>
  <c r="D328" i="1"/>
  <c r="C328" i="1"/>
  <c r="B328" i="1"/>
  <c r="E328" i="1" l="1"/>
  <c r="J329" i="1" s="1"/>
  <c r="D327" i="1"/>
  <c r="C327" i="1"/>
  <c r="B327" i="1"/>
  <c r="I329" i="1" l="1"/>
  <c r="G328" i="1"/>
  <c r="E327" i="1"/>
  <c r="J328" i="1"/>
  <c r="I328" i="1"/>
  <c r="G327" i="1"/>
  <c r="H327" i="1"/>
  <c r="K327" i="1"/>
  <c r="L327" i="1"/>
  <c r="D326" i="1" l="1"/>
  <c r="C326" i="1"/>
  <c r="B326" i="1"/>
  <c r="E326" i="1" l="1"/>
  <c r="J327" i="1" s="1"/>
  <c r="I327" i="1"/>
  <c r="H326" i="1"/>
  <c r="K326" i="1"/>
  <c r="L326" i="1"/>
  <c r="G326" i="1" l="1"/>
  <c r="H325" i="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B323" i="1"/>
  <c r="E323" i="1" l="1"/>
  <c r="I324" i="1" s="1"/>
  <c r="J324" i="1"/>
  <c r="D322" i="1"/>
  <c r="C322" i="1"/>
  <c r="B322" i="1"/>
  <c r="G323" i="1" l="1"/>
  <c r="E322" i="1"/>
  <c r="I323" i="1" s="1"/>
  <c r="H322" i="1"/>
  <c r="K322" i="1"/>
  <c r="L322" i="1"/>
  <c r="G322" i="1" l="1"/>
  <c r="J323" i="1"/>
  <c r="D321" i="1"/>
  <c r="C321" i="1"/>
  <c r="B321" i="1"/>
  <c r="E321" i="1" l="1"/>
  <c r="J322" i="1" s="1"/>
  <c r="H320" i="1"/>
  <c r="K320" i="1"/>
  <c r="L320" i="1"/>
  <c r="G321" i="1"/>
  <c r="H321" i="1"/>
  <c r="K321" i="1"/>
  <c r="L321" i="1"/>
  <c r="I322" i="1" l="1"/>
  <c r="D320" i="1"/>
  <c r="C320" i="1"/>
  <c r="B320" i="1"/>
  <c r="E320" i="1" l="1"/>
  <c r="I321" i="1" s="1"/>
  <c r="H319" i="1"/>
  <c r="K319" i="1"/>
  <c r="L319" i="1"/>
  <c r="D319" i="1"/>
  <c r="E319" i="1" s="1"/>
  <c r="J320" i="1" s="1"/>
  <c r="C319" i="1"/>
  <c r="B319" i="1"/>
  <c r="J321" i="1" l="1"/>
  <c r="G320" i="1"/>
  <c r="G319" i="1"/>
  <c r="I320" i="1"/>
  <c r="H318" i="1"/>
  <c r="K318" i="1"/>
  <c r="L318" i="1"/>
  <c r="D318" i="1"/>
  <c r="C318" i="1"/>
  <c r="B318" i="1"/>
  <c r="E318" i="1" l="1"/>
  <c r="I319" i="1" s="1"/>
  <c r="J319" i="1"/>
  <c r="D317" i="1"/>
  <c r="C317" i="1"/>
  <c r="B317" i="1"/>
  <c r="E317" i="1" s="1"/>
  <c r="J318" i="1" s="1"/>
  <c r="G318" i="1" l="1"/>
  <c r="I318" i="1"/>
  <c r="G317" i="1"/>
  <c r="H317" i="1"/>
  <c r="K317" i="1"/>
  <c r="L317" i="1"/>
  <c r="D316" i="1" l="1"/>
  <c r="C316" i="1"/>
  <c r="B316" i="1"/>
  <c r="E316" i="1" l="1"/>
  <c r="J317" i="1" s="1"/>
  <c r="I317" i="1"/>
  <c r="H316" i="1"/>
  <c r="K316" i="1"/>
  <c r="L316" i="1"/>
  <c r="G316" i="1" l="1"/>
  <c r="D315" i="1"/>
  <c r="C315" i="1"/>
  <c r="B315" i="1"/>
  <c r="E315" i="1" l="1"/>
  <c r="I316" i="1" s="1"/>
  <c r="H315" i="1"/>
  <c r="K315" i="1"/>
  <c r="L315" i="1"/>
  <c r="G315" i="1" l="1"/>
  <c r="J316" i="1"/>
  <c r="H314" i="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s="1"/>
  <c r="I313" i="1"/>
  <c r="J313" i="1" l="1"/>
  <c r="H311" i="1"/>
  <c r="K311" i="1"/>
  <c r="L311" i="1"/>
  <c r="D311" i="1"/>
  <c r="C311" i="1"/>
  <c r="B311" i="1"/>
  <c r="E311" i="1" s="1"/>
  <c r="J312" i="1" l="1"/>
  <c r="I312" i="1"/>
  <c r="G311" i="1"/>
  <c r="H310" i="1"/>
  <c r="K310" i="1"/>
  <c r="L310" i="1"/>
  <c r="D310" i="1"/>
  <c r="C310" i="1"/>
  <c r="B310" i="1"/>
  <c r="E310" i="1" l="1"/>
  <c r="J311" i="1" s="1"/>
  <c r="G310" i="1"/>
  <c r="D309" i="1"/>
  <c r="C309" i="1"/>
  <c r="B309" i="1"/>
  <c r="I311" i="1" l="1"/>
  <c r="E309" i="1"/>
  <c r="I310" i="1" s="1"/>
  <c r="G309" i="1"/>
  <c r="H309" i="1"/>
  <c r="K309" i="1"/>
  <c r="L309" i="1"/>
  <c r="J310" i="1" l="1"/>
  <c r="D308" i="1"/>
  <c r="C308" i="1"/>
  <c r="B308" i="1"/>
  <c r="E308" i="1" l="1"/>
  <c r="I309" i="1" s="1"/>
  <c r="H308" i="1"/>
  <c r="K308" i="1"/>
  <c r="L308" i="1"/>
  <c r="G308" i="1" l="1"/>
  <c r="J309" i="1"/>
  <c r="H307" i="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B256" i="1"/>
  <c r="D256" i="1"/>
  <c r="C256" i="1"/>
  <c r="H256" i="1"/>
  <c r="K256" i="1"/>
  <c r="L256" i="1"/>
  <c r="H255" i="1"/>
  <c r="K255" i="1"/>
  <c r="L255" i="1"/>
  <c r="D255" i="1"/>
  <c r="C255" i="1"/>
  <c r="B255" i="1"/>
  <c r="H254" i="1"/>
  <c r="K254" i="1"/>
  <c r="L254" i="1"/>
  <c r="D254" i="1"/>
  <c r="C254" i="1"/>
  <c r="B254" i="1"/>
  <c r="H253" i="1"/>
  <c r="K253" i="1"/>
  <c r="L253" i="1"/>
  <c r="D253" i="1"/>
  <c r="C253" i="1"/>
  <c r="B253" i="1"/>
  <c r="D252" i="1"/>
  <c r="C252" i="1"/>
  <c r="B252" i="1"/>
  <c r="H252" i="1"/>
  <c r="K252" i="1"/>
  <c r="L252" i="1"/>
  <c r="D251" i="1"/>
  <c r="C251" i="1"/>
  <c r="B251" i="1"/>
  <c r="H251" i="1"/>
  <c r="K251" i="1"/>
  <c r="L251" i="1"/>
  <c r="H250" i="1"/>
  <c r="K250" i="1"/>
  <c r="L250" i="1"/>
  <c r="D250" i="1"/>
  <c r="C250" i="1"/>
  <c r="B250" i="1"/>
  <c r="D249" i="1"/>
  <c r="C249" i="1"/>
  <c r="B249" i="1"/>
  <c r="H249" i="1"/>
  <c r="K249" i="1"/>
  <c r="L249" i="1"/>
  <c r="E253" i="1" l="1"/>
  <c r="G253" i="1" s="1"/>
  <c r="E257" i="1"/>
  <c r="E256" i="1"/>
  <c r="J257" i="1" s="1"/>
  <c r="E260" i="1"/>
  <c r="G260" i="1" s="1"/>
  <c r="G280" i="1"/>
  <c r="E277" i="1"/>
  <c r="J278" i="1" s="1"/>
  <c r="I280" i="1"/>
  <c r="I281" i="1"/>
  <c r="E268" i="1"/>
  <c r="G268" i="1" s="1"/>
  <c r="E271" i="1"/>
  <c r="G271" i="1" s="1"/>
  <c r="E255" i="1"/>
  <c r="G255" i="1" s="1"/>
  <c r="E249" i="1"/>
  <c r="G249" i="1" s="1"/>
  <c r="E250" i="1"/>
  <c r="E252" i="1"/>
  <c r="I253" i="1" s="1"/>
  <c r="E258" i="1"/>
  <c r="G258" i="1" s="1"/>
  <c r="E259" i="1"/>
  <c r="G259" i="1" s="1"/>
  <c r="E261" i="1"/>
  <c r="E265" i="1"/>
  <c r="G265" i="1" s="1"/>
  <c r="E266" i="1"/>
  <c r="G266" i="1" s="1"/>
  <c r="E276" i="1"/>
  <c r="I279" i="1"/>
  <c r="E264" i="1"/>
  <c r="G264" i="1" s="1"/>
  <c r="I266" i="1"/>
  <c r="E273" i="1"/>
  <c r="G273" i="1" s="1"/>
  <c r="E270" i="1"/>
  <c r="G270" i="1" s="1"/>
  <c r="E272" i="1"/>
  <c r="G272" i="1" s="1"/>
  <c r="E275" i="1"/>
  <c r="E251" i="1"/>
  <c r="E254" i="1"/>
  <c r="I254" i="1" s="1"/>
  <c r="E263" i="1"/>
  <c r="I264" i="1" s="1"/>
  <c r="E269" i="1"/>
  <c r="E274" i="1"/>
  <c r="J274" i="1" s="1"/>
  <c r="E267" i="1"/>
  <c r="G267" i="1" s="1"/>
  <c r="J272" i="1"/>
  <c r="I272" i="1"/>
  <c r="G256" i="1"/>
  <c r="I256" i="1"/>
  <c r="G276" i="1"/>
  <c r="G251" i="1"/>
  <c r="G254" i="1"/>
  <c r="I257" i="1"/>
  <c r="G257" i="1"/>
  <c r="G275" i="1"/>
  <c r="J253" i="1"/>
  <c r="I252" i="1"/>
  <c r="J266" i="1"/>
  <c r="G262" i="1"/>
  <c r="I250" i="1" l="1"/>
  <c r="I258" i="1"/>
  <c r="J276" i="1"/>
  <c r="J254" i="1"/>
  <c r="J261" i="1"/>
  <c r="J277" i="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G239" i="1" s="1"/>
  <c r="E241" i="1"/>
  <c r="I241" i="1" s="1"/>
  <c r="E242" i="1"/>
  <c r="G229" i="1"/>
  <c r="G231" i="1"/>
  <c r="G232" i="1"/>
  <c r="G234" i="1"/>
  <c r="J235" i="1"/>
  <c r="G235" i="1"/>
  <c r="I235" i="1"/>
  <c r="G243" i="1"/>
  <c r="I243" i="1"/>
  <c r="J244" i="1"/>
  <c r="G237" i="1" l="1"/>
  <c r="I238" i="1"/>
  <c r="J239" i="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I22" i="1" s="1"/>
  <c r="E23" i="1"/>
  <c r="E24" i="1"/>
  <c r="G24" i="1" s="1"/>
  <c r="E25" i="1"/>
  <c r="E26" i="1"/>
  <c r="E27" i="1"/>
  <c r="G27" i="1" s="1"/>
  <c r="E28" i="1"/>
  <c r="E29" i="1"/>
  <c r="E30" i="1"/>
  <c r="E31" i="1"/>
  <c r="E32" i="1"/>
  <c r="E33" i="1"/>
  <c r="E34" i="1"/>
  <c r="G34" i="1" s="1"/>
  <c r="E35" i="1"/>
  <c r="E36" i="1"/>
  <c r="E37" i="1"/>
  <c r="E38" i="1"/>
  <c r="G38" i="1" s="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35" i="1"/>
  <c r="I27" i="1"/>
  <c r="E220" i="1"/>
  <c r="J221" i="1" s="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15" i="1" s="1"/>
  <c r="G226" i="1"/>
  <c r="E196" i="1"/>
  <c r="J196" i="1" s="1"/>
  <c r="E212" i="1"/>
  <c r="G22" i="1"/>
  <c r="I21" i="1"/>
  <c r="J222" i="1"/>
  <c r="A43" i="1"/>
  <c r="A44" i="1" s="1"/>
  <c r="E194" i="1"/>
  <c r="I195" i="1" s="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J213" i="1" s="1"/>
  <c r="I16" i="1"/>
  <c r="E159" i="1"/>
  <c r="G159" i="1" s="1"/>
  <c r="E165" i="1"/>
  <c r="G165" i="1" s="1"/>
  <c r="E169" i="1"/>
  <c r="E171" i="1"/>
  <c r="G171" i="1" s="1"/>
  <c r="E158" i="1"/>
  <c r="G158" i="1" s="1"/>
  <c r="G9" i="1"/>
  <c r="G16" i="1"/>
  <c r="I17" i="1"/>
  <c r="J15" i="1"/>
  <c r="J13" i="1"/>
  <c r="I12" i="1"/>
  <c r="I10" i="1"/>
  <c r="I8" i="1"/>
  <c r="I46" i="1"/>
  <c r="E139" i="1"/>
  <c r="G139" i="1" s="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5" i="1"/>
  <c r="G196" i="1"/>
  <c r="G198" i="1"/>
  <c r="J199" i="1"/>
  <c r="G206" i="1"/>
  <c r="G210" i="1"/>
  <c r="G214" i="1"/>
  <c r="G219" i="1"/>
  <c r="J11" i="1"/>
  <c r="I19" i="1"/>
  <c r="I15" i="1"/>
  <c r="I11" i="1"/>
  <c r="J8" i="1"/>
  <c r="E197" i="1"/>
  <c r="J47" i="1"/>
  <c r="J46" i="1"/>
  <c r="L245" i="1"/>
  <c r="L193" i="1"/>
  <c r="E130" i="1"/>
  <c r="G130" i="1" s="1"/>
  <c r="E128" i="1"/>
  <c r="G128" i="1" s="1"/>
  <c r="E70" i="1"/>
  <c r="G70" i="1" s="1"/>
  <c r="E68" i="1"/>
  <c r="G68" i="1" s="1"/>
  <c r="E66" i="1"/>
  <c r="G66" i="1" s="1"/>
  <c r="E64" i="1"/>
  <c r="G64" i="1" s="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E140" i="1"/>
  <c r="E144" i="1"/>
  <c r="E147" i="1"/>
  <c r="E150" i="1"/>
  <c r="E153" i="1"/>
  <c r="E155" i="1"/>
  <c r="E157" i="1"/>
  <c r="E160" i="1"/>
  <c r="E166" i="1"/>
  <c r="E170" i="1"/>
  <c r="E174" i="1"/>
  <c r="J174" i="1" s="1"/>
  <c r="E176" i="1"/>
  <c r="E177" i="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I140" i="1" l="1"/>
  <c r="I199" i="1"/>
  <c r="I220" i="1"/>
  <c r="G220" i="1"/>
  <c r="G213" i="1"/>
  <c r="G194" i="1"/>
  <c r="I214" i="1"/>
  <c r="I211" i="1"/>
  <c r="J195" i="1"/>
  <c r="I221" i="1"/>
  <c r="I177" i="1"/>
  <c r="I208" i="1"/>
  <c r="G211" i="1"/>
  <c r="G208" i="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<sst xmlns="http://schemas.openxmlformats.org/spreadsheetml/2006/main" count="42" uniqueCount="32">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</sst>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Data!$A$450:$A$476</c:f>
              <c:numCache>
                <c:formatCode>mm/dd/yy;@</c:formatCode>
                <c:ptCount val="27"/>
                <c:pt idx="0">
                  <c:v>41741</c:v>
                </c:pt>
                <c:pt idx="1">
                  <c:v>41748</c:v>
                </c:pt>
                <c:pt idx="2">
                  <c:v>41755</c:v>
                </c:pt>
                <c:pt idx="3">
                  <c:v>41762</c:v>
                </c:pt>
                <c:pt idx="4">
                  <c:v>41769</c:v>
                </c:pt>
                <c:pt idx="5">
                  <c:v>41776</c:v>
                </c:pt>
                <c:pt idx="6">
                  <c:v>41783</c:v>
                </c:pt>
                <c:pt idx="7">
                  <c:v>41790</c:v>
                </c:pt>
                <c:pt idx="8">
                  <c:v>41797</c:v>
                </c:pt>
                <c:pt idx="9">
                  <c:v>41804</c:v>
                </c:pt>
                <c:pt idx="10">
                  <c:v>41811</c:v>
                </c:pt>
                <c:pt idx="11">
                  <c:v>41818</c:v>
                </c:pt>
                <c:pt idx="12">
                  <c:v>41825</c:v>
                </c:pt>
                <c:pt idx="13">
                  <c:v>41832</c:v>
                </c:pt>
                <c:pt idx="14">
                  <c:v>41839</c:v>
                </c:pt>
                <c:pt idx="15">
                  <c:v>41846</c:v>
                </c:pt>
                <c:pt idx="16">
                  <c:v>41853</c:v>
                </c:pt>
                <c:pt idx="17">
                  <c:v>41860</c:v>
                </c:pt>
                <c:pt idx="18">
                  <c:v>41867</c:v>
                </c:pt>
                <c:pt idx="19">
                  <c:v>41874</c:v>
                </c:pt>
                <c:pt idx="20">
                  <c:v>41881</c:v>
                </c:pt>
                <c:pt idx="21">
                  <c:v>41888</c:v>
                </c:pt>
                <c:pt idx="22">
                  <c:v>41895</c:v>
                </c:pt>
                <c:pt idx="23">
                  <c:v>41902</c:v>
                </c:pt>
                <c:pt idx="24">
                  <c:v>41909</c:v>
                </c:pt>
                <c:pt idx="25">
                  <c:v>41916</c:v>
                </c:pt>
                <c:pt idx="26">
                  <c:v>41923</c:v>
                </c:pt>
              </c:numCache>
            </c:numRef>
          </c:cat>
          <c:val>
            <c:numRef>
              <c:f>Data!$E$450:$E$476</c:f>
              <c:numCache>
                <c:formatCode>0</c:formatCode>
                <c:ptCount val="27"/>
                <c:pt idx="0">
                  <c:v>451</c:v>
                </c:pt>
                <c:pt idx="1">
                  <c:v>441</c:v>
                </c:pt>
                <c:pt idx="2">
                  <c:v>404</c:v>
                </c:pt>
                <c:pt idx="3">
                  <c:v>508</c:v>
                </c:pt>
                <c:pt idx="4">
                  <c:v>472</c:v>
                </c:pt>
                <c:pt idx="5">
                  <c:v>456</c:v>
                </c:pt>
                <c:pt idx="6">
                  <c:v>422</c:v>
                </c:pt>
                <c:pt idx="7">
                  <c:v>549</c:v>
                </c:pt>
                <c:pt idx="8">
                  <c:v>494</c:v>
                </c:pt>
                <c:pt idx="9">
                  <c:v>416</c:v>
                </c:pt>
                <c:pt idx="10">
                  <c:v>536</c:v>
                </c:pt>
                <c:pt idx="11">
                  <c:v>518</c:v>
                </c:pt>
                <c:pt idx="12">
                  <c:v>417</c:v>
                </c:pt>
                <c:pt idx="13">
                  <c:v>322</c:v>
                </c:pt>
                <c:pt idx="14">
                  <c:v>267</c:v>
                </c:pt>
                <c:pt idx="15">
                  <c:v>499</c:v>
                </c:pt>
                <c:pt idx="16">
                  <c:v>489</c:v>
                </c:pt>
                <c:pt idx="17">
                  <c:v>501</c:v>
                </c:pt>
                <c:pt idx="18">
                  <c:v>349</c:v>
                </c:pt>
                <c:pt idx="19">
                  <c:v>379</c:v>
                </c:pt>
                <c:pt idx="20">
                  <c:v>457</c:v>
                </c:pt>
                <c:pt idx="21">
                  <c:v>179</c:v>
                </c:pt>
                <c:pt idx="22">
                  <c:v>159</c:v>
                </c:pt>
                <c:pt idx="23">
                  <c:v>225</c:v>
                </c:pt>
                <c:pt idx="24">
                  <c:v>227</c:v>
                </c:pt>
                <c:pt idx="25">
                  <c:v>321</c:v>
                </c:pt>
                <c:pt idx="26">
                  <c:v>420</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Data!$A$450:$A$476</c:f>
              <c:numCache>
                <c:formatCode>mm/dd/yy;@</c:formatCode>
                <c:ptCount val="27"/>
                <c:pt idx="0">
                  <c:v>41741</c:v>
                </c:pt>
                <c:pt idx="1">
                  <c:v>41748</c:v>
                </c:pt>
                <c:pt idx="2">
                  <c:v>41755</c:v>
                </c:pt>
                <c:pt idx="3">
                  <c:v>41762</c:v>
                </c:pt>
                <c:pt idx="4">
                  <c:v>41769</c:v>
                </c:pt>
                <c:pt idx="5">
                  <c:v>41776</c:v>
                </c:pt>
                <c:pt idx="6">
                  <c:v>41783</c:v>
                </c:pt>
                <c:pt idx="7">
                  <c:v>41790</c:v>
                </c:pt>
                <c:pt idx="8">
                  <c:v>41797</c:v>
                </c:pt>
                <c:pt idx="9">
                  <c:v>41804</c:v>
                </c:pt>
                <c:pt idx="10">
                  <c:v>41811</c:v>
                </c:pt>
                <c:pt idx="11">
                  <c:v>41818</c:v>
                </c:pt>
                <c:pt idx="12">
                  <c:v>41825</c:v>
                </c:pt>
                <c:pt idx="13">
                  <c:v>41832</c:v>
                </c:pt>
                <c:pt idx="14">
                  <c:v>41839</c:v>
                </c:pt>
                <c:pt idx="15">
                  <c:v>41846</c:v>
                </c:pt>
                <c:pt idx="16">
                  <c:v>41853</c:v>
                </c:pt>
                <c:pt idx="17">
                  <c:v>41860</c:v>
                </c:pt>
                <c:pt idx="18">
                  <c:v>41867</c:v>
                </c:pt>
                <c:pt idx="19">
                  <c:v>41874</c:v>
                </c:pt>
                <c:pt idx="20">
                  <c:v>41881</c:v>
                </c:pt>
                <c:pt idx="21">
                  <c:v>41888</c:v>
                </c:pt>
                <c:pt idx="22">
                  <c:v>41895</c:v>
                </c:pt>
                <c:pt idx="23">
                  <c:v>41902</c:v>
                </c:pt>
                <c:pt idx="24">
                  <c:v>41909</c:v>
                </c:pt>
                <c:pt idx="25">
                  <c:v>41916</c:v>
                </c:pt>
                <c:pt idx="26">
                  <c:v>41923</c:v>
                </c:pt>
              </c:numCache>
            </c:numRef>
          </c:cat>
          <c:val>
            <c:numRef>
              <c:f>Data!$F$450:$F$476</c:f>
              <c:numCache>
                <c:formatCode>0</c:formatCode>
                <c:ptCount val="27"/>
                <c:pt idx="0">
                  <c:v>676</c:v>
                </c:pt>
                <c:pt idx="1">
                  <c:v>623</c:v>
                </c:pt>
                <c:pt idx="2">
                  <c:v>544</c:v>
                </c:pt>
                <c:pt idx="3">
                  <c:v>613</c:v>
                </c:pt>
                <c:pt idx="4">
                  <c:v>492</c:v>
                </c:pt>
                <c:pt idx="5">
                  <c:v>567</c:v>
                </c:pt>
                <c:pt idx="6">
                  <c:v>606</c:v>
                </c:pt>
                <c:pt idx="7">
                  <c:v>453</c:v>
                </c:pt>
                <c:pt idx="8">
                  <c:v>564</c:v>
                </c:pt>
                <c:pt idx="9">
                  <c:v>592</c:v>
                </c:pt>
                <c:pt idx="10">
                  <c:v>431</c:v>
                </c:pt>
                <c:pt idx="11">
                  <c:v>531</c:v>
                </c:pt>
                <c:pt idx="12">
                  <c:v>575</c:v>
                </c:pt>
                <c:pt idx="13">
                  <c:v>600</c:v>
                </c:pt>
                <c:pt idx="14">
                  <c:v>461</c:v>
                </c:pt>
                <c:pt idx="15">
                  <c:v>407</c:v>
                </c:pt>
                <c:pt idx="16">
                  <c:v>398</c:v>
                </c:pt>
                <c:pt idx="17">
                  <c:v>403</c:v>
                </c:pt>
                <c:pt idx="18">
                  <c:v>442</c:v>
                </c:pt>
                <c:pt idx="19">
                  <c:v>475</c:v>
                </c:pt>
                <c:pt idx="20">
                  <c:v>474</c:v>
                </c:pt>
                <c:pt idx="21">
                  <c:v>576</c:v>
                </c:pt>
                <c:pt idx="22">
                  <c:v>638</c:v>
                </c:pt>
                <c:pt idx="23">
                  <c:v>699</c:v>
                </c:pt>
                <c:pt idx="24">
                  <c:v>722</c:v>
                </c:pt>
                <c:pt idx="25">
                  <c:v>803</c:v>
                </c:pt>
                <c:pt idx="26">
                  <c:v>909</c:v>
                </c:pt>
              </c:numCache>
            </c:numRef>
          </c:val>
          <c:smooth val="0"/>
        </c:ser>
        <c:dLbls>
          <c:showLegendKey val="0"/>
          <c:showVal val="0"/>
          <c:showCatName val="0"/>
          <c:showSerName val="0"/>
          <c:showPercent val="0"/>
          <c:showBubbleSize val="0"/>
        </c:dLbls>
        <c:marker val="1"/>
        <c:smooth val="0"/>
        <c:axId val="31228288"/>
        <c:axId val="31229824"/>
      </c:lineChart>
      <c:dateAx>
        <c:axId val="31228288"/>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31229824"/>
        <c:crosses val="autoZero"/>
        <c:auto val="1"/>
        <c:lblOffset val="100"/>
        <c:baseTimeUnit val="days"/>
        <c:majorUnit val="7"/>
        <c:majorTimeUnit val="days"/>
        <c:minorUnit val="1"/>
        <c:minorTimeUnit val="days"/>
      </c:dateAx>
      <c:valAx>
        <c:axId val="31229824"/>
        <c:scaling>
          <c:orientation val="minMax"/>
          <c:max val="10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31228288"/>
        <c:crosses val="autoZero"/>
        <c:crossBetween val="between"/>
      </c:valAx>
      <c:spPr>
        <a:solidFill>
          <a:srgbClr val="FFFFFF"/>
        </a:solidFill>
        <a:ln w="12700">
          <a:solidFill>
            <a:srgbClr val="C0C0C0"/>
          </a:solidFill>
          <a:prstDash val="solid"/>
        </a:ln>
      </c:spPr>
    </c:plotArea>
    <c:legend>
      <c:legendPos val="r"/>
      <c:layout>
        <c:manualLayout>
          <c:xMode val="edge"/>
          <c:yMode val="edge"/>
          <c:x val="0.10227402120353209"/>
          <c:y val="0.70512285084459159"/>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53183319429049E-2"/>
          <c:y val="4.642603533669995E-2"/>
          <c:w val="0.92379099383259244"/>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Data!$E$123:$E$450</c:f>
              <c:numCache>
                <c:formatCode>0</c:formatCode>
                <c:ptCount val="328"/>
                <c:pt idx="0">
                  <c:v>372</c:v>
                </c:pt>
                <c:pt idx="1">
                  <c:v>358</c:v>
                </c:pt>
                <c:pt idx="2">
                  <c:v>320</c:v>
                </c:pt>
                <c:pt idx="3">
                  <c:v>351</c:v>
                </c:pt>
                <c:pt idx="4">
                  <c:v>341</c:v>
                </c:pt>
                <c:pt idx="5">
                  <c:v>396</c:v>
                </c:pt>
                <c:pt idx="6">
                  <c:v>244</c:v>
                </c:pt>
                <c:pt idx="7">
                  <c:v>345</c:v>
                </c:pt>
                <c:pt idx="8">
                  <c:v>287</c:v>
                </c:pt>
                <c:pt idx="9">
                  <c:v>354</c:v>
                </c:pt>
                <c:pt idx="10">
                  <c:v>349</c:v>
                </c:pt>
                <c:pt idx="11">
                  <c:v>302</c:v>
                </c:pt>
                <c:pt idx="12">
                  <c:v>332</c:v>
                </c:pt>
                <c:pt idx="13">
                  <c:v>470</c:v>
                </c:pt>
                <c:pt idx="14">
                  <c:v>364</c:v>
                </c:pt>
                <c:pt idx="15">
                  <c:v>358</c:v>
                </c:pt>
                <c:pt idx="16">
                  <c:v>369</c:v>
                </c:pt>
                <c:pt idx="17">
                  <c:v>206</c:v>
                </c:pt>
                <c:pt idx="18">
                  <c:v>147</c:v>
                </c:pt>
                <c:pt idx="19">
                  <c:v>370</c:v>
                </c:pt>
                <c:pt idx="20">
                  <c:v>422</c:v>
                </c:pt>
                <c:pt idx="21">
                  <c:v>369</c:v>
                </c:pt>
                <c:pt idx="22">
                  <c:v>411</c:v>
                </c:pt>
                <c:pt idx="23">
                  <c:v>322</c:v>
                </c:pt>
                <c:pt idx="24">
                  <c:v>210</c:v>
                </c:pt>
                <c:pt idx="25">
                  <c:v>119</c:v>
                </c:pt>
                <c:pt idx="26">
                  <c:v>188</c:v>
                </c:pt>
                <c:pt idx="27">
                  <c:v>463</c:v>
                </c:pt>
                <c:pt idx="28">
                  <c:v>438</c:v>
                </c:pt>
                <c:pt idx="29">
                  <c:v>539</c:v>
                </c:pt>
                <c:pt idx="30">
                  <c:v>471</c:v>
                </c:pt>
                <c:pt idx="31">
                  <c:v>417</c:v>
                </c:pt>
                <c:pt idx="32">
                  <c:v>357</c:v>
                </c:pt>
                <c:pt idx="33">
                  <c:v>414</c:v>
                </c:pt>
                <c:pt idx="34">
                  <c:v>284</c:v>
                </c:pt>
                <c:pt idx="35">
                  <c:v>393</c:v>
                </c:pt>
                <c:pt idx="36">
                  <c:v>335</c:v>
                </c:pt>
                <c:pt idx="37">
                  <c:v>276</c:v>
                </c:pt>
                <c:pt idx="38">
                  <c:v>201</c:v>
                </c:pt>
                <c:pt idx="39">
                  <c:v>328</c:v>
                </c:pt>
                <c:pt idx="40">
                  <c:v>239</c:v>
                </c:pt>
                <c:pt idx="41">
                  <c:v>311</c:v>
                </c:pt>
                <c:pt idx="42">
                  <c:v>369</c:v>
                </c:pt>
                <c:pt idx="43">
                  <c:v>327</c:v>
                </c:pt>
                <c:pt idx="44">
                  <c:v>468</c:v>
                </c:pt>
                <c:pt idx="45">
                  <c:v>371</c:v>
                </c:pt>
                <c:pt idx="46">
                  <c:v>410</c:v>
                </c:pt>
                <c:pt idx="47">
                  <c:v>468</c:v>
                </c:pt>
                <c:pt idx="48">
                  <c:v>475</c:v>
                </c:pt>
                <c:pt idx="49">
                  <c:v>403</c:v>
                </c:pt>
                <c:pt idx="50">
                  <c:v>375</c:v>
                </c:pt>
                <c:pt idx="51">
                  <c:v>236</c:v>
                </c:pt>
                <c:pt idx="52">
                  <c:v>307</c:v>
                </c:pt>
                <c:pt idx="53">
                  <c:v>200</c:v>
                </c:pt>
                <c:pt idx="54">
                  <c:v>409</c:v>
                </c:pt>
                <c:pt idx="55">
                  <c:v>446</c:v>
                </c:pt>
                <c:pt idx="56">
                  <c:v>155</c:v>
                </c:pt>
                <c:pt idx="57">
                  <c:v>278</c:v>
                </c:pt>
                <c:pt idx="58">
                  <c:v>332</c:v>
                </c:pt>
                <c:pt idx="59">
                  <c:v>347</c:v>
                </c:pt>
                <c:pt idx="60">
                  <c:v>609</c:v>
                </c:pt>
                <c:pt idx="61">
                  <c:v>484</c:v>
                </c:pt>
                <c:pt idx="62">
                  <c:v>479</c:v>
                </c:pt>
                <c:pt idx="63">
                  <c:v>385</c:v>
                </c:pt>
                <c:pt idx="64">
                  <c:v>386</c:v>
                </c:pt>
                <c:pt idx="65">
                  <c:v>459</c:v>
                </c:pt>
                <c:pt idx="66">
                  <c:v>425</c:v>
                </c:pt>
                <c:pt idx="67">
                  <c:v>516</c:v>
                </c:pt>
                <c:pt idx="68">
                  <c:v>495</c:v>
                </c:pt>
                <c:pt idx="69">
                  <c:v>378</c:v>
                </c:pt>
                <c:pt idx="70">
                  <c:v>392</c:v>
                </c:pt>
                <c:pt idx="71">
                  <c:v>494</c:v>
                </c:pt>
                <c:pt idx="72">
                  <c:v>458</c:v>
                </c:pt>
                <c:pt idx="73">
                  <c:v>471</c:v>
                </c:pt>
                <c:pt idx="74">
                  <c:v>510</c:v>
                </c:pt>
                <c:pt idx="75">
                  <c:v>541</c:v>
                </c:pt>
                <c:pt idx="76">
                  <c:v>690</c:v>
                </c:pt>
                <c:pt idx="77">
                  <c:v>553</c:v>
                </c:pt>
                <c:pt idx="78">
                  <c:v>618</c:v>
                </c:pt>
                <c:pt idx="79">
                  <c:v>452</c:v>
                </c:pt>
                <c:pt idx="80">
                  <c:v>447</c:v>
                </c:pt>
                <c:pt idx="81">
                  <c:v>566</c:v>
                </c:pt>
                <c:pt idx="82">
                  <c:v>691</c:v>
                </c:pt>
                <c:pt idx="83">
                  <c:v>516</c:v>
                </c:pt>
                <c:pt idx="84">
                  <c:v>554</c:v>
                </c:pt>
                <c:pt idx="85">
                  <c:v>471</c:v>
                </c:pt>
                <c:pt idx="86">
                  <c:v>452</c:v>
                </c:pt>
                <c:pt idx="87">
                  <c:v>242</c:v>
                </c:pt>
                <c:pt idx="88">
                  <c:v>199</c:v>
                </c:pt>
                <c:pt idx="89">
                  <c:v>160</c:v>
                </c:pt>
                <c:pt idx="90">
                  <c:v>212</c:v>
                </c:pt>
                <c:pt idx="91">
                  <c:v>229</c:v>
                </c:pt>
                <c:pt idx="92">
                  <c:v>322</c:v>
                </c:pt>
                <c:pt idx="93">
                  <c:v>290</c:v>
                </c:pt>
                <c:pt idx="94">
                  <c:v>378</c:v>
                </c:pt>
                <c:pt idx="95">
                  <c:v>493</c:v>
                </c:pt>
                <c:pt idx="96">
                  <c:v>445</c:v>
                </c:pt>
                <c:pt idx="97">
                  <c:v>758</c:v>
                </c:pt>
                <c:pt idx="98">
                  <c:v>630</c:v>
                </c:pt>
                <c:pt idx="99">
                  <c:v>618</c:v>
                </c:pt>
                <c:pt idx="100">
                  <c:v>647</c:v>
                </c:pt>
                <c:pt idx="101">
                  <c:v>622</c:v>
                </c:pt>
                <c:pt idx="102">
                  <c:v>541</c:v>
                </c:pt>
                <c:pt idx="103">
                  <c:v>375</c:v>
                </c:pt>
                <c:pt idx="104">
                  <c:v>207</c:v>
                </c:pt>
                <c:pt idx="105">
                  <c:v>185</c:v>
                </c:pt>
                <c:pt idx="106">
                  <c:v>287</c:v>
                </c:pt>
                <c:pt idx="107">
                  <c:v>405</c:v>
                </c:pt>
                <c:pt idx="108">
                  <c:v>403</c:v>
                </c:pt>
                <c:pt idx="109">
                  <c:v>441</c:v>
                </c:pt>
                <c:pt idx="110">
                  <c:v>418</c:v>
                </c:pt>
                <c:pt idx="111">
                  <c:v>345</c:v>
                </c:pt>
                <c:pt idx="112">
                  <c:v>371</c:v>
                </c:pt>
                <c:pt idx="113">
                  <c:v>480</c:v>
                </c:pt>
                <c:pt idx="114">
                  <c:v>545</c:v>
                </c:pt>
                <c:pt idx="115">
                  <c:v>293</c:v>
                </c:pt>
                <c:pt idx="116">
                  <c:v>329</c:v>
                </c:pt>
                <c:pt idx="117">
                  <c:v>342</c:v>
                </c:pt>
                <c:pt idx="118">
                  <c:v>290</c:v>
                </c:pt>
                <c:pt idx="119">
                  <c:v>321</c:v>
                </c:pt>
                <c:pt idx="120">
                  <c:v>388</c:v>
                </c:pt>
                <c:pt idx="121">
                  <c:v>327</c:v>
                </c:pt>
                <c:pt idx="122">
                  <c:v>555</c:v>
                </c:pt>
                <c:pt idx="123">
                  <c:v>528</c:v>
                </c:pt>
                <c:pt idx="124">
                  <c:v>482</c:v>
                </c:pt>
                <c:pt idx="125">
                  <c:v>578</c:v>
                </c:pt>
                <c:pt idx="126">
                  <c:v>502</c:v>
                </c:pt>
                <c:pt idx="127">
                  <c:v>493</c:v>
                </c:pt>
                <c:pt idx="128">
                  <c:v>524</c:v>
                </c:pt>
                <c:pt idx="129">
                  <c:v>442</c:v>
                </c:pt>
                <c:pt idx="130">
                  <c:v>510</c:v>
                </c:pt>
                <c:pt idx="131">
                  <c:v>442</c:v>
                </c:pt>
                <c:pt idx="132">
                  <c:v>511</c:v>
                </c:pt>
                <c:pt idx="133">
                  <c:v>550</c:v>
                </c:pt>
                <c:pt idx="134">
                  <c:v>630</c:v>
                </c:pt>
                <c:pt idx="135">
                  <c:v>465</c:v>
                </c:pt>
                <c:pt idx="136">
                  <c:v>446</c:v>
                </c:pt>
                <c:pt idx="137">
                  <c:v>264</c:v>
                </c:pt>
                <c:pt idx="138">
                  <c:v>250</c:v>
                </c:pt>
                <c:pt idx="139">
                  <c:v>320</c:v>
                </c:pt>
                <c:pt idx="140">
                  <c:v>314</c:v>
                </c:pt>
                <c:pt idx="141">
                  <c:v>294</c:v>
                </c:pt>
                <c:pt idx="142">
                  <c:v>368</c:v>
                </c:pt>
                <c:pt idx="143">
                  <c:v>321</c:v>
                </c:pt>
                <c:pt idx="144">
                  <c:v>382</c:v>
                </c:pt>
                <c:pt idx="145">
                  <c:v>645</c:v>
                </c:pt>
                <c:pt idx="146">
                  <c:v>493</c:v>
                </c:pt>
                <c:pt idx="147">
                  <c:v>453</c:v>
                </c:pt>
                <c:pt idx="148">
                  <c:v>346</c:v>
                </c:pt>
                <c:pt idx="149">
                  <c:v>582</c:v>
                </c:pt>
                <c:pt idx="150">
                  <c:v>415</c:v>
                </c:pt>
                <c:pt idx="151">
                  <c:v>520</c:v>
                </c:pt>
                <c:pt idx="152">
                  <c:v>706</c:v>
                </c:pt>
                <c:pt idx="153">
                  <c:v>465</c:v>
                </c:pt>
                <c:pt idx="154">
                  <c:v>441</c:v>
                </c:pt>
                <c:pt idx="155">
                  <c:v>548</c:v>
                </c:pt>
                <c:pt idx="156">
                  <c:v>371</c:v>
                </c:pt>
                <c:pt idx="157">
                  <c:v>363</c:v>
                </c:pt>
                <c:pt idx="158">
                  <c:v>337</c:v>
                </c:pt>
                <c:pt idx="159">
                  <c:v>360</c:v>
                </c:pt>
                <c:pt idx="160">
                  <c:v>367</c:v>
                </c:pt>
                <c:pt idx="161">
                  <c:v>288</c:v>
                </c:pt>
                <c:pt idx="162">
                  <c:v>296</c:v>
                </c:pt>
                <c:pt idx="163">
                  <c:v>434</c:v>
                </c:pt>
                <c:pt idx="164">
                  <c:v>360</c:v>
                </c:pt>
                <c:pt idx="165">
                  <c:v>261</c:v>
                </c:pt>
                <c:pt idx="166">
                  <c:v>368</c:v>
                </c:pt>
                <c:pt idx="167">
                  <c:v>392</c:v>
                </c:pt>
                <c:pt idx="168">
                  <c:v>416</c:v>
                </c:pt>
                <c:pt idx="169">
                  <c:v>437</c:v>
                </c:pt>
                <c:pt idx="170">
                  <c:v>294</c:v>
                </c:pt>
                <c:pt idx="171">
                  <c:v>358</c:v>
                </c:pt>
                <c:pt idx="172">
                  <c:v>301</c:v>
                </c:pt>
                <c:pt idx="173">
                  <c:v>162</c:v>
                </c:pt>
                <c:pt idx="174">
                  <c:v>184</c:v>
                </c:pt>
                <c:pt idx="175">
                  <c:v>324</c:v>
                </c:pt>
                <c:pt idx="176">
                  <c:v>474</c:v>
                </c:pt>
                <c:pt idx="177">
                  <c:v>445</c:v>
                </c:pt>
                <c:pt idx="178">
                  <c:v>346</c:v>
                </c:pt>
                <c:pt idx="179">
                  <c:v>369</c:v>
                </c:pt>
                <c:pt idx="180">
                  <c:v>232</c:v>
                </c:pt>
                <c:pt idx="181">
                  <c:v>324</c:v>
                </c:pt>
                <c:pt idx="182">
                  <c:v>446</c:v>
                </c:pt>
                <c:pt idx="183">
                  <c:v>426</c:v>
                </c:pt>
                <c:pt idx="184">
                  <c:v>463</c:v>
                </c:pt>
                <c:pt idx="185">
                  <c:v>441</c:v>
                </c:pt>
                <c:pt idx="186">
                  <c:v>506</c:v>
                </c:pt>
                <c:pt idx="187">
                  <c:v>399</c:v>
                </c:pt>
                <c:pt idx="188">
                  <c:v>352</c:v>
                </c:pt>
                <c:pt idx="189">
                  <c:v>388</c:v>
                </c:pt>
                <c:pt idx="190">
                  <c:v>290</c:v>
                </c:pt>
                <c:pt idx="191">
                  <c:v>229</c:v>
                </c:pt>
                <c:pt idx="192">
                  <c:v>217</c:v>
                </c:pt>
                <c:pt idx="193">
                  <c:v>202</c:v>
                </c:pt>
                <c:pt idx="194">
                  <c:v>186</c:v>
                </c:pt>
                <c:pt idx="195">
                  <c:v>216</c:v>
                </c:pt>
                <c:pt idx="196">
                  <c:v>261</c:v>
                </c:pt>
                <c:pt idx="197">
                  <c:v>385</c:v>
                </c:pt>
                <c:pt idx="198">
                  <c:v>434</c:v>
                </c:pt>
                <c:pt idx="199">
                  <c:v>435</c:v>
                </c:pt>
                <c:pt idx="200">
                  <c:v>456</c:v>
                </c:pt>
                <c:pt idx="201">
                  <c:v>441</c:v>
                </c:pt>
                <c:pt idx="202">
                  <c:v>567</c:v>
                </c:pt>
                <c:pt idx="203">
                  <c:v>692</c:v>
                </c:pt>
                <c:pt idx="204">
                  <c:v>605</c:v>
                </c:pt>
                <c:pt idx="205">
                  <c:v>618</c:v>
                </c:pt>
                <c:pt idx="206">
                  <c:v>560</c:v>
                </c:pt>
                <c:pt idx="207">
                  <c:v>463</c:v>
                </c:pt>
                <c:pt idx="208">
                  <c:v>296</c:v>
                </c:pt>
                <c:pt idx="209">
                  <c:v>314</c:v>
                </c:pt>
                <c:pt idx="210">
                  <c:v>372</c:v>
                </c:pt>
                <c:pt idx="211">
                  <c:v>431</c:v>
                </c:pt>
                <c:pt idx="212">
                  <c:v>391</c:v>
                </c:pt>
                <c:pt idx="213">
                  <c:v>453</c:v>
                </c:pt>
                <c:pt idx="214">
                  <c:v>509</c:v>
                </c:pt>
                <c:pt idx="215">
                  <c:v>426</c:v>
                </c:pt>
                <c:pt idx="216">
                  <c:v>321</c:v>
                </c:pt>
                <c:pt idx="217">
                  <c:v>329</c:v>
                </c:pt>
                <c:pt idx="218">
                  <c:v>364</c:v>
                </c:pt>
                <c:pt idx="219">
                  <c:v>232</c:v>
                </c:pt>
                <c:pt idx="220">
                  <c:v>495</c:v>
                </c:pt>
                <c:pt idx="221">
                  <c:v>493</c:v>
                </c:pt>
                <c:pt idx="222">
                  <c:v>408</c:v>
                </c:pt>
                <c:pt idx="223">
                  <c:v>297</c:v>
                </c:pt>
                <c:pt idx="224">
                  <c:v>436</c:v>
                </c:pt>
                <c:pt idx="225">
                  <c:v>399</c:v>
                </c:pt>
                <c:pt idx="226">
                  <c:v>244</c:v>
                </c:pt>
                <c:pt idx="227">
                  <c:v>438</c:v>
                </c:pt>
                <c:pt idx="228">
                  <c:v>429</c:v>
                </c:pt>
                <c:pt idx="229">
                  <c:v>377</c:v>
                </c:pt>
                <c:pt idx="230">
                  <c:v>403</c:v>
                </c:pt>
                <c:pt idx="231">
                  <c:v>382</c:v>
                </c:pt>
                <c:pt idx="232">
                  <c:v>359</c:v>
                </c:pt>
                <c:pt idx="233">
                  <c:v>388</c:v>
                </c:pt>
                <c:pt idx="234">
                  <c:v>339</c:v>
                </c:pt>
                <c:pt idx="235">
                  <c:v>368</c:v>
                </c:pt>
                <c:pt idx="236">
                  <c:v>329</c:v>
                </c:pt>
                <c:pt idx="237">
                  <c:v>350</c:v>
                </c:pt>
                <c:pt idx="238">
                  <c:v>477</c:v>
                </c:pt>
                <c:pt idx="239">
                  <c:v>449</c:v>
                </c:pt>
                <c:pt idx="240">
                  <c:v>398</c:v>
                </c:pt>
                <c:pt idx="241">
                  <c:v>352</c:v>
                </c:pt>
                <c:pt idx="242">
                  <c:v>184</c:v>
                </c:pt>
                <c:pt idx="243">
                  <c:v>163</c:v>
                </c:pt>
                <c:pt idx="244">
                  <c:v>108</c:v>
                </c:pt>
                <c:pt idx="245">
                  <c:v>148</c:v>
                </c:pt>
                <c:pt idx="246">
                  <c:v>124</c:v>
                </c:pt>
                <c:pt idx="247">
                  <c:v>302</c:v>
                </c:pt>
                <c:pt idx="248">
                  <c:v>179</c:v>
                </c:pt>
                <c:pt idx="249">
                  <c:v>382</c:v>
                </c:pt>
                <c:pt idx="250">
                  <c:v>482</c:v>
                </c:pt>
                <c:pt idx="251">
                  <c:v>332</c:v>
                </c:pt>
                <c:pt idx="252">
                  <c:v>497</c:v>
                </c:pt>
                <c:pt idx="253">
                  <c:v>417</c:v>
                </c:pt>
                <c:pt idx="254">
                  <c:v>403</c:v>
                </c:pt>
                <c:pt idx="255">
                  <c:v>492</c:v>
                </c:pt>
                <c:pt idx="256">
                  <c:v>593</c:v>
                </c:pt>
                <c:pt idx="257">
                  <c:v>517</c:v>
                </c:pt>
                <c:pt idx="258">
                  <c:v>361</c:v>
                </c:pt>
                <c:pt idx="259">
                  <c:v>282</c:v>
                </c:pt>
                <c:pt idx="260">
                  <c:v>199</c:v>
                </c:pt>
                <c:pt idx="261">
                  <c:v>252</c:v>
                </c:pt>
                <c:pt idx="262">
                  <c:v>255</c:v>
                </c:pt>
                <c:pt idx="263">
                  <c:v>358</c:v>
                </c:pt>
                <c:pt idx="264">
                  <c:v>307</c:v>
                </c:pt>
                <c:pt idx="265">
                  <c:v>273</c:v>
                </c:pt>
                <c:pt idx="266">
                  <c:v>305</c:v>
                </c:pt>
                <c:pt idx="267">
                  <c:v>306</c:v>
                </c:pt>
                <c:pt idx="268">
                  <c:v>270</c:v>
                </c:pt>
                <c:pt idx="269">
                  <c:v>218</c:v>
                </c:pt>
                <c:pt idx="270">
                  <c:v>376</c:v>
                </c:pt>
                <c:pt idx="271">
                  <c:v>290</c:v>
                </c:pt>
                <c:pt idx="272">
                  <c:v>248</c:v>
                </c:pt>
                <c:pt idx="273">
                  <c:v>250</c:v>
                </c:pt>
                <c:pt idx="274">
                  <c:v>182</c:v>
                </c:pt>
                <c:pt idx="275">
                  <c:v>216</c:v>
                </c:pt>
                <c:pt idx="276">
                  <c:v>178</c:v>
                </c:pt>
                <c:pt idx="277">
                  <c:v>76</c:v>
                </c:pt>
                <c:pt idx="278">
                  <c:v>291</c:v>
                </c:pt>
                <c:pt idx="279">
                  <c:v>204</c:v>
                </c:pt>
                <c:pt idx="280">
                  <c:v>289</c:v>
                </c:pt>
                <c:pt idx="281">
                  <c:v>271</c:v>
                </c:pt>
                <c:pt idx="282">
                  <c:v>248</c:v>
                </c:pt>
                <c:pt idx="283">
                  <c:v>96</c:v>
                </c:pt>
                <c:pt idx="284">
                  <c:v>243</c:v>
                </c:pt>
                <c:pt idx="285">
                  <c:v>327</c:v>
                </c:pt>
                <c:pt idx="286">
                  <c:v>268</c:v>
                </c:pt>
                <c:pt idx="287">
                  <c:v>244</c:v>
                </c:pt>
                <c:pt idx="288">
                  <c:v>398</c:v>
                </c:pt>
                <c:pt idx="289">
                  <c:v>221</c:v>
                </c:pt>
                <c:pt idx="290">
                  <c:v>283</c:v>
                </c:pt>
                <c:pt idx="291">
                  <c:v>245</c:v>
                </c:pt>
                <c:pt idx="292">
                  <c:v>284</c:v>
                </c:pt>
                <c:pt idx="293">
                  <c:v>229</c:v>
                </c:pt>
                <c:pt idx="294">
                  <c:v>159</c:v>
                </c:pt>
                <c:pt idx="295">
                  <c:v>89</c:v>
                </c:pt>
                <c:pt idx="296">
                  <c:v>171</c:v>
                </c:pt>
                <c:pt idx="297">
                  <c:v>142</c:v>
                </c:pt>
                <c:pt idx="298">
                  <c:v>189</c:v>
                </c:pt>
                <c:pt idx="299">
                  <c:v>172</c:v>
                </c:pt>
                <c:pt idx="300">
                  <c:v>229</c:v>
                </c:pt>
                <c:pt idx="301">
                  <c:v>279</c:v>
                </c:pt>
                <c:pt idx="302">
                  <c:v>508</c:v>
                </c:pt>
                <c:pt idx="303">
                  <c:v>533</c:v>
                </c:pt>
                <c:pt idx="304">
                  <c:v>549</c:v>
                </c:pt>
                <c:pt idx="305">
                  <c:v>503</c:v>
                </c:pt>
                <c:pt idx="306">
                  <c:v>549</c:v>
                </c:pt>
                <c:pt idx="307">
                  <c:v>603</c:v>
                </c:pt>
                <c:pt idx="308">
                  <c:v>563</c:v>
                </c:pt>
                <c:pt idx="309">
                  <c:v>488</c:v>
                </c:pt>
                <c:pt idx="310">
                  <c:v>533</c:v>
                </c:pt>
                <c:pt idx="311">
                  <c:v>457</c:v>
                </c:pt>
                <c:pt idx="312">
                  <c:v>417</c:v>
                </c:pt>
                <c:pt idx="313">
                  <c:v>358</c:v>
                </c:pt>
                <c:pt idx="314">
                  <c:v>274</c:v>
                </c:pt>
                <c:pt idx="315">
                  <c:v>303</c:v>
                </c:pt>
                <c:pt idx="316">
                  <c:v>480</c:v>
                </c:pt>
                <c:pt idx="317">
                  <c:v>378</c:v>
                </c:pt>
                <c:pt idx="318">
                  <c:v>408</c:v>
                </c:pt>
                <c:pt idx="319">
                  <c:v>342</c:v>
                </c:pt>
                <c:pt idx="320">
                  <c:v>282</c:v>
                </c:pt>
                <c:pt idx="321">
                  <c:v>389</c:v>
                </c:pt>
                <c:pt idx="322">
                  <c:v>339</c:v>
                </c:pt>
                <c:pt idx="323">
                  <c:v>479</c:v>
                </c:pt>
                <c:pt idx="324">
                  <c:v>389</c:v>
                </c:pt>
                <c:pt idx="325">
                  <c:v>495</c:v>
                </c:pt>
                <c:pt idx="326">
                  <c:v>419</c:v>
                </c:pt>
                <c:pt idx="327">
                  <c:v>451</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Data!$F$123:$F$450</c:f>
              <c:numCache>
                <c:formatCode>General</c:formatCode>
                <c:ptCount val="328"/>
                <c:pt idx="0">
                  <c:v>648</c:v>
                </c:pt>
                <c:pt idx="1">
                  <c:v>750</c:v>
                </c:pt>
                <c:pt idx="2">
                  <c:v>685</c:v>
                </c:pt>
                <c:pt idx="3">
                  <c:v>648</c:v>
                </c:pt>
                <c:pt idx="4">
                  <c:v>770</c:v>
                </c:pt>
                <c:pt idx="5">
                  <c:v>749</c:v>
                </c:pt>
                <c:pt idx="6">
                  <c:v>757</c:v>
                </c:pt>
                <c:pt idx="7">
                  <c:v>607</c:v>
                </c:pt>
                <c:pt idx="8">
                  <c:v>627</c:v>
                </c:pt>
                <c:pt idx="9">
                  <c:v>713</c:v>
                </c:pt>
                <c:pt idx="10">
                  <c:v>661</c:v>
                </c:pt>
                <c:pt idx="11">
                  <c:v>600</c:v>
                </c:pt>
                <c:pt idx="12">
                  <c:v>508</c:v>
                </c:pt>
                <c:pt idx="13">
                  <c:v>498</c:v>
                </c:pt>
                <c:pt idx="14">
                  <c:v>395</c:v>
                </c:pt>
                <c:pt idx="15">
                  <c:v>446</c:v>
                </c:pt>
                <c:pt idx="16">
                  <c:v>317</c:v>
                </c:pt>
                <c:pt idx="17">
                  <c:v>347</c:v>
                </c:pt>
                <c:pt idx="18">
                  <c:v>278</c:v>
                </c:pt>
                <c:pt idx="19">
                  <c:v>259</c:v>
                </c:pt>
                <c:pt idx="20">
                  <c:v>436</c:v>
                </c:pt>
                <c:pt idx="21">
                  <c:v>400</c:v>
                </c:pt>
                <c:pt idx="22">
                  <c:v>438</c:v>
                </c:pt>
                <c:pt idx="23">
                  <c:v>503</c:v>
                </c:pt>
                <c:pt idx="24">
                  <c:v>548</c:v>
                </c:pt>
                <c:pt idx="25">
                  <c:v>472</c:v>
                </c:pt>
                <c:pt idx="26">
                  <c:v>379</c:v>
                </c:pt>
                <c:pt idx="27">
                  <c:v>362</c:v>
                </c:pt>
                <c:pt idx="28">
                  <c:v>358</c:v>
                </c:pt>
                <c:pt idx="29">
                  <c:v>389</c:v>
                </c:pt>
                <c:pt idx="30">
                  <c:v>457</c:v>
                </c:pt>
                <c:pt idx="31">
                  <c:v>648</c:v>
                </c:pt>
                <c:pt idx="32">
                  <c:v>568</c:v>
                </c:pt>
                <c:pt idx="33">
                  <c:v>525</c:v>
                </c:pt>
                <c:pt idx="34">
                  <c:v>355</c:v>
                </c:pt>
                <c:pt idx="35">
                  <c:v>42</c:v>
                </c:pt>
                <c:pt idx="36">
                  <c:v>479</c:v>
                </c:pt>
                <c:pt idx="37">
                  <c:v>596</c:v>
                </c:pt>
                <c:pt idx="38">
                  <c:v>573</c:v>
                </c:pt>
                <c:pt idx="39">
                  <c:v>529</c:v>
                </c:pt>
                <c:pt idx="40">
                  <c:v>551</c:v>
                </c:pt>
                <c:pt idx="41">
                  <c:v>577</c:v>
                </c:pt>
                <c:pt idx="42">
                  <c:v>544</c:v>
                </c:pt>
                <c:pt idx="43">
                  <c:v>521</c:v>
                </c:pt>
                <c:pt idx="44">
                  <c:v>583</c:v>
                </c:pt>
                <c:pt idx="45">
                  <c:v>688</c:v>
                </c:pt>
                <c:pt idx="46">
                  <c:v>551</c:v>
                </c:pt>
                <c:pt idx="47">
                  <c:v>648</c:v>
                </c:pt>
                <c:pt idx="48">
                  <c:v>712</c:v>
                </c:pt>
                <c:pt idx="49">
                  <c:v>653</c:v>
                </c:pt>
                <c:pt idx="50">
                  <c:v>605</c:v>
                </c:pt>
                <c:pt idx="51">
                  <c:v>610</c:v>
                </c:pt>
                <c:pt idx="52">
                  <c:v>564</c:v>
                </c:pt>
                <c:pt idx="53">
                  <c:v>568</c:v>
                </c:pt>
                <c:pt idx="54">
                  <c:v>678</c:v>
                </c:pt>
                <c:pt idx="55">
                  <c:v>694</c:v>
                </c:pt>
                <c:pt idx="56">
                  <c:v>636</c:v>
                </c:pt>
                <c:pt idx="57">
                  <c:v>687</c:v>
                </c:pt>
                <c:pt idx="58">
                  <c:v>646</c:v>
                </c:pt>
                <c:pt idx="59">
                  <c:v>561</c:v>
                </c:pt>
                <c:pt idx="60">
                  <c:v>507</c:v>
                </c:pt>
                <c:pt idx="61">
                  <c:v>585</c:v>
                </c:pt>
                <c:pt idx="62">
                  <c:v>563</c:v>
                </c:pt>
                <c:pt idx="63">
                  <c:v>577</c:v>
                </c:pt>
                <c:pt idx="64">
                  <c:v>641</c:v>
                </c:pt>
                <c:pt idx="65">
                  <c:v>663</c:v>
                </c:pt>
                <c:pt idx="66">
                  <c:v>664</c:v>
                </c:pt>
                <c:pt idx="67">
                  <c:v>623</c:v>
                </c:pt>
                <c:pt idx="68">
                  <c:v>387</c:v>
                </c:pt>
                <c:pt idx="69">
                  <c:v>579</c:v>
                </c:pt>
                <c:pt idx="70">
                  <c:v>618</c:v>
                </c:pt>
                <c:pt idx="71">
                  <c:v>587</c:v>
                </c:pt>
                <c:pt idx="72">
                  <c:v>480</c:v>
                </c:pt>
                <c:pt idx="73">
                  <c:v>541</c:v>
                </c:pt>
                <c:pt idx="74">
                  <c:v>535</c:v>
                </c:pt>
                <c:pt idx="75">
                  <c:v>654</c:v>
                </c:pt>
                <c:pt idx="76">
                  <c:v>628</c:v>
                </c:pt>
                <c:pt idx="77">
                  <c:v>558</c:v>
                </c:pt>
                <c:pt idx="78">
                  <c:v>608</c:v>
                </c:pt>
                <c:pt idx="79">
                  <c:v>600</c:v>
                </c:pt>
                <c:pt idx="80">
                  <c:v>597</c:v>
                </c:pt>
                <c:pt idx="81">
                  <c:v>676</c:v>
                </c:pt>
                <c:pt idx="82">
                  <c:v>482</c:v>
                </c:pt>
                <c:pt idx="83">
                  <c:v>555</c:v>
                </c:pt>
                <c:pt idx="84">
                  <c:v>459</c:v>
                </c:pt>
                <c:pt idx="85">
                  <c:v>544</c:v>
                </c:pt>
                <c:pt idx="86">
                  <c:v>544</c:v>
                </c:pt>
                <c:pt idx="87">
                  <c:v>606</c:v>
                </c:pt>
                <c:pt idx="88">
                  <c:v>457</c:v>
                </c:pt>
                <c:pt idx="89">
                  <c:v>514</c:v>
                </c:pt>
                <c:pt idx="90">
                  <c:v>553</c:v>
                </c:pt>
                <c:pt idx="91">
                  <c:v>445</c:v>
                </c:pt>
                <c:pt idx="92">
                  <c:v>430</c:v>
                </c:pt>
                <c:pt idx="93">
                  <c:v>497</c:v>
                </c:pt>
                <c:pt idx="94">
                  <c:v>593</c:v>
                </c:pt>
                <c:pt idx="95">
                  <c:v>558</c:v>
                </c:pt>
                <c:pt idx="96">
                  <c:v>689</c:v>
                </c:pt>
                <c:pt idx="97">
                  <c:v>719</c:v>
                </c:pt>
                <c:pt idx="98">
                  <c:v>722</c:v>
                </c:pt>
                <c:pt idx="99">
                  <c:v>593</c:v>
                </c:pt>
                <c:pt idx="100">
                  <c:v>625</c:v>
                </c:pt>
                <c:pt idx="101">
                  <c:v>599</c:v>
                </c:pt>
                <c:pt idx="102">
                  <c:v>466</c:v>
                </c:pt>
                <c:pt idx="103">
                  <c:v>647</c:v>
                </c:pt>
                <c:pt idx="104">
                  <c:v>770</c:v>
                </c:pt>
                <c:pt idx="105">
                  <c:v>800</c:v>
                </c:pt>
                <c:pt idx="106">
                  <c:v>770</c:v>
                </c:pt>
                <c:pt idx="107">
                  <c:v>671</c:v>
                </c:pt>
                <c:pt idx="108">
                  <c:v>747</c:v>
                </c:pt>
                <c:pt idx="109">
                  <c:v>658</c:v>
                </c:pt>
                <c:pt idx="110">
                  <c:v>598</c:v>
                </c:pt>
                <c:pt idx="111">
                  <c:v>708</c:v>
                </c:pt>
                <c:pt idx="112">
                  <c:v>759</c:v>
                </c:pt>
                <c:pt idx="113">
                  <c:v>577</c:v>
                </c:pt>
                <c:pt idx="114">
                  <c:v>583</c:v>
                </c:pt>
                <c:pt idx="115">
                  <c:v>725</c:v>
                </c:pt>
                <c:pt idx="116">
                  <c:v>621</c:v>
                </c:pt>
                <c:pt idx="117">
                  <c:v>425</c:v>
                </c:pt>
                <c:pt idx="118">
                  <c:v>392</c:v>
                </c:pt>
                <c:pt idx="119">
                  <c:v>461</c:v>
                </c:pt>
                <c:pt idx="120">
                  <c:v>320</c:v>
                </c:pt>
                <c:pt idx="121">
                  <c:v>305</c:v>
                </c:pt>
                <c:pt idx="122">
                  <c:v>469</c:v>
                </c:pt>
                <c:pt idx="123">
                  <c:v>523</c:v>
                </c:pt>
                <c:pt idx="124">
                  <c:v>513</c:v>
                </c:pt>
                <c:pt idx="125">
                  <c:v>504</c:v>
                </c:pt>
                <c:pt idx="126">
                  <c:v>549</c:v>
                </c:pt>
                <c:pt idx="127">
                  <c:v>466</c:v>
                </c:pt>
                <c:pt idx="128">
                  <c:v>457</c:v>
                </c:pt>
                <c:pt idx="129">
                  <c:v>494</c:v>
                </c:pt>
                <c:pt idx="130">
                  <c:v>453</c:v>
                </c:pt>
                <c:pt idx="131">
                  <c:v>490</c:v>
                </c:pt>
                <c:pt idx="132">
                  <c:v>527</c:v>
                </c:pt>
                <c:pt idx="133">
                  <c:v>410</c:v>
                </c:pt>
                <c:pt idx="134">
                  <c:v>364</c:v>
                </c:pt>
                <c:pt idx="135">
                  <c:v>455</c:v>
                </c:pt>
                <c:pt idx="136">
                  <c:v>506</c:v>
                </c:pt>
                <c:pt idx="137">
                  <c:v>528</c:v>
                </c:pt>
                <c:pt idx="138">
                  <c:v>450</c:v>
                </c:pt>
                <c:pt idx="139">
                  <c:v>537</c:v>
                </c:pt>
                <c:pt idx="140">
                  <c:v>428</c:v>
                </c:pt>
                <c:pt idx="141">
                  <c:v>547</c:v>
                </c:pt>
                <c:pt idx="142">
                  <c:v>627</c:v>
                </c:pt>
                <c:pt idx="143">
                  <c:v>612</c:v>
                </c:pt>
                <c:pt idx="144">
                  <c:v>649</c:v>
                </c:pt>
                <c:pt idx="145">
                  <c:v>709</c:v>
                </c:pt>
                <c:pt idx="146">
                  <c:v>649</c:v>
                </c:pt>
                <c:pt idx="147">
                  <c:v>709</c:v>
                </c:pt>
                <c:pt idx="148">
                  <c:v>650</c:v>
                </c:pt>
                <c:pt idx="149">
                  <c:v>755</c:v>
                </c:pt>
                <c:pt idx="150">
                  <c:v>774</c:v>
                </c:pt>
                <c:pt idx="151">
                  <c:v>662</c:v>
                </c:pt>
                <c:pt idx="152">
                  <c:v>798</c:v>
                </c:pt>
                <c:pt idx="153">
                  <c:v>846</c:v>
                </c:pt>
                <c:pt idx="154">
                  <c:v>732</c:v>
                </c:pt>
                <c:pt idx="155">
                  <c:v>564</c:v>
                </c:pt>
                <c:pt idx="156">
                  <c:v>430</c:v>
                </c:pt>
                <c:pt idx="157">
                  <c:v>654</c:v>
                </c:pt>
                <c:pt idx="158">
                  <c:v>571</c:v>
                </c:pt>
                <c:pt idx="159">
                  <c:v>610</c:v>
                </c:pt>
                <c:pt idx="160">
                  <c:v>701</c:v>
                </c:pt>
                <c:pt idx="161">
                  <c:v>637</c:v>
                </c:pt>
                <c:pt idx="162">
                  <c:v>694</c:v>
                </c:pt>
                <c:pt idx="163">
                  <c:v>725</c:v>
                </c:pt>
                <c:pt idx="164">
                  <c:v>654</c:v>
                </c:pt>
                <c:pt idx="165">
                  <c:v>714</c:v>
                </c:pt>
                <c:pt idx="166">
                  <c:v>563</c:v>
                </c:pt>
                <c:pt idx="167">
                  <c:v>607</c:v>
                </c:pt>
                <c:pt idx="168">
                  <c:v>657</c:v>
                </c:pt>
                <c:pt idx="169">
                  <c:v>497</c:v>
                </c:pt>
                <c:pt idx="170">
                  <c:v>542</c:v>
                </c:pt>
                <c:pt idx="171">
                  <c:v>447</c:v>
                </c:pt>
                <c:pt idx="172">
                  <c:v>302</c:v>
                </c:pt>
                <c:pt idx="173">
                  <c:v>390</c:v>
                </c:pt>
                <c:pt idx="174">
                  <c:v>340</c:v>
                </c:pt>
                <c:pt idx="175">
                  <c:v>268</c:v>
                </c:pt>
                <c:pt idx="176">
                  <c:v>368</c:v>
                </c:pt>
                <c:pt idx="177">
                  <c:v>366</c:v>
                </c:pt>
                <c:pt idx="178">
                  <c:v>319</c:v>
                </c:pt>
                <c:pt idx="179">
                  <c:v>297</c:v>
                </c:pt>
                <c:pt idx="180">
                  <c:v>365</c:v>
                </c:pt>
                <c:pt idx="181">
                  <c:v>416</c:v>
                </c:pt>
                <c:pt idx="182">
                  <c:v>415</c:v>
                </c:pt>
                <c:pt idx="183">
                  <c:v>435</c:v>
                </c:pt>
                <c:pt idx="184">
                  <c:v>495</c:v>
                </c:pt>
                <c:pt idx="185">
                  <c:v>449</c:v>
                </c:pt>
                <c:pt idx="186">
                  <c:v>386</c:v>
                </c:pt>
                <c:pt idx="187">
                  <c:v>473</c:v>
                </c:pt>
                <c:pt idx="188">
                  <c:v>532</c:v>
                </c:pt>
                <c:pt idx="189">
                  <c:v>433</c:v>
                </c:pt>
                <c:pt idx="190">
                  <c:v>489</c:v>
                </c:pt>
                <c:pt idx="191">
                  <c:v>341</c:v>
                </c:pt>
                <c:pt idx="192">
                  <c:v>420</c:v>
                </c:pt>
                <c:pt idx="193">
                  <c:v>389</c:v>
                </c:pt>
                <c:pt idx="194">
                  <c:v>504</c:v>
                </c:pt>
                <c:pt idx="195">
                  <c:v>530</c:v>
                </c:pt>
                <c:pt idx="196">
                  <c:v>487</c:v>
                </c:pt>
                <c:pt idx="197">
                  <c:v>519</c:v>
                </c:pt>
                <c:pt idx="198">
                  <c:v>625</c:v>
                </c:pt>
                <c:pt idx="199">
                  <c:v>693</c:v>
                </c:pt>
                <c:pt idx="200">
                  <c:v>719</c:v>
                </c:pt>
                <c:pt idx="201">
                  <c:v>764</c:v>
                </c:pt>
                <c:pt idx="202">
                  <c:v>840</c:v>
                </c:pt>
                <c:pt idx="203">
                  <c:v>667</c:v>
                </c:pt>
                <c:pt idx="204">
                  <c:v>714</c:v>
                </c:pt>
                <c:pt idx="205">
                  <c:v>672</c:v>
                </c:pt>
                <c:pt idx="206">
                  <c:v>657</c:v>
                </c:pt>
                <c:pt idx="207">
                  <c:v>690</c:v>
                </c:pt>
                <c:pt idx="208">
                  <c:v>552</c:v>
                </c:pt>
                <c:pt idx="209">
                  <c:v>681</c:v>
                </c:pt>
                <c:pt idx="210">
                  <c:v>840</c:v>
                </c:pt>
                <c:pt idx="211">
                  <c:v>772</c:v>
                </c:pt>
                <c:pt idx="212">
                  <c:v>793</c:v>
                </c:pt>
                <c:pt idx="213">
                  <c:v>657</c:v>
                </c:pt>
                <c:pt idx="214">
                  <c:v>713</c:v>
                </c:pt>
                <c:pt idx="215">
                  <c:v>601</c:v>
                </c:pt>
                <c:pt idx="216">
                  <c:v>563</c:v>
                </c:pt>
                <c:pt idx="217">
                  <c:v>593</c:v>
                </c:pt>
                <c:pt idx="218">
                  <c:v>493</c:v>
                </c:pt>
                <c:pt idx="219">
                  <c:v>457</c:v>
                </c:pt>
                <c:pt idx="220" formatCode="0">
                  <c:v>496</c:v>
                </c:pt>
                <c:pt idx="221" formatCode="0">
                  <c:v>482</c:v>
                </c:pt>
                <c:pt idx="222" formatCode="0">
                  <c:v>495</c:v>
                </c:pt>
                <c:pt idx="223" formatCode="0">
                  <c:v>649</c:v>
                </c:pt>
                <c:pt idx="224" formatCode="0">
                  <c:v>476</c:v>
                </c:pt>
                <c:pt idx="225" formatCode="0">
                  <c:v>312</c:v>
                </c:pt>
                <c:pt idx="226" formatCode="0">
                  <c:v>416</c:v>
                </c:pt>
                <c:pt idx="227" formatCode="0">
                  <c:v>651</c:v>
                </c:pt>
                <c:pt idx="228" formatCode="0">
                  <c:v>417</c:v>
                </c:pt>
                <c:pt idx="229" formatCode="0">
                  <c:v>430</c:v>
                </c:pt>
                <c:pt idx="230" formatCode="0">
                  <c:v>360</c:v>
                </c:pt>
                <c:pt idx="231" formatCode="0">
                  <c:v>243</c:v>
                </c:pt>
                <c:pt idx="232" formatCode="0">
                  <c:v>425</c:v>
                </c:pt>
                <c:pt idx="233" formatCode="0">
                  <c:v>366</c:v>
                </c:pt>
                <c:pt idx="234" formatCode="0">
                  <c:v>498</c:v>
                </c:pt>
                <c:pt idx="235" formatCode="0">
                  <c:v>449</c:v>
                </c:pt>
                <c:pt idx="236" formatCode="0">
                  <c:v>391</c:v>
                </c:pt>
                <c:pt idx="237" formatCode="0">
                  <c:v>506</c:v>
                </c:pt>
                <c:pt idx="238" formatCode="0">
                  <c:v>456</c:v>
                </c:pt>
                <c:pt idx="239" formatCode="0">
                  <c:v>465</c:v>
                </c:pt>
                <c:pt idx="240" formatCode="0">
                  <c:v>556</c:v>
                </c:pt>
                <c:pt idx="241" formatCode="0">
                  <c:v>502</c:v>
                </c:pt>
                <c:pt idx="242" formatCode="0">
                  <c:v>554</c:v>
                </c:pt>
                <c:pt idx="243" formatCode="0">
                  <c:v>228</c:v>
                </c:pt>
                <c:pt idx="244" formatCode="0">
                  <c:v>469</c:v>
                </c:pt>
                <c:pt idx="245" formatCode="0">
                  <c:v>603</c:v>
                </c:pt>
                <c:pt idx="246" formatCode="0">
                  <c:v>649</c:v>
                </c:pt>
                <c:pt idx="247" formatCode="0">
                  <c:v>686</c:v>
                </c:pt>
                <c:pt idx="248" formatCode="0">
                  <c:v>598</c:v>
                </c:pt>
                <c:pt idx="249" formatCode="0">
                  <c:v>714</c:v>
                </c:pt>
                <c:pt idx="250" formatCode="0">
                  <c:v>814</c:v>
                </c:pt>
                <c:pt idx="251" formatCode="0">
                  <c:v>843</c:v>
                </c:pt>
                <c:pt idx="252" formatCode="0">
                  <c:v>848</c:v>
                </c:pt>
                <c:pt idx="253" formatCode="0">
                  <c:v>831</c:v>
                </c:pt>
                <c:pt idx="254" formatCode="0">
                  <c:v>905</c:v>
                </c:pt>
                <c:pt idx="255" formatCode="0">
                  <c:v>655</c:v>
                </c:pt>
                <c:pt idx="256" formatCode="0">
                  <c:v>635</c:v>
                </c:pt>
                <c:pt idx="257" formatCode="0">
                  <c:v>632</c:v>
                </c:pt>
                <c:pt idx="258" formatCode="0">
                  <c:v>634</c:v>
                </c:pt>
                <c:pt idx="259" formatCode="0">
                  <c:v>696</c:v>
                </c:pt>
                <c:pt idx="260" formatCode="0">
                  <c:v>600</c:v>
                </c:pt>
                <c:pt idx="261" formatCode="0">
                  <c:v>427</c:v>
                </c:pt>
                <c:pt idx="262" formatCode="0">
                  <c:v>509</c:v>
                </c:pt>
                <c:pt idx="263" formatCode="0">
                  <c:v>572</c:v>
                </c:pt>
                <c:pt idx="264" formatCode="0">
                  <c:v>643</c:v>
                </c:pt>
                <c:pt idx="265" formatCode="0">
                  <c:v>513</c:v>
                </c:pt>
                <c:pt idx="266" formatCode="0">
                  <c:v>531</c:v>
                </c:pt>
                <c:pt idx="267" formatCode="0">
                  <c:v>498</c:v>
                </c:pt>
                <c:pt idx="268" formatCode="0">
                  <c:v>589</c:v>
                </c:pt>
                <c:pt idx="269" formatCode="0">
                  <c:v>503</c:v>
                </c:pt>
                <c:pt idx="270" formatCode="0">
                  <c:v>380</c:v>
                </c:pt>
                <c:pt idx="271" formatCode="0">
                  <c:v>448</c:v>
                </c:pt>
                <c:pt idx="272" formatCode="0">
                  <c:v>397</c:v>
                </c:pt>
                <c:pt idx="273" formatCode="0">
                  <c:v>363</c:v>
                </c:pt>
                <c:pt idx="274" formatCode="0">
                  <c:v>311</c:v>
                </c:pt>
                <c:pt idx="275" formatCode="0">
                  <c:v>327</c:v>
                </c:pt>
                <c:pt idx="276" formatCode="0">
                  <c:v>378</c:v>
                </c:pt>
                <c:pt idx="277" formatCode="0">
                  <c:v>278</c:v>
                </c:pt>
                <c:pt idx="278" formatCode="0">
                  <c:v>234</c:v>
                </c:pt>
                <c:pt idx="279" formatCode="0">
                  <c:v>202</c:v>
                </c:pt>
                <c:pt idx="280" formatCode="0">
                  <c:v>376</c:v>
                </c:pt>
                <c:pt idx="281" formatCode="0">
                  <c:v>382</c:v>
                </c:pt>
                <c:pt idx="282" formatCode="0">
                  <c:v>267</c:v>
                </c:pt>
                <c:pt idx="283" formatCode="0">
                  <c:v>313</c:v>
                </c:pt>
                <c:pt idx="284" formatCode="0">
                  <c:v>260</c:v>
                </c:pt>
                <c:pt idx="285" formatCode="0">
                  <c:v>328</c:v>
                </c:pt>
                <c:pt idx="286" formatCode="0">
                  <c:v>394</c:v>
                </c:pt>
                <c:pt idx="287" formatCode="0">
                  <c:v>287</c:v>
                </c:pt>
                <c:pt idx="288" formatCode="0">
                  <c:v>430</c:v>
                </c:pt>
                <c:pt idx="289" formatCode="0">
                  <c:v>315</c:v>
                </c:pt>
                <c:pt idx="290" formatCode="0">
                  <c:v>329</c:v>
                </c:pt>
                <c:pt idx="291" formatCode="0">
                  <c:v>376</c:v>
                </c:pt>
                <c:pt idx="292" formatCode="0">
                  <c:v>376</c:v>
                </c:pt>
                <c:pt idx="293" formatCode="0">
                  <c:v>380</c:v>
                </c:pt>
                <c:pt idx="294" formatCode="0">
                  <c:v>377</c:v>
                </c:pt>
                <c:pt idx="295" formatCode="0">
                  <c:v>391</c:v>
                </c:pt>
                <c:pt idx="296" formatCode="0">
                  <c:v>462</c:v>
                </c:pt>
                <c:pt idx="297" formatCode="0">
                  <c:v>527</c:v>
                </c:pt>
                <c:pt idx="298" formatCode="0">
                  <c:v>676</c:v>
                </c:pt>
                <c:pt idx="299" formatCode="0">
                  <c:v>680</c:v>
                </c:pt>
                <c:pt idx="300" formatCode="0">
                  <c:v>744</c:v>
                </c:pt>
                <c:pt idx="301" formatCode="0">
                  <c:v>827</c:v>
                </c:pt>
                <c:pt idx="302" formatCode="0">
                  <c:v>780</c:v>
                </c:pt>
                <c:pt idx="303" formatCode="0">
                  <c:v>813</c:v>
                </c:pt>
                <c:pt idx="304" formatCode="0">
                  <c:v>921</c:v>
                </c:pt>
                <c:pt idx="305" formatCode="0">
                  <c:v>934</c:v>
                </c:pt>
                <c:pt idx="306" formatCode="0">
                  <c:v>947</c:v>
                </c:pt>
                <c:pt idx="307" formatCode="0">
                  <c:v>907</c:v>
                </c:pt>
                <c:pt idx="308" formatCode="0">
                  <c:v>839</c:v>
                </c:pt>
                <c:pt idx="309" formatCode="0">
                  <c:v>916</c:v>
                </c:pt>
                <c:pt idx="310" formatCode="0">
                  <c:v>798</c:v>
                </c:pt>
                <c:pt idx="311" formatCode="0">
                  <c:v>871</c:v>
                </c:pt>
                <c:pt idx="312" formatCode="0">
                  <c:v>671</c:v>
                </c:pt>
                <c:pt idx="313" formatCode="0">
                  <c:v>814</c:v>
                </c:pt>
                <c:pt idx="314" formatCode="0">
                  <c:v>749</c:v>
                </c:pt>
                <c:pt idx="315" formatCode="0">
                  <c:v>888</c:v>
                </c:pt>
                <c:pt idx="316" formatCode="0">
                  <c:v>771</c:v>
                </c:pt>
                <c:pt idx="317" formatCode="0">
                  <c:v>682</c:v>
                </c:pt>
                <c:pt idx="318" formatCode="0">
                  <c:v>774</c:v>
                </c:pt>
                <c:pt idx="319" formatCode="0">
                  <c:v>739</c:v>
                </c:pt>
                <c:pt idx="320" formatCode="0">
                  <c:v>819</c:v>
                </c:pt>
                <c:pt idx="321" formatCode="0">
                  <c:v>703</c:v>
                </c:pt>
                <c:pt idx="322" formatCode="0">
                  <c:v>691</c:v>
                </c:pt>
                <c:pt idx="323" formatCode="0">
                  <c:v>726</c:v>
                </c:pt>
                <c:pt idx="324" formatCode="0">
                  <c:v>757</c:v>
                </c:pt>
                <c:pt idx="325" formatCode="0">
                  <c:v>761</c:v>
                </c:pt>
                <c:pt idx="326" formatCode="0">
                  <c:v>709</c:v>
                </c:pt>
                <c:pt idx="327" formatCode="0">
                  <c:v>676</c:v>
                </c:pt>
              </c:numCache>
            </c:numRef>
          </c:val>
          <c:smooth val="0"/>
        </c:ser>
        <c:dLbls>
          <c:showLegendKey val="0"/>
          <c:showVal val="0"/>
          <c:showCatName val="0"/>
          <c:showSerName val="0"/>
          <c:showPercent val="0"/>
          <c:showBubbleSize val="0"/>
        </c:dLbls>
        <c:marker val="1"/>
        <c:smooth val="0"/>
        <c:axId val="112479232"/>
        <c:axId val="112485504"/>
      </c:lineChart>
      <c:dateAx>
        <c:axId val="112479232"/>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112485504"/>
        <c:crosses val="autoZero"/>
        <c:auto val="1"/>
        <c:lblOffset val="100"/>
        <c:baseTimeUnit val="days"/>
        <c:majorUnit val="7"/>
        <c:majorTimeUnit val="days"/>
        <c:minorUnit val="1"/>
        <c:minorTimeUnit val="days"/>
      </c:dateAx>
      <c:valAx>
        <c:axId val="112485504"/>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112479232"/>
        <c:crosses val="autoZero"/>
        <c:crossBetween val="between"/>
      </c:valAx>
      <c:spPr>
        <a:solidFill>
          <a:srgbClr val="FFFFFF"/>
        </a:solidFill>
        <a:ln w="12700">
          <a:solidFill>
            <a:srgbClr val="C0C0C0"/>
          </a:solidFill>
          <a:prstDash val="solid"/>
        </a:ln>
      </c:spPr>
    </c:plotArea>
    <c:legend>
      <c:legendPos val="r"/>
      <c:layout>
        <c:manualLayout>
          <c:xMode val="edge"/>
          <c:yMode val="edge"/>
          <c:x val="0.10659072886759162"/>
          <c:y val="6.4431238521447443E-2"/>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3</xdr:row>
      <xdr:rowOff>28752</xdr:rowOff>
    </xdr:from>
    <xdr:to>
      <xdr:col>9</xdr:col>
      <xdr:colOff>64697</xdr:colOff>
      <xdr:row>5</xdr:row>
      <xdr:rowOff>28754</xdr:rowOff>
    </xdr:to>
    <xdr:sp macro="" textlink="">
      <xdr:nvSpPr>
        <xdr:cNvPr id="2050" name="Rectangle 2"/>
        <xdr:cNvSpPr>
          <a:spLocks noChangeArrowheads="1"/>
        </xdr:cNvSpPr>
      </xdr:nvSpPr>
      <xdr:spPr bwMode="auto">
        <a:xfrm>
          <a:off x="603850" y="531960"/>
          <a:ext cx="4802036" cy="330681"/>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October 11:</a:t>
          </a:r>
          <a:r>
            <a:rPr lang="en-US" sz="900" b="0" i="0" strike="noStrike" baseline="0">
              <a:solidFill>
                <a:srgbClr val="000000"/>
              </a:solidFill>
              <a:latin typeface="Times New Roman"/>
              <a:cs typeface="Times New Roman"/>
            </a:rPr>
            <a:t> 420 </a:t>
          </a:r>
          <a:r>
            <a:rPr lang="en-US" sz="900" b="0" i="0" strike="noStrike">
              <a:solidFill>
                <a:srgbClr val="000000"/>
              </a:solidFill>
              <a:latin typeface="Times New Roman"/>
              <a:cs typeface="Times New Roman"/>
            </a:rPr>
            <a:t>grain barges</a:t>
          </a:r>
          <a:r>
            <a:rPr lang="en-US" sz="900" b="0" i="0" strike="noStrike" baseline="0">
              <a:solidFill>
                <a:srgbClr val="000000"/>
              </a:solidFill>
              <a:latin typeface="Times New Roman"/>
              <a:cs typeface="Times New Roman"/>
            </a:rPr>
            <a:t> moved down river, up 30.8 percent from the previous week,  909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up 13.2 </a:t>
          </a:r>
          <a:r>
            <a:rPr lang="en-US" sz="900" b="0" i="0" strike="noStrike" baseline="0">
              <a:solidFill>
                <a:srgbClr val="000000"/>
              </a:solidFill>
              <a:latin typeface="Times New Roman"/>
              <a:cs typeface="Times New Roman"/>
            </a:rPr>
            <a:t>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266700</xdr:colOff>
      <xdr:row>39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0.00611</cdr:x>
      <cdr:y>0.24344</cdr:y>
    </cdr:from>
    <cdr:to>
      <cdr:x>0.02631</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64157" y="1203903"/>
          <a:ext cx="212068" cy="15640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76"/>
  <sheetViews>
    <sheetView zoomScale="86" zoomScaleNormal="86" workbookViewId="0">
      <pane ySplit="6" topLeftCell="A475" activePane="bottomLeft" state="frozen"/>
      <selection pane="bottomLeft" activeCell="F476" sqref="F476"/>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74"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5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3.8" x14ac:dyDescent="0.25">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3.8" x14ac:dyDescent="0.25">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3.8" x14ac:dyDescent="0.25">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3.8" x14ac:dyDescent="0.25">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3.8" x14ac:dyDescent="0.25">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ht="13.8" x14ac:dyDescent="0.25">
      <c r="A450" s="27">
        <f t="shared" si="1412"/>
        <v>41741</v>
      </c>
      <c r="B450" s="3">
        <f>11+189+2+80</f>
        <v>282</v>
      </c>
      <c r="C450" s="3">
        <f>15+3+2</f>
        <v>20</v>
      </c>
      <c r="D450" s="3">
        <f>12+118+0+19</f>
        <v>149</v>
      </c>
      <c r="E450" s="36">
        <f t="shared" si="1316"/>
        <v>451</v>
      </c>
      <c r="F450" s="36">
        <v>676</v>
      </c>
      <c r="G450" s="3">
        <f t="shared" ref="G450" si="1563">F450-E450</f>
        <v>225</v>
      </c>
      <c r="H450" s="21">
        <f t="shared" ref="H450" si="1564">(F450-F449)/F449</f>
        <v>-4.6544428772919602E-2</v>
      </c>
      <c r="I450" s="21">
        <f t="shared" ref="I450" si="1565">(E450-E449)/E449</f>
        <v>7.6372315035799526E-2</v>
      </c>
      <c r="J450" s="3">
        <f t="shared" ref="J450" si="1566">E450-E449</f>
        <v>32</v>
      </c>
      <c r="K450" s="16">
        <f t="shared" ref="K450" si="1567">(F450-F398)/F398</f>
        <v>1.0672782874617737</v>
      </c>
      <c r="L450" s="3">
        <f t="shared" ref="L450" si="1568">AVERAGE(F294,F346,F398)</f>
        <v>474.33333333333331</v>
      </c>
    </row>
    <row r="451" spans="1:12" ht="13.8" x14ac:dyDescent="0.25">
      <c r="A451" s="27">
        <f t="shared" si="1412"/>
        <v>41748</v>
      </c>
      <c r="B451" s="3">
        <f>1+230+71</f>
        <v>302</v>
      </c>
      <c r="C451" s="3">
        <f>24+0+1+3</f>
        <v>28</v>
      </c>
      <c r="D451" s="3">
        <f>8+91+12</f>
        <v>111</v>
      </c>
      <c r="E451" s="36">
        <f t="shared" si="1316"/>
        <v>441</v>
      </c>
      <c r="F451" s="36">
        <v>623</v>
      </c>
      <c r="G451" s="3">
        <f t="shared" ref="G451" si="1569">F451-E451</f>
        <v>182</v>
      </c>
      <c r="H451" s="21">
        <f t="shared" ref="H451" si="1570">(F451-F450)/F450</f>
        <v>-7.8402366863905323E-2</v>
      </c>
      <c r="I451" s="21">
        <f t="shared" ref="I451" si="1571">(E451-E450)/E450</f>
        <v>-2.2172949002217297E-2</v>
      </c>
      <c r="J451" s="3">
        <f t="shared" ref="J451" si="1572">E451-E450</f>
        <v>-10</v>
      </c>
      <c r="K451" s="16">
        <f t="shared" ref="K451" si="1573">(F451-F399)/F399</f>
        <v>0.64814814814814814</v>
      </c>
      <c r="L451" s="3">
        <f t="shared" ref="L451" si="1574">AVERAGE(F295,F347,F399)</f>
        <v>385.33333333333331</v>
      </c>
    </row>
    <row r="452" spans="1:12" ht="13.8" x14ac:dyDescent="0.25">
      <c r="A452" s="27">
        <f t="shared" si="1412"/>
        <v>41755</v>
      </c>
      <c r="B452" s="3">
        <f>6+217+4+44</f>
        <v>271</v>
      </c>
      <c r="C452" s="3">
        <f>13+3+2</f>
        <v>18</v>
      </c>
      <c r="D452" s="3">
        <f>0+103+12</f>
        <v>115</v>
      </c>
      <c r="E452" s="36">
        <f t="shared" si="1316"/>
        <v>404</v>
      </c>
      <c r="F452" s="36">
        <v>544</v>
      </c>
      <c r="G452" s="3">
        <f t="shared" ref="G452" si="1575">F452-E452</f>
        <v>140</v>
      </c>
      <c r="H452" s="21">
        <f t="shared" ref="H452" si="1576">(F452-F451)/F451</f>
        <v>-0.12680577849117175</v>
      </c>
      <c r="I452" s="21">
        <f t="shared" ref="I452" si="1577">(E452-E451)/E451</f>
        <v>-8.390022675736962E-2</v>
      </c>
      <c r="J452" s="3">
        <f t="shared" ref="J452" si="1578">E452-E451</f>
        <v>-37</v>
      </c>
      <c r="K452" s="16">
        <f t="shared" ref="K452" si="1579">(F452-F400)/F400</f>
        <v>0.95683453237410077</v>
      </c>
      <c r="L452" s="3">
        <f t="shared" ref="L452" si="1580">AVERAGE(F296,F348,F400)</f>
        <v>326.66666666666669</v>
      </c>
    </row>
    <row r="453" spans="1:12" ht="13.8" x14ac:dyDescent="0.25">
      <c r="A453" s="27">
        <f t="shared" si="1412"/>
        <v>41762</v>
      </c>
      <c r="B453" s="3">
        <f>10+324+48</f>
        <v>382</v>
      </c>
      <c r="C453" s="3">
        <f>29+0+3</f>
        <v>32</v>
      </c>
      <c r="D453" s="3">
        <f>3+76+15</f>
        <v>94</v>
      </c>
      <c r="E453" s="36">
        <f t="shared" si="1316"/>
        <v>508</v>
      </c>
      <c r="F453" s="36">
        <v>613</v>
      </c>
      <c r="G453" s="3">
        <f t="shared" ref="G453" si="1581">F453-E453</f>
        <v>105</v>
      </c>
      <c r="H453" s="21">
        <f t="shared" ref="H453" si="1582">(F453-F452)/F452</f>
        <v>0.12683823529411764</v>
      </c>
      <c r="I453" s="21">
        <f t="shared" ref="I453" si="1583">(E453-E452)/E452</f>
        <v>0.25742574257425743</v>
      </c>
      <c r="J453" s="3">
        <f t="shared" ref="J453" si="1584">E453-E452</f>
        <v>104</v>
      </c>
      <c r="K453" s="16">
        <f t="shared" ref="K453" si="1585">(F453-F401)/F401</f>
        <v>1.6196581196581197</v>
      </c>
      <c r="L453" s="3">
        <f t="shared" ref="L453" si="1586">AVERAGE(F297,F349,F401)</f>
        <v>330</v>
      </c>
    </row>
    <row r="454" spans="1:12" ht="13.8" x14ac:dyDescent="0.25">
      <c r="A454" s="27">
        <f t="shared" si="1412"/>
        <v>41769</v>
      </c>
      <c r="B454" s="3">
        <f>6+289+1+65</f>
        <v>361</v>
      </c>
      <c r="C454" s="3">
        <f>19+0+2</f>
        <v>21</v>
      </c>
      <c r="D454" s="3">
        <f>1+75+14</f>
        <v>90</v>
      </c>
      <c r="E454" s="36">
        <f t="shared" si="1316"/>
        <v>472</v>
      </c>
      <c r="F454" s="36">
        <v>492</v>
      </c>
      <c r="G454" s="3">
        <f t="shared" ref="G454" si="1587">F454-E454</f>
        <v>20</v>
      </c>
      <c r="H454" s="21">
        <f t="shared" ref="H454" si="1588">(F454-F453)/F453</f>
        <v>-0.19738988580750408</v>
      </c>
      <c r="I454" s="21">
        <f t="shared" ref="I454" si="1589">(E454-E453)/E453</f>
        <v>-7.0866141732283464E-2</v>
      </c>
      <c r="J454" s="3">
        <f t="shared" ref="J454" si="1590">E454-E453</f>
        <v>-36</v>
      </c>
      <c r="K454" s="16">
        <f t="shared" ref="K454" si="1591">(F454-F402)/F402</f>
        <v>1.4356435643564356</v>
      </c>
      <c r="L454" s="3">
        <f t="shared" ref="L454" si="1592">AVERAGE(F298,F350,F402)</f>
        <v>373.66666666666669</v>
      </c>
    </row>
    <row r="455" spans="1:12" ht="13.8" x14ac:dyDescent="0.25">
      <c r="A455" s="27">
        <f t="shared" ref="A455:A476" si="1593">7+A454</f>
        <v>41776</v>
      </c>
      <c r="B455" s="3">
        <f>3+292+1+0+42</f>
        <v>338</v>
      </c>
      <c r="C455" s="3">
        <f>43+0+1</f>
        <v>44</v>
      </c>
      <c r="D455" s="3">
        <f>2+66+6</f>
        <v>74</v>
      </c>
      <c r="E455" s="36">
        <f t="shared" si="1316"/>
        <v>456</v>
      </c>
      <c r="F455" s="36">
        <v>567</v>
      </c>
      <c r="G455" s="3">
        <f t="shared" ref="G455" si="1594">F455-E455</f>
        <v>111</v>
      </c>
      <c r="H455" s="21">
        <f t="shared" ref="H455" si="1595">(F455-F454)/F454</f>
        <v>0.1524390243902439</v>
      </c>
      <c r="I455" s="21">
        <f t="shared" ref="I455" si="1596">(E455-E454)/E454</f>
        <v>-3.3898305084745763E-2</v>
      </c>
      <c r="J455" s="3">
        <f t="shared" ref="J455" si="1597">E455-E454</f>
        <v>-16</v>
      </c>
      <c r="K455" s="16">
        <f t="shared" ref="K455" si="1598">(F455-F403)/F403</f>
        <v>0.50797872340425532</v>
      </c>
      <c r="L455" s="3">
        <f t="shared" ref="L455" si="1599">AVERAGE(F299,F351,F403)</f>
        <v>387</v>
      </c>
    </row>
    <row r="456" spans="1:12" ht="13.8" x14ac:dyDescent="0.25">
      <c r="A456" s="27">
        <f t="shared" si="1593"/>
        <v>41783</v>
      </c>
      <c r="B456" s="3">
        <f>13+299+4+34</f>
        <v>350</v>
      </c>
      <c r="C456" s="3">
        <f>6+0+1</f>
        <v>7</v>
      </c>
      <c r="D456" s="3">
        <f>0+62+3</f>
        <v>65</v>
      </c>
      <c r="E456" s="36">
        <f t="shared" si="1316"/>
        <v>422</v>
      </c>
      <c r="F456" s="36">
        <v>606</v>
      </c>
      <c r="G456" s="3">
        <f t="shared" ref="G456" si="1600">F456-E456</f>
        <v>184</v>
      </c>
      <c r="H456" s="21">
        <f t="shared" ref="H456" si="1601">(F456-F455)/F455</f>
        <v>6.8783068783068779E-2</v>
      </c>
      <c r="I456" s="21">
        <f t="shared" ref="I456" si="1602">(E456-E455)/E455</f>
        <v>-7.4561403508771926E-2</v>
      </c>
      <c r="J456" s="3">
        <f t="shared" ref="J456" si="1603">E456-E455</f>
        <v>-34</v>
      </c>
      <c r="K456" s="16">
        <f t="shared" ref="K456" si="1604">(F456-F404)/F404</f>
        <v>0.58638743455497377</v>
      </c>
      <c r="L456" s="3">
        <f t="shared" ref="L456" si="1605">AVERAGE(F300,F352,F404)</f>
        <v>392.66666666666669</v>
      </c>
    </row>
    <row r="457" spans="1:12" ht="13.8" x14ac:dyDescent="0.25">
      <c r="A457" s="27">
        <f t="shared" si="1593"/>
        <v>41790</v>
      </c>
      <c r="B457" s="3">
        <f>10+350+7+61</f>
        <v>428</v>
      </c>
      <c r="C457" s="3">
        <f>18+0+1+5</f>
        <v>24</v>
      </c>
      <c r="D457" s="3">
        <f>6+79+12</f>
        <v>97</v>
      </c>
      <c r="E457" s="36">
        <f t="shared" si="1316"/>
        <v>549</v>
      </c>
      <c r="F457" s="36">
        <v>453</v>
      </c>
      <c r="G457" s="3">
        <f t="shared" ref="G457" si="1606">F457-E457</f>
        <v>-96</v>
      </c>
      <c r="H457" s="21">
        <f t="shared" ref="H457" si="1607">(F457-F456)/F456</f>
        <v>-0.25247524752475248</v>
      </c>
      <c r="I457" s="21">
        <f t="shared" ref="I457" si="1608">(E457-E456)/E456</f>
        <v>0.3009478672985782</v>
      </c>
      <c r="J457" s="3">
        <f t="shared" ref="J457" si="1609">E457-E456</f>
        <v>127</v>
      </c>
      <c r="K457" s="16">
        <f t="shared" ref="K457" si="1610">(F457-F405)/F405</f>
        <v>0.6966292134831461</v>
      </c>
      <c r="L457" s="3">
        <f t="shared" ref="L457" si="1611">AVERAGE(F301,F353,F405)</f>
        <v>315.33333333333331</v>
      </c>
    </row>
    <row r="458" spans="1:12" ht="13.8" x14ac:dyDescent="0.25">
      <c r="A458" s="27">
        <f t="shared" si="1593"/>
        <v>41797</v>
      </c>
      <c r="B458" s="3">
        <f>4+281+72</f>
        <v>357</v>
      </c>
      <c r="C458" s="3">
        <f>15+0+2</f>
        <v>17</v>
      </c>
      <c r="D458" s="3">
        <f>0+114+6</f>
        <v>120</v>
      </c>
      <c r="E458" s="36">
        <f t="shared" si="1316"/>
        <v>494</v>
      </c>
      <c r="F458" s="36">
        <v>564</v>
      </c>
      <c r="G458" s="3">
        <f t="shared" ref="G458" si="1612">F458-E458</f>
        <v>70</v>
      </c>
      <c r="H458" s="21">
        <f t="shared" ref="H458" si="1613">(F458-F457)/F457</f>
        <v>0.24503311258278146</v>
      </c>
      <c r="I458" s="21">
        <f t="shared" ref="I458" si="1614">(E458-E457)/E457</f>
        <v>-0.10018214936247723</v>
      </c>
      <c r="J458" s="3">
        <f t="shared" ref="J458" si="1615">E458-E457</f>
        <v>-55</v>
      </c>
      <c r="K458" s="16">
        <f t="shared" ref="K458" si="1616">(F458-F406)/F406</f>
        <v>0.80191693290734822</v>
      </c>
      <c r="L458" s="3">
        <f t="shared" ref="L458" si="1617">AVERAGE(F302,F354,F406)</f>
        <v>284.33333333333331</v>
      </c>
    </row>
    <row r="459" spans="1:12" ht="13.8" x14ac:dyDescent="0.25">
      <c r="A459" s="27">
        <f t="shared" si="1593"/>
        <v>41804</v>
      </c>
      <c r="B459" s="3">
        <f>7+303+0+1+38</f>
        <v>349</v>
      </c>
      <c r="C459" s="3">
        <f>12+0+2</f>
        <v>14</v>
      </c>
      <c r="D459" s="3">
        <f>0+50+1+2</f>
        <v>53</v>
      </c>
      <c r="E459" s="36">
        <f t="shared" si="1316"/>
        <v>416</v>
      </c>
      <c r="F459" s="36">
        <v>592</v>
      </c>
      <c r="G459" s="3">
        <f t="shared" ref="G459" si="1618">F459-E459</f>
        <v>176</v>
      </c>
      <c r="H459" s="21">
        <f t="shared" ref="H459" si="1619">(F459-F458)/F458</f>
        <v>4.9645390070921988E-2</v>
      </c>
      <c r="I459" s="21">
        <f t="shared" ref="I459" si="1620">(E459-E458)/E458</f>
        <v>-0.15789473684210525</v>
      </c>
      <c r="J459" s="3">
        <f t="shared" ref="J459" si="1621">E459-E458</f>
        <v>-78</v>
      </c>
      <c r="K459" s="16">
        <f t="shared" ref="K459" si="1622">(F459-F407)/F407</f>
        <v>1.2769230769230768</v>
      </c>
      <c r="L459" s="3">
        <f t="shared" ref="L459" si="1623">AVERAGE(F303,F355,F407)</f>
        <v>350</v>
      </c>
    </row>
    <row r="460" spans="1:12" ht="13.8" x14ac:dyDescent="0.25">
      <c r="A460" s="27">
        <f t="shared" si="1593"/>
        <v>41811</v>
      </c>
      <c r="B460" s="3">
        <f>8+430+0+1+25</f>
        <v>464</v>
      </c>
      <c r="C460" s="3">
        <f>17+0+2+1</f>
        <v>20</v>
      </c>
      <c r="D460" s="3">
        <f>0+46+1+5</f>
        <v>52</v>
      </c>
      <c r="E460" s="36">
        <f t="shared" si="1316"/>
        <v>536</v>
      </c>
      <c r="F460" s="36">
        <v>431</v>
      </c>
      <c r="G460" s="3">
        <f t="shared" ref="G460" si="1624">F460-E460</f>
        <v>-105</v>
      </c>
      <c r="H460" s="21">
        <f t="shared" ref="H460" si="1625">(F460-F459)/F459</f>
        <v>-0.27195945945945948</v>
      </c>
      <c r="I460" s="21">
        <f t="shared" ref="I460" si="1626">(E460-E459)/E459</f>
        <v>0.28846153846153844</v>
      </c>
      <c r="J460" s="3">
        <f t="shared" ref="J460" si="1627">E460-E459</f>
        <v>120</v>
      </c>
      <c r="K460" s="16">
        <f t="shared" ref="K460" si="1628">(F460-F408)/F408</f>
        <v>0.31402439024390244</v>
      </c>
      <c r="L460" s="3">
        <f t="shared" ref="L460" si="1629">AVERAGE(F304,F356,F408)</f>
        <v>370</v>
      </c>
    </row>
    <row r="461" spans="1:12" ht="13.8" x14ac:dyDescent="0.25">
      <c r="A461" s="27">
        <f t="shared" si="1593"/>
        <v>41818</v>
      </c>
      <c r="B461" s="3">
        <f>309+0+67</f>
        <v>376</v>
      </c>
      <c r="C461" s="3">
        <f>42+0+1</f>
        <v>43</v>
      </c>
      <c r="D461" s="3">
        <f>4+95+0</f>
        <v>99</v>
      </c>
      <c r="E461" s="36">
        <f t="shared" si="1316"/>
        <v>518</v>
      </c>
      <c r="F461" s="36">
        <v>531</v>
      </c>
      <c r="G461" s="3">
        <f t="shared" ref="G461" si="1630">F461-E461</f>
        <v>13</v>
      </c>
      <c r="H461" s="21">
        <f t="shared" ref="H461" si="1631">(F461-F460)/F460</f>
        <v>0.23201856148491878</v>
      </c>
      <c r="I461" s="21">
        <f t="shared" ref="I461" si="1632">(E461-E460)/E460</f>
        <v>-3.3582089552238806E-2</v>
      </c>
      <c r="J461" s="3">
        <f t="shared" ref="J461" si="1633">E461-E460</f>
        <v>-18</v>
      </c>
      <c r="K461" s="16">
        <f t="shared" ref="K461" si="1634">(F461-F409)/F409</f>
        <v>0.34771573604060912</v>
      </c>
      <c r="L461" s="3">
        <f t="shared" ref="L461" si="1635">AVERAGE(F305,F357,F409)</f>
        <v>435.66666666666669</v>
      </c>
    </row>
    <row r="462" spans="1:12" ht="13.8" x14ac:dyDescent="0.25">
      <c r="A462" s="27">
        <f t="shared" si="1593"/>
        <v>41825</v>
      </c>
      <c r="B462" s="3">
        <f>1+258+3+18</f>
        <v>280</v>
      </c>
      <c r="C462" s="3">
        <f>20+0</f>
        <v>20</v>
      </c>
      <c r="D462" s="3">
        <f>45+63+9</f>
        <v>117</v>
      </c>
      <c r="E462" s="36">
        <f t="shared" si="1316"/>
        <v>417</v>
      </c>
      <c r="F462" s="36">
        <v>575</v>
      </c>
      <c r="G462" s="3">
        <f t="shared" ref="G462" si="1636">F462-E462</f>
        <v>158</v>
      </c>
      <c r="H462" s="21">
        <f t="shared" ref="H462" si="1637">(F462-F461)/F461</f>
        <v>8.2862523540489647E-2</v>
      </c>
      <c r="I462" s="21">
        <f t="shared" ref="I462" si="1638">(E462-E461)/E461</f>
        <v>-0.19498069498069498</v>
      </c>
      <c r="J462" s="3">
        <f t="shared" ref="J462" si="1639">E462-E461</f>
        <v>-101</v>
      </c>
      <c r="K462" s="16">
        <f t="shared" ref="K462" si="1640">(F462-F410)/F410</f>
        <v>1.0034843205574913</v>
      </c>
      <c r="L462" s="3">
        <f t="shared" ref="L462" si="1641">AVERAGE(F306,F358,F410)</f>
        <v>390.33333333333331</v>
      </c>
    </row>
    <row r="463" spans="1:12" ht="13.8" x14ac:dyDescent="0.25">
      <c r="A463" s="27">
        <f t="shared" si="1593"/>
        <v>41832</v>
      </c>
      <c r="B463" s="3">
        <f>151+15</f>
        <v>166</v>
      </c>
      <c r="C463" s="3">
        <f>42+0+1</f>
        <v>43</v>
      </c>
      <c r="D463" s="3">
        <f>41+64+2+6</f>
        <v>113</v>
      </c>
      <c r="E463" s="36">
        <f t="shared" si="1316"/>
        <v>322</v>
      </c>
      <c r="F463" s="36">
        <v>600</v>
      </c>
      <c r="G463" s="3">
        <f t="shared" ref="G463" si="1642">F463-E463</f>
        <v>278</v>
      </c>
      <c r="H463" s="21">
        <f t="shared" ref="H463" si="1643">(F463-F462)/F462</f>
        <v>4.3478260869565216E-2</v>
      </c>
      <c r="I463" s="21">
        <f t="shared" ref="I463" si="1644">(E463-E462)/E462</f>
        <v>-0.22781774580335731</v>
      </c>
      <c r="J463" s="3">
        <f t="shared" ref="J463" si="1645">E463-E462</f>
        <v>-95</v>
      </c>
      <c r="K463" s="16">
        <f t="shared" ref="K463" si="1646">(F463-F411)/F411</f>
        <v>0.39534883720930231</v>
      </c>
      <c r="L463" s="3">
        <f t="shared" ref="L463" si="1647">AVERAGE(F307,F359,F411)</f>
        <v>438.66666666666669</v>
      </c>
    </row>
    <row r="464" spans="1:12" ht="13.8" x14ac:dyDescent="0.25">
      <c r="A464" s="27">
        <f t="shared" si="1593"/>
        <v>41839</v>
      </c>
      <c r="B464" s="3">
        <f>137+33</f>
        <v>170</v>
      </c>
      <c r="C464" s="3">
        <v>25</v>
      </c>
      <c r="D464" s="3">
        <f>25+41+6</f>
        <v>72</v>
      </c>
      <c r="E464" s="36">
        <f t="shared" si="1316"/>
        <v>267</v>
      </c>
      <c r="F464" s="36">
        <v>461</v>
      </c>
      <c r="G464" s="3">
        <f t="shared" ref="G464" si="1648">F464-E464</f>
        <v>194</v>
      </c>
      <c r="H464" s="21">
        <f t="shared" ref="H464" si="1649">(F464-F463)/F463</f>
        <v>-0.23166666666666666</v>
      </c>
      <c r="I464" s="21">
        <f t="shared" ref="I464" si="1650">(E464-E463)/E463</f>
        <v>-0.17080745341614906</v>
      </c>
      <c r="J464" s="3">
        <f t="shared" ref="J464" si="1651">E464-E463</f>
        <v>-55</v>
      </c>
      <c r="K464" s="16">
        <f t="shared" ref="K464" si="1652">(F464-F412)/F412</f>
        <v>0.46349206349206351</v>
      </c>
      <c r="L464" s="3">
        <f t="shared" ref="L464" si="1653">AVERAGE(F308,F360,F412)</f>
        <v>423.33333333333331</v>
      </c>
    </row>
    <row r="465" spans="1:12" ht="13.8" x14ac:dyDescent="0.25">
      <c r="A465" s="27">
        <f t="shared" si="1593"/>
        <v>41846</v>
      </c>
      <c r="B465" s="3">
        <f>316+58</f>
        <v>374</v>
      </c>
      <c r="C465" s="3">
        <f>33+0+1</f>
        <v>34</v>
      </c>
      <c r="D465" s="3">
        <f>40+50+1</f>
        <v>91</v>
      </c>
      <c r="E465" s="36">
        <f t="shared" si="1316"/>
        <v>499</v>
      </c>
      <c r="F465" s="36">
        <v>407</v>
      </c>
      <c r="G465" s="3">
        <f t="shared" ref="G465" si="1654">F465-E465</f>
        <v>-92</v>
      </c>
      <c r="H465" s="21">
        <f t="shared" ref="H465" si="1655">(F465-F464)/F464</f>
        <v>-0.11713665943600868</v>
      </c>
      <c r="I465" s="21">
        <f t="shared" ref="I465" si="1656">(E465-E464)/E464</f>
        <v>0.86891385767790263</v>
      </c>
      <c r="J465" s="3">
        <f t="shared" ref="J465" si="1657">E465-E464</f>
        <v>232</v>
      </c>
      <c r="K465" s="16">
        <f t="shared" ref="K465" si="1658">(F465-F413)/F413</f>
        <v>0.23708206686930092</v>
      </c>
      <c r="L465" s="3">
        <f t="shared" ref="L465" si="1659">AVERAGE(F309,F361,F413)</f>
        <v>390.33333333333331</v>
      </c>
    </row>
    <row r="466" spans="1:12" ht="13.8" x14ac:dyDescent="0.25">
      <c r="A466" s="27">
        <f t="shared" si="1593"/>
        <v>41853</v>
      </c>
      <c r="B466" s="3">
        <f>3+309+4+43</f>
        <v>359</v>
      </c>
      <c r="C466" s="3">
        <f>35+0</f>
        <v>35</v>
      </c>
      <c r="D466" s="3">
        <f>22+65+8</f>
        <v>95</v>
      </c>
      <c r="E466" s="36">
        <f t="shared" si="1316"/>
        <v>489</v>
      </c>
      <c r="F466" s="36">
        <v>398</v>
      </c>
      <c r="G466" s="3">
        <f t="shared" ref="G466" si="1660">F466-E466</f>
        <v>-91</v>
      </c>
      <c r="H466" s="21">
        <f t="shared" ref="H466" si="1661">(F466-F465)/F465</f>
        <v>-2.2113022113022112E-2</v>
      </c>
      <c r="I466" s="21">
        <f t="shared" ref="I466" si="1662">(E466-E465)/E465</f>
        <v>-2.004008016032064E-2</v>
      </c>
      <c r="J466" s="3">
        <f t="shared" ref="J466" si="1663">E466-E465</f>
        <v>-10</v>
      </c>
      <c r="K466" s="16">
        <f t="shared" ref="K466" si="1664">(F466-F414)/F414</f>
        <v>5.8510638297872342E-2</v>
      </c>
      <c r="L466" s="3">
        <f t="shared" ref="L466" si="1665">AVERAGE(F310,F362,F414)</f>
        <v>438</v>
      </c>
    </row>
    <row r="467" spans="1:12" ht="13.8" x14ac:dyDescent="0.25">
      <c r="A467" s="27">
        <f t="shared" si="1593"/>
        <v>41860</v>
      </c>
      <c r="B467" s="3">
        <f>2+304+51</f>
        <v>357</v>
      </c>
      <c r="C467" s="3">
        <f>19</f>
        <v>19</v>
      </c>
      <c r="D467" s="3">
        <f>39+82+4</f>
        <v>125</v>
      </c>
      <c r="E467" s="36">
        <f t="shared" si="1316"/>
        <v>501</v>
      </c>
      <c r="F467" s="36">
        <v>403</v>
      </c>
      <c r="G467" s="3">
        <f t="shared" ref="G467" si="1666">F467-E467</f>
        <v>-98</v>
      </c>
      <c r="H467" s="21">
        <f t="shared" ref="H467" si="1667">(F467-F466)/F466</f>
        <v>1.2562814070351759E-2</v>
      </c>
      <c r="I467" s="21">
        <f t="shared" ref="I467" si="1668">(E467-E466)/E466</f>
        <v>2.4539877300613498E-2</v>
      </c>
      <c r="J467" s="3">
        <f t="shared" ref="J467" si="1669">E467-E466</f>
        <v>12</v>
      </c>
      <c r="K467" s="16">
        <f t="shared" ref="K467" si="1670">(F467-F415)/F415</f>
        <v>7.1808510638297879E-2</v>
      </c>
      <c r="L467" s="3">
        <f t="shared" ref="L467" si="1671">AVERAGE(F311,F363,F415)</f>
        <v>488</v>
      </c>
    </row>
    <row r="468" spans="1:12" ht="13.8" x14ac:dyDescent="0.25">
      <c r="A468" s="27">
        <f t="shared" si="1593"/>
        <v>41867</v>
      </c>
      <c r="B468" s="3">
        <f>1+182+2+16</f>
        <v>201</v>
      </c>
      <c r="C468" s="3">
        <f>27</f>
        <v>27</v>
      </c>
      <c r="D468" s="3">
        <f>41+77+0+3</f>
        <v>121</v>
      </c>
      <c r="E468" s="36">
        <f t="shared" si="1316"/>
        <v>349</v>
      </c>
      <c r="F468" s="36">
        <v>442</v>
      </c>
      <c r="G468" s="3">
        <f t="shared" ref="G468" si="1672">F468-E468</f>
        <v>93</v>
      </c>
      <c r="H468" s="21">
        <f t="shared" ref="H468" si="1673">(F468-F467)/F467</f>
        <v>9.6774193548387094E-2</v>
      </c>
      <c r="I468" s="21">
        <f t="shared" ref="I468" si="1674">(E468-E467)/E467</f>
        <v>-0.30339321357285431</v>
      </c>
      <c r="J468" s="3">
        <f t="shared" ref="J468" si="1675">E468-E467</f>
        <v>-152</v>
      </c>
      <c r="K468" s="16">
        <f t="shared" ref="K468" si="1676">(F468-F416)/F416</f>
        <v>0.16315789473684211</v>
      </c>
      <c r="L468" s="3">
        <f t="shared" ref="L468" si="1677">AVERAGE(F312,F364,F416)</f>
        <v>438.33333333333331</v>
      </c>
    </row>
    <row r="469" spans="1:12" ht="13.8" x14ac:dyDescent="0.25">
      <c r="A469" s="27">
        <f t="shared" si="1593"/>
        <v>41874</v>
      </c>
      <c r="B469" s="3">
        <f>3+276+32</f>
        <v>311</v>
      </c>
      <c r="C469" s="3">
        <f>4+2</f>
        <v>6</v>
      </c>
      <c r="D469" s="3">
        <f>38+23+1</f>
        <v>62</v>
      </c>
      <c r="E469" s="36">
        <f t="shared" si="1316"/>
        <v>379</v>
      </c>
      <c r="F469" s="36">
        <v>475</v>
      </c>
      <c r="G469" s="3">
        <f t="shared" ref="G469" si="1678">F469-E469</f>
        <v>96</v>
      </c>
      <c r="H469" s="21">
        <f t="shared" ref="H469" si="1679">(F469-F468)/F468</f>
        <v>7.4660633484162894E-2</v>
      </c>
      <c r="I469" s="21">
        <f t="shared" ref="I469" si="1680">(E469-E468)/E468</f>
        <v>8.5959885386819479E-2</v>
      </c>
      <c r="J469" s="3">
        <f t="shared" ref="J469" si="1681">E469-E468</f>
        <v>30</v>
      </c>
      <c r="K469" s="16">
        <f t="shared" ref="K469" si="1682">(F469-F417)/F417</f>
        <v>0.259946949602122</v>
      </c>
      <c r="L469" s="3">
        <f t="shared" ref="L469" si="1683">AVERAGE(F313,F365,F417)</f>
        <v>473.33333333333331</v>
      </c>
    </row>
    <row r="470" spans="1:12" ht="13.8" x14ac:dyDescent="0.25">
      <c r="A470" s="27">
        <f t="shared" si="1593"/>
        <v>41881</v>
      </c>
      <c r="B470" s="3">
        <f>14+287+1+0+28</f>
        <v>330</v>
      </c>
      <c r="C470" s="3">
        <f>36+4+3+4</f>
        <v>47</v>
      </c>
      <c r="D470" s="3">
        <f>26+42+2+10</f>
        <v>80</v>
      </c>
      <c r="E470" s="36">
        <f t="shared" si="1316"/>
        <v>457</v>
      </c>
      <c r="F470" s="36">
        <v>474</v>
      </c>
      <c r="G470" s="3">
        <f t="shared" ref="G470" si="1684">F470-E470</f>
        <v>17</v>
      </c>
      <c r="H470" s="21">
        <f t="shared" ref="H470" si="1685">(F470-F469)/F469</f>
        <v>-2.1052631578947368E-3</v>
      </c>
      <c r="I470" s="21">
        <f t="shared" ref="I470" si="1686">(E470-E469)/E469</f>
        <v>0.20580474934036938</v>
      </c>
      <c r="J470" s="3">
        <f t="shared" ref="J470" si="1687">E470-E469</f>
        <v>78</v>
      </c>
      <c r="K470" s="16">
        <f t="shared" ref="K470" si="1688">(F470-F418)/F418</f>
        <v>0.21227621483375958</v>
      </c>
      <c r="L470" s="3">
        <f t="shared" ref="L470" si="1689">AVERAGE(F314,F366,F418)</f>
        <v>320</v>
      </c>
    </row>
    <row r="471" spans="1:12" ht="13.8" x14ac:dyDescent="0.25">
      <c r="A471" s="27">
        <f t="shared" si="1593"/>
        <v>41888</v>
      </c>
      <c r="B471" s="3">
        <f>8+120+1+5</f>
        <v>134</v>
      </c>
      <c r="C471" s="3">
        <f>6+1+3</f>
        <v>10</v>
      </c>
      <c r="D471" s="3">
        <f>7+26+1+1</f>
        <v>35</v>
      </c>
      <c r="E471" s="36">
        <f t="shared" si="1316"/>
        <v>179</v>
      </c>
      <c r="F471" s="36">
        <v>576</v>
      </c>
      <c r="G471" s="3">
        <f t="shared" ref="G471" si="1690">F471-E471</f>
        <v>397</v>
      </c>
      <c r="H471" s="21">
        <f t="shared" ref="H471" si="1691">(F471-F470)/F470</f>
        <v>0.21518987341772153</v>
      </c>
      <c r="I471" s="21">
        <f t="shared" ref="I471" si="1692">(E471-E470)/E470</f>
        <v>-0.60831509846827136</v>
      </c>
      <c r="J471" s="3">
        <f t="shared" ref="J471" si="1693">E471-E470</f>
        <v>-278</v>
      </c>
      <c r="K471" s="16">
        <f t="shared" ref="K471" si="1694">(F471-F419)/F419</f>
        <v>0.24675324675324675</v>
      </c>
      <c r="L471" s="3">
        <f t="shared" ref="L471" si="1695">AVERAGE(F315,F367,F419)</f>
        <v>450.33333333333331</v>
      </c>
    </row>
    <row r="472" spans="1:12" ht="13.8" x14ac:dyDescent="0.25">
      <c r="A472" s="27">
        <f t="shared" si="1593"/>
        <v>41895</v>
      </c>
      <c r="B472" s="3">
        <f>10+87+0+5+3</f>
        <v>105</v>
      </c>
      <c r="C472" s="3">
        <f>1+1+11</f>
        <v>13</v>
      </c>
      <c r="D472" s="3">
        <f>5+31+5</f>
        <v>41</v>
      </c>
      <c r="E472" s="36">
        <f t="shared" si="1316"/>
        <v>159</v>
      </c>
      <c r="F472" s="36">
        <v>638</v>
      </c>
      <c r="G472" s="3">
        <f t="shared" ref="G472" si="1696">F472-E472</f>
        <v>479</v>
      </c>
      <c r="H472" s="21">
        <f t="shared" ref="H472" si="1697">(F472-F471)/F471</f>
        <v>0.1076388888888889</v>
      </c>
      <c r="I472" s="21">
        <f t="shared" ref="I472" si="1698">(E472-E471)/E471</f>
        <v>-0.11173184357541899</v>
      </c>
      <c r="J472" s="3">
        <f t="shared" ref="J472" si="1699">E472-E471</f>
        <v>-20</v>
      </c>
      <c r="K472" s="16">
        <f t="shared" ref="K472" si="1700">(F472-F420)/F420</f>
        <v>0.21062618595825428</v>
      </c>
      <c r="L472" s="3">
        <f t="shared" ref="L472" si="1701">AVERAGE(F316,F368,F420)</f>
        <v>506.33333333333331</v>
      </c>
    </row>
    <row r="473" spans="1:12" ht="13.8" x14ac:dyDescent="0.25">
      <c r="A473" s="27">
        <f t="shared" si="1593"/>
        <v>41902</v>
      </c>
      <c r="B473" s="3">
        <f>4+83+0+1</f>
        <v>88</v>
      </c>
      <c r="C473" s="3">
        <f>32+2+2+22</f>
        <v>58</v>
      </c>
      <c r="D473" s="3">
        <f>72+4+3</f>
        <v>79</v>
      </c>
      <c r="E473" s="36">
        <f t="shared" si="1316"/>
        <v>225</v>
      </c>
      <c r="F473" s="36">
        <v>699</v>
      </c>
      <c r="G473" s="3">
        <f t="shared" ref="G473" si="1702">F473-E473</f>
        <v>474</v>
      </c>
      <c r="H473" s="21">
        <f t="shared" ref="H473" si="1703">(F473-F472)/F472</f>
        <v>9.561128526645768E-2</v>
      </c>
      <c r="I473" s="21">
        <f t="shared" ref="I473" si="1704">(E473-E472)/E472</f>
        <v>0.41509433962264153</v>
      </c>
      <c r="J473" s="3">
        <f t="shared" ref="J473" si="1705">E473-E472</f>
        <v>66</v>
      </c>
      <c r="K473" s="16">
        <f t="shared" ref="K473" si="1706">(F473-F421)/F421</f>
        <v>3.4023668639053255E-2</v>
      </c>
      <c r="L473" s="3">
        <f t="shared" ref="L473" si="1707">AVERAGE(F317,F369,F421)</f>
        <v>609.66666666666663</v>
      </c>
    </row>
    <row r="474" spans="1:12" ht="13.8" x14ac:dyDescent="0.25">
      <c r="A474" s="27">
        <f t="shared" si="1593"/>
        <v>41909</v>
      </c>
      <c r="B474" s="3">
        <f>4+58+1+3</f>
        <v>66</v>
      </c>
      <c r="C474" s="3">
        <f>6+1+6+29</f>
        <v>42</v>
      </c>
      <c r="D474" s="3">
        <f>2+114+3</f>
        <v>119</v>
      </c>
      <c r="E474" s="36">
        <f t="shared" si="1316"/>
        <v>227</v>
      </c>
      <c r="F474" s="36">
        <v>722</v>
      </c>
      <c r="G474" s="3">
        <f t="shared" ref="G474" si="1708">F474-E474</f>
        <v>495</v>
      </c>
      <c r="H474" s="21">
        <f t="shared" ref="H474" si="1709">(F474-F473)/F473</f>
        <v>3.2904148783977114E-2</v>
      </c>
      <c r="I474" s="21">
        <f t="shared" ref="I474" si="1710">(E474-E473)/E473</f>
        <v>8.8888888888888889E-3</v>
      </c>
      <c r="J474" s="3">
        <f t="shared" ref="J474" si="1711">E474-E473</f>
        <v>2</v>
      </c>
      <c r="K474" s="16">
        <f t="shared" ref="K474" si="1712">(F474-F422)/F422</f>
        <v>6.1764705882352944E-2</v>
      </c>
      <c r="L474" s="3">
        <f t="shared" ref="L474" si="1713">AVERAGE(F318,F370,F422)</f>
        <v>632</v>
      </c>
    </row>
    <row r="475" spans="1:12" ht="13.8" x14ac:dyDescent="0.25">
      <c r="A475" s="27">
        <f t="shared" si="1593"/>
        <v>41916</v>
      </c>
      <c r="B475" s="3">
        <v>159</v>
      </c>
      <c r="C475" s="3">
        <v>55</v>
      </c>
      <c r="D475" s="3">
        <v>107</v>
      </c>
      <c r="E475" s="36">
        <f t="shared" ref="E475:E476" si="1714">SUM(B475:D475)</f>
        <v>321</v>
      </c>
      <c r="F475" s="36">
        <v>803</v>
      </c>
      <c r="G475" s="3">
        <f t="shared" ref="G475" si="1715">F475-E475</f>
        <v>482</v>
      </c>
      <c r="H475" s="21">
        <f t="shared" ref="H475" si="1716">(F475-F474)/F474</f>
        <v>0.11218836565096953</v>
      </c>
      <c r="I475" s="21">
        <f t="shared" ref="I475" si="1717">(E475-E474)/E474</f>
        <v>0.41409691629955947</v>
      </c>
      <c r="J475" s="3">
        <f t="shared" ref="J475" si="1718">E475-E474</f>
        <v>94</v>
      </c>
      <c r="K475" s="16">
        <f t="shared" ref="K475" si="1719">(F475-F423)/F423</f>
        <v>7.9301075268817203E-2</v>
      </c>
      <c r="L475" s="3">
        <f t="shared" ref="L475" si="1720">AVERAGE(F319,F371,F423)</f>
        <v>609.66666666666663</v>
      </c>
    </row>
    <row r="476" spans="1:12" ht="13.8" x14ac:dyDescent="0.25">
      <c r="A476" s="27">
        <f t="shared" si="1593"/>
        <v>41923</v>
      </c>
      <c r="B476" s="3">
        <f>6+83+124</f>
        <v>213</v>
      </c>
      <c r="C476" s="3">
        <f>4+1+3+38</f>
        <v>46</v>
      </c>
      <c r="D476" s="3">
        <f>3+95+63</f>
        <v>161</v>
      </c>
      <c r="E476" s="36">
        <f t="shared" si="1714"/>
        <v>420</v>
      </c>
      <c r="F476" s="36">
        <v>909</v>
      </c>
      <c r="G476" s="3">
        <f t="shared" ref="G476" si="1721">F476-E476</f>
        <v>489</v>
      </c>
      <c r="H476" s="21">
        <f t="shared" ref="H476" si="1722">(F476-F475)/F475</f>
        <v>0.13200498132004981</v>
      </c>
      <c r="I476" s="21">
        <f t="shared" ref="I476" si="1723">(E476-E475)/E475</f>
        <v>0.30841121495327101</v>
      </c>
      <c r="J476" s="3">
        <f t="shared" ref="J476" si="1724">E476-E475</f>
        <v>99</v>
      </c>
      <c r="K476" s="16">
        <f t="shared" ref="K476" si="1725">(F476-F424)/F424</f>
        <v>9.915356711003627E-2</v>
      </c>
      <c r="L476" s="3">
        <f t="shared" ref="L476" si="1726">AVERAGE(F320,F372,F424)</f>
        <v>686.66666666666663</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C46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zoomScale="80" zoomScaleNormal="80" workbookViewId="0">
      <selection activeCell="B5" sqref="B5"/>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DB barges vs UL NO barges</vt:lpstr>
      <vt:lpstr>Sheet1</vt:lpstr>
      <vt:lpstr>Sheet2</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2014-10-14T21:04:44Z</dcterms:modified>
</cp:coreProperties>
</file>