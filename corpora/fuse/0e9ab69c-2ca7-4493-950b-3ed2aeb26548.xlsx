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0700" windowHeight="10740"/>
  </bookViews>
  <sheets>
    <sheet name="Primary Layout" sheetId="1" r:id="rId1"/>
  </sheets>
  <calcPr calcId="145621"/>
</workbook>
</file>

<file path=xl/sharedStrings.xml><?xml version="1.0" encoding="utf-8"?>
<sst xmlns="http://schemas.openxmlformats.org/spreadsheetml/2006/main" count="98" uniqueCount="98">
  <si>
    <t/>
  </si>
  <si>
    <t>ID:</t>
  </si>
  <si>
    <t>100020896</t>
  </si>
  <si>
    <t>Notes/Supplemental Information:</t>
  </si>
  <si>
    <t xml:space="preserve">The distribution on 1/10/2012 was declared at $0.065.  The per share amount shown below is adjusted for a 10:1 reverse stock split and a dividend of 1 share of Common shares B-1, B-2, and B-3 for every 1 share of Common Share A.</t>
  </si>
  <si>
    <t>REIT Name:</t>
  </si>
  <si>
    <t>Retail Properties of America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</si>
  <si>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</si>
  <si>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</si>
  <si>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</si>
  <si>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</si>
  <si>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</si>
  <si>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</si>
  <si>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</si>
  <si>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</si>
  <si>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</si>
  <si>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</si>
  <si>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</si>
  <si>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</si>
  <si>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</si>
  <si>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</si>
  <si>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</si>
  <si>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</si>
  <si>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</si>
  <si>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</si>
  <si>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</si>
  <si>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</si>
  <si>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</si>
  <si>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</si>
  <si>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</si>
  <si>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</si>
  <si>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</si>
  <si>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</si>
  <si>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</si>
  <si>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</si>
  <si>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</si>
  <si>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</si>
  <si>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</si>
  <si>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</si>
  <si>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</si>
  <si>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</si>
  <si>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</si>
  <si>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</si>
  <si>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</si>
  <si>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</si>
  <si>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</si>
  <si>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</si>
  <si>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</si>
  <si>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</si>
  <si>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</si>
  <si>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</si>
  <si>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</si>
  <si>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</si>
  <si>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</si>
  <si>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</si>
  <si>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</si>
  <si>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</si>
  <si>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</si>
  <si>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</si>
  <si>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</si>
  <si>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</si>
  <si>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</si>
  <si>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</si>
  <si>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</si>
  <si>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</si>
  <si>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</si>
  <si>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</si>
  <si>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</si>
  <si>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</si>
  <si>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</si>
  <si>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</si>
  <si>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</si>
  <si>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</si>
  <si>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</si>
  <si>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</si>
  <si>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</si>
  <si>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</si>
  <si>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</si>
  <si>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</si>
  <si>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</si>
  <si>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</si>
  <si>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</si>
  <si>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</si>
  <si>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</si>
  <si>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</si>
  <si>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Inland Western Retail Real Estate Trust, Inc.</t>
  </si>
  <si>
    <t>45750W106</t>
  </si>
  <si>
    <t>N/A</t>
  </si>
  <si>
    <t>Y</t>
  </si>
  <si>
    <t>Common Stock: Class A</t>
  </si>
  <si>
    <t>76131V202</t>
  </si>
  <si>
    <t>RPAI</t>
  </si>
  <si>
    <t>Common Stock: Class B-1</t>
  </si>
  <si>
    <t>76131V301</t>
  </si>
  <si>
    <t>Common Stock: Class B-2</t>
  </si>
  <si>
    <t>76131V400</t>
  </si>
  <si>
    <t>Common Stock: Class B-3</t>
  </si>
  <si>
    <t>76131V509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</si>
</sst>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8">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49" fontId="1" fillId="0" borderId="33" xfId="0">
      <alignment horizontal="center"/>
      <protection locked="0"/>
    </xf>
    <xf numFmtId="0" fontId="1" fillId="0" borderId="34" xfId="0">
      <alignment horizontal="center"/>
      <protection locked="0"/>
    </xf>
    <xf numFmtId="49" fontId="1" fillId="0" borderId="27" xfId="0">
      <alignment horizontal="center"/>
      <protection locked="0"/>
    </xf>
    <xf numFmtId="0" fontId="1" fillId="0" borderId="36" xfId="0">
      <alignment horizontal="center"/>
      <protection locked="0"/>
    </xf>
    <xf numFmtId="0" fontId="3" fillId="4" borderId="4" xfId="0">
      <alignment horizontal="left" vertical="top" wrapText="1"/>
      <protection locked="0"/>
    </xf>
    <xf numFmtId="0" fontId="0" fillId="0" borderId="5" xfId="0">
      <alignment vertical="top" wrapText="1"/>
      <protection locked="0"/>
    </xf>
    <xf numFmtId="0" fontId="0" fillId="0" borderId="6" xfId="0">
      <alignment vertical="top" wrapText="1"/>
      <protection locked="0"/>
    </xf>
    <xf numFmtId="0" fontId="0" fillId="0" borderId="10" xfId="0">
      <alignment vertical="top" wrapText="1"/>
      <protection locked="0"/>
    </xf>
    <xf numFmtId="0" fontId="0" fillId="0" borderId="0" xfId="0">
      <alignment vertical="top" wrapText="1"/>
      <protection locked="0"/>
    </xf>
    <xf numFmtId="0" fontId="0" fillId="0" borderId="11" xfId="0">
      <alignment vertical="top" wrapText="1"/>
      <protection locked="0"/>
    </xf>
    <xf numFmtId="0" fontId="0" fillId="0" borderId="15" xfId="0">
      <alignment vertical="top" wrapText="1"/>
      <protection locked="0"/>
    </xf>
    <xf numFmtId="0" fontId="0" fillId="0" borderId="16" xfId="0">
      <alignment vertical="top" wrapText="1"/>
      <protection locked="0"/>
    </xf>
    <xf numFmtId="0" fontId="0" fillId="0" borderId="17" xfId="0">
      <alignment vertical="top" wrapText="1"/>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K1" workbookViewId="0">
      <pane ySplit="18" topLeftCell="A20" activePane="bottomLeft" state="frozen"/>
      <selection pane="bottomLeft" activeCell="Z26" activeCellId="1" sqref="Q26 Z2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6" customWidth="1" style="2"/>
    <col min="11" max="11" bestFit="1" width="11.28515625" customWidth="1" style="2"/>
    <col min="12" max="12" bestFit="1" width="11" customWidth="1" style="2"/>
    <col min="13" max="13" width="16.85546875" customWidth="1" style="2"/>
    <col min="14" max="20" width="13.85546875" customWidth="1" style="2"/>
    <col min="21" max="21" width="15.5703125" customWidth="1" style="2"/>
    <col min="22" max="22" width="14.85546875" customWidth="1" style="2"/>
    <col min="23" max="23" width="11.85546875" customWidth="1" style="2"/>
    <col min="24" max="24" width="12.5703125" customWidth="1" style="2"/>
    <col min="25" max="25" width="12.85546875" customWidth="1" style="2"/>
    <col min="26" max="26" width="18.8554687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4" t="s">
        <v>4</v>
      </c>
      <c r="L2" s="95"/>
      <c r="M2" s="95"/>
      <c r="N2" s="95"/>
      <c r="O2" s="95"/>
      <c r="P2" s="95"/>
      <c r="Q2" s="96"/>
    </row>
    <row r="3">
      <c r="A3" s="3" t="s">
        <v>5</v>
      </c>
      <c r="B3" s="8" t="s">
        <v>6</v>
      </c>
      <c r="C3" s="9"/>
      <c r="D3" s="9"/>
      <c r="E3" s="9"/>
      <c r="F3" s="10"/>
      <c r="G3" s="11"/>
      <c r="H3" s="12"/>
      <c r="J3" s="12"/>
      <c r="K3" s="97"/>
      <c r="L3" s="98"/>
      <c r="M3" s="98"/>
      <c r="N3" s="98"/>
      <c r="O3" s="98"/>
      <c r="P3" s="98"/>
      <c r="Q3" s="99"/>
      <c r="R3" s="12"/>
      <c r="S3" s="12"/>
      <c r="T3" s="12"/>
      <c r="U3" s="12"/>
      <c r="V3" s="12"/>
      <c r="W3" s="12"/>
      <c r="X3" s="12"/>
      <c r="Y3" s="12"/>
      <c r="Z3" s="12"/>
      <c r="AA3" s="12"/>
      <c r="AB3" s="12"/>
      <c r="AC3" s="12"/>
      <c r="AD3" s="12"/>
    </row>
    <row r="4">
      <c r="A4" s="3" t="s">
        <v>7</v>
      </c>
      <c r="B4" s="13">
        <v>2012</v>
      </c>
      <c r="C4" s="14"/>
      <c r="D4" s="14"/>
      <c r="E4" s="14"/>
      <c r="F4" s="14"/>
      <c r="G4" s="15"/>
      <c r="K4" s="97"/>
      <c r="L4" s="98"/>
      <c r="M4" s="98"/>
      <c r="N4" s="98"/>
      <c r="O4" s="98"/>
      <c r="P4" s="98"/>
      <c r="Q4" s="99"/>
    </row>
    <row r="5">
      <c r="A5" s="12"/>
      <c r="B5" s="12"/>
      <c r="C5" s="12"/>
      <c r="D5" s="12"/>
      <c r="E5" s="12"/>
      <c r="F5" s="12"/>
      <c r="G5" s="12"/>
      <c r="H5" s="12"/>
      <c r="J5" s="12"/>
      <c r="K5" s="100"/>
      <c r="L5" s="101"/>
      <c r="M5" s="101"/>
      <c r="N5" s="101"/>
      <c r="O5" s="101"/>
      <c r="P5" s="101"/>
      <c r="Q5" s="102"/>
      <c r="R5" s="12"/>
      <c r="S5" s="12"/>
      <c r="T5" s="12"/>
      <c r="U5" s="12"/>
      <c r="V5" s="12"/>
      <c r="W5" s="12"/>
      <c r="X5" s="12"/>
      <c r="Y5" s="12"/>
      <c r="Z5" s="12"/>
      <c r="AA5" s="12"/>
      <c r="AB5" s="12"/>
      <c r="AC5" s="12"/>
      <c r="AD5" s="12"/>
    </row>
    <row r="6">
      <c r="A6" s="7" t="s">
        <v>8</v>
      </c>
      <c r="B6" s="89">
        <v>41295</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3" t="s">
        <v>10</v>
      </c>
      <c r="B9" s="103"/>
      <c r="C9" s="103"/>
      <c r="D9" s="103"/>
      <c r="E9" s="103"/>
      <c r="F9" s="103"/>
      <c r="G9" s="103"/>
      <c r="H9" s="103"/>
      <c r="I9" s="103"/>
      <c r="J9" s="103"/>
      <c r="K9" s="103"/>
      <c r="L9" s="103"/>
      <c r="M9" s="103"/>
      <c r="N9" s="19"/>
      <c r="O9" s="19"/>
      <c r="P9" s="19"/>
      <c r="Q9" s="12"/>
      <c r="R9" s="12"/>
      <c r="S9" s="12"/>
      <c r="T9" s="12"/>
      <c r="U9" s="12"/>
      <c r="V9" s="12"/>
      <c r="W9" s="12"/>
      <c r="X9" s="12"/>
      <c r="Y9" s="12"/>
      <c r="Z9" s="12"/>
      <c r="AA9" s="12"/>
      <c r="AB9" s="12"/>
      <c r="AC9" s="12"/>
      <c r="AD9" s="12"/>
    </row>
    <row r="10">
      <c r="A10" s="103"/>
      <c r="B10" s="103"/>
      <c r="C10" s="103"/>
      <c r="D10" s="103"/>
      <c r="E10" s="103"/>
      <c r="F10" s="103"/>
      <c r="G10" s="103"/>
      <c r="H10" s="103"/>
      <c r="I10" s="103"/>
      <c r="J10" s="103"/>
      <c r="K10" s="103"/>
      <c r="L10" s="103"/>
      <c r="M10" s="103"/>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4" t="s">
        <v>11</v>
      </c>
      <c r="B13" s="104"/>
      <c r="C13" s="104"/>
      <c r="D13" s="104"/>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5" t="s">
        <v>13</v>
      </c>
      <c r="L15" s="106"/>
      <c r="M15" s="107"/>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85</v>
      </c>
      <c r="B20" s="60" t="s">
        <v>86</v>
      </c>
      <c r="C20" s="90" t="s">
        <v>87</v>
      </c>
      <c r="D20" s="61"/>
      <c r="E20" s="61"/>
      <c r="F20" s="61"/>
      <c r="G20" s="62">
        <v>40908</v>
      </c>
      <c r="H20" s="62">
        <v>40918</v>
      </c>
      <c r="I20" s="62">
        <v>40918</v>
      </c>
      <c r="J20" s="63">
        <v>0.1625</v>
      </c>
      <c r="K20" s="53">
        <v>0</v>
      </c>
      <c r="L20" s="53">
        <v>0</v>
      </c>
      <c r="M20" s="63">
        <f>N20+O20+V20+Z20+AB20</f>
      </c>
      <c r="N20" s="63">
        <f>J20*0.02399534</f>
      </c>
      <c r="O20" s="64">
        <v>0</v>
      </c>
      <c r="P20" s="55"/>
      <c r="Q20" s="65">
        <f>N20+O20</f>
      </c>
      <c r="R20" s="63">
        <f>J20*0.02399534</f>
      </c>
      <c r="S20" s="55"/>
      <c r="T20" s="55"/>
      <c r="U20" s="63">
        <f>R20</f>
      </c>
      <c r="V20" s="63">
        <v>0</v>
      </c>
      <c r="W20" s="63">
        <v>0</v>
      </c>
      <c r="X20" s="55"/>
      <c r="Y20" s="63">
        <v>0</v>
      </c>
      <c r="Z20" s="63">
        <f>J20*0.97600466</f>
      </c>
      <c r="AA20" s="55"/>
      <c r="AB20" s="63">
        <v>0</v>
      </c>
      <c r="AC20" s="63">
        <v>0</v>
      </c>
      <c r="AD20" s="55"/>
      <c r="AE20" s="55"/>
      <c r="AF20" s="91" t="s">
        <v>88</v>
      </c>
      <c r="AG20" s="37"/>
    </row>
    <row r="21">
      <c r="A21" s="59"/>
      <c r="B21" s="60"/>
      <c r="C21" s="90"/>
      <c r="D21" s="61"/>
      <c r="E21" s="61"/>
      <c r="F21" s="61"/>
      <c r="G21" s="62"/>
      <c r="H21" s="62"/>
      <c r="I21" s="62"/>
      <c r="J21" s="63"/>
      <c r="K21" s="53"/>
      <c r="L21" s="53"/>
      <c r="M21" s="53"/>
      <c r="N21" s="63"/>
      <c r="O21" s="64"/>
      <c r="P21" s="55"/>
      <c r="Q21" s="65"/>
      <c r="R21" s="63"/>
      <c r="S21" s="55"/>
      <c r="T21" s="55"/>
      <c r="U21" s="63"/>
      <c r="V21" s="63"/>
      <c r="W21" s="63"/>
      <c r="X21" s="55"/>
      <c r="Y21" s="63"/>
      <c r="Z21" s="63"/>
      <c r="AA21" s="55"/>
      <c r="AB21" s="63"/>
      <c r="AC21" s="63"/>
      <c r="AD21" s="55"/>
      <c r="AE21" s="55"/>
      <c r="AF21" s="66"/>
      <c r="AG21" s="37"/>
    </row>
    <row r="22">
      <c r="A22" s="59"/>
      <c r="B22" s="60"/>
      <c r="C22" s="90"/>
      <c r="D22" s="61"/>
      <c r="E22" s="61"/>
      <c r="F22" s="61"/>
      <c r="G22" s="62"/>
      <c r="H22" s="62"/>
      <c r="I22" s="62"/>
      <c r="J22" s="63"/>
      <c r="K22" s="53"/>
      <c r="L22" s="53"/>
      <c r="M22" s="53"/>
      <c r="N22" s="53"/>
      <c r="O22" s="67"/>
      <c r="P22" s="68"/>
      <c r="Q22" s="69"/>
      <c r="R22" s="53"/>
      <c r="S22" s="68"/>
      <c r="T22" s="68"/>
      <c r="U22" s="53"/>
      <c r="V22" s="53"/>
      <c r="W22" s="53"/>
      <c r="X22" s="68"/>
      <c r="Y22" s="53"/>
      <c r="Z22" s="53"/>
      <c r="AA22" s="68"/>
      <c r="AB22" s="53"/>
      <c r="AC22" s="53"/>
      <c r="AD22" s="68"/>
      <c r="AE22" s="68"/>
      <c r="AF22" s="70"/>
      <c r="AG22" s="37"/>
    </row>
    <row r="23">
      <c r="A23" s="71"/>
      <c r="B23" s="72"/>
      <c r="C23" s="92"/>
      <c r="D23" s="73"/>
      <c r="E23" s="73"/>
      <c r="F23" s="73"/>
      <c r="G23" s="74"/>
      <c r="H23" s="74"/>
      <c r="I23" s="74"/>
      <c r="J23" s="53"/>
      <c r="K23" s="53"/>
      <c r="L23" s="53"/>
      <c r="M23" s="53"/>
      <c r="N23" s="53"/>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89</v>
      </c>
      <c r="B26" s="60" t="s">
        <v>90</v>
      </c>
      <c r="C26" s="90" t="s">
        <v>91</v>
      </c>
      <c r="D26" s="61"/>
      <c r="E26" s="61"/>
      <c r="F26" s="61"/>
      <c r="G26" s="62">
        <v>40999</v>
      </c>
      <c r="H26" s="62">
        <v>40996</v>
      </c>
      <c r="I26" s="62">
        <v>41009</v>
      </c>
      <c r="J26" s="63">
        <v>0.165625</v>
      </c>
      <c r="K26" s="53">
        <v>0</v>
      </c>
      <c r="L26" s="53">
        <v>0</v>
      </c>
      <c r="M26" s="63">
        <f ref="M26:M28" t="shared" si="1">N26+O26+V26+Z26+AB26</f>
      </c>
      <c r="N26" s="63">
        <f>J26*0.02399534</f>
      </c>
      <c r="O26" s="64">
        <v>0</v>
      </c>
      <c r="P26" s="55"/>
      <c r="Q26" s="65">
        <f ref="Q26:Q28" t="shared" si="2">N26+O26</f>
      </c>
      <c r="R26" s="63">
        <f ref="R26:R28" t="shared" si="3">J26*0.02399534</f>
      </c>
      <c r="S26" s="55"/>
      <c r="T26" s="55"/>
      <c r="U26" s="63">
        <f ref="U26:U28" t="shared" si="4">R26</f>
      </c>
      <c r="V26" s="63">
        <v>0</v>
      </c>
      <c r="W26" s="63">
        <v>0</v>
      </c>
      <c r="X26" s="55"/>
      <c r="Y26" s="63">
        <v>0</v>
      </c>
      <c r="Z26" s="63">
        <f ref="Z26:Z28" t="shared" si="5">J26*0.97600466</f>
      </c>
      <c r="AA26" s="55"/>
      <c r="AB26" s="63">
        <v>0</v>
      </c>
      <c r="AC26" s="63">
        <v>0</v>
      </c>
      <c r="AD26" s="55"/>
      <c r="AE26" s="55"/>
      <c r="AF26" s="66"/>
      <c r="AG26" s="37"/>
    </row>
    <row r="27">
      <c r="A27" s="59" t="s">
        <v>89</v>
      </c>
      <c r="B27" s="60" t="s">
        <v>90</v>
      </c>
      <c r="C27" s="90" t="s">
        <v>91</v>
      </c>
      <c r="D27" s="61"/>
      <c r="E27" s="61"/>
      <c r="F27" s="61"/>
      <c r="G27" s="62">
        <v>41089</v>
      </c>
      <c r="H27" s="62">
        <v>41087</v>
      </c>
      <c r="I27" s="62">
        <v>41100</v>
      </c>
      <c r="J27" s="63">
        <v>0.165625</v>
      </c>
      <c r="K27" s="53">
        <v>0</v>
      </c>
      <c r="L27" s="53">
        <v>0</v>
      </c>
      <c r="M27" s="63">
        <f t="shared" si="1"/>
      </c>
      <c r="N27" s="63">
        <f ref="N27:N28" t="shared" si="6">J27*0.02399534</f>
      </c>
      <c r="O27" s="64">
        <v>0</v>
      </c>
      <c r="P27" s="55"/>
      <c r="Q27" s="65">
        <f t="shared" si="2"/>
      </c>
      <c r="R27" s="63">
        <f t="shared" si="3"/>
      </c>
      <c r="S27" s="55"/>
      <c r="T27" s="55"/>
      <c r="U27" s="63">
        <f t="shared" si="4"/>
      </c>
      <c r="V27" s="63">
        <v>0</v>
      </c>
      <c r="W27" s="63">
        <v>0</v>
      </c>
      <c r="X27" s="55"/>
      <c r="Y27" s="63">
        <v>0</v>
      </c>
      <c r="Z27" s="63">
        <f t="shared" si="5"/>
      </c>
      <c r="AA27" s="55"/>
      <c r="AB27" s="63">
        <v>0</v>
      </c>
      <c r="AC27" s="63">
        <v>0</v>
      </c>
      <c r="AD27" s="55"/>
      <c r="AE27" s="55"/>
      <c r="AF27" s="66"/>
      <c r="AG27" s="37"/>
    </row>
    <row r="28">
      <c r="A28" s="59" t="s">
        <v>89</v>
      </c>
      <c r="B28" s="60" t="s">
        <v>90</v>
      </c>
      <c r="C28" s="90" t="s">
        <v>91</v>
      </c>
      <c r="D28" s="61"/>
      <c r="E28" s="61"/>
      <c r="F28" s="61"/>
      <c r="G28" s="62">
        <v>41180</v>
      </c>
      <c r="H28" s="62">
        <v>41178</v>
      </c>
      <c r="I28" s="62">
        <v>41192</v>
      </c>
      <c r="J28" s="63">
        <v>0.165625</v>
      </c>
      <c r="K28" s="53">
        <v>0</v>
      </c>
      <c r="L28" s="53">
        <v>0</v>
      </c>
      <c r="M28" s="63">
        <f t="shared" si="1"/>
      </c>
      <c r="N28" s="63">
        <f t="shared" si="6"/>
      </c>
      <c r="O28" s="64">
        <v>0</v>
      </c>
      <c r="P28" s="68"/>
      <c r="Q28" s="65">
        <f t="shared" si="2"/>
      </c>
      <c r="R28" s="63">
        <f t="shared" si="3"/>
      </c>
      <c r="S28" s="68"/>
      <c r="T28" s="68"/>
      <c r="U28" s="63">
        <f t="shared" si="4"/>
      </c>
      <c r="V28" s="63">
        <v>0</v>
      </c>
      <c r="W28" s="63">
        <v>0</v>
      </c>
      <c r="X28" s="68"/>
      <c r="Y28" s="63">
        <v>0</v>
      </c>
      <c r="Z28" s="63">
        <f t="shared" si="5"/>
      </c>
      <c r="AA28" s="68"/>
      <c r="AB28" s="63">
        <v>0</v>
      </c>
      <c r="AC28" s="63">
        <v>0</v>
      </c>
      <c r="AD28" s="68"/>
      <c r="AE28" s="68"/>
      <c r="AF28" s="70"/>
      <c r="AG28" s="37"/>
    </row>
    <row r="29">
      <c r="A29" s="71"/>
      <c r="B29" s="72"/>
      <c r="C29" s="9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92</v>
      </c>
      <c r="B32" s="60" t="s">
        <v>93</v>
      </c>
      <c r="C32" s="90" t="s">
        <v>87</v>
      </c>
      <c r="D32" s="61"/>
      <c r="E32" s="61"/>
      <c r="F32" s="61"/>
      <c r="G32" s="62">
        <v>40999</v>
      </c>
      <c r="H32" s="62">
        <v>40996</v>
      </c>
      <c r="I32" s="62">
        <v>41374</v>
      </c>
      <c r="J32" s="63">
        <v>0.165625</v>
      </c>
      <c r="K32" s="53">
        <v>0</v>
      </c>
      <c r="L32" s="53">
        <v>0</v>
      </c>
      <c r="M32" s="63">
        <f ref="M32:M34" t="shared" si="7">N32+O32+V32+Z32+AB32</f>
      </c>
      <c r="N32" s="63">
        <f>J32*0.02399534</f>
      </c>
      <c r="O32" s="64">
        <v>0</v>
      </c>
      <c r="P32" s="55"/>
      <c r="Q32" s="65">
        <f ref="Q32:Q34" t="shared" si="8">N32+O32</f>
      </c>
      <c r="R32" s="63">
        <f ref="R32:R34" t="shared" si="9">J32*0.02399534</f>
      </c>
      <c r="S32" s="55"/>
      <c r="T32" s="55"/>
      <c r="U32" s="63">
        <f ref="U32:U34" t="shared" si="10">R32</f>
      </c>
      <c r="V32" s="63">
        <v>0</v>
      </c>
      <c r="W32" s="63">
        <v>0</v>
      </c>
      <c r="X32" s="55"/>
      <c r="Y32" s="63">
        <v>0</v>
      </c>
      <c r="Z32" s="63">
        <f ref="Z32:Z34" t="shared" si="11">J32*0.97600466</f>
      </c>
      <c r="AA32" s="55"/>
      <c r="AB32" s="63">
        <v>0</v>
      </c>
      <c r="AC32" s="63">
        <v>0</v>
      </c>
      <c r="AD32" s="55"/>
      <c r="AE32" s="55"/>
      <c r="AF32" s="66"/>
      <c r="AG32" s="37"/>
    </row>
    <row r="33">
      <c r="A33" s="59" t="s">
        <v>92</v>
      </c>
      <c r="B33" s="60" t="s">
        <v>93</v>
      </c>
      <c r="C33" s="90" t="s">
        <v>87</v>
      </c>
      <c r="D33" s="61"/>
      <c r="E33" s="61"/>
      <c r="F33" s="61"/>
      <c r="G33" s="62">
        <v>41089</v>
      </c>
      <c r="H33" s="62">
        <v>41087</v>
      </c>
      <c r="I33" s="62">
        <v>41100</v>
      </c>
      <c r="J33" s="63">
        <v>0.165625</v>
      </c>
      <c r="K33" s="53">
        <v>0</v>
      </c>
      <c r="L33" s="53">
        <v>0</v>
      </c>
      <c r="M33" s="63">
        <f t="shared" si="7"/>
      </c>
      <c r="N33" s="63">
        <f ref="N33:N34" t="shared" si="12">J33*0.02399534</f>
      </c>
      <c r="O33" s="64">
        <v>0</v>
      </c>
      <c r="P33" s="55"/>
      <c r="Q33" s="65">
        <f t="shared" si="8"/>
      </c>
      <c r="R33" s="63">
        <f t="shared" si="9"/>
      </c>
      <c r="S33" s="55"/>
      <c r="T33" s="55"/>
      <c r="U33" s="63">
        <f t="shared" si="10"/>
      </c>
      <c r="V33" s="63">
        <v>0</v>
      </c>
      <c r="W33" s="63">
        <v>0</v>
      </c>
      <c r="X33" s="55"/>
      <c r="Y33" s="63">
        <v>0</v>
      </c>
      <c r="Z33" s="63">
        <f t="shared" si="11"/>
      </c>
      <c r="AA33" s="55"/>
      <c r="AB33" s="63">
        <v>0</v>
      </c>
      <c r="AC33" s="63">
        <v>0</v>
      </c>
      <c r="AD33" s="55"/>
      <c r="AE33" s="55"/>
      <c r="AF33" s="66"/>
      <c r="AG33" s="37"/>
    </row>
    <row r="34">
      <c r="A34" s="59" t="s">
        <v>92</v>
      </c>
      <c r="B34" s="60" t="s">
        <v>93</v>
      </c>
      <c r="C34" s="90" t="s">
        <v>87</v>
      </c>
      <c r="D34" s="73"/>
      <c r="E34" s="73"/>
      <c r="F34" s="73"/>
      <c r="G34" s="62">
        <v>41180</v>
      </c>
      <c r="H34" s="62">
        <v>41178</v>
      </c>
      <c r="I34" s="62">
        <v>41192</v>
      </c>
      <c r="J34" s="63">
        <v>0.165625</v>
      </c>
      <c r="K34" s="53">
        <v>0</v>
      </c>
      <c r="L34" s="53">
        <v>0</v>
      </c>
      <c r="M34" s="63">
        <f t="shared" si="7"/>
      </c>
      <c r="N34" s="63">
        <f t="shared" si="12"/>
      </c>
      <c r="O34" s="64">
        <v>0</v>
      </c>
      <c r="P34" s="68"/>
      <c r="Q34" s="65">
        <f t="shared" si="8"/>
      </c>
      <c r="R34" s="63">
        <f t="shared" si="9"/>
      </c>
      <c r="S34" s="68"/>
      <c r="T34" s="68"/>
      <c r="U34" s="63">
        <f t="shared" si="10"/>
      </c>
      <c r="V34" s="63">
        <v>0</v>
      </c>
      <c r="W34" s="63">
        <v>0</v>
      </c>
      <c r="X34" s="68"/>
      <c r="Y34" s="63">
        <v>0</v>
      </c>
      <c r="Z34" s="63">
        <f t="shared" si="11"/>
      </c>
      <c r="AA34" s="68"/>
      <c r="AB34" s="63">
        <v>0</v>
      </c>
      <c r="AC34" s="63">
        <v>0</v>
      </c>
      <c r="AD34" s="68"/>
      <c r="AE34" s="68"/>
      <c r="AF34" s="93" t="s">
        <v>88</v>
      </c>
      <c r="AG34" s="37"/>
    </row>
    <row r="35">
      <c r="A35" s="71"/>
      <c r="B35" s="72"/>
      <c r="C35" s="9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94</v>
      </c>
      <c r="B38" s="60" t="s">
        <v>95</v>
      </c>
      <c r="C38" s="90" t="s">
        <v>87</v>
      </c>
      <c r="D38" s="61"/>
      <c r="E38" s="61"/>
      <c r="F38" s="61"/>
      <c r="G38" s="62">
        <v>40999</v>
      </c>
      <c r="H38" s="62">
        <v>40996</v>
      </c>
      <c r="I38" s="62">
        <v>41374</v>
      </c>
      <c r="J38" s="63">
        <v>0.165625</v>
      </c>
      <c r="K38" s="53">
        <v>0</v>
      </c>
      <c r="L38" s="53">
        <v>0</v>
      </c>
      <c r="M38" s="63">
        <f ref="M38:M40" t="shared" si="13">N38+O38+V38+Z38+AB38</f>
      </c>
      <c r="N38" s="63">
        <f>J38*0.02399534</f>
      </c>
      <c r="O38" s="64">
        <v>0</v>
      </c>
      <c r="P38" s="55"/>
      <c r="Q38" s="65">
        <f ref="Q38:Q40" t="shared" si="14">N38+O38</f>
      </c>
      <c r="R38" s="63">
        <f ref="R38:R40" t="shared" si="15">J38*0.02399534</f>
      </c>
      <c r="S38" s="55"/>
      <c r="T38" s="55"/>
      <c r="U38" s="63">
        <f ref="U38:U40" t="shared" si="16">R38</f>
      </c>
      <c r="V38" s="63">
        <v>0</v>
      </c>
      <c r="W38" s="63">
        <v>0</v>
      </c>
      <c r="X38" s="55"/>
      <c r="Y38" s="63">
        <v>0</v>
      </c>
      <c r="Z38" s="63">
        <f ref="Z38:Z40" t="shared" si="17">J38*0.97600466</f>
      </c>
      <c r="AA38" s="55"/>
      <c r="AB38" s="63">
        <v>0</v>
      </c>
      <c r="AC38" s="63">
        <v>0</v>
      </c>
      <c r="AD38" s="55"/>
      <c r="AE38" s="55"/>
      <c r="AF38" s="66"/>
      <c r="AG38" s="37"/>
    </row>
    <row r="39">
      <c r="A39" s="59" t="s">
        <v>94</v>
      </c>
      <c r="B39" s="60" t="s">
        <v>95</v>
      </c>
      <c r="C39" s="90" t="s">
        <v>87</v>
      </c>
      <c r="D39" s="61"/>
      <c r="E39" s="61"/>
      <c r="F39" s="61"/>
      <c r="G39" s="62">
        <v>41089</v>
      </c>
      <c r="H39" s="62">
        <v>41087</v>
      </c>
      <c r="I39" s="62">
        <v>41100</v>
      </c>
      <c r="J39" s="63">
        <v>0.165625</v>
      </c>
      <c r="K39" s="53">
        <v>0</v>
      </c>
      <c r="L39" s="53">
        <v>0</v>
      </c>
      <c r="M39" s="63">
        <f t="shared" si="13"/>
      </c>
      <c r="N39" s="63">
        <f ref="N39:N40" t="shared" si="18">J39*0.02399534</f>
      </c>
      <c r="O39" s="64">
        <v>0</v>
      </c>
      <c r="P39" s="55"/>
      <c r="Q39" s="65">
        <f t="shared" si="14"/>
      </c>
      <c r="R39" s="63">
        <f t="shared" si="15"/>
      </c>
      <c r="S39" s="55"/>
      <c r="T39" s="55"/>
      <c r="U39" s="63">
        <f t="shared" si="16"/>
      </c>
      <c r="V39" s="63">
        <v>0</v>
      </c>
      <c r="W39" s="63">
        <v>0</v>
      </c>
      <c r="X39" s="55"/>
      <c r="Y39" s="63">
        <v>0</v>
      </c>
      <c r="Z39" s="63">
        <f t="shared" si="17"/>
      </c>
      <c r="AA39" s="55"/>
      <c r="AB39" s="63">
        <v>0</v>
      </c>
      <c r="AC39" s="63">
        <v>0</v>
      </c>
      <c r="AD39" s="55"/>
      <c r="AE39" s="55"/>
      <c r="AF39" s="66"/>
      <c r="AG39" s="37"/>
    </row>
    <row r="40">
      <c r="A40" s="59" t="s">
        <v>94</v>
      </c>
      <c r="B40" s="60" t="s">
        <v>95</v>
      </c>
      <c r="C40" s="90" t="s">
        <v>87</v>
      </c>
      <c r="D40" s="73"/>
      <c r="E40" s="73"/>
      <c r="F40" s="73"/>
      <c r="G40" s="62">
        <v>41180</v>
      </c>
      <c r="H40" s="62">
        <v>41178</v>
      </c>
      <c r="I40" s="62">
        <v>41192</v>
      </c>
      <c r="J40" s="63">
        <v>0.165625</v>
      </c>
      <c r="K40" s="53">
        <v>0</v>
      </c>
      <c r="L40" s="53">
        <v>0</v>
      </c>
      <c r="M40" s="63">
        <f t="shared" si="13"/>
      </c>
      <c r="N40" s="63">
        <f t="shared" si="18"/>
      </c>
      <c r="O40" s="64">
        <v>0</v>
      </c>
      <c r="P40" s="68"/>
      <c r="Q40" s="65">
        <f t="shared" si="14"/>
      </c>
      <c r="R40" s="63">
        <f t="shared" si="15"/>
      </c>
      <c r="S40" s="68"/>
      <c r="T40" s="68"/>
      <c r="U40" s="63">
        <f t="shared" si="16"/>
      </c>
      <c r="V40" s="63">
        <v>0</v>
      </c>
      <c r="W40" s="63">
        <v>0</v>
      </c>
      <c r="X40" s="68"/>
      <c r="Y40" s="63">
        <v>0</v>
      </c>
      <c r="Z40" s="63">
        <f t="shared" si="17"/>
      </c>
      <c r="AA40" s="68"/>
      <c r="AB40" s="63">
        <v>0</v>
      </c>
      <c r="AC40" s="63">
        <v>0</v>
      </c>
      <c r="AD40" s="68"/>
      <c r="AE40" s="68"/>
      <c r="AF40" s="70"/>
      <c r="AG40" s="37"/>
    </row>
    <row r="41">
      <c r="A41" s="71"/>
      <c r="B41" s="72"/>
      <c r="C41" s="9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96</v>
      </c>
      <c r="B44" s="60" t="s">
        <v>97</v>
      </c>
      <c r="C44" s="90" t="s">
        <v>87</v>
      </c>
      <c r="D44" s="61"/>
      <c r="E44" s="61"/>
      <c r="F44" s="61"/>
      <c r="G44" s="62">
        <v>40999</v>
      </c>
      <c r="H44" s="62">
        <v>40996</v>
      </c>
      <c r="I44" s="62">
        <v>41374</v>
      </c>
      <c r="J44" s="63">
        <v>0.165625</v>
      </c>
      <c r="K44" s="53">
        <v>0</v>
      </c>
      <c r="L44" s="53">
        <v>0</v>
      </c>
      <c r="M44" s="63">
        <f ref="M44:M46" t="shared" si="19">N44+O44+V44+Z44+AB44</f>
      </c>
      <c r="N44" s="63">
        <f>J44*0.02399534</f>
      </c>
      <c r="O44" s="64">
        <v>0</v>
      </c>
      <c r="P44" s="55"/>
      <c r="Q44" s="65">
        <f ref="Q44:Q46" t="shared" si="20">N44+O44</f>
      </c>
      <c r="R44" s="63">
        <f ref="R44:R46" t="shared" si="21">J44*0.02399534</f>
      </c>
      <c r="S44" s="55"/>
      <c r="T44" s="55"/>
      <c r="U44" s="63">
        <f ref="U44:U46" t="shared" si="22">R44</f>
      </c>
      <c r="V44" s="63">
        <v>0</v>
      </c>
      <c r="W44" s="63">
        <v>0</v>
      </c>
      <c r="X44" s="55"/>
      <c r="Y44" s="63">
        <v>0</v>
      </c>
      <c r="Z44" s="63">
        <f ref="Z44:Z46" t="shared" si="23">J44*0.97600466</f>
      </c>
      <c r="AA44" s="55"/>
      <c r="AB44" s="63">
        <v>0</v>
      </c>
      <c r="AC44" s="63">
        <v>0</v>
      </c>
      <c r="AD44" s="55"/>
      <c r="AE44" s="55"/>
      <c r="AF44" s="66"/>
      <c r="AG44" s="37"/>
    </row>
    <row r="45">
      <c r="A45" s="59" t="s">
        <v>96</v>
      </c>
      <c r="B45" s="60" t="s">
        <v>97</v>
      </c>
      <c r="C45" s="90" t="s">
        <v>87</v>
      </c>
      <c r="D45" s="61"/>
      <c r="E45" s="61"/>
      <c r="F45" s="61"/>
      <c r="G45" s="62">
        <v>41089</v>
      </c>
      <c r="H45" s="62">
        <v>41087</v>
      </c>
      <c r="I45" s="62">
        <v>41100</v>
      </c>
      <c r="J45" s="63">
        <v>0.165625</v>
      </c>
      <c r="K45" s="53">
        <v>0</v>
      </c>
      <c r="L45" s="53">
        <v>0</v>
      </c>
      <c r="M45" s="63">
        <f t="shared" si="19"/>
      </c>
      <c r="N45" s="63">
        <f ref="N45:N46" t="shared" si="24">J45*0.02399534</f>
      </c>
      <c r="O45" s="64">
        <v>0</v>
      </c>
      <c r="P45" s="55"/>
      <c r="Q45" s="65">
        <f t="shared" si="20"/>
      </c>
      <c r="R45" s="63">
        <f t="shared" si="21"/>
      </c>
      <c r="S45" s="55"/>
      <c r="T45" s="55"/>
      <c r="U45" s="63">
        <f t="shared" si="22"/>
      </c>
      <c r="V45" s="63">
        <v>0</v>
      </c>
      <c r="W45" s="63">
        <v>0</v>
      </c>
      <c r="X45" s="55"/>
      <c r="Y45" s="63">
        <v>0</v>
      </c>
      <c r="Z45" s="63">
        <f t="shared" si="23"/>
      </c>
      <c r="AA45" s="55"/>
      <c r="AB45" s="63">
        <v>0</v>
      </c>
      <c r="AC45" s="63">
        <v>0</v>
      </c>
      <c r="AD45" s="55"/>
      <c r="AE45" s="55"/>
      <c r="AF45" s="66"/>
      <c r="AG45" s="37"/>
    </row>
    <row r="46">
      <c r="A46" s="59" t="s">
        <v>96</v>
      </c>
      <c r="B46" s="60" t="s">
        <v>97</v>
      </c>
      <c r="C46" s="90" t="s">
        <v>87</v>
      </c>
      <c r="D46" s="73"/>
      <c r="E46" s="73"/>
      <c r="F46" s="73"/>
      <c r="G46" s="62">
        <v>41180</v>
      </c>
      <c r="H46" s="62">
        <v>41178</v>
      </c>
      <c r="I46" s="62">
        <v>41192</v>
      </c>
      <c r="J46" s="63">
        <v>0.165625</v>
      </c>
      <c r="K46" s="53">
        <v>0</v>
      </c>
      <c r="L46" s="53">
        <v>0</v>
      </c>
      <c r="M46" s="63">
        <f t="shared" si="19"/>
      </c>
      <c r="N46" s="63">
        <f t="shared" si="24"/>
      </c>
      <c r="O46" s="64">
        <v>0</v>
      </c>
      <c r="P46" s="68"/>
      <c r="Q46" s="65">
        <f t="shared" si="20"/>
      </c>
      <c r="R46" s="63">
        <f t="shared" si="21"/>
      </c>
      <c r="S46" s="68"/>
      <c r="T46" s="68"/>
      <c r="U46" s="63">
        <f t="shared" si="22"/>
      </c>
      <c r="V46" s="63">
        <v>0</v>
      </c>
      <c r="W46" s="63">
        <v>0</v>
      </c>
      <c r="X46" s="68"/>
      <c r="Y46" s="63">
        <v>0</v>
      </c>
      <c r="Z46" s="63">
        <f t="shared" si="23"/>
      </c>
      <c r="AA46" s="68"/>
      <c r="AB46" s="63">
        <v>0</v>
      </c>
      <c r="AC46" s="63">
        <v>0</v>
      </c>
      <c r="AD46" s="68"/>
      <c r="AE46" s="68"/>
      <c r="AF46" s="70"/>
      <c r="AG46" s="37"/>
    </row>
    <row r="47">
      <c r="A47" s="71"/>
      <c r="B47" s="72"/>
      <c r="C47" s="9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dcterms:created xsi:type="dcterms:W3CDTF">2012-11-27T14:14:45Z</dcterms:created>
  <dcterms:modified xsi:type="dcterms:W3CDTF">2013-01-21T20:11:28Z</dcterms:modified>
</cp:coreProperties>
</file>