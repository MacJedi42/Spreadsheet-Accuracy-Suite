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Records3.xml" ContentType="application/vnd.openxmlformats-officedocument.spreadsheetml.pivotCacheRecord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B10" i="1" l="1"/>
  <c r="B24" i="1" s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J27" i="1" l="1"/>
  <c r="J28" i="1"/>
  <c r="J29" i="1"/>
  <c r="J30" i="1"/>
  <c r="J31" i="1"/>
  <c r="J32" i="1"/>
  <c r="J33" i="1"/>
  <c r="J34" i="1"/>
  <c r="J35" i="1"/>
  <c r="K35" i="1" l="1"/>
  <c r="K34" i="1"/>
  <c r="K32" i="1"/>
  <c r="K30" i="1"/>
  <c r="K28" i="1"/>
  <c r="K33" i="1"/>
  <c r="K31" i="1"/>
  <c r="K29" i="1"/>
  <c r="K27" i="1"/>
  <c r="M43" i="1"/>
  <c r="D27" i="1" l="1"/>
  <c r="F27" i="1"/>
  <c r="H27" i="1"/>
  <c r="D28" i="1"/>
  <c r="F28" i="1"/>
  <c r="H28" i="1"/>
  <c r="D29" i="1"/>
  <c r="F29" i="1"/>
  <c r="H29" i="1"/>
  <c r="D30" i="1"/>
  <c r="F30" i="1"/>
  <c r="H30" i="1"/>
  <c r="D31" i="1"/>
  <c r="F31" i="1"/>
  <c r="H31" i="1"/>
  <c r="D32" i="1"/>
  <c r="F32" i="1"/>
  <c r="H32" i="1"/>
  <c r="D33" i="1"/>
  <c r="F33" i="1"/>
  <c r="H33" i="1"/>
  <c r="D34" i="1"/>
  <c r="F34" i="1"/>
  <c r="H34" i="1"/>
  <c r="D35" i="1"/>
  <c r="F35" i="1"/>
  <c r="H35" i="1"/>
  <c r="B28" i="1"/>
  <c r="B29" i="1"/>
  <c r="B30" i="1"/>
  <c r="B31" i="1"/>
  <c r="B32" i="1"/>
  <c r="B33" i="1"/>
  <c r="B34" i="1"/>
  <c r="B35" i="1"/>
  <c r="B27" i="1"/>
  <c r="G35" i="1" l="1"/>
  <c r="C35" i="1"/>
  <c r="I35" i="1"/>
  <c r="E35" i="1"/>
  <c r="C27" i="1"/>
  <c r="C34" i="1"/>
  <c r="C32" i="1"/>
  <c r="C30" i="1"/>
  <c r="C28" i="1"/>
  <c r="I34" i="1"/>
  <c r="E34" i="1"/>
  <c r="G33" i="1"/>
  <c r="I32" i="1"/>
  <c r="E32" i="1"/>
  <c r="G31" i="1"/>
  <c r="I30" i="1"/>
  <c r="E30" i="1"/>
  <c r="G29" i="1"/>
  <c r="I28" i="1"/>
  <c r="E28" i="1"/>
  <c r="G27" i="1"/>
  <c r="C33" i="1"/>
  <c r="C31" i="1"/>
  <c r="C29" i="1"/>
  <c r="G34" i="1"/>
  <c r="I33" i="1"/>
  <c r="E33" i="1"/>
  <c r="G32" i="1"/>
  <c r="I31" i="1"/>
  <c r="E31" i="1"/>
  <c r="G30" i="1"/>
  <c r="I29" i="1"/>
  <c r="E29" i="1"/>
  <c r="G28" i="1"/>
  <c r="I27" i="1"/>
  <c r="E27" i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27" i="1"/>
  <c r="N27" i="1" s="1"/>
  <c r="M14" i="1"/>
  <c r="M15" i="1"/>
  <c r="M16" i="1"/>
  <c r="M17" i="1"/>
  <c r="M18" i="1"/>
  <c r="M19" i="1"/>
  <c r="M20" i="1"/>
  <c r="M21" i="1"/>
  <c r="M13" i="1"/>
  <c r="F4" i="3"/>
  <c r="F6" i="3"/>
  <c r="F7" i="3"/>
  <c r="F8" i="3"/>
  <c r="F9" i="3"/>
  <c r="F10" i="3"/>
  <c r="F11" i="3"/>
  <c r="F3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J16" i="5"/>
  <c r="H16" i="1"/>
  <c r="I20" i="1" s="1"/>
  <c r="H17" i="5"/>
  <c r="I17" i="5" s="1"/>
  <c r="F17" i="1"/>
  <c r="G16" i="1" s="1"/>
  <c r="F18" i="5"/>
  <c r="G18" i="5" s="1"/>
  <c r="D18" i="1"/>
  <c r="E20" i="1" s="1"/>
  <c r="D19" i="5"/>
  <c r="E19" i="5" s="1"/>
  <c r="B19" i="1"/>
  <c r="B20" i="5"/>
  <c r="C20" i="5" s="1"/>
  <c r="J19" i="1"/>
  <c r="J20" i="5"/>
  <c r="J13" i="1"/>
  <c r="K20" i="1" s="1"/>
  <c r="N20" i="1" s="1"/>
  <c r="J14" i="5"/>
  <c r="K14" i="5" s="1"/>
  <c r="K16" i="1"/>
  <c r="N16" i="1" s="1"/>
  <c r="K13" i="1"/>
  <c r="K14" i="1"/>
  <c r="N14" i="1" s="1"/>
  <c r="C20" i="1"/>
  <c r="I21" i="1"/>
  <c r="I17" i="1"/>
  <c r="G20" i="1"/>
  <c r="G15" i="1"/>
  <c r="E13" i="1"/>
  <c r="C17" i="1"/>
  <c r="I18" i="1"/>
  <c r="G19" i="1"/>
  <c r="G13" i="1"/>
  <c r="I15" i="1"/>
  <c r="G18" i="1"/>
  <c r="I19" i="1"/>
  <c r="C16" i="1"/>
  <c r="C15" i="1"/>
  <c r="I16" i="1"/>
  <c r="G17" i="1"/>
  <c r="E18" i="1"/>
  <c r="C19" i="1"/>
  <c r="C21" i="1"/>
  <c r="E14" i="1"/>
  <c r="E15" i="1"/>
  <c r="E19" i="1"/>
  <c r="C14" i="1"/>
  <c r="C18" i="1"/>
  <c r="C13" i="1"/>
  <c r="I13" i="1"/>
  <c r="G21" i="1"/>
  <c r="I14" i="1"/>
  <c r="E16" i="1"/>
  <c r="G14" i="1"/>
  <c r="E17" i="1"/>
  <c r="E21" i="1"/>
  <c r="L7" i="1"/>
  <c r="M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K15" i="1" l="1"/>
  <c r="N15" i="1" s="1"/>
  <c r="K18" i="1"/>
  <c r="N18" i="1" s="1"/>
  <c r="K19" i="1"/>
  <c r="N19" i="1" s="1"/>
  <c r="K21" i="1"/>
  <c r="N21" i="1" s="1"/>
  <c r="K17" i="1"/>
  <c r="N17" i="1" s="1"/>
  <c r="C19" i="5"/>
  <c r="H4" i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5" i="5"/>
  <c r="B5" i="1"/>
  <c r="B6" i="5"/>
  <c r="H5" i="1"/>
  <c r="H6" i="5"/>
  <c r="D5" i="1"/>
  <c r="D7" i="1" s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N13" i="1"/>
  <c r="J7" i="1"/>
  <c r="M4" i="1"/>
  <c r="M5" i="1"/>
  <c r="F7" i="1" l="1"/>
  <c r="H7" i="1"/>
  <c r="B7" i="1"/>
  <c r="F8" i="5"/>
  <c r="G44" i="5" s="1"/>
  <c r="J8" i="5"/>
  <c r="K44" i="5" s="1"/>
  <c r="B8" i="5"/>
  <c r="C5" i="5" s="1"/>
  <c r="G6" i="5"/>
  <c r="D8" i="5"/>
  <c r="E44" i="5" s="1"/>
  <c r="H8" i="5"/>
  <c r="I44" i="5" s="1"/>
  <c r="K5" i="1"/>
  <c r="N5" i="1" s="1"/>
  <c r="N43" i="1"/>
  <c r="K6" i="1"/>
  <c r="N6" i="1" s="1"/>
  <c r="K4" i="1"/>
  <c r="N4" i="1" s="1"/>
  <c r="I6" i="1"/>
  <c r="G4" i="1"/>
  <c r="E6" i="1"/>
  <c r="C4" i="1"/>
  <c r="I4" i="1"/>
  <c r="G6" i="1"/>
  <c r="E4" i="1"/>
  <c r="I5" i="1"/>
  <c r="E5" i="1"/>
  <c r="C5" i="1"/>
  <c r="C6" i="1"/>
  <c r="G5" i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<sst xmlns="http://schemas.openxmlformats.org/spreadsheetml/2006/main" count="316" uniqueCount="60">
  <si>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</si>
  <si>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</si>
  <si>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</si>
  <si>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</si>
  <si>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</si>
  <si>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</si>
  <si>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</si>
  <si>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</si>
  <si>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</si>
  <si>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</si>
  <si>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</si>
  <si>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</si>
  <si>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</si>
  <si>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</si>
  <si>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</si>
  <si>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</si>
  <si>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</si>
  <si>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</si>
  <si>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</si>
  <si>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</si>
  <si>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</si>
  <si>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</si>
  <si>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</si>
  <si>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</si>
  <si>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</si>
  <si>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</si>
  <si>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</si>
  <si>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</si>
  <si>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</si>
  <si>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</si>
  <si>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</si>
  <si>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</si>
  <si>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</si>
  <si>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</si>
  <si>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</si>
  <si>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</si>
  <si>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</si>
  <si>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</si>
  <si>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</si>
  <si>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</si>
  <si>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</si>
  <si>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</si>
  <si>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</si>
  <si>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</si>
  <si>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</si>
  <si>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</si>
  <si>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</si>
  <si>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</si>
  <si>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</si>
  <si>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</si>
  <si>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</si>
  <si>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</si>
  <si>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</si>
  <si>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</si>
  <si>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</si>
  <si>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</si>
  <si>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</si>
  <si>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</si>
  <si>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</si>
  <si>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5 Year MSJC TEM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</si>
</sst>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40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3" fillId="0" borderId="36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40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1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23" fillId="0" borderId="36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9" fontId="29" fillId="0" borderId="53" xfId="2" applyNumberFormat="1" applyFont="1" applyBorder="1" applyAlignment="1">
      <alignment horizontal="center" vertical="center"/>
    </xf>
    <xf numFmtId="0" fontId="16" fillId="0" borderId="54" xfId="2" applyFont="1" applyBorder="1" applyAlignment="1">
      <alignment horizontal="right"/>
    </xf>
    <xf numFmtId="0" fontId="22" fillId="0" borderId="54" xfId="2" applyFont="1" applyBorder="1" applyAlignment="1">
      <alignment horizontal="center"/>
    </xf>
    <xf numFmtId="0" fontId="30" fillId="0" borderId="14" xfId="0" applyFont="1" applyBorder="1"/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6" xfId="117" applyNumberFormat="1" applyFont="1" applyBorder="1" applyAlignment="1">
      <alignment horizontal="center" vertical="center"/>
    </xf>
    <xf numFmtId="10" fontId="23" fillId="0" borderId="55" xfId="117" applyNumberFormat="1" applyFont="1" applyBorder="1" applyAlignment="1">
      <alignment horizontal="center" vertical="center"/>
    </xf>
    <xf numFmtId="10" fontId="29" fillId="0" borderId="46" xfId="117" applyNumberFormat="1" applyFont="1" applyBorder="1" applyAlignment="1">
      <alignment horizontal="center" vertical="center"/>
    </xf>
    <xf numFmtId="0" fontId="30" fillId="0" borderId="51" xfId="0" applyFont="1" applyBorder="1"/>
    <xf numFmtId="0" fontId="30" fillId="0" borderId="52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6" xfId="2" applyFont="1" applyBorder="1" applyAlignment="1">
      <alignment horizontal="center" vertical="center"/>
    </xf>
    <xf numFmtId="3" fontId="33" fillId="0" borderId="56" xfId="118" applyNumberFormat="1" applyFont="1" applyBorder="1" applyAlignment="1"/>
    <xf numFmtId="0" fontId="0" fillId="0" borderId="56" xfId="0" applyBorder="1"/>
    <xf numFmtId="0" fontId="0" fillId="0" borderId="48" xfId="0" applyBorder="1"/>
    <xf numFmtId="0" fontId="0" fillId="0" borderId="22" xfId="0" applyBorder="1"/>
    <xf numFmtId="0" fontId="0" fillId="0" borderId="0" xfId="0" applyBorder="1"/>
    <xf numFmtId="0" fontId="0" fillId="0" borderId="57" xfId="0" applyBorder="1"/>
    <xf numFmtId="0" fontId="19" fillId="0" borderId="54" xfId="49" applyBorder="1" applyAlignment="1" applyProtection="1"/>
    <xf numFmtId="0" fontId="0" fillId="0" borderId="55" xfId="0" applyBorder="1"/>
    <xf numFmtId="0" fontId="0" fillId="0" borderId="46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164" fontId="16" fillId="34" borderId="58" xfId="0" applyNumberFormat="1" applyFont="1" applyFill="1" applyBorder="1"/>
    <xf numFmtId="0" fontId="25" fillId="0" borderId="40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28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3" fontId="23" fillId="0" borderId="44" xfId="2" applyNumberFormat="1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42" xfId="2" applyFont="1" applyBorder="1" applyAlignment="1">
      <alignment horizont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1466</c:v>
                </c:pt>
                <c:pt idx="1">
                  <c:v>2379</c:v>
                </c:pt>
                <c:pt idx="2">
                  <c:v>2588</c:v>
                </c:pt>
                <c:pt idx="3">
                  <c:v>2196</c:v>
                </c:pt>
                <c:pt idx="4">
                  <c:v>1839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822</c:v>
                </c:pt>
                <c:pt idx="1">
                  <c:v>1435</c:v>
                </c:pt>
                <c:pt idx="2">
                  <c:v>1808</c:v>
                </c:pt>
                <c:pt idx="3">
                  <c:v>1660</c:v>
                </c:pt>
                <c:pt idx="4">
                  <c:v>1404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23</c:v>
                </c:pt>
                <c:pt idx="1">
                  <c:v>46</c:v>
                </c:pt>
                <c:pt idx="2">
                  <c:v>48</c:v>
                </c:pt>
                <c:pt idx="3">
                  <c:v>35</c:v>
                </c:pt>
                <c:pt idx="4">
                  <c:v>22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918464"/>
        <c:axId val="213920384"/>
      </c:barChart>
      <c:catAx>
        <c:axId val="21391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13920384"/>
        <c:crosses val="autoZero"/>
        <c:auto val="1"/>
        <c:lblAlgn val="ctr"/>
        <c:lblOffset val="100"/>
        <c:noMultiLvlLbl val="0"/>
      </c:catAx>
      <c:valAx>
        <c:axId val="213920384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391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1125</c:v>
                </c:pt>
                <c:pt idx="1">
                  <c:v>1816</c:v>
                </c:pt>
                <c:pt idx="2">
                  <c:v>2066</c:v>
                </c:pt>
                <c:pt idx="3">
                  <c:v>1789</c:v>
                </c:pt>
                <c:pt idx="4">
                  <c:v>1417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558</c:v>
                </c:pt>
                <c:pt idx="1">
                  <c:v>1016</c:v>
                </c:pt>
                <c:pt idx="2">
                  <c:v>1185</c:v>
                </c:pt>
                <c:pt idx="3">
                  <c:v>1164</c:v>
                </c:pt>
                <c:pt idx="4">
                  <c:v>1103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196</c:v>
                </c:pt>
                <c:pt idx="1">
                  <c:v>322</c:v>
                </c:pt>
                <c:pt idx="2">
                  <c:v>341</c:v>
                </c:pt>
                <c:pt idx="3">
                  <c:v>205</c:v>
                </c:pt>
                <c:pt idx="4">
                  <c:v>126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</c:v>
                </c:pt>
                <c:pt idx="1">
                  <c:v>264</c:v>
                </c:pt>
                <c:pt idx="2">
                  <c:v>285</c:v>
                </c:pt>
                <c:pt idx="3">
                  <c:v>220</c:v>
                </c:pt>
                <c:pt idx="4">
                  <c:v>174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132</c:v>
                </c:pt>
                <c:pt idx="1">
                  <c:v>189</c:v>
                </c:pt>
                <c:pt idx="2">
                  <c:v>234</c:v>
                </c:pt>
                <c:pt idx="3">
                  <c:v>175</c:v>
                </c:pt>
                <c:pt idx="4">
                  <c:v>152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68</c:v>
                </c:pt>
                <c:pt idx="1">
                  <c:v>111</c:v>
                </c:pt>
                <c:pt idx="2">
                  <c:v>119</c:v>
                </c:pt>
                <c:pt idx="3">
                  <c:v>126</c:v>
                </c:pt>
                <c:pt idx="4">
                  <c:v>95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32</c:v>
                </c:pt>
                <c:pt idx="1">
                  <c:v>68</c:v>
                </c:pt>
                <c:pt idx="2">
                  <c:v>151</c:v>
                </c:pt>
                <c:pt idx="3">
                  <c:v>173</c:v>
                </c:pt>
                <c:pt idx="4">
                  <c:v>173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27</c:v>
                </c:pt>
                <c:pt idx="1">
                  <c:v>44</c:v>
                </c:pt>
                <c:pt idx="2">
                  <c:v>39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19</c:v>
                </c:pt>
                <c:pt idx="1">
                  <c:v>30</c:v>
                </c:pt>
                <c:pt idx="2">
                  <c:v>24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100224"/>
        <c:axId val="214434176"/>
      </c:barChart>
      <c:catAx>
        <c:axId val="21410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14434176"/>
        <c:crosses val="autoZero"/>
        <c:auto val="1"/>
        <c:lblAlgn val="ctr"/>
        <c:lblOffset val="100"/>
        <c:noMultiLvlLbl val="0"/>
      </c:catAx>
      <c:valAx>
        <c:axId val="21443417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100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57</c:v>
                </c:pt>
                <c:pt idx="1">
                  <c:v>180</c:v>
                </c:pt>
                <c:pt idx="2">
                  <c:v>128</c:v>
                </c:pt>
                <c:pt idx="3">
                  <c:v>59</c:v>
                </c:pt>
                <c:pt idx="4">
                  <c:v>19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472</c:v>
                </c:pt>
                <c:pt idx="1">
                  <c:v>843</c:v>
                </c:pt>
                <c:pt idx="2">
                  <c:v>1071</c:v>
                </c:pt>
                <c:pt idx="3">
                  <c:v>837</c:v>
                </c:pt>
                <c:pt idx="4">
                  <c:v>697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826</c:v>
                </c:pt>
                <c:pt idx="1">
                  <c:v>1281</c:v>
                </c:pt>
                <c:pt idx="2">
                  <c:v>1454</c:v>
                </c:pt>
                <c:pt idx="3">
                  <c:v>1416</c:v>
                </c:pt>
                <c:pt idx="4">
                  <c:v>1305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283</c:v>
                </c:pt>
                <c:pt idx="1">
                  <c:v>435</c:v>
                </c:pt>
                <c:pt idx="2">
                  <c:v>545</c:v>
                </c:pt>
                <c:pt idx="3">
                  <c:v>522</c:v>
                </c:pt>
                <c:pt idx="4">
                  <c:v>422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196</c:v>
                </c:pt>
                <c:pt idx="1">
                  <c:v>248</c:v>
                </c:pt>
                <c:pt idx="2">
                  <c:v>308</c:v>
                </c:pt>
                <c:pt idx="3">
                  <c:v>291</c:v>
                </c:pt>
                <c:pt idx="4">
                  <c:v>234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142</c:v>
                </c:pt>
                <c:pt idx="1">
                  <c:v>236</c:v>
                </c:pt>
                <c:pt idx="2">
                  <c:v>259</c:v>
                </c:pt>
                <c:pt idx="3">
                  <c:v>225</c:v>
                </c:pt>
                <c:pt idx="4">
                  <c:v>179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233</c:v>
                </c:pt>
                <c:pt idx="1">
                  <c:v>406</c:v>
                </c:pt>
                <c:pt idx="2">
                  <c:v>443</c:v>
                </c:pt>
                <c:pt idx="3">
                  <c:v>363</c:v>
                </c:pt>
                <c:pt idx="4">
                  <c:v>276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101</c:v>
                </c:pt>
                <c:pt idx="1">
                  <c:v>231</c:v>
                </c:pt>
                <c:pt idx="2">
                  <c:v>235</c:v>
                </c:pt>
                <c:pt idx="3">
                  <c:v>178</c:v>
                </c:pt>
                <c:pt idx="4">
                  <c:v>133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178432"/>
        <c:axId val="214188800"/>
      </c:barChart>
      <c:catAx>
        <c:axId val="21417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14188800"/>
        <c:crosses val="autoZero"/>
        <c:auto val="1"/>
        <c:lblAlgn val="ctr"/>
        <c:lblOffset val="100"/>
        <c:noMultiLvlLbl val="0"/>
      </c:catAx>
      <c:valAx>
        <c:axId val="214188800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17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gender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Ethnic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SPS/BASE/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57</v>
          </cell>
          <cell r="C5">
            <v>180</v>
          </cell>
          <cell r="D5">
            <v>128</v>
          </cell>
          <cell r="E5">
            <v>59</v>
          </cell>
          <cell r="F5">
            <v>19</v>
          </cell>
          <cell r="G5">
            <v>443</v>
          </cell>
        </row>
        <row r="6">
          <cell r="A6" t="str">
            <v>18 &amp; 19</v>
          </cell>
          <cell r="B6">
            <v>472</v>
          </cell>
          <cell r="C6">
            <v>843</v>
          </cell>
          <cell r="D6">
            <v>1071</v>
          </cell>
          <cell r="E6">
            <v>837</v>
          </cell>
          <cell r="F6">
            <v>697</v>
          </cell>
          <cell r="G6">
            <v>3920</v>
          </cell>
        </row>
        <row r="7">
          <cell r="A7" t="str">
            <v>20 to 24</v>
          </cell>
          <cell r="B7">
            <v>826</v>
          </cell>
          <cell r="C7">
            <v>1281</v>
          </cell>
          <cell r="D7">
            <v>1454</v>
          </cell>
          <cell r="E7">
            <v>1416</v>
          </cell>
          <cell r="F7">
            <v>1305</v>
          </cell>
          <cell r="G7">
            <v>6282</v>
          </cell>
        </row>
        <row r="8">
          <cell r="A8" t="str">
            <v>25 to 29</v>
          </cell>
          <cell r="B8">
            <v>283</v>
          </cell>
          <cell r="C8">
            <v>435</v>
          </cell>
          <cell r="D8">
            <v>545</v>
          </cell>
          <cell r="E8">
            <v>522</v>
          </cell>
          <cell r="F8">
            <v>422</v>
          </cell>
          <cell r="G8">
            <v>2207</v>
          </cell>
        </row>
        <row r="9">
          <cell r="A9" t="str">
            <v>30 to 34</v>
          </cell>
          <cell r="B9">
            <v>196</v>
          </cell>
          <cell r="C9">
            <v>248</v>
          </cell>
          <cell r="D9">
            <v>308</v>
          </cell>
          <cell r="E9">
            <v>291</v>
          </cell>
          <cell r="F9">
            <v>234</v>
          </cell>
          <cell r="G9">
            <v>1277</v>
          </cell>
        </row>
        <row r="10">
          <cell r="A10" t="str">
            <v>35 to 39</v>
          </cell>
          <cell r="B10">
            <v>142</v>
          </cell>
          <cell r="C10">
            <v>236</v>
          </cell>
          <cell r="D10">
            <v>259</v>
          </cell>
          <cell r="E10">
            <v>225</v>
          </cell>
          <cell r="F10">
            <v>179</v>
          </cell>
          <cell r="G10">
            <v>1041</v>
          </cell>
        </row>
        <row r="11">
          <cell r="A11" t="str">
            <v>40 to 49</v>
          </cell>
          <cell r="B11">
            <v>233</v>
          </cell>
          <cell r="C11">
            <v>406</v>
          </cell>
          <cell r="D11">
            <v>443</v>
          </cell>
          <cell r="E11">
            <v>363</v>
          </cell>
          <cell r="F11">
            <v>276</v>
          </cell>
          <cell r="G11">
            <v>1721</v>
          </cell>
        </row>
        <row r="12">
          <cell r="A12" t="str">
            <v>50 +</v>
          </cell>
          <cell r="B12">
            <v>101</v>
          </cell>
          <cell r="C12">
            <v>231</v>
          </cell>
          <cell r="D12">
            <v>235</v>
          </cell>
          <cell r="E12">
            <v>178</v>
          </cell>
          <cell r="F12">
            <v>133</v>
          </cell>
          <cell r="G12">
            <v>878</v>
          </cell>
        </row>
        <row r="13">
          <cell r="A13" t="str">
            <v>unknown</v>
          </cell>
          <cell r="B13">
            <v>1</v>
          </cell>
          <cell r="C13"/>
          <cell r="D13">
            <v>1</v>
          </cell>
          <cell r="E13"/>
          <cell r="F13"/>
          <cell r="G13">
            <v>2</v>
          </cell>
        </row>
        <row r="14">
          <cell r="A14" t="str">
            <v>Grand Total</v>
          </cell>
          <cell r="B14">
            <v>2311</v>
          </cell>
          <cell r="C14">
            <v>3860</v>
          </cell>
          <cell r="D14">
            <v>4444</v>
          </cell>
          <cell r="E14">
            <v>3891</v>
          </cell>
          <cell r="F14">
            <v>3265</v>
          </cell>
          <cell r="G14">
            <v>17771</v>
          </cell>
        </row>
        <row r="21">
          <cell r="B21"/>
          <cell r="C21"/>
          <cell r="D21"/>
          <cell r="E21"/>
          <cell r="F21"/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822</v>
          </cell>
          <cell r="C5">
            <v>1435</v>
          </cell>
          <cell r="D5">
            <v>1808</v>
          </cell>
          <cell r="E5">
            <v>1660</v>
          </cell>
          <cell r="F5">
            <v>1404</v>
          </cell>
          <cell r="G5">
            <v>7129</v>
          </cell>
        </row>
        <row r="6">
          <cell r="A6" t="str">
            <v>F</v>
          </cell>
          <cell r="B6">
            <v>1466</v>
          </cell>
          <cell r="C6">
            <v>2379</v>
          </cell>
          <cell r="D6">
            <v>2588</v>
          </cell>
          <cell r="E6">
            <v>2196</v>
          </cell>
          <cell r="F6">
            <v>1839</v>
          </cell>
          <cell r="G6">
            <v>10468</v>
          </cell>
        </row>
        <row r="7">
          <cell r="A7" t="str">
            <v>(blank)</v>
          </cell>
          <cell r="B7">
            <v>23</v>
          </cell>
          <cell r="C7">
            <v>46</v>
          </cell>
          <cell r="D7">
            <v>48</v>
          </cell>
          <cell r="E7">
            <v>35</v>
          </cell>
          <cell r="F7">
            <v>22</v>
          </cell>
          <cell r="G7">
            <v>174</v>
          </cell>
        </row>
        <row r="8">
          <cell r="A8" t="str">
            <v>Grand Total</v>
          </cell>
          <cell r="B8">
            <v>2311</v>
          </cell>
          <cell r="C8">
            <v>3860</v>
          </cell>
          <cell r="D8">
            <v>4444</v>
          </cell>
          <cell r="E8">
            <v>3891</v>
          </cell>
          <cell r="F8">
            <v>3265</v>
          </cell>
          <cell r="G8">
            <v>17771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555</v>
          </cell>
          <cell r="C4">
            <v>1011</v>
          </cell>
          <cell r="D4">
            <v>1146</v>
          </cell>
          <cell r="E4">
            <v>1127</v>
          </cell>
          <cell r="F4">
            <v>1069</v>
          </cell>
        </row>
        <row r="5">
          <cell r="A5" t="str">
            <v>Grand Total</v>
          </cell>
          <cell r="B5">
            <v>3</v>
          </cell>
          <cell r="C5">
            <v>5</v>
          </cell>
          <cell r="D5">
            <v>39</v>
          </cell>
          <cell r="E5">
            <v>37</v>
          </cell>
          <cell r="F5">
            <v>34</v>
          </cell>
        </row>
        <row r="6">
          <cell r="A6" t="str">
            <v>Hispanic</v>
          </cell>
          <cell r="B6">
            <v>558</v>
          </cell>
          <cell r="C6">
            <v>1016</v>
          </cell>
          <cell r="D6">
            <v>1185</v>
          </cell>
          <cell r="E6">
            <v>1164</v>
          </cell>
          <cell r="F6">
            <v>1103</v>
          </cell>
        </row>
        <row r="7">
          <cell r="A7"/>
        </row>
        <row r="8">
          <cell r="A8"/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1125</v>
          </cell>
          <cell r="C5">
            <v>1816</v>
          </cell>
          <cell r="D5">
            <v>2066</v>
          </cell>
          <cell r="E5">
            <v>1789</v>
          </cell>
          <cell r="F5">
            <v>1417</v>
          </cell>
          <cell r="G5">
            <v>8213</v>
          </cell>
        </row>
        <row r="6">
          <cell r="A6" t="str">
            <v>B</v>
          </cell>
          <cell r="B6">
            <v>154</v>
          </cell>
          <cell r="C6">
            <v>264</v>
          </cell>
          <cell r="D6">
            <v>285</v>
          </cell>
          <cell r="E6">
            <v>220</v>
          </cell>
          <cell r="F6">
            <v>174</v>
          </cell>
          <cell r="G6">
            <v>1097</v>
          </cell>
        </row>
        <row r="7">
          <cell r="A7" t="str">
            <v>A</v>
          </cell>
          <cell r="B7">
            <v>68</v>
          </cell>
          <cell r="C7">
            <v>111</v>
          </cell>
          <cell r="D7">
            <v>119</v>
          </cell>
          <cell r="E7">
            <v>126</v>
          </cell>
          <cell r="F7">
            <v>95</v>
          </cell>
          <cell r="G7">
            <v>519</v>
          </cell>
        </row>
        <row r="8">
          <cell r="A8" t="str">
            <v>N</v>
          </cell>
          <cell r="B8">
            <v>27</v>
          </cell>
          <cell r="C8">
            <v>44</v>
          </cell>
          <cell r="D8">
            <v>39</v>
          </cell>
          <cell r="E8">
            <v>20</v>
          </cell>
          <cell r="F8">
            <v>10</v>
          </cell>
          <cell r="G8">
            <v>140</v>
          </cell>
        </row>
        <row r="9">
          <cell r="A9" t="str">
            <v>F</v>
          </cell>
          <cell r="B9">
            <v>132</v>
          </cell>
          <cell r="C9">
            <v>189</v>
          </cell>
          <cell r="D9">
            <v>234</v>
          </cell>
          <cell r="E9">
            <v>175</v>
          </cell>
          <cell r="F9">
            <v>152</v>
          </cell>
          <cell r="G9">
            <v>882</v>
          </cell>
        </row>
        <row r="10">
          <cell r="A10" t="str">
            <v>P</v>
          </cell>
          <cell r="B10">
            <v>19</v>
          </cell>
          <cell r="C10">
            <v>30</v>
          </cell>
          <cell r="D10">
            <v>24</v>
          </cell>
          <cell r="E10">
            <v>19</v>
          </cell>
          <cell r="F10">
            <v>15</v>
          </cell>
          <cell r="G10">
            <v>107</v>
          </cell>
        </row>
        <row r="11">
          <cell r="A11" t="str">
            <v>Grand Total</v>
          </cell>
          <cell r="B11">
            <v>1525</v>
          </cell>
          <cell r="C11">
            <v>2454</v>
          </cell>
          <cell r="D11">
            <v>2767</v>
          </cell>
          <cell r="E11">
            <v>2349</v>
          </cell>
          <cell r="F11">
            <v>1863</v>
          </cell>
          <cell r="G11">
            <v>10958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/>
          <cell r="C5">
            <v>196</v>
          </cell>
          <cell r="D5">
            <v>322</v>
          </cell>
          <cell r="E5">
            <v>341</v>
          </cell>
          <cell r="F5">
            <v>205</v>
          </cell>
          <cell r="G5">
            <v>126</v>
          </cell>
        </row>
        <row r="6">
          <cell r="A6" t="str">
            <v>U</v>
          </cell>
          <cell r="B6" t="str">
            <v>Grand Total</v>
          </cell>
          <cell r="C6">
            <v>196</v>
          </cell>
          <cell r="D6">
            <v>322</v>
          </cell>
          <cell r="E6">
            <v>341</v>
          </cell>
          <cell r="F6">
            <v>205</v>
          </cell>
          <cell r="G6">
            <v>126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32</v>
          </cell>
          <cell r="D5">
            <v>68</v>
          </cell>
          <cell r="E5">
            <v>151</v>
          </cell>
          <cell r="F5">
            <v>173</v>
          </cell>
          <cell r="G5">
            <v>173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81448611108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23" maxValue="1466"/>
    </cacheField>
    <cacheField name="AY07-08%" numFmtId="0">
      <sharedItems containsSemiMixedTypes="0" containsString="0" containsNumber="1" minValue="9.9524015577672001E-3" maxValue="0.63435742102985726"/>
    </cacheField>
    <cacheField name="AY08-09#" numFmtId="0">
      <sharedItems containsSemiMixedTypes="0" containsString="0" containsNumber="1" containsInteger="1" minValue="46" maxValue="2379"/>
    </cacheField>
    <cacheField name="AY08-09%" numFmtId="0">
      <sharedItems containsSemiMixedTypes="0" containsString="0" containsNumber="1" minValue="1.1917098445595855E-2" maxValue="0.61632124352331608"/>
    </cacheField>
    <cacheField name="AY09-10#" numFmtId="0">
      <sharedItems containsSemiMixedTypes="0" containsString="0" containsNumber="1" containsInteger="1" minValue="48" maxValue="2588"/>
    </cacheField>
    <cacheField name="AY09-10%" numFmtId="0">
      <sharedItems containsSemiMixedTypes="0" containsString="0" containsNumber="1" minValue="1.0801080108010801E-2" maxValue="0.58235823582358237"/>
    </cacheField>
    <cacheField name="AY10-11#" numFmtId="0">
      <sharedItems containsSemiMixedTypes="0" containsString="0" containsNumber="1" containsInteger="1" minValue="35" maxValue="2196"/>
    </cacheField>
    <cacheField name="AY10-11%" numFmtId="0">
      <sharedItems containsSemiMixedTypes="0" containsString="0" containsNumber="1" minValue="8.9951169365201748E-3" maxValue="0.56437933693138009"/>
    </cacheField>
    <cacheField name="AY11-12#" numFmtId="0">
      <sharedItems containsSemiMixedTypes="0" containsString="0" containsNumber="1" containsInteger="1" minValue="22" maxValue="1839"/>
    </cacheField>
    <cacheField name="AY11-12%" numFmtId="0">
      <sharedItems containsSemiMixedTypes="0" containsString="0" containsNumber="1" minValue="6.7381316998468607E-3" maxValue="0.563246554364471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81505671299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9" maxValue="1125"/>
    </cacheField>
    <cacheField name="AY07-08%" numFmtId="0">
      <sharedItems containsSemiMixedTypes="0" containsString="0" containsNumber="1" minValue="8.2215491129381223E-3" maxValue="0.48680225010817829"/>
    </cacheField>
    <cacheField name="AY08-09#" numFmtId="0">
      <sharedItems containsSemiMixedTypes="0" containsString="0" containsNumber="1" containsInteger="1" minValue="30" maxValue="1816"/>
    </cacheField>
    <cacheField name="AY08-09%" numFmtId="0">
      <sharedItems containsSemiMixedTypes="0" containsString="0" containsNumber="1" minValue="7.7720207253886009E-3" maxValue="0.47046632124352333"/>
    </cacheField>
    <cacheField name="AY09-10#" numFmtId="0">
      <sharedItems containsSemiMixedTypes="0" containsString="0" containsNumber="1" containsInteger="1" minValue="24" maxValue="2066"/>
    </cacheField>
    <cacheField name="AY09-10%" numFmtId="0">
      <sharedItems containsSemiMixedTypes="0" containsString="0" containsNumber="1" minValue="5.4005400540054005E-3" maxValue="0.46489648964896491"/>
    </cacheField>
    <cacheField name="AY10-11#" numFmtId="0">
      <sharedItems containsSemiMixedTypes="0" containsString="0" containsNumber="1" containsInteger="1" minValue="19" maxValue="1789"/>
    </cacheField>
    <cacheField name="AY10-11%" numFmtId="0">
      <sharedItems containsSemiMixedTypes="0" containsString="0" containsNumber="1" minValue="4.8830634798252377E-3" maxValue="0.45977897712670263"/>
    </cacheField>
    <cacheField name="AY11-12#" numFmtId="0">
      <sharedItems containsSemiMixedTypes="0" containsString="0" containsNumber="1" containsInteger="1" minValue="10" maxValue="1417"/>
    </cacheField>
    <cacheField name="AY11-12%" numFmtId="0">
      <sharedItems containsSemiMixedTypes="0" containsString="0" containsNumber="1" minValue="3.0627871362940277E-3" maxValue="0.433996937212863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81543750002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826"/>
    </cacheField>
    <cacheField name="AY07-08%" numFmtId="0">
      <sharedItems containsSemiMixedTypes="0" containsString="0" containsNumber="1" minValue="4.3271311120726956E-4" maxValue="0.3574210298572047"/>
    </cacheField>
    <cacheField name="AY08-09#" numFmtId="0">
      <sharedItems containsSemiMixedTypes="0" containsString="0" containsNumber="1" containsInteger="1" minValue="0" maxValue="1281"/>
    </cacheField>
    <cacheField name="AY08-09%" numFmtId="0">
      <sharedItems containsSemiMixedTypes="0" containsString="0" containsNumber="1" minValue="0" maxValue="0.33186528497409329"/>
    </cacheField>
    <cacheField name="AY09-10#" numFmtId="0">
      <sharedItems containsSemiMixedTypes="0" containsString="0" containsNumber="1" containsInteger="1" minValue="1" maxValue="1454"/>
    </cacheField>
    <cacheField name="AY09-10%" numFmtId="0">
      <sharedItems containsSemiMixedTypes="0" containsString="0" containsNumber="1" minValue="2.2502250225022501E-4" maxValue="0.32718271827182716"/>
    </cacheField>
    <cacheField name="AY10-11#" numFmtId="0">
      <sharedItems containsSemiMixedTypes="0" containsString="0" containsNumber="1" containsInteger="1" minValue="0" maxValue="1416"/>
    </cacheField>
    <cacheField name="AY10-11%" numFmtId="0">
      <sharedItems containsSemiMixedTypes="0" containsString="0" containsNumber="1" minValue="0" maxValue="0.36391673091750193"/>
    </cacheField>
    <cacheField name="AY11-12#" numFmtId="0">
      <sharedItems containsSemiMixedTypes="0" containsString="0" containsNumber="1" containsInteger="1" minValue="0" maxValue="1305"/>
    </cacheField>
    <cacheField name="AY11-12%" numFmtId="0">
      <sharedItems containsSemiMixedTypes="0" containsString="0" containsNumber="1" minValue="0" maxValue="0.399693721286370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466"/>
    <n v="0.63435742102985726"/>
    <n v="2379"/>
    <n v="0.61632124352331608"/>
    <n v="2588"/>
    <n v="0.58235823582358237"/>
    <n v="2196"/>
    <n v="0.56437933693138009"/>
    <n v="1839"/>
    <n v="0.56324655436447169"/>
    <n v="425726"/>
    <n v="0.50871708836104401"/>
  </r>
  <r>
    <x v="1"/>
    <n v="822"/>
    <n v="0.35569017741237557"/>
    <n v="1435"/>
    <n v="0.37176165803108807"/>
    <n v="1808"/>
    <n v="0.40684068406840684"/>
    <n v="1660"/>
    <n v="0.42662554613209974"/>
    <n v="1404"/>
    <n v="0.43001531393568149"/>
    <n v="411136"/>
    <n v="0.49128291163895599"/>
  </r>
  <r>
    <x v="2"/>
    <n v="23"/>
    <n v="9.9524015577672001E-3"/>
    <n v="46"/>
    <n v="1.1917098445595855E-2"/>
    <n v="48"/>
    <n v="1.0801080108010801E-2"/>
    <n v="35"/>
    <n v="8.9951169365201748E-3"/>
    <n v="22"/>
    <n v="6.7381316998468607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1125"/>
    <n v="0.48680225010817829"/>
    <n v="1816"/>
    <n v="0.47046632124352333"/>
    <n v="2066"/>
    <n v="0.46489648964896491"/>
    <n v="1789"/>
    <n v="0.45977897712670263"/>
    <n v="1417"/>
    <n v="0.4339969372128637"/>
    <n v="398271"/>
    <n v="0.47591000666776601"/>
  </r>
  <r>
    <x v="1"/>
    <n v="558"/>
    <n v="0.24145391605365643"/>
    <n v="1016"/>
    <n v="0.26321243523316062"/>
    <n v="1185"/>
    <n v="0.26665166516651667"/>
    <n v="1164"/>
    <n v="0.29915188897455669"/>
    <n v="1103"/>
    <n v="0.33782542113323122"/>
    <n v="318674"/>
    <n v="0.38079635591053246"/>
  </r>
  <r>
    <x v="2"/>
    <n v="154"/>
    <n v="6.6637819125919512E-2"/>
    <n v="264"/>
    <n v="6.8393782383419685E-2"/>
    <n v="285"/>
    <n v="6.4131413141314125E-2"/>
    <n v="220"/>
    <n v="5.6540735029555388E-2"/>
    <n v="174"/>
    <n v="5.3292496171516081E-2"/>
    <n v="43085"/>
    <n v="5.1483996166632011E-2"/>
  </r>
  <r>
    <x v="3"/>
    <n v="68"/>
    <n v="2.942449156209433E-2"/>
    <n v="111"/>
    <n v="2.8756476683937823E-2"/>
    <n v="119"/>
    <n v="2.6777677767776779E-2"/>
    <n v="126"/>
    <n v="3.2382420971472627E-2"/>
    <n v="95"/>
    <n v="2.9096477794793262E-2"/>
    <n v="21251"/>
    <n v="2.5393673030917881E-2"/>
  </r>
  <r>
    <x v="4"/>
    <n v="27"/>
    <n v="1.1683254002596278E-2"/>
    <n v="44"/>
    <n v="1.1398963730569948E-2"/>
    <n v="39"/>
    <n v="8.7758775877587753E-3"/>
    <n v="20"/>
    <n v="5.1400668208686712E-3"/>
    <n v="10"/>
    <n v="3.0627871362940277E-3"/>
    <n v="6071"/>
    <n v="7.254481623015503E-3"/>
  </r>
  <r>
    <x v="5"/>
    <n v="132"/>
    <n v="5.7118130679359586E-2"/>
    <n v="189"/>
    <n v="4.896373056994819E-2"/>
    <n v="234"/>
    <n v="5.2655265526552655E-2"/>
    <n v="175"/>
    <n v="4.4975584682600871E-2"/>
    <n v="152"/>
    <n v="4.6554364471669218E-2"/>
    <n v="23365"/>
    <n v="2.7919776498395197E-2"/>
  </r>
  <r>
    <x v="6"/>
    <n v="19"/>
    <n v="8.2215491129381223E-3"/>
    <n v="30"/>
    <n v="7.7720207253886009E-3"/>
    <n v="24"/>
    <n v="5.4005400540054005E-3"/>
    <n v="19"/>
    <n v="4.8830634798252377E-3"/>
    <n v="15"/>
    <n v="4.5941807044410417E-3"/>
    <n v="2305"/>
    <n v="2.7543370352579037E-3"/>
  </r>
  <r>
    <x v="7"/>
    <n v="32"/>
    <n v="1.3846819558632626E-2"/>
    <n v="68"/>
    <n v="1.7616580310880828E-2"/>
    <n v="151"/>
    <n v="3.3978397839783979E-2"/>
    <n v="173"/>
    <n v="4.4461578000514007E-2"/>
    <n v="173"/>
    <n v="5.2986217457886675E-2"/>
    <n v="22553"/>
    <n v="2.6949485100291326E-2"/>
  </r>
  <r>
    <x v="8"/>
    <n v="196"/>
    <n v="8.4811769796624845E-2"/>
    <n v="322"/>
    <n v="8.3419689119170984E-2"/>
    <n v="341"/>
    <n v="7.6732673267326731E-2"/>
    <n v="205"/>
    <n v="5.268568491390388E-2"/>
    <n v="126"/>
    <n v="3.8591117917304747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57"/>
    <n v="2.4664647338814367E-2"/>
    <n v="180"/>
    <n v="4.6632124352331605E-2"/>
    <n v="128"/>
    <n v="2.8802880288028802E-2"/>
    <n v="59"/>
    <n v="1.5163197121562581E-2"/>
    <n v="19"/>
    <n v="5.8192955589586523E-3"/>
    <n v="245217"/>
    <n v="0.29301963764635031"/>
  </r>
  <r>
    <x v="1"/>
    <n v="472"/>
    <n v="0.20424058848983123"/>
    <n v="843"/>
    <n v="0.21839378238341969"/>
    <n v="1071"/>
    <n v="0.24099909990999099"/>
    <n v="837"/>
    <n v="0.2151117964533539"/>
    <n v="697"/>
    <n v="0.21347626339969372"/>
    <n v="25706"/>
    <n v="3.0717131378889231E-2"/>
  </r>
  <r>
    <x v="2"/>
    <n v="826"/>
    <n v="0.3574210298572047"/>
    <n v="1281"/>
    <n v="0.33186528497409329"/>
    <n v="1454"/>
    <n v="0.32718271827182716"/>
    <n v="1416"/>
    <n v="0.36391673091750193"/>
    <n v="1305"/>
    <n v="0.3996937212863706"/>
    <n v="52893"/>
    <n v="6.3203969113187125E-2"/>
  </r>
  <r>
    <x v="3"/>
    <n v="283"/>
    <n v="0.1224578104716573"/>
    <n v="435"/>
    <n v="0.11269430051813471"/>
    <n v="545"/>
    <n v="0.12263726372637264"/>
    <n v="522"/>
    <n v="0.13415574402467231"/>
    <n v="422"/>
    <n v="0.12924961715160796"/>
    <n v="52166"/>
    <n v="6.2335247627446341E-2"/>
  </r>
  <r>
    <x v="4"/>
    <n v="196"/>
    <n v="8.4811769796624845E-2"/>
    <n v="248"/>
    <n v="6.4248704663212433E-2"/>
    <n v="308"/>
    <n v="6.9306930693069313E-2"/>
    <n v="291"/>
    <n v="7.4787972243639173E-2"/>
    <n v="234"/>
    <n v="7.1669218989280248E-2"/>
    <n v="52145"/>
    <n v="6.2310153884391928E-2"/>
  </r>
  <r>
    <x v="5"/>
    <n v="142"/>
    <n v="6.1445261791432282E-2"/>
    <n v="236"/>
    <n v="6.1139896373056994E-2"/>
    <n v="259"/>
    <n v="5.8280828082808281E-2"/>
    <n v="225"/>
    <n v="5.782575173477255E-2"/>
    <n v="179"/>
    <n v="5.4823889739663095E-2"/>
    <n v="55384"/>
    <n v="6.6180565015498377E-2"/>
  </r>
  <r>
    <x v="6"/>
    <n v="233"/>
    <n v="0.10082215491129382"/>
    <n v="406"/>
    <n v="0.10518134715025906"/>
    <n v="443"/>
    <n v="9.9684968496849685E-2"/>
    <n v="363"/>
    <n v="9.3292212798766386E-2"/>
    <n v="276"/>
    <n v="8.4532924961715161E-2"/>
    <n v="116401"/>
    <n v="0.13909222787030598"/>
  </r>
  <r>
    <x v="7"/>
    <n v="101"/>
    <n v="4.370402423193423E-2"/>
    <n v="231"/>
    <n v="5.984455958549223E-2"/>
    <n v="235"/>
    <n v="5.2880288028802881E-2"/>
    <n v="178"/>
    <n v="4.5746594705731176E-2"/>
    <n v="133"/>
    <n v="4.0735068912710566E-2"/>
    <n v="236950"/>
    <n v="0.28314106746393075"/>
  </r>
  <r>
    <x v="8"/>
    <n v="1"/>
    <n v="4.3271311120726956E-4"/>
    <n v="0"/>
    <n v="0"/>
    <n v="1"/>
    <n v="2.2502250225022501E-4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workbookViewId="0">
      <selection activeCell="S26" sqref="S26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9.85546875" bestFit="1" customWidth="1"/>
  </cols>
  <sheetData>
    <row r="1" spans="1:14" ht="15.75" customHeight="1" thickBot="1" x14ac:dyDescent="0.3">
      <c r="A1" s="125" t="s">
        <v>0</v>
      </c>
      <c r="B1" s="120" t="s">
        <v>59</v>
      </c>
      <c r="C1" s="121"/>
      <c r="D1" s="121"/>
      <c r="E1" s="121"/>
      <c r="F1" s="121"/>
      <c r="G1" s="121"/>
      <c r="H1" s="121"/>
      <c r="I1" s="121"/>
      <c r="J1" s="121"/>
      <c r="K1" s="122"/>
      <c r="L1" s="123" t="s">
        <v>1</v>
      </c>
      <c r="M1" s="124"/>
      <c r="N1" s="24" t="s">
        <v>2</v>
      </c>
    </row>
    <row r="2" spans="1:14" ht="15.75" customHeight="1" thickBot="1" x14ac:dyDescent="0.3">
      <c r="A2" s="126"/>
      <c r="B2" s="116" t="s">
        <v>3</v>
      </c>
      <c r="C2" s="117"/>
      <c r="D2" s="116" t="s">
        <v>4</v>
      </c>
      <c r="E2" s="117"/>
      <c r="F2" s="116" t="s">
        <v>5</v>
      </c>
      <c r="G2" s="117"/>
      <c r="H2" s="116" t="s">
        <v>6</v>
      </c>
      <c r="I2" s="117"/>
      <c r="J2" s="116" t="s">
        <v>7</v>
      </c>
      <c r="K2" s="117"/>
      <c r="L2" s="118" t="s">
        <v>40</v>
      </c>
      <c r="M2" s="119"/>
      <c r="N2" s="25" t="s">
        <v>8</v>
      </c>
    </row>
    <row r="3" spans="1:14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29" t="s">
        <v>10</v>
      </c>
      <c r="M3" s="64" t="s">
        <v>11</v>
      </c>
      <c r="N3" s="35" t="s">
        <v>11</v>
      </c>
    </row>
    <row r="4" spans="1:14" x14ac:dyDescent="0.25">
      <c r="A4" s="36" t="s">
        <v>12</v>
      </c>
      <c r="B4" s="39">
        <f>gender!A3</f>
        <v>1466</v>
      </c>
      <c r="C4" s="59">
        <f>B4/B$7</f>
        <v>0.63435742102985726</v>
      </c>
      <c r="D4" s="39">
        <f>gender!B3</f>
        <v>2379</v>
      </c>
      <c r="E4" s="59">
        <f>D4/D$7</f>
        <v>0.61632124352331608</v>
      </c>
      <c r="F4" s="39">
        <f>gender!C3</f>
        <v>2588</v>
      </c>
      <c r="G4" s="59">
        <f>F4/F$7</f>
        <v>0.58235823582358237</v>
      </c>
      <c r="H4" s="39">
        <f>gender!D3</f>
        <v>2196</v>
      </c>
      <c r="I4" s="59">
        <f>H4/H$7</f>
        <v>0.56437933693138009</v>
      </c>
      <c r="J4" s="62">
        <f>gender!E3</f>
        <v>1839</v>
      </c>
      <c r="K4" s="63">
        <f>J4/J$7</f>
        <v>0.56324655436447169</v>
      </c>
      <c r="L4" s="65">
        <v>425726</v>
      </c>
      <c r="M4" s="66">
        <f>L4/L$7</f>
        <v>0.50871708836104401</v>
      </c>
      <c r="N4" s="71">
        <f>K4-M4</f>
        <v>5.4529466003427673E-2</v>
      </c>
    </row>
    <row r="5" spans="1:14" x14ac:dyDescent="0.25">
      <c r="A5" s="37" t="s">
        <v>13</v>
      </c>
      <c r="B5" s="40">
        <f>gender!A4</f>
        <v>822</v>
      </c>
      <c r="C5" s="60">
        <f>B5/B$7</f>
        <v>0.35569017741237557</v>
      </c>
      <c r="D5" s="40">
        <f>gender!B4</f>
        <v>1435</v>
      </c>
      <c r="E5" s="60">
        <f>D5/D$7</f>
        <v>0.37176165803108807</v>
      </c>
      <c r="F5" s="40">
        <f>gender!C4</f>
        <v>1808</v>
      </c>
      <c r="G5" s="60">
        <f>F5/F$7</f>
        <v>0.40684068406840684</v>
      </c>
      <c r="H5" s="40">
        <f>gender!D4</f>
        <v>1660</v>
      </c>
      <c r="I5" s="60">
        <f>H5/H$7</f>
        <v>0.42662554613209974</v>
      </c>
      <c r="J5" s="40">
        <f>gender!E4</f>
        <v>1404</v>
      </c>
      <c r="K5" s="60">
        <f>J5/J$7</f>
        <v>0.43001531393568149</v>
      </c>
      <c r="L5" s="67">
        <v>411136</v>
      </c>
      <c r="M5" s="68">
        <f>L5/L$7</f>
        <v>0.49128291163895599</v>
      </c>
      <c r="N5" s="72">
        <f>K5-M5</f>
        <v>-6.1267597703274501E-2</v>
      </c>
    </row>
    <row r="6" spans="1:14" ht="15.75" thickBot="1" x14ac:dyDescent="0.3">
      <c r="A6" s="38" t="s">
        <v>14</v>
      </c>
      <c r="B6" s="41">
        <f>gender!A5</f>
        <v>23</v>
      </c>
      <c r="C6" s="61">
        <f>B6/B$7</f>
        <v>9.9524015577672001E-3</v>
      </c>
      <c r="D6" s="41">
        <f>gender!B5</f>
        <v>46</v>
      </c>
      <c r="E6" s="61">
        <f>D6/D$7</f>
        <v>1.1917098445595855E-2</v>
      </c>
      <c r="F6" s="41">
        <f>gender!C5</f>
        <v>48</v>
      </c>
      <c r="G6" s="61">
        <f>F6/F$7</f>
        <v>1.0801080108010801E-2</v>
      </c>
      <c r="H6" s="41">
        <f>gender!D5</f>
        <v>35</v>
      </c>
      <c r="I6" s="61">
        <f>H6/H$7</f>
        <v>8.9951169365201748E-3</v>
      </c>
      <c r="J6" s="41">
        <f>gender!E5</f>
        <v>22</v>
      </c>
      <c r="K6" s="61">
        <f>J6/J$7</f>
        <v>6.7381316998468607E-3</v>
      </c>
      <c r="L6" s="69">
        <v>0</v>
      </c>
      <c r="M6" s="70">
        <f>L6/L$7</f>
        <v>0</v>
      </c>
      <c r="N6" s="73">
        <f>K6-M6</f>
        <v>6.7381316998468607E-3</v>
      </c>
    </row>
    <row r="7" spans="1:14" ht="16.5" thickTop="1" thickBot="1" x14ac:dyDescent="0.3">
      <c r="A7" s="20" t="s">
        <v>15</v>
      </c>
      <c r="B7" s="27">
        <f>SUM(B4:B6)</f>
        <v>2311</v>
      </c>
      <c r="C7" s="21"/>
      <c r="D7" s="27">
        <f>SUM(D4:D6)</f>
        <v>3860</v>
      </c>
      <c r="E7" s="21"/>
      <c r="F7" s="27">
        <f>SUM(F4:F6)</f>
        <v>4444</v>
      </c>
      <c r="G7" s="21"/>
      <c r="H7" s="27">
        <f>SUM(H4:H6)</f>
        <v>3891</v>
      </c>
      <c r="I7" s="21"/>
      <c r="J7" s="27">
        <f>SUM(J4:J6)</f>
        <v>3265</v>
      </c>
      <c r="K7" s="19"/>
      <c r="L7" s="32">
        <f>SUM(L4:L6)</f>
        <v>836862</v>
      </c>
      <c r="M7" s="22"/>
      <c r="N7" s="22"/>
    </row>
    <row r="8" spans="1:14" s="31" customFormat="1" x14ac:dyDescent="0.25">
      <c r="A8" s="109" t="s">
        <v>52</v>
      </c>
      <c r="B8" s="46"/>
      <c r="C8" s="10"/>
      <c r="D8" s="46"/>
      <c r="E8" s="10"/>
      <c r="F8" s="46"/>
      <c r="G8" s="10"/>
      <c r="H8" s="46"/>
      <c r="I8" s="10"/>
      <c r="J8" s="46"/>
      <c r="K8" s="10"/>
      <c r="L8" s="47"/>
      <c r="M8" s="22"/>
      <c r="N8" s="22"/>
    </row>
    <row r="9" spans="1:14" s="31" customFormat="1" ht="15.75" thickBot="1" x14ac:dyDescent="0.3">
      <c r="A9" s="4"/>
      <c r="B9" s="46"/>
      <c r="C9" s="10"/>
      <c r="D9" s="46"/>
      <c r="E9" s="10"/>
      <c r="F9" s="46"/>
      <c r="G9" s="10"/>
      <c r="H9" s="46"/>
      <c r="I9" s="10"/>
      <c r="J9" s="46"/>
      <c r="K9" s="10"/>
      <c r="L9" s="47"/>
      <c r="M9" s="22"/>
      <c r="N9" s="22"/>
    </row>
    <row r="10" spans="1:14" s="31" customFormat="1" ht="15.75" thickBot="1" x14ac:dyDescent="0.3">
      <c r="A10" s="57"/>
      <c r="B10" s="127" t="str">
        <f>B1</f>
        <v>5 Year MSJC TEM Data</v>
      </c>
      <c r="C10" s="127"/>
      <c r="D10" s="127"/>
      <c r="E10" s="127"/>
      <c r="F10" s="127"/>
      <c r="G10" s="127"/>
      <c r="H10" s="127"/>
      <c r="I10" s="127"/>
      <c r="J10" s="127"/>
      <c r="K10" s="128"/>
      <c r="L10" s="123" t="s">
        <v>1</v>
      </c>
      <c r="M10" s="124"/>
      <c r="N10" s="24" t="s">
        <v>2</v>
      </c>
    </row>
    <row r="11" spans="1:14" ht="15.75" thickBot="1" x14ac:dyDescent="0.3">
      <c r="A11" s="74"/>
      <c r="B11" s="116" t="s">
        <v>3</v>
      </c>
      <c r="C11" s="117"/>
      <c r="D11" s="116" t="s">
        <v>4</v>
      </c>
      <c r="E11" s="117"/>
      <c r="F11" s="116" t="s">
        <v>5</v>
      </c>
      <c r="G11" s="117"/>
      <c r="H11" s="116" t="s">
        <v>6</v>
      </c>
      <c r="I11" s="117"/>
      <c r="J11" s="116" t="s">
        <v>7</v>
      </c>
      <c r="K11" s="117"/>
      <c r="L11" s="118" t="s">
        <v>40</v>
      </c>
      <c r="M11" s="119"/>
      <c r="N11" s="25" t="s">
        <v>8</v>
      </c>
    </row>
    <row r="12" spans="1:14" ht="15.75" thickBot="1" x14ac:dyDescent="0.3">
      <c r="A12" s="75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29" t="s">
        <v>10</v>
      </c>
      <c r="M12" s="64" t="s">
        <v>11</v>
      </c>
      <c r="N12" s="30" t="s">
        <v>11</v>
      </c>
    </row>
    <row r="13" spans="1:14" x14ac:dyDescent="0.25">
      <c r="A13" s="14" t="s">
        <v>17</v>
      </c>
      <c r="B13" s="11">
        <f>ethnic!A3</f>
        <v>1125</v>
      </c>
      <c r="C13" s="60">
        <f t="shared" ref="C13:C21" si="0">B13/(SUM(B$13:B$21))</f>
        <v>0.48680225010817829</v>
      </c>
      <c r="D13" s="11">
        <f>ethnic!B3</f>
        <v>1816</v>
      </c>
      <c r="E13" s="60">
        <f t="shared" ref="E13:E21" si="1">D13/(SUM(D$13:D$21))</f>
        <v>0.47046632124352333</v>
      </c>
      <c r="F13" s="11">
        <f>ethnic!C3</f>
        <v>2066</v>
      </c>
      <c r="G13" s="60">
        <f t="shared" ref="G13:G21" si="2">F13/(SUM(F$13:F$21))</f>
        <v>0.46489648964896491</v>
      </c>
      <c r="H13" s="11">
        <f>ethnic!D3</f>
        <v>1789</v>
      </c>
      <c r="I13" s="60">
        <f t="shared" ref="I13:I21" si="3">H13/(SUM(H$13:H$21))</f>
        <v>0.45977897712670263</v>
      </c>
      <c r="J13" s="11">
        <f>ethnic!E3</f>
        <v>1417</v>
      </c>
      <c r="K13" s="60">
        <f t="shared" ref="K13:K21" si="4">J13/(SUM(J$13:J$21))</f>
        <v>0.4339969372128637</v>
      </c>
      <c r="L13" s="67">
        <v>398271</v>
      </c>
      <c r="M13" s="68">
        <f t="shared" ref="M13:M21" si="5">L13/(SUM(L$13:L$21))</f>
        <v>0.47591000666776601</v>
      </c>
      <c r="N13" s="72">
        <f t="shared" ref="N13:N21" si="6">K13-M13</f>
        <v>-4.1913069454902308E-2</v>
      </c>
    </row>
    <row r="14" spans="1:14" x14ac:dyDescent="0.25">
      <c r="A14" s="15" t="s">
        <v>18</v>
      </c>
      <c r="B14" s="11">
        <f>ethnic!A4</f>
        <v>558</v>
      </c>
      <c r="C14" s="60">
        <f t="shared" si="0"/>
        <v>0.24145391605365643</v>
      </c>
      <c r="D14" s="11">
        <f>ethnic!B4</f>
        <v>1016</v>
      </c>
      <c r="E14" s="60">
        <f t="shared" si="1"/>
        <v>0.26321243523316062</v>
      </c>
      <c r="F14" s="11">
        <f>ethnic!C4</f>
        <v>1185</v>
      </c>
      <c r="G14" s="60">
        <f t="shared" si="2"/>
        <v>0.26665166516651667</v>
      </c>
      <c r="H14" s="11">
        <f>ethnic!D4</f>
        <v>1164</v>
      </c>
      <c r="I14" s="60">
        <f t="shared" si="3"/>
        <v>0.29915188897455669</v>
      </c>
      <c r="J14" s="11">
        <f>ethnic!E4</f>
        <v>1103</v>
      </c>
      <c r="K14" s="60">
        <f t="shared" si="4"/>
        <v>0.33782542113323122</v>
      </c>
      <c r="L14" s="67">
        <v>318674</v>
      </c>
      <c r="M14" s="68">
        <f t="shared" si="5"/>
        <v>0.38079635591053246</v>
      </c>
      <c r="N14" s="72">
        <f t="shared" si="6"/>
        <v>-4.297093477730124E-2</v>
      </c>
    </row>
    <row r="15" spans="1:14" x14ac:dyDescent="0.25">
      <c r="A15" s="15" t="s">
        <v>19</v>
      </c>
      <c r="B15" s="11">
        <f>ethnic!A5</f>
        <v>154</v>
      </c>
      <c r="C15" s="60">
        <f t="shared" si="0"/>
        <v>6.6637819125919512E-2</v>
      </c>
      <c r="D15" s="11">
        <f>ethnic!B5</f>
        <v>264</v>
      </c>
      <c r="E15" s="60">
        <f t="shared" si="1"/>
        <v>6.8393782383419685E-2</v>
      </c>
      <c r="F15" s="11">
        <f>ethnic!C5</f>
        <v>285</v>
      </c>
      <c r="G15" s="60">
        <f t="shared" si="2"/>
        <v>6.4131413141314125E-2</v>
      </c>
      <c r="H15" s="11">
        <f>ethnic!D5</f>
        <v>220</v>
      </c>
      <c r="I15" s="60">
        <f t="shared" si="3"/>
        <v>5.6540735029555388E-2</v>
      </c>
      <c r="J15" s="11">
        <f>ethnic!E5</f>
        <v>174</v>
      </c>
      <c r="K15" s="60">
        <f t="shared" si="4"/>
        <v>5.3292496171516081E-2</v>
      </c>
      <c r="L15" s="67">
        <v>43085</v>
      </c>
      <c r="M15" s="68">
        <f t="shared" si="5"/>
        <v>5.1483996166632011E-2</v>
      </c>
      <c r="N15" s="72">
        <f t="shared" si="6"/>
        <v>1.8085000048840699E-3</v>
      </c>
    </row>
    <row r="16" spans="1:14" x14ac:dyDescent="0.25">
      <c r="A16" s="15" t="s">
        <v>20</v>
      </c>
      <c r="B16" s="11">
        <f>ethnic!A6</f>
        <v>68</v>
      </c>
      <c r="C16" s="60">
        <f t="shared" si="0"/>
        <v>2.942449156209433E-2</v>
      </c>
      <c r="D16" s="11">
        <f>ethnic!B6</f>
        <v>111</v>
      </c>
      <c r="E16" s="60">
        <f t="shared" si="1"/>
        <v>2.8756476683937823E-2</v>
      </c>
      <c r="F16" s="11">
        <f>ethnic!C6</f>
        <v>119</v>
      </c>
      <c r="G16" s="60">
        <f t="shared" si="2"/>
        <v>2.6777677767776779E-2</v>
      </c>
      <c r="H16" s="11">
        <f>ethnic!D6</f>
        <v>126</v>
      </c>
      <c r="I16" s="60">
        <f t="shared" si="3"/>
        <v>3.2382420971472627E-2</v>
      </c>
      <c r="J16" s="11">
        <f>ethnic!E6</f>
        <v>95</v>
      </c>
      <c r="K16" s="60">
        <f t="shared" si="4"/>
        <v>2.9096477794793262E-2</v>
      </c>
      <c r="L16" s="67">
        <v>21251</v>
      </c>
      <c r="M16" s="68">
        <f t="shared" si="5"/>
        <v>2.5393673030917881E-2</v>
      </c>
      <c r="N16" s="72">
        <f t="shared" si="6"/>
        <v>3.7028047638753801E-3</v>
      </c>
    </row>
    <row r="17" spans="1:16" x14ac:dyDescent="0.25">
      <c r="A17" s="15" t="s">
        <v>21</v>
      </c>
      <c r="B17" s="11">
        <f>ethnic!A7</f>
        <v>27</v>
      </c>
      <c r="C17" s="60">
        <f t="shared" si="0"/>
        <v>1.1683254002596278E-2</v>
      </c>
      <c r="D17" s="11">
        <f>ethnic!B7</f>
        <v>44</v>
      </c>
      <c r="E17" s="60">
        <f t="shared" si="1"/>
        <v>1.1398963730569948E-2</v>
      </c>
      <c r="F17" s="11">
        <f>ethnic!C7</f>
        <v>39</v>
      </c>
      <c r="G17" s="60">
        <f t="shared" si="2"/>
        <v>8.7758775877587753E-3</v>
      </c>
      <c r="H17" s="11">
        <f>ethnic!D7</f>
        <v>20</v>
      </c>
      <c r="I17" s="60">
        <f t="shared" si="3"/>
        <v>5.1400668208686712E-3</v>
      </c>
      <c r="J17" s="11">
        <f>ethnic!E7</f>
        <v>10</v>
      </c>
      <c r="K17" s="60">
        <f t="shared" si="4"/>
        <v>3.0627871362940277E-3</v>
      </c>
      <c r="L17" s="67">
        <v>6071</v>
      </c>
      <c r="M17" s="68">
        <f t="shared" si="5"/>
        <v>7.254481623015503E-3</v>
      </c>
      <c r="N17" s="72">
        <f t="shared" si="6"/>
        <v>-4.1916944867214749E-3</v>
      </c>
    </row>
    <row r="18" spans="1:16" x14ac:dyDescent="0.25">
      <c r="A18" s="15" t="s">
        <v>22</v>
      </c>
      <c r="B18" s="11">
        <f>ethnic!A8</f>
        <v>132</v>
      </c>
      <c r="C18" s="60">
        <f t="shared" si="0"/>
        <v>5.7118130679359586E-2</v>
      </c>
      <c r="D18" s="11">
        <f>ethnic!B8</f>
        <v>189</v>
      </c>
      <c r="E18" s="60">
        <f t="shared" si="1"/>
        <v>4.896373056994819E-2</v>
      </c>
      <c r="F18" s="11">
        <f>ethnic!C8</f>
        <v>234</v>
      </c>
      <c r="G18" s="60">
        <f t="shared" si="2"/>
        <v>5.2655265526552655E-2</v>
      </c>
      <c r="H18" s="11">
        <f>ethnic!D8</f>
        <v>175</v>
      </c>
      <c r="I18" s="60">
        <f t="shared" si="3"/>
        <v>4.4975584682600871E-2</v>
      </c>
      <c r="J18" s="11">
        <f>ethnic!E8</f>
        <v>152</v>
      </c>
      <c r="K18" s="60">
        <f t="shared" si="4"/>
        <v>4.6554364471669218E-2</v>
      </c>
      <c r="L18" s="67">
        <v>23365</v>
      </c>
      <c r="M18" s="68">
        <f t="shared" si="5"/>
        <v>2.7919776498395197E-2</v>
      </c>
      <c r="N18" s="72">
        <f t="shared" si="6"/>
        <v>1.8634587973274021E-2</v>
      </c>
    </row>
    <row r="19" spans="1:16" x14ac:dyDescent="0.25">
      <c r="A19" s="15" t="s">
        <v>23</v>
      </c>
      <c r="B19" s="11">
        <f>ethnic!A9</f>
        <v>19</v>
      </c>
      <c r="C19" s="60">
        <f t="shared" si="0"/>
        <v>8.2215491129381223E-3</v>
      </c>
      <c r="D19" s="11">
        <f>ethnic!B9</f>
        <v>30</v>
      </c>
      <c r="E19" s="60">
        <f t="shared" si="1"/>
        <v>7.7720207253886009E-3</v>
      </c>
      <c r="F19" s="11">
        <f>ethnic!C9</f>
        <v>24</v>
      </c>
      <c r="G19" s="60">
        <f t="shared" si="2"/>
        <v>5.4005400540054005E-3</v>
      </c>
      <c r="H19" s="11">
        <f>ethnic!D9</f>
        <v>19</v>
      </c>
      <c r="I19" s="60">
        <f t="shared" si="3"/>
        <v>4.8830634798252377E-3</v>
      </c>
      <c r="J19" s="11">
        <f>ethnic!E9</f>
        <v>15</v>
      </c>
      <c r="K19" s="60">
        <f t="shared" si="4"/>
        <v>4.5941807044410417E-3</v>
      </c>
      <c r="L19" s="67">
        <v>2305</v>
      </c>
      <c r="M19" s="68">
        <f t="shared" si="5"/>
        <v>2.7543370352579037E-3</v>
      </c>
      <c r="N19" s="72">
        <f t="shared" si="6"/>
        <v>1.839843669183138E-3</v>
      </c>
    </row>
    <row r="20" spans="1:16" x14ac:dyDescent="0.25">
      <c r="A20" s="15" t="s">
        <v>24</v>
      </c>
      <c r="B20" s="11">
        <f>ethnic!A10</f>
        <v>32</v>
      </c>
      <c r="C20" s="60">
        <f t="shared" si="0"/>
        <v>1.3846819558632626E-2</v>
      </c>
      <c r="D20" s="11">
        <f>ethnic!B10</f>
        <v>68</v>
      </c>
      <c r="E20" s="60">
        <f t="shared" si="1"/>
        <v>1.7616580310880828E-2</v>
      </c>
      <c r="F20" s="11">
        <f>ethnic!C10</f>
        <v>151</v>
      </c>
      <c r="G20" s="60">
        <f t="shared" si="2"/>
        <v>3.3978397839783979E-2</v>
      </c>
      <c r="H20" s="11">
        <f>ethnic!D10</f>
        <v>173</v>
      </c>
      <c r="I20" s="60">
        <f t="shared" si="3"/>
        <v>4.4461578000514007E-2</v>
      </c>
      <c r="J20" s="11">
        <f>ethnic!E10</f>
        <v>173</v>
      </c>
      <c r="K20" s="60">
        <f t="shared" si="4"/>
        <v>5.2986217457886675E-2</v>
      </c>
      <c r="L20" s="67">
        <v>22553</v>
      </c>
      <c r="M20" s="68">
        <f t="shared" si="5"/>
        <v>2.6949485100291326E-2</v>
      </c>
      <c r="N20" s="72">
        <f t="shared" si="6"/>
        <v>2.6036732357595349E-2</v>
      </c>
      <c r="P20" s="56"/>
    </row>
    <row r="21" spans="1:16" ht="15.75" thickBot="1" x14ac:dyDescent="0.3">
      <c r="A21" s="16" t="s">
        <v>14</v>
      </c>
      <c r="B21" s="12">
        <f>ethnic!A11</f>
        <v>196</v>
      </c>
      <c r="C21" s="61">
        <f t="shared" si="0"/>
        <v>8.4811769796624845E-2</v>
      </c>
      <c r="D21" s="12">
        <f>ethnic!B11</f>
        <v>322</v>
      </c>
      <c r="E21" s="61">
        <f t="shared" si="1"/>
        <v>8.3419689119170984E-2</v>
      </c>
      <c r="F21" s="12">
        <f>ethnic!C11</f>
        <v>341</v>
      </c>
      <c r="G21" s="61">
        <f t="shared" si="2"/>
        <v>7.6732673267326731E-2</v>
      </c>
      <c r="H21" s="12">
        <f>ethnic!D11</f>
        <v>205</v>
      </c>
      <c r="I21" s="61">
        <f t="shared" si="3"/>
        <v>5.268568491390388E-2</v>
      </c>
      <c r="J21" s="12">
        <f>ethnic!E11</f>
        <v>126</v>
      </c>
      <c r="K21" s="61">
        <f t="shared" si="4"/>
        <v>3.8591117917304747E-2</v>
      </c>
      <c r="L21" s="76">
        <v>1287</v>
      </c>
      <c r="M21" s="70">
        <f t="shared" si="5"/>
        <v>1.5378879671917233E-3</v>
      </c>
      <c r="N21" s="73">
        <f t="shared" si="6"/>
        <v>3.7053229950113023E-2</v>
      </c>
    </row>
    <row r="22" spans="1:16" s="31" customFormat="1" x14ac:dyDescent="0.25">
      <c r="A22" s="109" t="s">
        <v>52</v>
      </c>
      <c r="B22" s="10"/>
      <c r="C22" s="111"/>
      <c r="D22" s="10"/>
      <c r="E22" s="111"/>
      <c r="F22" s="10"/>
      <c r="G22" s="111"/>
      <c r="H22" s="10"/>
      <c r="I22" s="111"/>
      <c r="J22" s="10"/>
      <c r="K22" s="111"/>
      <c r="L22" s="112"/>
      <c r="M22" s="113"/>
      <c r="N22" s="114"/>
    </row>
    <row r="23" spans="1:16" ht="15.75" thickBot="1" x14ac:dyDescent="0.3">
      <c r="P23" s="56"/>
    </row>
    <row r="24" spans="1:16" s="31" customFormat="1" ht="15.75" customHeight="1" thickBot="1" x14ac:dyDescent="0.3">
      <c r="A24" s="57"/>
      <c r="B24" s="129" t="str">
        <f>B10</f>
        <v>5 Year MSJC TEM Data</v>
      </c>
      <c r="C24" s="127"/>
      <c r="D24" s="127"/>
      <c r="E24" s="127"/>
      <c r="F24" s="127"/>
      <c r="G24" s="127"/>
      <c r="H24" s="127"/>
      <c r="I24" s="127"/>
      <c r="J24" s="127"/>
      <c r="K24" s="128"/>
      <c r="L24" s="123" t="s">
        <v>1</v>
      </c>
      <c r="M24" s="124"/>
      <c r="N24" s="24" t="s">
        <v>2</v>
      </c>
    </row>
    <row r="25" spans="1:16" s="31" customFormat="1" ht="15.75" thickBot="1" x14ac:dyDescent="0.3">
      <c r="A25" s="58"/>
      <c r="B25" s="116" t="s">
        <v>3</v>
      </c>
      <c r="C25" s="117"/>
      <c r="D25" s="116" t="s">
        <v>4</v>
      </c>
      <c r="E25" s="117"/>
      <c r="F25" s="116" t="s">
        <v>5</v>
      </c>
      <c r="G25" s="117"/>
      <c r="H25" s="116" t="s">
        <v>6</v>
      </c>
      <c r="I25" s="117"/>
      <c r="J25" s="116" t="s">
        <v>7</v>
      </c>
      <c r="K25" s="117"/>
      <c r="L25" s="118" t="s">
        <v>40</v>
      </c>
      <c r="M25" s="119"/>
      <c r="N25" s="25" t="s">
        <v>8</v>
      </c>
    </row>
    <row r="26" spans="1:16" ht="15.75" thickBot="1" x14ac:dyDescent="0.3">
      <c r="A26" s="33" t="s">
        <v>25</v>
      </c>
      <c r="B26" s="34" t="s">
        <v>10</v>
      </c>
      <c r="C26" s="77" t="s">
        <v>11</v>
      </c>
      <c r="D26" s="34" t="s">
        <v>10</v>
      </c>
      <c r="E26" s="77" t="s">
        <v>11</v>
      </c>
      <c r="F26" s="34" t="s">
        <v>10</v>
      </c>
      <c r="G26" s="77" t="s">
        <v>11</v>
      </c>
      <c r="H26" s="34" t="s">
        <v>10</v>
      </c>
      <c r="I26" s="77" t="s">
        <v>11</v>
      </c>
      <c r="J26" s="34" t="s">
        <v>10</v>
      </c>
      <c r="K26" s="77" t="s">
        <v>11</v>
      </c>
      <c r="L26" s="78" t="s">
        <v>10</v>
      </c>
      <c r="M26" s="79" t="s">
        <v>11</v>
      </c>
      <c r="N26" s="80" t="s">
        <v>11</v>
      </c>
    </row>
    <row r="27" spans="1:16" x14ac:dyDescent="0.25">
      <c r="A27" s="8" t="s">
        <v>26</v>
      </c>
      <c r="B27" s="11">
        <f>VLOOKUP($A27,'[1]age headcounts'!$A:$G,HLOOKUP(Sheet2!B$1,'[1]age headcounts'!$1:$2,2,FALSE),FALSE)</f>
        <v>57</v>
      </c>
      <c r="C27" s="60">
        <f>B27/(SUM(B$27:B$35))</f>
        <v>2.4664647338814367E-2</v>
      </c>
      <c r="D27" s="11">
        <f>VLOOKUP($A27,'[1]age headcounts'!$A:$G,HLOOKUP(Sheet2!D$1,'[1]age headcounts'!$1:$2,2,FALSE),FALSE)</f>
        <v>180</v>
      </c>
      <c r="E27" s="60">
        <f>D27/(SUM(D$27:D$35))</f>
        <v>4.6632124352331605E-2</v>
      </c>
      <c r="F27" s="11">
        <f>VLOOKUP($A27,'[1]age headcounts'!$A:$G,HLOOKUP(Sheet2!F$1,'[1]age headcounts'!$1:$2,2,FALSE),FALSE)</f>
        <v>128</v>
      </c>
      <c r="G27" s="60">
        <f>F27/(SUM(F$27:F$35))</f>
        <v>2.8802880288028802E-2</v>
      </c>
      <c r="H27" s="11">
        <f>VLOOKUP($A27,'[1]age headcounts'!$A:$G,HLOOKUP(Sheet2!H$1,'[1]age headcounts'!$1:$2,2,FALSE),FALSE)</f>
        <v>59</v>
      </c>
      <c r="I27" s="60">
        <f>H27/(SUM(H$27:H$35))</f>
        <v>1.5163197121562581E-2</v>
      </c>
      <c r="J27" s="11">
        <f>VLOOKUP($A27,'[1]age headcounts'!$A:$G,HLOOKUP(Sheet2!J$1,'[1]age headcounts'!$1:$2,2,FALSE),FALSE)</f>
        <v>19</v>
      </c>
      <c r="K27" s="60">
        <f>J27/(SUM(J$27:J$35))</f>
        <v>5.8192955589586523E-3</v>
      </c>
      <c r="L27" s="67">
        <v>245217</v>
      </c>
      <c r="M27" s="68">
        <f>L27/SUM(L$27:L$35)</f>
        <v>0.29301963764635031</v>
      </c>
      <c r="N27" s="72">
        <f>K27-M27</f>
        <v>-0.28720034208739165</v>
      </c>
    </row>
    <row r="28" spans="1:16" x14ac:dyDescent="0.25">
      <c r="A28" s="6" t="s">
        <v>27</v>
      </c>
      <c r="B28" s="11">
        <f>VLOOKUP($A28,'[1]age headcounts'!$A:$G,HLOOKUP(Sheet2!B$1,'[1]age headcounts'!$1:$2,2,FALSE),FALSE)</f>
        <v>472</v>
      </c>
      <c r="C28" s="60">
        <f t="shared" ref="C28:C35" si="7">B28/(SUM(B$27:B$35))</f>
        <v>0.20424058848983123</v>
      </c>
      <c r="D28" s="11">
        <f>VLOOKUP($A28,'[1]age headcounts'!$A:$G,HLOOKUP(Sheet2!D$1,'[1]age headcounts'!$1:$2,2,FALSE),FALSE)</f>
        <v>843</v>
      </c>
      <c r="E28" s="60">
        <f t="shared" ref="E28:E35" si="8">D28/(SUM(D$27:D$35))</f>
        <v>0.21839378238341969</v>
      </c>
      <c r="F28" s="11">
        <f>VLOOKUP($A28,'[1]age headcounts'!$A:$G,HLOOKUP(Sheet2!F$1,'[1]age headcounts'!$1:$2,2,FALSE),FALSE)</f>
        <v>1071</v>
      </c>
      <c r="G28" s="60">
        <f t="shared" ref="G28:G35" si="9">F28/(SUM(F$27:F$35))</f>
        <v>0.24099909990999099</v>
      </c>
      <c r="H28" s="11">
        <f>VLOOKUP($A28,'[1]age headcounts'!$A:$G,HLOOKUP(Sheet2!H$1,'[1]age headcounts'!$1:$2,2,FALSE),FALSE)</f>
        <v>837</v>
      </c>
      <c r="I28" s="60">
        <f t="shared" ref="I28:I35" si="10">H28/(SUM(H$27:H$35))</f>
        <v>0.2151117964533539</v>
      </c>
      <c r="J28" s="11">
        <f>VLOOKUP($A28,'[1]age headcounts'!$A:$G,HLOOKUP(Sheet2!J$1,'[1]age headcounts'!$1:$2,2,FALSE),FALSE)</f>
        <v>697</v>
      </c>
      <c r="K28" s="60">
        <f t="shared" ref="K28:K35" si="11">J28/(SUM(J$27:J$35))</f>
        <v>0.21347626339969372</v>
      </c>
      <c r="L28" s="67">
        <v>25706</v>
      </c>
      <c r="M28" s="68">
        <f t="shared" ref="M28:M35" si="12">L28/SUM(L$27:L$35)</f>
        <v>3.0717131378889231E-2</v>
      </c>
      <c r="N28" s="72">
        <f t="shared" ref="N28:N35" si="13">K28-M28</f>
        <v>0.18275913202080449</v>
      </c>
    </row>
    <row r="29" spans="1:16" x14ac:dyDescent="0.25">
      <c r="A29" s="7" t="s">
        <v>28</v>
      </c>
      <c r="B29" s="11">
        <f>VLOOKUP($A29,'[1]age headcounts'!$A:$G,HLOOKUP(Sheet2!B$1,'[1]age headcounts'!$1:$2,2,FALSE),FALSE)</f>
        <v>826</v>
      </c>
      <c r="C29" s="60">
        <f t="shared" si="7"/>
        <v>0.3574210298572047</v>
      </c>
      <c r="D29" s="11">
        <f>VLOOKUP($A29,'[1]age headcounts'!$A:$G,HLOOKUP(Sheet2!D$1,'[1]age headcounts'!$1:$2,2,FALSE),FALSE)</f>
        <v>1281</v>
      </c>
      <c r="E29" s="60">
        <f t="shared" si="8"/>
        <v>0.33186528497409329</v>
      </c>
      <c r="F29" s="11">
        <f>VLOOKUP($A29,'[1]age headcounts'!$A:$G,HLOOKUP(Sheet2!F$1,'[1]age headcounts'!$1:$2,2,FALSE),FALSE)</f>
        <v>1454</v>
      </c>
      <c r="G29" s="60">
        <f t="shared" si="9"/>
        <v>0.32718271827182716</v>
      </c>
      <c r="H29" s="11">
        <f>VLOOKUP($A29,'[1]age headcounts'!$A:$G,HLOOKUP(Sheet2!H$1,'[1]age headcounts'!$1:$2,2,FALSE),FALSE)</f>
        <v>1416</v>
      </c>
      <c r="I29" s="60">
        <f t="shared" si="10"/>
        <v>0.36391673091750193</v>
      </c>
      <c r="J29" s="11">
        <f>VLOOKUP($A29,'[1]age headcounts'!$A:$G,HLOOKUP(Sheet2!J$1,'[1]age headcounts'!$1:$2,2,FALSE),FALSE)</f>
        <v>1305</v>
      </c>
      <c r="K29" s="60">
        <f t="shared" si="11"/>
        <v>0.3996937212863706</v>
      </c>
      <c r="L29" s="67">
        <v>52893</v>
      </c>
      <c r="M29" s="68">
        <f t="shared" si="12"/>
        <v>6.3203969113187125E-2</v>
      </c>
      <c r="N29" s="72">
        <f t="shared" si="13"/>
        <v>0.33648975217318344</v>
      </c>
    </row>
    <row r="30" spans="1:16" x14ac:dyDescent="0.25">
      <c r="A30" s="7" t="s">
        <v>29</v>
      </c>
      <c r="B30" s="11">
        <f>VLOOKUP($A30,'[1]age headcounts'!$A:$G,HLOOKUP(Sheet2!B$1,'[1]age headcounts'!$1:$2,2,FALSE),FALSE)</f>
        <v>283</v>
      </c>
      <c r="C30" s="60">
        <f t="shared" si="7"/>
        <v>0.1224578104716573</v>
      </c>
      <c r="D30" s="11">
        <f>VLOOKUP($A30,'[1]age headcounts'!$A:$G,HLOOKUP(Sheet2!D$1,'[1]age headcounts'!$1:$2,2,FALSE),FALSE)</f>
        <v>435</v>
      </c>
      <c r="E30" s="60">
        <f t="shared" si="8"/>
        <v>0.11269430051813471</v>
      </c>
      <c r="F30" s="11">
        <f>VLOOKUP($A30,'[1]age headcounts'!$A:$G,HLOOKUP(Sheet2!F$1,'[1]age headcounts'!$1:$2,2,FALSE),FALSE)</f>
        <v>545</v>
      </c>
      <c r="G30" s="60">
        <f t="shared" si="9"/>
        <v>0.12263726372637264</v>
      </c>
      <c r="H30" s="11">
        <f>VLOOKUP($A30,'[1]age headcounts'!$A:$G,HLOOKUP(Sheet2!H$1,'[1]age headcounts'!$1:$2,2,FALSE),FALSE)</f>
        <v>522</v>
      </c>
      <c r="I30" s="60">
        <f t="shared" si="10"/>
        <v>0.13415574402467231</v>
      </c>
      <c r="J30" s="11">
        <f>VLOOKUP($A30,'[1]age headcounts'!$A:$G,HLOOKUP(Sheet2!J$1,'[1]age headcounts'!$1:$2,2,FALSE),FALSE)</f>
        <v>422</v>
      </c>
      <c r="K30" s="60">
        <f t="shared" si="11"/>
        <v>0.12924961715160796</v>
      </c>
      <c r="L30" s="67">
        <v>52166</v>
      </c>
      <c r="M30" s="68">
        <f t="shared" si="12"/>
        <v>6.2335247627446341E-2</v>
      </c>
      <c r="N30" s="72">
        <f t="shared" si="13"/>
        <v>6.6914369524161618E-2</v>
      </c>
    </row>
    <row r="31" spans="1:16" x14ac:dyDescent="0.25">
      <c r="A31" s="7" t="s">
        <v>30</v>
      </c>
      <c r="B31" s="11">
        <f>VLOOKUP($A31,'[1]age headcounts'!$A:$G,HLOOKUP(Sheet2!B$1,'[1]age headcounts'!$1:$2,2,FALSE),FALSE)</f>
        <v>196</v>
      </c>
      <c r="C31" s="60">
        <f t="shared" si="7"/>
        <v>8.4811769796624845E-2</v>
      </c>
      <c r="D31" s="11">
        <f>VLOOKUP($A31,'[1]age headcounts'!$A:$G,HLOOKUP(Sheet2!D$1,'[1]age headcounts'!$1:$2,2,FALSE),FALSE)</f>
        <v>248</v>
      </c>
      <c r="E31" s="60">
        <f t="shared" si="8"/>
        <v>6.4248704663212433E-2</v>
      </c>
      <c r="F31" s="11">
        <f>VLOOKUP($A31,'[1]age headcounts'!$A:$G,HLOOKUP(Sheet2!F$1,'[1]age headcounts'!$1:$2,2,FALSE),FALSE)</f>
        <v>308</v>
      </c>
      <c r="G31" s="60">
        <f t="shared" si="9"/>
        <v>6.9306930693069313E-2</v>
      </c>
      <c r="H31" s="11">
        <f>VLOOKUP($A31,'[1]age headcounts'!$A:$G,HLOOKUP(Sheet2!H$1,'[1]age headcounts'!$1:$2,2,FALSE),FALSE)</f>
        <v>291</v>
      </c>
      <c r="I31" s="60">
        <f t="shared" si="10"/>
        <v>7.4787972243639173E-2</v>
      </c>
      <c r="J31" s="11">
        <f>VLOOKUP($A31,'[1]age headcounts'!$A:$G,HLOOKUP(Sheet2!J$1,'[1]age headcounts'!$1:$2,2,FALSE),FALSE)</f>
        <v>234</v>
      </c>
      <c r="K31" s="60">
        <f t="shared" si="11"/>
        <v>7.1669218989280248E-2</v>
      </c>
      <c r="L31" s="67">
        <v>52145</v>
      </c>
      <c r="M31" s="68">
        <f t="shared" si="12"/>
        <v>6.2310153884391928E-2</v>
      </c>
      <c r="N31" s="72">
        <f t="shared" si="13"/>
        <v>9.35906510488832E-3</v>
      </c>
    </row>
    <row r="32" spans="1:16" x14ac:dyDescent="0.25">
      <c r="A32" s="7" t="s">
        <v>31</v>
      </c>
      <c r="B32" s="11">
        <f>VLOOKUP($A32,'[1]age headcounts'!$A:$G,HLOOKUP(Sheet2!B$1,'[1]age headcounts'!$1:$2,2,FALSE),FALSE)</f>
        <v>142</v>
      </c>
      <c r="C32" s="60">
        <f t="shared" si="7"/>
        <v>6.1445261791432282E-2</v>
      </c>
      <c r="D32" s="11">
        <f>VLOOKUP($A32,'[1]age headcounts'!$A:$G,HLOOKUP(Sheet2!D$1,'[1]age headcounts'!$1:$2,2,FALSE),FALSE)</f>
        <v>236</v>
      </c>
      <c r="E32" s="60">
        <f t="shared" si="8"/>
        <v>6.1139896373056994E-2</v>
      </c>
      <c r="F32" s="11">
        <f>VLOOKUP($A32,'[1]age headcounts'!$A:$G,HLOOKUP(Sheet2!F$1,'[1]age headcounts'!$1:$2,2,FALSE),FALSE)</f>
        <v>259</v>
      </c>
      <c r="G32" s="60">
        <f t="shared" si="9"/>
        <v>5.8280828082808281E-2</v>
      </c>
      <c r="H32" s="11">
        <f>VLOOKUP($A32,'[1]age headcounts'!$A:$G,HLOOKUP(Sheet2!H$1,'[1]age headcounts'!$1:$2,2,FALSE),FALSE)</f>
        <v>225</v>
      </c>
      <c r="I32" s="60">
        <f t="shared" si="10"/>
        <v>5.782575173477255E-2</v>
      </c>
      <c r="J32" s="11">
        <f>VLOOKUP($A32,'[1]age headcounts'!$A:$G,HLOOKUP(Sheet2!J$1,'[1]age headcounts'!$1:$2,2,FALSE),FALSE)</f>
        <v>179</v>
      </c>
      <c r="K32" s="60">
        <f t="shared" si="11"/>
        <v>5.4823889739663095E-2</v>
      </c>
      <c r="L32" s="67">
        <v>55384</v>
      </c>
      <c r="M32" s="68">
        <f t="shared" si="12"/>
        <v>6.6180565015498377E-2</v>
      </c>
      <c r="N32" s="72">
        <f t="shared" si="13"/>
        <v>-1.1356675275835282E-2</v>
      </c>
    </row>
    <row r="33" spans="1:14" x14ac:dyDescent="0.25">
      <c r="A33" s="5" t="s">
        <v>32</v>
      </c>
      <c r="B33" s="11">
        <f>VLOOKUP($A33,'[1]age headcounts'!$A:$G,HLOOKUP(Sheet2!B$1,'[1]age headcounts'!$1:$2,2,FALSE),FALSE)</f>
        <v>233</v>
      </c>
      <c r="C33" s="60">
        <f t="shared" si="7"/>
        <v>0.10082215491129382</v>
      </c>
      <c r="D33" s="11">
        <f>VLOOKUP($A33,'[1]age headcounts'!$A:$G,HLOOKUP(Sheet2!D$1,'[1]age headcounts'!$1:$2,2,FALSE),FALSE)</f>
        <v>406</v>
      </c>
      <c r="E33" s="60">
        <f t="shared" si="8"/>
        <v>0.10518134715025906</v>
      </c>
      <c r="F33" s="11">
        <f>VLOOKUP($A33,'[1]age headcounts'!$A:$G,HLOOKUP(Sheet2!F$1,'[1]age headcounts'!$1:$2,2,FALSE),FALSE)</f>
        <v>443</v>
      </c>
      <c r="G33" s="60">
        <f t="shared" si="9"/>
        <v>9.9684968496849685E-2</v>
      </c>
      <c r="H33" s="11">
        <f>VLOOKUP($A33,'[1]age headcounts'!$A:$G,HLOOKUP(Sheet2!H$1,'[1]age headcounts'!$1:$2,2,FALSE),FALSE)</f>
        <v>363</v>
      </c>
      <c r="I33" s="60">
        <f t="shared" si="10"/>
        <v>9.3292212798766386E-2</v>
      </c>
      <c r="J33" s="11">
        <f>VLOOKUP($A33,'[1]age headcounts'!$A:$G,HLOOKUP(Sheet2!J$1,'[1]age headcounts'!$1:$2,2,FALSE),FALSE)</f>
        <v>276</v>
      </c>
      <c r="K33" s="60">
        <f t="shared" si="11"/>
        <v>8.4532924961715161E-2</v>
      </c>
      <c r="L33" s="67">
        <v>116401</v>
      </c>
      <c r="M33" s="68">
        <f t="shared" si="12"/>
        <v>0.13909222787030598</v>
      </c>
      <c r="N33" s="72">
        <f t="shared" si="13"/>
        <v>-5.4559302908590818E-2</v>
      </c>
    </row>
    <row r="34" spans="1:14" x14ac:dyDescent="0.25">
      <c r="A34" s="5" t="s">
        <v>33</v>
      </c>
      <c r="B34" s="11">
        <f>VLOOKUP($A34,'[1]age headcounts'!$A:$G,HLOOKUP(Sheet2!B$1,'[1]age headcounts'!$1:$2,2,FALSE),FALSE)</f>
        <v>101</v>
      </c>
      <c r="C34" s="60">
        <f t="shared" si="7"/>
        <v>4.370402423193423E-2</v>
      </c>
      <c r="D34" s="11">
        <f>VLOOKUP($A34,'[1]age headcounts'!$A:$G,HLOOKUP(Sheet2!D$1,'[1]age headcounts'!$1:$2,2,FALSE),FALSE)</f>
        <v>231</v>
      </c>
      <c r="E34" s="60">
        <f t="shared" si="8"/>
        <v>5.984455958549223E-2</v>
      </c>
      <c r="F34" s="11">
        <f>VLOOKUP($A34,'[1]age headcounts'!$A:$G,HLOOKUP(Sheet2!F$1,'[1]age headcounts'!$1:$2,2,FALSE),FALSE)</f>
        <v>235</v>
      </c>
      <c r="G34" s="60">
        <f t="shared" si="9"/>
        <v>5.2880288028802881E-2</v>
      </c>
      <c r="H34" s="11">
        <f>VLOOKUP($A34,'[1]age headcounts'!$A:$G,HLOOKUP(Sheet2!H$1,'[1]age headcounts'!$1:$2,2,FALSE),FALSE)</f>
        <v>178</v>
      </c>
      <c r="I34" s="60">
        <f t="shared" si="10"/>
        <v>4.5746594705731176E-2</v>
      </c>
      <c r="J34" s="11">
        <f>VLOOKUP($A34,'[1]age headcounts'!$A:$G,HLOOKUP(Sheet2!J$1,'[1]age headcounts'!$1:$2,2,FALSE),FALSE)</f>
        <v>133</v>
      </c>
      <c r="K34" s="60">
        <f t="shared" si="11"/>
        <v>4.0735068912710566E-2</v>
      </c>
      <c r="L34" s="67">
        <v>236950</v>
      </c>
      <c r="M34" s="68">
        <f t="shared" si="12"/>
        <v>0.28314106746393075</v>
      </c>
      <c r="N34" s="72">
        <f t="shared" si="13"/>
        <v>-0.24240599855122019</v>
      </c>
    </row>
    <row r="35" spans="1:14" ht="15.75" thickBot="1" x14ac:dyDescent="0.3">
      <c r="A35" s="15" t="s">
        <v>14</v>
      </c>
      <c r="B35" s="12">
        <f>VLOOKUP($A35,'[1]age headcounts'!$A:$G,HLOOKUP(Sheet2!B$1,'[1]age headcounts'!$1:$2,2,FALSE),FALSE)</f>
        <v>1</v>
      </c>
      <c r="C35" s="61">
        <f t="shared" si="7"/>
        <v>4.3271311120726956E-4</v>
      </c>
      <c r="D35" s="12">
        <f>VLOOKUP($A35,'[1]age headcounts'!$A:$G,HLOOKUP(Sheet2!D$1,'[1]age headcounts'!$1:$2,2,FALSE),FALSE)</f>
        <v>0</v>
      </c>
      <c r="E35" s="61">
        <f t="shared" si="8"/>
        <v>0</v>
      </c>
      <c r="F35" s="12">
        <f>VLOOKUP($A35,'[1]age headcounts'!$A:$G,HLOOKUP(Sheet2!F$1,'[1]age headcounts'!$1:$2,2,FALSE),FALSE)</f>
        <v>1</v>
      </c>
      <c r="G35" s="61">
        <f t="shared" si="9"/>
        <v>2.2502250225022501E-4</v>
      </c>
      <c r="H35" s="12">
        <f>VLOOKUP($A35,'[1]age headcounts'!$A:$G,HLOOKUP(Sheet2!H$1,'[1]age headcounts'!$1:$2,2,FALSE),FALSE)</f>
        <v>0</v>
      </c>
      <c r="I35" s="61">
        <f t="shared" si="10"/>
        <v>0</v>
      </c>
      <c r="J35" s="12">
        <f>VLOOKUP($A35,'[1]age headcounts'!$A:$G,HLOOKUP(Sheet2!J$1,'[1]age headcounts'!$1:$2,2,FALSE),FALSE)</f>
        <v>0</v>
      </c>
      <c r="K35" s="61">
        <f t="shared" si="11"/>
        <v>0</v>
      </c>
      <c r="L35" s="69">
        <v>0</v>
      </c>
      <c r="M35" s="70">
        <f t="shared" si="12"/>
        <v>0</v>
      </c>
      <c r="N35" s="73">
        <f t="shared" si="13"/>
        <v>0</v>
      </c>
    </row>
    <row r="36" spans="1:14" x14ac:dyDescent="0.25">
      <c r="A36" s="43" t="s">
        <v>34</v>
      </c>
      <c r="B36" s="115">
        <v>27.031168831168831</v>
      </c>
      <c r="C36" s="55"/>
      <c r="D36" s="115">
        <v>27.282383419689118</v>
      </c>
      <c r="E36" s="55"/>
      <c r="F36" s="115">
        <v>26.946432590591943</v>
      </c>
      <c r="G36" s="55"/>
      <c r="H36" s="115">
        <v>26.768182986378822</v>
      </c>
      <c r="I36" s="55"/>
      <c r="J36" s="115">
        <v>26.386523736600306</v>
      </c>
      <c r="K36" s="45"/>
      <c r="L36" s="22"/>
      <c r="M36" s="22"/>
      <c r="N36" s="22"/>
    </row>
    <row r="37" spans="1:14" s="31" customFormat="1" x14ac:dyDescent="0.25">
      <c r="A37" s="44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10"/>
      <c r="M37" s="22"/>
      <c r="N37" s="22"/>
    </row>
    <row r="38" spans="1:14" s="31" customFormat="1" x14ac:dyDescent="0.25">
      <c r="A38" s="109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</row>
    <row r="39" spans="1:14" s="31" customFormat="1" ht="15.75" thickBot="1" x14ac:dyDescent="0.3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22"/>
      <c r="N39" s="22"/>
    </row>
    <row r="40" spans="1:14" s="31" customFormat="1" ht="15.75" thickBot="1" x14ac:dyDescent="0.3">
      <c r="A40" s="57"/>
      <c r="B40" s="129" t="s">
        <v>43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30" t="s">
        <v>42</v>
      </c>
      <c r="M40" s="131"/>
      <c r="N40" s="89" t="s">
        <v>2</v>
      </c>
    </row>
    <row r="41" spans="1:14" ht="15.75" thickBot="1" x14ac:dyDescent="0.3">
      <c r="A41" s="74"/>
      <c r="B41" s="116" t="s">
        <v>3</v>
      </c>
      <c r="C41" s="117"/>
      <c r="D41" s="116" t="s">
        <v>4</v>
      </c>
      <c r="E41" s="117"/>
      <c r="F41" s="116" t="s">
        <v>5</v>
      </c>
      <c r="G41" s="117"/>
      <c r="H41" s="134" t="s">
        <v>6</v>
      </c>
      <c r="I41" s="135"/>
      <c r="J41" s="116" t="s">
        <v>7</v>
      </c>
      <c r="K41" s="117"/>
      <c r="L41" s="132" t="s">
        <v>41</v>
      </c>
      <c r="M41" s="133"/>
      <c r="N41" s="90" t="s">
        <v>8</v>
      </c>
    </row>
    <row r="42" spans="1:14" ht="15.75" thickBot="1" x14ac:dyDescent="0.3">
      <c r="A42" s="81" t="s">
        <v>35</v>
      </c>
      <c r="B42" s="83" t="s">
        <v>10</v>
      </c>
      <c r="C42" s="84" t="s">
        <v>11</v>
      </c>
      <c r="D42" s="83" t="s">
        <v>10</v>
      </c>
      <c r="E42" s="84" t="s">
        <v>11</v>
      </c>
      <c r="F42" s="83" t="s">
        <v>10</v>
      </c>
      <c r="G42" s="84" t="s">
        <v>11</v>
      </c>
      <c r="H42" s="83" t="s">
        <v>10</v>
      </c>
      <c r="I42" s="51" t="s">
        <v>11</v>
      </c>
      <c r="J42" s="83" t="s">
        <v>10</v>
      </c>
      <c r="K42" s="84" t="s">
        <v>11</v>
      </c>
      <c r="L42" s="49" t="s">
        <v>10</v>
      </c>
      <c r="M42" s="50" t="s">
        <v>11</v>
      </c>
      <c r="N42" s="91" t="s">
        <v>10</v>
      </c>
    </row>
    <row r="43" spans="1:14" ht="15.75" thickBot="1" x14ac:dyDescent="0.3">
      <c r="A43" s="82" t="s">
        <v>44</v>
      </c>
      <c r="B43" s="85"/>
      <c r="C43" s="86"/>
      <c r="D43" s="85"/>
      <c r="E43" s="86"/>
      <c r="F43" s="85"/>
      <c r="G43" s="86"/>
      <c r="H43" s="85"/>
      <c r="I43" s="87"/>
      <c r="J43" s="85"/>
      <c r="K43" s="86"/>
      <c r="L43" s="52">
        <v>105412</v>
      </c>
      <c r="M43" s="88">
        <f>L43/L44</f>
        <v>8.1095074304327316E-2</v>
      </c>
      <c r="N43" s="92">
        <f>K43-M43</f>
        <v>-8.1095074304327316E-2</v>
      </c>
    </row>
    <row r="44" spans="1:14" s="31" customFormat="1" ht="15.75" thickBot="1" x14ac:dyDescent="0.3">
      <c r="A44" s="4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3">
        <v>1299857</v>
      </c>
    </row>
    <row r="45" spans="1:14" s="31" customFormat="1" ht="15.75" thickBot="1" x14ac:dyDescent="0.3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54"/>
    </row>
    <row r="46" spans="1:14" s="31" customFormat="1" x14ac:dyDescent="0.25">
      <c r="A46" s="93" t="s">
        <v>47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5"/>
      <c r="M46" s="96"/>
      <c r="N46" s="97"/>
    </row>
    <row r="47" spans="1:14" x14ac:dyDescent="0.25">
      <c r="A47" s="98" t="s">
        <v>45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0"/>
    </row>
    <row r="48" spans="1:14" ht="15.75" thickBot="1" x14ac:dyDescent="0.3">
      <c r="A48" s="101" t="s">
        <v>46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3"/>
    </row>
  </sheetData>
  <mergeCells count="33">
    <mergeCell ref="B10:K10"/>
    <mergeCell ref="B24:K24"/>
    <mergeCell ref="B40:K40"/>
    <mergeCell ref="L40:M40"/>
    <mergeCell ref="L41:M41"/>
    <mergeCell ref="L10:M10"/>
    <mergeCell ref="L11:M11"/>
    <mergeCell ref="L24:M24"/>
    <mergeCell ref="L25:M25"/>
    <mergeCell ref="B41:C41"/>
    <mergeCell ref="D41:E41"/>
    <mergeCell ref="F41:G41"/>
    <mergeCell ref="H41:I41"/>
    <mergeCell ref="J41:K41"/>
    <mergeCell ref="B25:C25"/>
    <mergeCell ref="D25:E25"/>
    <mergeCell ref="F25:G25"/>
    <mergeCell ref="H25:I25"/>
    <mergeCell ref="J25:K25"/>
    <mergeCell ref="B11:C11"/>
    <mergeCell ref="D11:E11"/>
    <mergeCell ref="F11:G11"/>
    <mergeCell ref="H11:I11"/>
    <mergeCell ref="J11:K11"/>
    <mergeCell ref="J2:K2"/>
    <mergeCell ref="L2:M2"/>
    <mergeCell ref="B1:K1"/>
    <mergeCell ref="L1:M1"/>
    <mergeCell ref="A1:A2"/>
    <mergeCell ref="B2:C2"/>
    <mergeCell ref="D2:E2"/>
    <mergeCell ref="F2:G2"/>
    <mergeCell ref="H2:I2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VLOOKUP($F3,'[2]gender heads'!$A:$G,HLOOKUP(A$2,'[2]gender heads'!$1:$2,2,FALSE),FALSE)</f>
        <v>1466</v>
      </c>
      <c r="B3" s="1">
        <f>VLOOKUP($F3,'[2]gender heads'!$A:$G,HLOOKUP(B$2,'[2]gender heads'!$1:$2,2,FALSE),FALSE)</f>
        <v>2379</v>
      </c>
      <c r="C3" s="1">
        <f>VLOOKUP($F3,'[2]gender heads'!$A:$G,HLOOKUP(C$2,'[2]gender heads'!$1:$2,2,FALSE),FALSE)</f>
        <v>2588</v>
      </c>
      <c r="D3" s="1">
        <f>VLOOKUP($F3,'[2]gender heads'!$A:$G,HLOOKUP(D$2,'[2]gender heads'!$1:$2,2,FALSE),FALSE)</f>
        <v>2196</v>
      </c>
      <c r="E3" s="1">
        <f>VLOOKUP($F3,'[2]gender heads'!$A:$G,HLOOKUP(E$2,'[2]gender heads'!$1:$2,2,FALSE),FALSE)</f>
        <v>1839</v>
      </c>
      <c r="F3" t="s">
        <v>36</v>
      </c>
    </row>
    <row r="4" spans="1:6" x14ac:dyDescent="0.25">
      <c r="A4" s="1">
        <f>VLOOKUP($F4,'[2]gender heads'!$A:$G,HLOOKUP(A$2,'[2]gender heads'!$1:$2,2,FALSE),FALSE)</f>
        <v>822</v>
      </c>
      <c r="B4" s="1">
        <f>VLOOKUP($F4,'[2]gender heads'!$A:$G,HLOOKUP(B$2,'[2]gender heads'!$1:$2,2,FALSE),FALSE)</f>
        <v>1435</v>
      </c>
      <c r="C4" s="1">
        <f>VLOOKUP($F4,'[2]gender heads'!$A:$G,HLOOKUP(C$2,'[2]gender heads'!$1:$2,2,FALSE),FALSE)</f>
        <v>1808</v>
      </c>
      <c r="D4" s="1">
        <f>VLOOKUP($F4,'[2]gender heads'!$A:$G,HLOOKUP(D$2,'[2]gender heads'!$1:$2,2,FALSE),FALSE)</f>
        <v>1660</v>
      </c>
      <c r="E4" s="1">
        <f>VLOOKUP($F4,'[2]gender heads'!$A:$G,HLOOKUP(E$2,'[2]gender heads'!$1:$2,2,FALSE),FALSE)</f>
        <v>1404</v>
      </c>
      <c r="F4" t="s">
        <v>37</v>
      </c>
    </row>
    <row r="5" spans="1:6" x14ac:dyDescent="0.25">
      <c r="A5" s="1">
        <f>VLOOKUP($F5,'[2]gender heads'!$A:$G,HLOOKUP(A$2,'[2]gender heads'!$1:$2,2,FALSE),FALSE)</f>
        <v>23</v>
      </c>
      <c r="B5" s="1">
        <f>VLOOKUP($F5,'[2]gender heads'!$A:$G,HLOOKUP(B$2,'[2]gender heads'!$1:$2,2,FALSE),FALSE)</f>
        <v>46</v>
      </c>
      <c r="C5" s="1">
        <f>VLOOKUP($F5,'[2]gender heads'!$A:$G,HLOOKUP(C$2,'[2]gender heads'!$1:$2,2,FALSE),FALSE)</f>
        <v>48</v>
      </c>
      <c r="D5" s="1">
        <f>VLOOKUP($F5,'[2]gender heads'!$A:$G,HLOOKUP(D$2,'[2]gender heads'!$1:$2,2,FALSE),FALSE)</f>
        <v>35</v>
      </c>
      <c r="E5" s="1">
        <f>VLOOKUP($F5,'[2]gender heads'!$A:$G,HLOOKUP(E$2,'[2]gender heads'!$1:$2,2,FALSE),FALSE)</f>
        <v>22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VLOOKUP($F3,'[3]Primary Races'!$A:$G,HLOOKUP(A$2,'[3]Primary Races'!$1:$2,2,FALSE),FALSE)</f>
        <v>1125</v>
      </c>
      <c r="B3" s="28">
        <f>VLOOKUP($F3,'[3]Primary Races'!$A:$G,HLOOKUP(B$2,'[3]Primary Races'!$1:$2,2,FALSE),FALSE)</f>
        <v>1816</v>
      </c>
      <c r="C3" s="28">
        <f>VLOOKUP($F3,'[3]Primary Races'!$A:$G,HLOOKUP(C$2,'[3]Primary Races'!$1:$2,2,FALSE),FALSE)</f>
        <v>2066</v>
      </c>
      <c r="D3" s="28">
        <f>VLOOKUP($F3,'[3]Primary Races'!$A:$G,HLOOKUP(D$2,'[3]Primary Races'!$1:$2,2,FALSE),FALSE)</f>
        <v>1789</v>
      </c>
      <c r="E3" s="28">
        <f>VLOOKUP($F3,'[3]Primary Races'!$A:$G,HLOOKUP(E$2,'[3]Primary Races'!$1:$2,2,FALSE),FALSE)</f>
        <v>1417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VLOOKUP($G4,'[3]hispanic total'!$A:$F,HLOOKUP(A$2,'[3]hispanic total'!$1:$2,2,FALSE),FALSE)</f>
        <v>558</v>
      </c>
      <c r="B4" s="28">
        <f>VLOOKUP($G4,'[3]hispanic total'!$A:$F,HLOOKUP(B$2,'[3]hispanic total'!$1:$2,2,FALSE),FALSE)</f>
        <v>1016</v>
      </c>
      <c r="C4" s="28">
        <f>VLOOKUP($G4,'[3]hispanic total'!$A:$F,HLOOKUP(C$2,'[3]hispanic total'!$1:$2,2,FALSE),FALSE)</f>
        <v>1185</v>
      </c>
      <c r="D4" s="28">
        <f>VLOOKUP($G4,'[3]hispanic total'!$A:$F,HLOOKUP(D$2,'[3]hispanic total'!$1:$2,2,FALSE),FALSE)</f>
        <v>1164</v>
      </c>
      <c r="E4" s="28">
        <f>VLOOKUP($G4,'[3]hispanic total'!$A:$F,HLOOKUP(E$2,'[3]hispanic total'!$1:$2,2,FALSE),FALSE)</f>
        <v>1103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VLOOKUP($F5,'[3]Primary Races'!$A:$G,HLOOKUP(A$2,'[3]Primary Races'!$1:$2,2,FALSE),FALSE)</f>
        <v>154</v>
      </c>
      <c r="B5" s="28">
        <f>VLOOKUP($F5,'[3]Primary Races'!$A:$G,HLOOKUP(B$2,'[3]Primary Races'!$1:$2,2,FALSE),FALSE)</f>
        <v>264</v>
      </c>
      <c r="C5" s="28">
        <f>VLOOKUP($F5,'[3]Primary Races'!$A:$G,HLOOKUP(C$2,'[3]Primary Races'!$1:$2,2,FALSE),FALSE)</f>
        <v>285</v>
      </c>
      <c r="D5" s="28">
        <f>VLOOKUP($F5,'[3]Primary Races'!$A:$G,HLOOKUP(D$2,'[3]Primary Races'!$1:$2,2,FALSE),FALSE)</f>
        <v>220</v>
      </c>
      <c r="E5" s="28">
        <f>VLOOKUP($F5,'[3]Primary Races'!$A:$G,HLOOKUP(E$2,'[3]Primary Races'!$1:$2,2,FALSE),FALSE)</f>
        <v>174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VLOOKUP($F6,'[3]Primary Races'!$A:$G,HLOOKUP(A$2,'[3]Primary Races'!$1:$2,2,FALSE),FALSE)</f>
        <v>68</v>
      </c>
      <c r="B6" s="28">
        <f>VLOOKUP($F6,'[3]Primary Races'!$A:$G,HLOOKUP(B$2,'[3]Primary Races'!$1:$2,2,FALSE),FALSE)</f>
        <v>111</v>
      </c>
      <c r="C6" s="28">
        <f>VLOOKUP($F6,'[3]Primary Races'!$A:$G,HLOOKUP(C$2,'[3]Primary Races'!$1:$2,2,FALSE),FALSE)</f>
        <v>119</v>
      </c>
      <c r="D6" s="28">
        <f>VLOOKUP($F6,'[3]Primary Races'!$A:$G,HLOOKUP(D$2,'[3]Primary Races'!$1:$2,2,FALSE),FALSE)</f>
        <v>126</v>
      </c>
      <c r="E6" s="28">
        <f>VLOOKUP($F6,'[3]Primary Races'!$A:$G,HLOOKUP(E$2,'[3]Primary Races'!$1:$2,2,FALSE),FALSE)</f>
        <v>95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VLOOKUP($F7,'[3]Primary Races'!$A:$G,HLOOKUP(A$2,'[3]Primary Races'!$1:$2,2,FALSE),FALSE)</f>
        <v>27</v>
      </c>
      <c r="B7" s="28">
        <f>VLOOKUP($F7,'[3]Primary Races'!$A:$G,HLOOKUP(B$2,'[3]Primary Races'!$1:$2,2,FALSE),FALSE)</f>
        <v>44</v>
      </c>
      <c r="C7" s="28">
        <f>VLOOKUP($F7,'[3]Primary Races'!$A:$G,HLOOKUP(C$2,'[3]Primary Races'!$1:$2,2,FALSE),FALSE)</f>
        <v>39</v>
      </c>
      <c r="D7" s="28">
        <f>VLOOKUP($F7,'[3]Primary Races'!$A:$G,HLOOKUP(D$2,'[3]Primary Races'!$1:$2,2,FALSE),FALSE)</f>
        <v>20</v>
      </c>
      <c r="E7" s="28">
        <f>VLOOKUP($F7,'[3]Primary Races'!$A:$G,HLOOKUP(E$2,'[3]Primary Races'!$1:$2,2,FALSE),FALSE)</f>
        <v>10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VLOOKUP($F8,'[3]Primary Races'!$A:$G,HLOOKUP(A$2,'[3]Primary Races'!$1:$2,2,FALSE),FALSE)</f>
        <v>132</v>
      </c>
      <c r="B8" s="28">
        <f>VLOOKUP($F8,'[3]Primary Races'!$A:$G,HLOOKUP(B$2,'[3]Primary Races'!$1:$2,2,FALSE),FALSE)</f>
        <v>189</v>
      </c>
      <c r="C8" s="28">
        <f>VLOOKUP($F8,'[3]Primary Races'!$A:$G,HLOOKUP(C$2,'[3]Primary Races'!$1:$2,2,FALSE),FALSE)</f>
        <v>234</v>
      </c>
      <c r="D8" s="28">
        <f>VLOOKUP($F8,'[3]Primary Races'!$A:$G,HLOOKUP(D$2,'[3]Primary Races'!$1:$2,2,FALSE),FALSE)</f>
        <v>175</v>
      </c>
      <c r="E8" s="28">
        <f>VLOOKUP($F8,'[3]Primary Races'!$A:$G,HLOOKUP(E$2,'[3]Primary Races'!$1:$2,2,FALSE),FALSE)</f>
        <v>152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VLOOKUP($F9,'[3]Primary Races'!$A:$G,HLOOKUP(A$2,'[3]Primary Races'!$1:$2,2,FALSE),FALSE)</f>
        <v>19</v>
      </c>
      <c r="B9" s="28">
        <f>VLOOKUP($F9,'[3]Primary Races'!$A:$G,HLOOKUP(B$2,'[3]Primary Races'!$1:$2,2,FALSE),FALSE)</f>
        <v>30</v>
      </c>
      <c r="C9" s="28">
        <f>VLOOKUP($F9,'[3]Primary Races'!$A:$G,HLOOKUP(C$2,'[3]Primary Races'!$1:$2,2,FALSE),FALSE)</f>
        <v>24</v>
      </c>
      <c r="D9" s="28">
        <f>VLOOKUP($F9,'[3]Primary Races'!$A:$G,HLOOKUP(D$2,'[3]Primary Races'!$1:$2,2,FALSE),FALSE)</f>
        <v>19</v>
      </c>
      <c r="E9" s="28">
        <f>VLOOKUP($F9,'[3]Primary Races'!$A:$G,HLOOKUP(E$2,'[3]Primary Races'!$1:$2,2,FALSE),FALSE)</f>
        <v>15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VLOOKUP($F10,'[3]multi race'!$A:$G,HLOOKUP(A$2,'[3]multi race'!$1:$2,2,FALSE),FALSE)</f>
        <v>32</v>
      </c>
      <c r="B10" s="28">
        <f>VLOOKUP($F10,'[3]multi race'!$A:$G,HLOOKUP(B$2,'[3]multi race'!$1:$2,2,FALSE),FALSE)</f>
        <v>68</v>
      </c>
      <c r="C10" s="28">
        <f>VLOOKUP($F10,'[3]multi race'!$A:$G,HLOOKUP(C$2,'[3]multi race'!$1:$2,2,FALSE),FALSE)</f>
        <v>151</v>
      </c>
      <c r="D10" s="28">
        <f>VLOOKUP($F10,'[3]multi race'!$A:$G,HLOOKUP(D$2,'[3]multi race'!$1:$2,2,FALSE),FALSE)</f>
        <v>173</v>
      </c>
      <c r="E10" s="28">
        <f>VLOOKUP($F10,'[3]multi race'!$A:$G,HLOOKUP(E$2,'[3]multi race'!$1:$2,2,FALSE),FALSE)</f>
        <v>173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VLOOKUP($F11,[3]unknown!$A:$G,HLOOKUP(A$2,[3]unknown!$1:$2,2,FALSE),FALSE)</f>
        <v>196</v>
      </c>
      <c r="B11" s="28">
        <f>VLOOKUP($F11,[3]unknown!$A:$G,HLOOKUP(B$2,[3]unknown!$1:$2,2,FALSE),FALSE)</f>
        <v>322</v>
      </c>
      <c r="C11" s="28">
        <f>VLOOKUP($F11,[3]unknown!$A:$G,HLOOKUP(C$2,[3]unknown!$1:$2,2,FALSE),FALSE)</f>
        <v>341</v>
      </c>
      <c r="D11" s="28">
        <f>VLOOKUP($F11,[3]unknown!$A:$G,HLOOKUP(D$2,[3]unknown!$1:$2,2,FALSE),FALSE)</f>
        <v>205</v>
      </c>
      <c r="E11" s="28">
        <f>VLOOKUP($F11,[3]unknown!$A:$G,HLOOKUP(E$2,[3]unknown!$1:$2,2,FALSE),FALSE)</f>
        <v>126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104" bestFit="1" customWidth="1"/>
    <col min="2" max="2" width="16.5703125" style="104" bestFit="1" customWidth="1"/>
    <col min="3" max="7" width="12" style="104" bestFit="1" customWidth="1"/>
    <col min="8" max="8" width="10" style="104" bestFit="1" customWidth="1"/>
    <col min="9" max="9" width="12.42578125" style="104" bestFit="1" customWidth="1"/>
    <col min="10" max="11" width="12" style="104" bestFit="1" customWidth="1"/>
    <col min="12" max="12" width="15" style="104" bestFit="1" customWidth="1"/>
    <col min="13" max="13" width="13.7109375" style="104" bestFit="1" customWidth="1"/>
    <col min="14" max="14" width="13.140625" style="104" bestFit="1" customWidth="1"/>
    <col min="15" max="16384" width="9.140625" style="104"/>
  </cols>
  <sheetData>
    <row r="1" spans="1:13" x14ac:dyDescent="0.2">
      <c r="A1" s="105" t="s">
        <v>0</v>
      </c>
      <c r="B1" s="105" t="s">
        <v>43</v>
      </c>
      <c r="C1" s="105"/>
      <c r="D1" s="105"/>
      <c r="E1" s="105"/>
      <c r="F1" s="105"/>
      <c r="G1" s="105"/>
      <c r="H1" s="105"/>
      <c r="I1" s="105"/>
      <c r="J1" s="105"/>
      <c r="K1" s="105"/>
      <c r="L1" s="105" t="s">
        <v>1</v>
      </c>
      <c r="M1" s="105"/>
    </row>
    <row r="2" spans="1:13" x14ac:dyDescent="0.2">
      <c r="A2" s="105"/>
      <c r="B2" s="105" t="s">
        <v>3</v>
      </c>
      <c r="C2" s="105"/>
      <c r="D2" s="105" t="s">
        <v>4</v>
      </c>
      <c r="E2" s="105"/>
      <c r="F2" s="105" t="s">
        <v>5</v>
      </c>
      <c r="G2" s="105"/>
      <c r="H2" s="105" t="s">
        <v>6</v>
      </c>
      <c r="I2" s="105"/>
      <c r="J2" s="105" t="s">
        <v>7</v>
      </c>
      <c r="K2" s="105"/>
      <c r="L2" s="105" t="s">
        <v>40</v>
      </c>
      <c r="M2" s="105"/>
    </row>
    <row r="3" spans="1:13" x14ac:dyDescent="0.2">
      <c r="A3" s="104" t="s">
        <v>9</v>
      </c>
      <c r="B3" s="104" t="s">
        <v>10</v>
      </c>
      <c r="C3" s="104" t="s">
        <v>11</v>
      </c>
      <c r="D3" s="104" t="s">
        <v>10</v>
      </c>
      <c r="E3" s="104" t="s">
        <v>11</v>
      </c>
      <c r="F3" s="104" t="s">
        <v>10</v>
      </c>
      <c r="G3" s="104" t="s">
        <v>11</v>
      </c>
      <c r="H3" s="104" t="s">
        <v>10</v>
      </c>
      <c r="I3" s="104" t="s">
        <v>11</v>
      </c>
      <c r="J3" s="104" t="s">
        <v>10</v>
      </c>
      <c r="K3" s="104" t="s">
        <v>11</v>
      </c>
      <c r="L3" s="104" t="s">
        <v>10</v>
      </c>
      <c r="M3" s="104" t="s">
        <v>11</v>
      </c>
    </row>
    <row r="4" spans="1:13" x14ac:dyDescent="0.2">
      <c r="A4" s="104" t="str">
        <f>A3</f>
        <v>Gender</v>
      </c>
      <c r="B4" s="104" t="str">
        <f>CONCATENATE(B2,B3)</f>
        <v>AY07-08#</v>
      </c>
      <c r="C4" s="104" t="str">
        <f>CONCATENATE(B2,C3)</f>
        <v>AY07-08%</v>
      </c>
      <c r="D4" s="104" t="str">
        <f t="shared" ref="D4" si="0">CONCATENATE(D2,D3)</f>
        <v>AY08-09#</v>
      </c>
      <c r="E4" s="104" t="str">
        <f t="shared" ref="E4" si="1">CONCATENATE(D2,E3)</f>
        <v>AY08-09%</v>
      </c>
      <c r="F4" s="104" t="str">
        <f t="shared" ref="F4" si="2">CONCATENATE(F2,F3)</f>
        <v>AY09-10#</v>
      </c>
      <c r="G4" s="104" t="str">
        <f t="shared" ref="G4" si="3">CONCATENATE(F2,G3)</f>
        <v>AY09-10%</v>
      </c>
      <c r="H4" s="104" t="str">
        <f t="shared" ref="H4" si="4">CONCATENATE(H2,H3)</f>
        <v>AY10-11#</v>
      </c>
      <c r="I4" s="104" t="str">
        <f t="shared" ref="I4" si="5">CONCATENATE(H2,I3)</f>
        <v>AY10-11%</v>
      </c>
      <c r="J4" s="104" t="str">
        <f t="shared" ref="J4" si="6">CONCATENATE(J2,J3)</f>
        <v>AY11-12#</v>
      </c>
      <c r="K4" s="104" t="str">
        <f t="shared" ref="K4" si="7">CONCATENATE(J2,K3)</f>
        <v>AY11-12%</v>
      </c>
      <c r="L4" s="104" t="str">
        <f t="shared" ref="L4" si="8">CONCATENATE(L2,L3)</f>
        <v>2010 Census#</v>
      </c>
      <c r="M4" s="104" t="str">
        <f t="shared" ref="M4" si="9">CONCATENATE(L2,M3)</f>
        <v>2010 Census%</v>
      </c>
    </row>
    <row r="5" spans="1:13" x14ac:dyDescent="0.2">
      <c r="A5" s="104" t="s">
        <v>12</v>
      </c>
      <c r="B5" s="104">
        <f>gender!A3</f>
        <v>1466</v>
      </c>
      <c r="C5" s="104">
        <f>B5/B$8</f>
        <v>0.63435742102985726</v>
      </c>
      <c r="D5" s="104">
        <f>gender!B3</f>
        <v>2379</v>
      </c>
      <c r="E5" s="104">
        <f>D5/D$8</f>
        <v>0.61632124352331608</v>
      </c>
      <c r="F5" s="104">
        <f>gender!C3</f>
        <v>2588</v>
      </c>
      <c r="G5" s="104">
        <f>F5/F$8</f>
        <v>0.58235823582358237</v>
      </c>
      <c r="H5" s="104">
        <f>gender!D3</f>
        <v>2196</v>
      </c>
      <c r="I5" s="104">
        <f>H5/H$8</f>
        <v>0.56437933693138009</v>
      </c>
      <c r="J5" s="104">
        <f>gender!E3</f>
        <v>1839</v>
      </c>
      <c r="K5" s="104">
        <f>J5/J$8</f>
        <v>0.56324655436447169</v>
      </c>
      <c r="L5" s="104">
        <v>425726</v>
      </c>
      <c r="M5" s="104">
        <f>L5/L$8</f>
        <v>0.50871708836104401</v>
      </c>
    </row>
    <row r="6" spans="1:13" x14ac:dyDescent="0.2">
      <c r="A6" s="104" t="s">
        <v>13</v>
      </c>
      <c r="B6" s="104">
        <f>gender!A4</f>
        <v>822</v>
      </c>
      <c r="C6" s="104">
        <f>B6/B$8</f>
        <v>0.35569017741237557</v>
      </c>
      <c r="D6" s="104">
        <f>gender!B4</f>
        <v>1435</v>
      </c>
      <c r="E6" s="104">
        <f>D6/D$8</f>
        <v>0.37176165803108807</v>
      </c>
      <c r="F6" s="104">
        <f>gender!C4</f>
        <v>1808</v>
      </c>
      <c r="G6" s="104">
        <f>F6/F$8</f>
        <v>0.40684068406840684</v>
      </c>
      <c r="H6" s="104">
        <f>gender!D4</f>
        <v>1660</v>
      </c>
      <c r="I6" s="104">
        <f>H6/H$8</f>
        <v>0.42662554613209974</v>
      </c>
      <c r="J6" s="104">
        <f>gender!E4</f>
        <v>1404</v>
      </c>
      <c r="K6" s="104">
        <f>J6/J$8</f>
        <v>0.43001531393568149</v>
      </c>
      <c r="L6" s="104">
        <v>411136</v>
      </c>
      <c r="M6" s="104">
        <f>L6/L$8</f>
        <v>0.49128291163895599</v>
      </c>
    </row>
    <row r="7" spans="1:13" x14ac:dyDescent="0.2">
      <c r="A7" s="104" t="s">
        <v>14</v>
      </c>
      <c r="B7" s="104">
        <f>gender!A5</f>
        <v>23</v>
      </c>
      <c r="C7" s="104">
        <f>B7/B$8</f>
        <v>9.9524015577672001E-3</v>
      </c>
      <c r="D7" s="104">
        <f>gender!B5</f>
        <v>46</v>
      </c>
      <c r="E7" s="104">
        <f>D7/D$8</f>
        <v>1.1917098445595855E-2</v>
      </c>
      <c r="F7" s="104">
        <f>gender!C5</f>
        <v>48</v>
      </c>
      <c r="G7" s="104">
        <f>F7/F$8</f>
        <v>1.0801080108010801E-2</v>
      </c>
      <c r="H7" s="104">
        <f>gender!D5</f>
        <v>35</v>
      </c>
      <c r="I7" s="104">
        <f>H7/H$8</f>
        <v>8.9951169365201748E-3</v>
      </c>
      <c r="J7" s="104">
        <f>gender!E5</f>
        <v>22</v>
      </c>
      <c r="K7" s="104">
        <f>J7/J$8</f>
        <v>6.7381316998468607E-3</v>
      </c>
      <c r="L7" s="104">
        <v>0</v>
      </c>
      <c r="M7" s="104">
        <f>L7/L$8</f>
        <v>0</v>
      </c>
    </row>
    <row r="8" spans="1:13" x14ac:dyDescent="0.2">
      <c r="A8" s="104" t="s">
        <v>15</v>
      </c>
      <c r="B8" s="104">
        <f>SUM(B5:B7)</f>
        <v>2311</v>
      </c>
      <c r="D8" s="104">
        <f>SUM(D5:D7)</f>
        <v>3860</v>
      </c>
      <c r="F8" s="104">
        <f>SUM(F5:F7)</f>
        <v>4444</v>
      </c>
      <c r="H8" s="104">
        <f>SUM(H5:H7)</f>
        <v>3891</v>
      </c>
      <c r="J8" s="104">
        <f>SUM(J5:J7)</f>
        <v>3265</v>
      </c>
      <c r="L8" s="104">
        <f>SUM(L5:L7)</f>
        <v>836862</v>
      </c>
    </row>
    <row r="10" spans="1:13" x14ac:dyDescent="0.2">
      <c r="B10" s="105" t="s">
        <v>43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 t="s">
        <v>1</v>
      </c>
      <c r="M10" s="105"/>
    </row>
    <row r="11" spans="1:13" x14ac:dyDescent="0.2">
      <c r="B11" s="105" t="s">
        <v>3</v>
      </c>
      <c r="C11" s="105"/>
      <c r="D11" s="105" t="s">
        <v>4</v>
      </c>
      <c r="E11" s="105"/>
      <c r="F11" s="105" t="s">
        <v>5</v>
      </c>
      <c r="G11" s="105"/>
      <c r="H11" s="105" t="s">
        <v>6</v>
      </c>
      <c r="I11" s="105"/>
      <c r="J11" s="105" t="s">
        <v>7</v>
      </c>
      <c r="K11" s="105"/>
      <c r="L11" s="105" t="s">
        <v>40</v>
      </c>
      <c r="M11" s="105"/>
    </row>
    <row r="12" spans="1:13" x14ac:dyDescent="0.2">
      <c r="A12" s="104" t="s">
        <v>16</v>
      </c>
      <c r="B12" s="104" t="s">
        <v>10</v>
      </c>
      <c r="C12" s="104" t="s">
        <v>11</v>
      </c>
      <c r="D12" s="104" t="s">
        <v>10</v>
      </c>
      <c r="E12" s="104" t="s">
        <v>11</v>
      </c>
      <c r="F12" s="104" t="s">
        <v>10</v>
      </c>
      <c r="G12" s="104" t="s">
        <v>11</v>
      </c>
      <c r="H12" s="104" t="s">
        <v>10</v>
      </c>
      <c r="I12" s="104" t="s">
        <v>11</v>
      </c>
      <c r="J12" s="104" t="s">
        <v>10</v>
      </c>
      <c r="K12" s="104" t="s">
        <v>11</v>
      </c>
      <c r="L12" s="104" t="s">
        <v>10</v>
      </c>
      <c r="M12" s="104" t="s">
        <v>11</v>
      </c>
    </row>
    <row r="13" spans="1:13" x14ac:dyDescent="0.2">
      <c r="A13" s="104" t="str">
        <f>A12</f>
        <v>Ethnicity</v>
      </c>
      <c r="B13" s="104" t="str">
        <f>B4</f>
        <v>AY07-08#</v>
      </c>
      <c r="C13" s="104" t="str">
        <f t="shared" ref="C13:M13" si="10">C4</f>
        <v>AY07-08%</v>
      </c>
      <c r="D13" s="104" t="str">
        <f t="shared" si="10"/>
        <v>AY08-09#</v>
      </c>
      <c r="E13" s="104" t="str">
        <f t="shared" si="10"/>
        <v>AY08-09%</v>
      </c>
      <c r="F13" s="104" t="str">
        <f t="shared" si="10"/>
        <v>AY09-10#</v>
      </c>
      <c r="G13" s="104" t="str">
        <f t="shared" si="10"/>
        <v>AY09-10%</v>
      </c>
      <c r="H13" s="104" t="str">
        <f t="shared" si="10"/>
        <v>AY10-11#</v>
      </c>
      <c r="I13" s="104" t="str">
        <f t="shared" si="10"/>
        <v>AY10-11%</v>
      </c>
      <c r="J13" s="104" t="str">
        <f t="shared" si="10"/>
        <v>AY11-12#</v>
      </c>
      <c r="K13" s="104" t="str">
        <f t="shared" si="10"/>
        <v>AY11-12%</v>
      </c>
      <c r="L13" s="104" t="str">
        <f t="shared" si="10"/>
        <v>2010 Census#</v>
      </c>
      <c r="M13" s="104" t="str">
        <f t="shared" si="10"/>
        <v>2010 Census%</v>
      </c>
    </row>
    <row r="14" spans="1:13" x14ac:dyDescent="0.2">
      <c r="A14" s="104" t="s">
        <v>17</v>
      </c>
      <c r="B14" s="104">
        <f>ethnic!A3</f>
        <v>1125</v>
      </c>
      <c r="C14" s="104">
        <f t="shared" ref="C14:C22" si="11">B14/(SUM(B$14:B$22))</f>
        <v>0.48680225010817829</v>
      </c>
      <c r="D14" s="104">
        <f>ethnic!B3</f>
        <v>1816</v>
      </c>
      <c r="E14" s="104">
        <f t="shared" ref="E14:E22" si="12">D14/(SUM(D$14:D$22))</f>
        <v>0.47046632124352333</v>
      </c>
      <c r="F14" s="104">
        <f>ethnic!C3</f>
        <v>2066</v>
      </c>
      <c r="G14" s="104">
        <f t="shared" ref="G14:G22" si="13">F14/(SUM(F$14:F$22))</f>
        <v>0.46489648964896491</v>
      </c>
      <c r="H14" s="104">
        <f>ethnic!D3</f>
        <v>1789</v>
      </c>
      <c r="I14" s="104">
        <f t="shared" ref="I14:I22" si="14">H14/(SUM(H$14:H$22))</f>
        <v>0.45977897712670263</v>
      </c>
      <c r="J14" s="104">
        <f>ethnic!E3</f>
        <v>1417</v>
      </c>
      <c r="K14" s="104">
        <f t="shared" ref="K14:K22" si="15">J14/(SUM(J$14:J$22))</f>
        <v>0.4339969372128637</v>
      </c>
      <c r="L14" s="104">
        <v>398271</v>
      </c>
      <c r="M14" s="104">
        <f t="shared" ref="M14:M22" si="16">L14/(SUM(L$14:L$22))</f>
        <v>0.47591000666776601</v>
      </c>
    </row>
    <row r="15" spans="1:13" x14ac:dyDescent="0.2">
      <c r="A15" s="104" t="s">
        <v>18</v>
      </c>
      <c r="B15" s="104">
        <f>ethnic!A4</f>
        <v>558</v>
      </c>
      <c r="C15" s="104">
        <f t="shared" si="11"/>
        <v>0.24145391605365643</v>
      </c>
      <c r="D15" s="104">
        <f>ethnic!B4</f>
        <v>1016</v>
      </c>
      <c r="E15" s="104">
        <f t="shared" si="12"/>
        <v>0.26321243523316062</v>
      </c>
      <c r="F15" s="104">
        <f>ethnic!C4</f>
        <v>1185</v>
      </c>
      <c r="G15" s="104">
        <f t="shared" si="13"/>
        <v>0.26665166516651667</v>
      </c>
      <c r="H15" s="104">
        <f>ethnic!D4</f>
        <v>1164</v>
      </c>
      <c r="I15" s="104">
        <f t="shared" si="14"/>
        <v>0.29915188897455669</v>
      </c>
      <c r="J15" s="104">
        <f>ethnic!E4</f>
        <v>1103</v>
      </c>
      <c r="K15" s="104">
        <f t="shared" si="15"/>
        <v>0.33782542113323122</v>
      </c>
      <c r="L15" s="104">
        <v>318674</v>
      </c>
      <c r="M15" s="104">
        <f t="shared" si="16"/>
        <v>0.38079635591053246</v>
      </c>
    </row>
    <row r="16" spans="1:13" x14ac:dyDescent="0.2">
      <c r="A16" s="104" t="s">
        <v>19</v>
      </c>
      <c r="B16" s="104">
        <f>ethnic!A5</f>
        <v>154</v>
      </c>
      <c r="C16" s="104">
        <f t="shared" si="11"/>
        <v>6.6637819125919512E-2</v>
      </c>
      <c r="D16" s="104">
        <f>ethnic!B5</f>
        <v>264</v>
      </c>
      <c r="E16" s="104">
        <f t="shared" si="12"/>
        <v>6.8393782383419685E-2</v>
      </c>
      <c r="F16" s="104">
        <f>ethnic!C5</f>
        <v>285</v>
      </c>
      <c r="G16" s="104">
        <f t="shared" si="13"/>
        <v>6.4131413141314125E-2</v>
      </c>
      <c r="H16" s="104">
        <f>ethnic!D5</f>
        <v>220</v>
      </c>
      <c r="I16" s="104">
        <f t="shared" si="14"/>
        <v>5.6540735029555388E-2</v>
      </c>
      <c r="J16" s="104">
        <f>ethnic!E5</f>
        <v>174</v>
      </c>
      <c r="K16" s="104">
        <f t="shared" si="15"/>
        <v>5.3292496171516081E-2</v>
      </c>
      <c r="L16" s="104">
        <v>43085</v>
      </c>
      <c r="M16" s="104">
        <f t="shared" si="16"/>
        <v>5.1483996166632011E-2</v>
      </c>
    </row>
    <row r="17" spans="1:13" x14ac:dyDescent="0.2">
      <c r="A17" s="104" t="s">
        <v>20</v>
      </c>
      <c r="B17" s="104">
        <f>ethnic!A6</f>
        <v>68</v>
      </c>
      <c r="C17" s="104">
        <f t="shared" si="11"/>
        <v>2.942449156209433E-2</v>
      </c>
      <c r="D17" s="104">
        <f>ethnic!B6</f>
        <v>111</v>
      </c>
      <c r="E17" s="104">
        <f t="shared" si="12"/>
        <v>2.8756476683937823E-2</v>
      </c>
      <c r="F17" s="104">
        <f>ethnic!C6</f>
        <v>119</v>
      </c>
      <c r="G17" s="104">
        <f t="shared" si="13"/>
        <v>2.6777677767776779E-2</v>
      </c>
      <c r="H17" s="104">
        <f>ethnic!D6</f>
        <v>126</v>
      </c>
      <c r="I17" s="104">
        <f t="shared" si="14"/>
        <v>3.2382420971472627E-2</v>
      </c>
      <c r="J17" s="104">
        <f>ethnic!E6</f>
        <v>95</v>
      </c>
      <c r="K17" s="104">
        <f t="shared" si="15"/>
        <v>2.9096477794793262E-2</v>
      </c>
      <c r="L17" s="104">
        <v>21251</v>
      </c>
      <c r="M17" s="104">
        <f t="shared" si="16"/>
        <v>2.5393673030917881E-2</v>
      </c>
    </row>
    <row r="18" spans="1:13" x14ac:dyDescent="0.2">
      <c r="A18" s="104" t="s">
        <v>21</v>
      </c>
      <c r="B18" s="104">
        <f>ethnic!A7</f>
        <v>27</v>
      </c>
      <c r="C18" s="104">
        <f t="shared" si="11"/>
        <v>1.1683254002596278E-2</v>
      </c>
      <c r="D18" s="104">
        <f>ethnic!B7</f>
        <v>44</v>
      </c>
      <c r="E18" s="104">
        <f t="shared" si="12"/>
        <v>1.1398963730569948E-2</v>
      </c>
      <c r="F18" s="104">
        <f>ethnic!C7</f>
        <v>39</v>
      </c>
      <c r="G18" s="104">
        <f t="shared" si="13"/>
        <v>8.7758775877587753E-3</v>
      </c>
      <c r="H18" s="104">
        <f>ethnic!D7</f>
        <v>20</v>
      </c>
      <c r="I18" s="104">
        <f t="shared" si="14"/>
        <v>5.1400668208686712E-3</v>
      </c>
      <c r="J18" s="104">
        <f>ethnic!E7</f>
        <v>10</v>
      </c>
      <c r="K18" s="104">
        <f t="shared" si="15"/>
        <v>3.0627871362940277E-3</v>
      </c>
      <c r="L18" s="104">
        <v>6071</v>
      </c>
      <c r="M18" s="104">
        <f t="shared" si="16"/>
        <v>7.254481623015503E-3</v>
      </c>
    </row>
    <row r="19" spans="1:13" x14ac:dyDescent="0.2">
      <c r="A19" s="104" t="s">
        <v>22</v>
      </c>
      <c r="B19" s="104">
        <f>ethnic!A8</f>
        <v>132</v>
      </c>
      <c r="C19" s="104">
        <f t="shared" si="11"/>
        <v>5.7118130679359586E-2</v>
      </c>
      <c r="D19" s="104">
        <f>ethnic!B8</f>
        <v>189</v>
      </c>
      <c r="E19" s="104">
        <f t="shared" si="12"/>
        <v>4.896373056994819E-2</v>
      </c>
      <c r="F19" s="104">
        <f>ethnic!C8</f>
        <v>234</v>
      </c>
      <c r="G19" s="104">
        <f t="shared" si="13"/>
        <v>5.2655265526552655E-2</v>
      </c>
      <c r="H19" s="104">
        <f>ethnic!D8</f>
        <v>175</v>
      </c>
      <c r="I19" s="104">
        <f t="shared" si="14"/>
        <v>4.4975584682600871E-2</v>
      </c>
      <c r="J19" s="104">
        <f>ethnic!E8</f>
        <v>152</v>
      </c>
      <c r="K19" s="104">
        <f t="shared" si="15"/>
        <v>4.6554364471669218E-2</v>
      </c>
      <c r="L19" s="104">
        <v>23365</v>
      </c>
      <c r="M19" s="104">
        <f t="shared" si="16"/>
        <v>2.7919776498395197E-2</v>
      </c>
    </row>
    <row r="20" spans="1:13" x14ac:dyDescent="0.2">
      <c r="A20" s="104" t="s">
        <v>23</v>
      </c>
      <c r="B20" s="104">
        <f>ethnic!A9</f>
        <v>19</v>
      </c>
      <c r="C20" s="104">
        <f t="shared" si="11"/>
        <v>8.2215491129381223E-3</v>
      </c>
      <c r="D20" s="104">
        <f>ethnic!B9</f>
        <v>30</v>
      </c>
      <c r="E20" s="104">
        <f t="shared" si="12"/>
        <v>7.7720207253886009E-3</v>
      </c>
      <c r="F20" s="104">
        <f>ethnic!C9</f>
        <v>24</v>
      </c>
      <c r="G20" s="104">
        <f t="shared" si="13"/>
        <v>5.4005400540054005E-3</v>
      </c>
      <c r="H20" s="104">
        <f>ethnic!D9</f>
        <v>19</v>
      </c>
      <c r="I20" s="104">
        <f t="shared" si="14"/>
        <v>4.8830634798252377E-3</v>
      </c>
      <c r="J20" s="104">
        <f>ethnic!E9</f>
        <v>15</v>
      </c>
      <c r="K20" s="104">
        <f t="shared" si="15"/>
        <v>4.5941807044410417E-3</v>
      </c>
      <c r="L20" s="104">
        <v>2305</v>
      </c>
      <c r="M20" s="104">
        <f t="shared" si="16"/>
        <v>2.7543370352579037E-3</v>
      </c>
    </row>
    <row r="21" spans="1:13" x14ac:dyDescent="0.2">
      <c r="A21" s="104" t="s">
        <v>24</v>
      </c>
      <c r="B21" s="104">
        <f>ethnic!A10</f>
        <v>32</v>
      </c>
      <c r="C21" s="104">
        <f t="shared" si="11"/>
        <v>1.3846819558632626E-2</v>
      </c>
      <c r="D21" s="104">
        <f>ethnic!B10</f>
        <v>68</v>
      </c>
      <c r="E21" s="104">
        <f t="shared" si="12"/>
        <v>1.7616580310880828E-2</v>
      </c>
      <c r="F21" s="104">
        <f>ethnic!C10</f>
        <v>151</v>
      </c>
      <c r="G21" s="104">
        <f t="shared" si="13"/>
        <v>3.3978397839783979E-2</v>
      </c>
      <c r="H21" s="104">
        <f>ethnic!D10</f>
        <v>173</v>
      </c>
      <c r="I21" s="104">
        <f t="shared" si="14"/>
        <v>4.4461578000514007E-2</v>
      </c>
      <c r="J21" s="104">
        <f>ethnic!E10</f>
        <v>173</v>
      </c>
      <c r="K21" s="104">
        <f t="shared" si="15"/>
        <v>5.2986217457886675E-2</v>
      </c>
      <c r="L21" s="104">
        <v>22553</v>
      </c>
      <c r="M21" s="104">
        <f t="shared" si="16"/>
        <v>2.6949485100291326E-2</v>
      </c>
    </row>
    <row r="22" spans="1:13" x14ac:dyDescent="0.2">
      <c r="A22" s="104" t="s">
        <v>14</v>
      </c>
      <c r="B22" s="104">
        <f>ethnic!A11</f>
        <v>196</v>
      </c>
      <c r="C22" s="104">
        <f t="shared" si="11"/>
        <v>8.4811769796624845E-2</v>
      </c>
      <c r="D22" s="104">
        <f>ethnic!B11</f>
        <v>322</v>
      </c>
      <c r="E22" s="104">
        <f t="shared" si="12"/>
        <v>8.3419689119170984E-2</v>
      </c>
      <c r="F22" s="104">
        <f>ethnic!C11</f>
        <v>341</v>
      </c>
      <c r="G22" s="104">
        <f t="shared" si="13"/>
        <v>7.6732673267326731E-2</v>
      </c>
      <c r="H22" s="104">
        <f>ethnic!D11</f>
        <v>205</v>
      </c>
      <c r="I22" s="104">
        <f t="shared" si="14"/>
        <v>5.268568491390388E-2</v>
      </c>
      <c r="J22" s="104">
        <f>ethnic!E11</f>
        <v>126</v>
      </c>
      <c r="K22" s="104">
        <f t="shared" si="15"/>
        <v>3.8591117917304747E-2</v>
      </c>
      <c r="L22" s="104">
        <v>1287</v>
      </c>
      <c r="M22" s="104">
        <f t="shared" si="16"/>
        <v>1.5378879671917233E-3</v>
      </c>
    </row>
    <row r="24" spans="1:13" ht="15.75" customHeight="1" x14ac:dyDescent="0.2">
      <c r="B24" s="105" t="s">
        <v>43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 t="s">
        <v>1</v>
      </c>
      <c r="M24" s="105"/>
    </row>
    <row r="25" spans="1:13" x14ac:dyDescent="0.2">
      <c r="B25" s="105" t="s">
        <v>3</v>
      </c>
      <c r="C25" s="105"/>
      <c r="D25" s="105" t="s">
        <v>4</v>
      </c>
      <c r="E25" s="105"/>
      <c r="F25" s="105" t="s">
        <v>5</v>
      </c>
      <c r="G25" s="105"/>
      <c r="H25" s="105" t="s">
        <v>6</v>
      </c>
      <c r="I25" s="105"/>
      <c r="J25" s="105" t="s">
        <v>7</v>
      </c>
      <c r="K25" s="105"/>
      <c r="L25" s="105" t="s">
        <v>40</v>
      </c>
      <c r="M25" s="105"/>
    </row>
    <row r="26" spans="1:13" x14ac:dyDescent="0.2">
      <c r="A26" s="104" t="s">
        <v>25</v>
      </c>
      <c r="B26" s="104" t="s">
        <v>10</v>
      </c>
      <c r="C26" s="104" t="s">
        <v>11</v>
      </c>
      <c r="D26" s="104" t="s">
        <v>10</v>
      </c>
      <c r="E26" s="104" t="s">
        <v>11</v>
      </c>
      <c r="F26" s="104" t="s">
        <v>10</v>
      </c>
      <c r="G26" s="104" t="s">
        <v>11</v>
      </c>
      <c r="H26" s="104" t="s">
        <v>10</v>
      </c>
      <c r="I26" s="104" t="s">
        <v>11</v>
      </c>
      <c r="J26" s="104" t="s">
        <v>10</v>
      </c>
      <c r="K26" s="104" t="s">
        <v>11</v>
      </c>
      <c r="L26" s="104" t="s">
        <v>10</v>
      </c>
      <c r="M26" s="104" t="s">
        <v>11</v>
      </c>
    </row>
    <row r="27" spans="1:13" x14ac:dyDescent="0.2">
      <c r="A27" s="104" t="str">
        <f>A26</f>
        <v xml:space="preserve">Age </v>
      </c>
      <c r="B27" s="104" t="str">
        <f>B13</f>
        <v>AY07-08#</v>
      </c>
      <c r="C27" s="104" t="str">
        <f t="shared" ref="C27:M27" si="17">C13</f>
        <v>AY07-08%</v>
      </c>
      <c r="D27" s="104" t="str">
        <f t="shared" si="17"/>
        <v>AY08-09#</v>
      </c>
      <c r="E27" s="104" t="str">
        <f t="shared" si="17"/>
        <v>AY08-09%</v>
      </c>
      <c r="F27" s="104" t="str">
        <f t="shared" si="17"/>
        <v>AY09-10#</v>
      </c>
      <c r="G27" s="104" t="str">
        <f t="shared" si="17"/>
        <v>AY09-10%</v>
      </c>
      <c r="H27" s="104" t="str">
        <f t="shared" si="17"/>
        <v>AY10-11#</v>
      </c>
      <c r="I27" s="104" t="str">
        <f t="shared" si="17"/>
        <v>AY10-11%</v>
      </c>
      <c r="J27" s="104" t="str">
        <f t="shared" si="17"/>
        <v>AY11-12#</v>
      </c>
      <c r="K27" s="104" t="str">
        <f t="shared" si="17"/>
        <v>AY11-12%</v>
      </c>
      <c r="L27" s="104" t="str">
        <f t="shared" si="17"/>
        <v>2010 Census#</v>
      </c>
      <c r="M27" s="104" t="str">
        <f t="shared" si="17"/>
        <v>2010 Census%</v>
      </c>
    </row>
    <row r="28" spans="1:13" x14ac:dyDescent="0.2">
      <c r="A28" s="104" t="s">
        <v>26</v>
      </c>
      <c r="B28" s="104">
        <f>VLOOKUP($A28,'[1]age headcounts'!$A:$G,HLOOKUP(Sheet2!B$1,'[1]age headcounts'!$1:$2,2,FALSE),FALSE)</f>
        <v>57</v>
      </c>
      <c r="C28" s="104">
        <f>B28/(SUM(B$28:B$36))</f>
        <v>2.4664647338814367E-2</v>
      </c>
      <c r="D28" s="104">
        <f>VLOOKUP($A28,'[1]age headcounts'!$A:$G,HLOOKUP(Sheet2!D$1,'[1]age headcounts'!$1:$2,2,FALSE),FALSE)</f>
        <v>180</v>
      </c>
      <c r="E28" s="104">
        <f>D28/(SUM(D$28:D$36))</f>
        <v>4.6632124352331605E-2</v>
      </c>
      <c r="F28" s="104">
        <f>VLOOKUP($A28,'[1]age headcounts'!$A:$G,HLOOKUP(Sheet2!F$1,'[1]age headcounts'!$1:$2,2,FALSE),FALSE)</f>
        <v>128</v>
      </c>
      <c r="G28" s="104">
        <f>F28/(SUM(F$28:F$36))</f>
        <v>2.8802880288028802E-2</v>
      </c>
      <c r="H28" s="104">
        <f>VLOOKUP($A28,'[1]age headcounts'!$A:$G,HLOOKUP(Sheet2!H$1,'[1]age headcounts'!$1:$2,2,FALSE),FALSE)</f>
        <v>59</v>
      </c>
      <c r="I28" s="104">
        <f>H28/(SUM(H$28:H$36))</f>
        <v>1.5163197121562581E-2</v>
      </c>
      <c r="J28" s="104">
        <f>VLOOKUP($A28,'[1]age headcounts'!$A:$G,HLOOKUP(Sheet2!J$1,'[1]age headcounts'!$1:$2,2,FALSE),FALSE)</f>
        <v>19</v>
      </c>
      <c r="K28" s="104">
        <f>J28/(SUM(J$28:J$36))</f>
        <v>5.8192955589586523E-3</v>
      </c>
      <c r="L28" s="104">
        <v>245217</v>
      </c>
      <c r="M28" s="104">
        <f>L28/SUM(L$28:L$36)</f>
        <v>0.29301963764635031</v>
      </c>
    </row>
    <row r="29" spans="1:13" x14ac:dyDescent="0.2">
      <c r="A29" s="104" t="s">
        <v>27</v>
      </c>
      <c r="B29" s="104">
        <f>VLOOKUP($A29,'[1]age headcounts'!$A:$G,HLOOKUP(Sheet2!B$1,'[1]age headcounts'!$1:$2,2,FALSE),FALSE)</f>
        <v>472</v>
      </c>
      <c r="C29" s="104">
        <f t="shared" ref="C29:C36" si="18">B29/(SUM(B$28:B$36))</f>
        <v>0.20424058848983123</v>
      </c>
      <c r="D29" s="104">
        <f>VLOOKUP($A29,'[1]age headcounts'!$A:$G,HLOOKUP(Sheet2!D$1,'[1]age headcounts'!$1:$2,2,FALSE),FALSE)</f>
        <v>843</v>
      </c>
      <c r="E29" s="104">
        <f t="shared" ref="E29:E36" si="19">D29/(SUM(D$28:D$36))</f>
        <v>0.21839378238341969</v>
      </c>
      <c r="F29" s="104">
        <f>VLOOKUP($A29,'[1]age headcounts'!$A:$G,HLOOKUP(Sheet2!F$1,'[1]age headcounts'!$1:$2,2,FALSE),FALSE)</f>
        <v>1071</v>
      </c>
      <c r="G29" s="104">
        <f t="shared" ref="G29:G36" si="20">F29/(SUM(F$28:F$36))</f>
        <v>0.24099909990999099</v>
      </c>
      <c r="H29" s="104">
        <f>VLOOKUP($A29,'[1]age headcounts'!$A:$G,HLOOKUP(Sheet2!H$1,'[1]age headcounts'!$1:$2,2,FALSE),FALSE)</f>
        <v>837</v>
      </c>
      <c r="I29" s="104">
        <f t="shared" ref="I29:I36" si="21">H29/(SUM(H$28:H$36))</f>
        <v>0.2151117964533539</v>
      </c>
      <c r="J29" s="104">
        <f>VLOOKUP($A29,'[1]age headcounts'!$A:$G,HLOOKUP(Sheet2!J$1,'[1]age headcounts'!$1:$2,2,FALSE),FALSE)</f>
        <v>697</v>
      </c>
      <c r="K29" s="104">
        <f t="shared" ref="K29:K36" si="22">J29/(SUM(J$28:J$36))</f>
        <v>0.21347626339969372</v>
      </c>
      <c r="L29" s="104">
        <v>25706</v>
      </c>
      <c r="M29" s="104">
        <f t="shared" ref="M29:M36" si="23">L29/SUM(L$28:L$36)</f>
        <v>3.0717131378889231E-2</v>
      </c>
    </row>
    <row r="30" spans="1:13" x14ac:dyDescent="0.2">
      <c r="A30" s="104" t="s">
        <v>28</v>
      </c>
      <c r="B30" s="104">
        <f>VLOOKUP($A30,'[1]age headcounts'!$A:$G,HLOOKUP(Sheet2!B$1,'[1]age headcounts'!$1:$2,2,FALSE),FALSE)</f>
        <v>826</v>
      </c>
      <c r="C30" s="104">
        <f t="shared" si="18"/>
        <v>0.3574210298572047</v>
      </c>
      <c r="D30" s="104">
        <f>VLOOKUP($A30,'[1]age headcounts'!$A:$G,HLOOKUP(Sheet2!D$1,'[1]age headcounts'!$1:$2,2,FALSE),FALSE)</f>
        <v>1281</v>
      </c>
      <c r="E30" s="104">
        <f t="shared" si="19"/>
        <v>0.33186528497409329</v>
      </c>
      <c r="F30" s="104">
        <f>VLOOKUP($A30,'[1]age headcounts'!$A:$G,HLOOKUP(Sheet2!F$1,'[1]age headcounts'!$1:$2,2,FALSE),FALSE)</f>
        <v>1454</v>
      </c>
      <c r="G30" s="104">
        <f t="shared" si="20"/>
        <v>0.32718271827182716</v>
      </c>
      <c r="H30" s="104">
        <f>VLOOKUP($A30,'[1]age headcounts'!$A:$G,HLOOKUP(Sheet2!H$1,'[1]age headcounts'!$1:$2,2,FALSE),FALSE)</f>
        <v>1416</v>
      </c>
      <c r="I30" s="104">
        <f t="shared" si="21"/>
        <v>0.36391673091750193</v>
      </c>
      <c r="J30" s="104">
        <f>VLOOKUP($A30,'[1]age headcounts'!$A:$G,HLOOKUP(Sheet2!J$1,'[1]age headcounts'!$1:$2,2,FALSE),FALSE)</f>
        <v>1305</v>
      </c>
      <c r="K30" s="104">
        <f t="shared" si="22"/>
        <v>0.3996937212863706</v>
      </c>
      <c r="L30" s="104">
        <v>52893</v>
      </c>
      <c r="M30" s="104">
        <f t="shared" si="23"/>
        <v>6.3203969113187125E-2</v>
      </c>
    </row>
    <row r="31" spans="1:13" x14ac:dyDescent="0.2">
      <c r="A31" s="104" t="s">
        <v>29</v>
      </c>
      <c r="B31" s="104">
        <f>VLOOKUP($A31,'[1]age headcounts'!$A:$G,HLOOKUP(Sheet2!B$1,'[1]age headcounts'!$1:$2,2,FALSE),FALSE)</f>
        <v>283</v>
      </c>
      <c r="C31" s="104">
        <f t="shared" si="18"/>
        <v>0.1224578104716573</v>
      </c>
      <c r="D31" s="104">
        <f>VLOOKUP($A31,'[1]age headcounts'!$A:$G,HLOOKUP(Sheet2!D$1,'[1]age headcounts'!$1:$2,2,FALSE),FALSE)</f>
        <v>435</v>
      </c>
      <c r="E31" s="104">
        <f t="shared" si="19"/>
        <v>0.11269430051813471</v>
      </c>
      <c r="F31" s="104">
        <f>VLOOKUP($A31,'[1]age headcounts'!$A:$G,HLOOKUP(Sheet2!F$1,'[1]age headcounts'!$1:$2,2,FALSE),FALSE)</f>
        <v>545</v>
      </c>
      <c r="G31" s="104">
        <f t="shared" si="20"/>
        <v>0.12263726372637264</v>
      </c>
      <c r="H31" s="104">
        <f>VLOOKUP($A31,'[1]age headcounts'!$A:$G,HLOOKUP(Sheet2!H$1,'[1]age headcounts'!$1:$2,2,FALSE),FALSE)</f>
        <v>522</v>
      </c>
      <c r="I31" s="104">
        <f t="shared" si="21"/>
        <v>0.13415574402467231</v>
      </c>
      <c r="J31" s="104">
        <f>VLOOKUP($A31,'[1]age headcounts'!$A:$G,HLOOKUP(Sheet2!J$1,'[1]age headcounts'!$1:$2,2,FALSE),FALSE)</f>
        <v>422</v>
      </c>
      <c r="K31" s="104">
        <f t="shared" si="22"/>
        <v>0.12924961715160796</v>
      </c>
      <c r="L31" s="104">
        <v>52166</v>
      </c>
      <c r="M31" s="104">
        <f t="shared" si="23"/>
        <v>6.2335247627446341E-2</v>
      </c>
    </row>
    <row r="32" spans="1:13" x14ac:dyDescent="0.2">
      <c r="A32" s="104" t="s">
        <v>30</v>
      </c>
      <c r="B32" s="104">
        <f>VLOOKUP($A32,'[1]age headcounts'!$A:$G,HLOOKUP(Sheet2!B$1,'[1]age headcounts'!$1:$2,2,FALSE),FALSE)</f>
        <v>196</v>
      </c>
      <c r="C32" s="104">
        <f t="shared" si="18"/>
        <v>8.4811769796624845E-2</v>
      </c>
      <c r="D32" s="104">
        <f>VLOOKUP($A32,'[1]age headcounts'!$A:$G,HLOOKUP(Sheet2!D$1,'[1]age headcounts'!$1:$2,2,FALSE),FALSE)</f>
        <v>248</v>
      </c>
      <c r="E32" s="104">
        <f t="shared" si="19"/>
        <v>6.4248704663212433E-2</v>
      </c>
      <c r="F32" s="104">
        <f>VLOOKUP($A32,'[1]age headcounts'!$A:$G,HLOOKUP(Sheet2!F$1,'[1]age headcounts'!$1:$2,2,FALSE),FALSE)</f>
        <v>308</v>
      </c>
      <c r="G32" s="104">
        <f t="shared" si="20"/>
        <v>6.9306930693069313E-2</v>
      </c>
      <c r="H32" s="104">
        <f>VLOOKUP($A32,'[1]age headcounts'!$A:$G,HLOOKUP(Sheet2!H$1,'[1]age headcounts'!$1:$2,2,FALSE),FALSE)</f>
        <v>291</v>
      </c>
      <c r="I32" s="104">
        <f t="shared" si="21"/>
        <v>7.4787972243639173E-2</v>
      </c>
      <c r="J32" s="104">
        <f>VLOOKUP($A32,'[1]age headcounts'!$A:$G,HLOOKUP(Sheet2!J$1,'[1]age headcounts'!$1:$2,2,FALSE),FALSE)</f>
        <v>234</v>
      </c>
      <c r="K32" s="104">
        <f t="shared" si="22"/>
        <v>7.1669218989280248E-2</v>
      </c>
      <c r="L32" s="104">
        <v>52145</v>
      </c>
      <c r="M32" s="104">
        <f t="shared" si="23"/>
        <v>6.2310153884391928E-2</v>
      </c>
    </row>
    <row r="33" spans="1:13" x14ac:dyDescent="0.2">
      <c r="A33" s="104" t="s">
        <v>31</v>
      </c>
      <c r="B33" s="104">
        <f>VLOOKUP($A33,'[1]age headcounts'!$A:$G,HLOOKUP(Sheet2!B$1,'[1]age headcounts'!$1:$2,2,FALSE),FALSE)</f>
        <v>142</v>
      </c>
      <c r="C33" s="104">
        <f t="shared" si="18"/>
        <v>6.1445261791432282E-2</v>
      </c>
      <c r="D33" s="104">
        <f>VLOOKUP($A33,'[1]age headcounts'!$A:$G,HLOOKUP(Sheet2!D$1,'[1]age headcounts'!$1:$2,2,FALSE),FALSE)</f>
        <v>236</v>
      </c>
      <c r="E33" s="104">
        <f t="shared" si="19"/>
        <v>6.1139896373056994E-2</v>
      </c>
      <c r="F33" s="104">
        <f>VLOOKUP($A33,'[1]age headcounts'!$A:$G,HLOOKUP(Sheet2!F$1,'[1]age headcounts'!$1:$2,2,FALSE),FALSE)</f>
        <v>259</v>
      </c>
      <c r="G33" s="104">
        <f t="shared" si="20"/>
        <v>5.8280828082808281E-2</v>
      </c>
      <c r="H33" s="104">
        <f>VLOOKUP($A33,'[1]age headcounts'!$A:$G,HLOOKUP(Sheet2!H$1,'[1]age headcounts'!$1:$2,2,FALSE),FALSE)</f>
        <v>225</v>
      </c>
      <c r="I33" s="104">
        <f t="shared" si="21"/>
        <v>5.782575173477255E-2</v>
      </c>
      <c r="J33" s="104">
        <f>VLOOKUP($A33,'[1]age headcounts'!$A:$G,HLOOKUP(Sheet2!J$1,'[1]age headcounts'!$1:$2,2,FALSE),FALSE)</f>
        <v>179</v>
      </c>
      <c r="K33" s="104">
        <f t="shared" si="22"/>
        <v>5.4823889739663095E-2</v>
      </c>
      <c r="L33" s="104">
        <v>55384</v>
      </c>
      <c r="M33" s="104">
        <f t="shared" si="23"/>
        <v>6.6180565015498377E-2</v>
      </c>
    </row>
    <row r="34" spans="1:13" x14ac:dyDescent="0.2">
      <c r="A34" s="104" t="s">
        <v>32</v>
      </c>
      <c r="B34" s="104">
        <f>VLOOKUP($A34,'[1]age headcounts'!$A:$G,HLOOKUP(Sheet2!B$1,'[1]age headcounts'!$1:$2,2,FALSE),FALSE)</f>
        <v>233</v>
      </c>
      <c r="C34" s="104">
        <f t="shared" si="18"/>
        <v>0.10082215491129382</v>
      </c>
      <c r="D34" s="104">
        <f>VLOOKUP($A34,'[1]age headcounts'!$A:$G,HLOOKUP(Sheet2!D$1,'[1]age headcounts'!$1:$2,2,FALSE),FALSE)</f>
        <v>406</v>
      </c>
      <c r="E34" s="104">
        <f t="shared" si="19"/>
        <v>0.10518134715025906</v>
      </c>
      <c r="F34" s="104">
        <f>VLOOKUP($A34,'[1]age headcounts'!$A:$G,HLOOKUP(Sheet2!F$1,'[1]age headcounts'!$1:$2,2,FALSE),FALSE)</f>
        <v>443</v>
      </c>
      <c r="G34" s="104">
        <f t="shared" si="20"/>
        <v>9.9684968496849685E-2</v>
      </c>
      <c r="H34" s="104">
        <f>VLOOKUP($A34,'[1]age headcounts'!$A:$G,HLOOKUP(Sheet2!H$1,'[1]age headcounts'!$1:$2,2,FALSE),FALSE)</f>
        <v>363</v>
      </c>
      <c r="I34" s="104">
        <f t="shared" si="21"/>
        <v>9.3292212798766386E-2</v>
      </c>
      <c r="J34" s="104">
        <f>VLOOKUP($A34,'[1]age headcounts'!$A:$G,HLOOKUP(Sheet2!J$1,'[1]age headcounts'!$1:$2,2,FALSE),FALSE)</f>
        <v>276</v>
      </c>
      <c r="K34" s="104">
        <f t="shared" si="22"/>
        <v>8.4532924961715161E-2</v>
      </c>
      <c r="L34" s="104">
        <v>116401</v>
      </c>
      <c r="M34" s="104">
        <f t="shared" si="23"/>
        <v>0.13909222787030598</v>
      </c>
    </row>
    <row r="35" spans="1:13" x14ac:dyDescent="0.2">
      <c r="A35" s="104" t="s">
        <v>33</v>
      </c>
      <c r="B35" s="104">
        <f>VLOOKUP($A35,'[1]age headcounts'!$A:$G,HLOOKUP(Sheet2!B$1,'[1]age headcounts'!$1:$2,2,FALSE),FALSE)</f>
        <v>101</v>
      </c>
      <c r="C35" s="104">
        <f t="shared" si="18"/>
        <v>4.370402423193423E-2</v>
      </c>
      <c r="D35" s="104">
        <f>VLOOKUP($A35,'[1]age headcounts'!$A:$G,HLOOKUP(Sheet2!D$1,'[1]age headcounts'!$1:$2,2,FALSE),FALSE)</f>
        <v>231</v>
      </c>
      <c r="E35" s="104">
        <f t="shared" si="19"/>
        <v>5.984455958549223E-2</v>
      </c>
      <c r="F35" s="104">
        <f>VLOOKUP($A35,'[1]age headcounts'!$A:$G,HLOOKUP(Sheet2!F$1,'[1]age headcounts'!$1:$2,2,FALSE),FALSE)</f>
        <v>235</v>
      </c>
      <c r="G35" s="104">
        <f t="shared" si="20"/>
        <v>5.2880288028802881E-2</v>
      </c>
      <c r="H35" s="104">
        <f>VLOOKUP($A35,'[1]age headcounts'!$A:$G,HLOOKUP(Sheet2!H$1,'[1]age headcounts'!$1:$2,2,FALSE),FALSE)</f>
        <v>178</v>
      </c>
      <c r="I35" s="104">
        <f t="shared" si="21"/>
        <v>4.5746594705731176E-2</v>
      </c>
      <c r="J35" s="104">
        <f>VLOOKUP($A35,'[1]age headcounts'!$A:$G,HLOOKUP(Sheet2!J$1,'[1]age headcounts'!$1:$2,2,FALSE),FALSE)</f>
        <v>133</v>
      </c>
      <c r="K35" s="104">
        <f t="shared" si="22"/>
        <v>4.0735068912710566E-2</v>
      </c>
      <c r="L35" s="104">
        <v>236950</v>
      </c>
      <c r="M35" s="104">
        <f t="shared" si="23"/>
        <v>0.28314106746393075</v>
      </c>
    </row>
    <row r="36" spans="1:13" x14ac:dyDescent="0.2">
      <c r="A36" s="104" t="s">
        <v>14</v>
      </c>
      <c r="B36" s="104">
        <f>VLOOKUP($A36,'[1]age headcounts'!$A:$G,HLOOKUP(Sheet2!B$1,'[1]age headcounts'!$1:$2,2,FALSE),FALSE)</f>
        <v>1</v>
      </c>
      <c r="C36" s="104">
        <f t="shared" si="18"/>
        <v>4.3271311120726956E-4</v>
      </c>
      <c r="D36" s="104">
        <f>VLOOKUP($A36,'[1]age headcounts'!$A:$G,HLOOKUP(Sheet2!D$1,'[1]age headcounts'!$1:$2,2,FALSE),FALSE)</f>
        <v>0</v>
      </c>
      <c r="E36" s="104">
        <f t="shared" si="19"/>
        <v>0</v>
      </c>
      <c r="F36" s="104">
        <f>VLOOKUP($A36,'[1]age headcounts'!$A:$G,HLOOKUP(Sheet2!F$1,'[1]age headcounts'!$1:$2,2,FALSE),FALSE)</f>
        <v>1</v>
      </c>
      <c r="G36" s="104">
        <f t="shared" si="20"/>
        <v>2.2502250225022501E-4</v>
      </c>
      <c r="H36" s="104">
        <f>VLOOKUP($A36,'[1]age headcounts'!$A:$G,HLOOKUP(Sheet2!H$1,'[1]age headcounts'!$1:$2,2,FALSE),FALSE)</f>
        <v>0</v>
      </c>
      <c r="I36" s="104">
        <f t="shared" si="21"/>
        <v>0</v>
      </c>
      <c r="J36" s="104">
        <f>VLOOKUP($A36,'[1]age headcounts'!$A:$G,HLOOKUP(Sheet2!J$1,'[1]age headcounts'!$1:$2,2,FALSE),FALSE)</f>
        <v>0</v>
      </c>
      <c r="K36" s="104">
        <f t="shared" si="22"/>
        <v>0</v>
      </c>
      <c r="L36" s="104">
        <v>0</v>
      </c>
      <c r="M36" s="104">
        <f t="shared" si="23"/>
        <v>0</v>
      </c>
    </row>
    <row r="37" spans="1:13" x14ac:dyDescent="0.2">
      <c r="A37" s="104" t="s">
        <v>34</v>
      </c>
      <c r="B37" s="104">
        <v>27.085804739513012</v>
      </c>
      <c r="D37" s="104">
        <v>26.740921673994464</v>
      </c>
      <c r="F37" s="104">
        <v>26.808411988739859</v>
      </c>
      <c r="H37" s="104">
        <v>26.616662002052429</v>
      </c>
      <c r="J37" s="104">
        <v>26.219426245781218</v>
      </c>
    </row>
    <row r="38" spans="1:13" x14ac:dyDescent="0.2">
      <c r="A38" s="104" t="s">
        <v>39</v>
      </c>
      <c r="B38" s="104">
        <v>22</v>
      </c>
      <c r="D38" s="104">
        <v>22</v>
      </c>
      <c r="F38" s="104">
        <v>22</v>
      </c>
      <c r="H38" s="104">
        <v>22</v>
      </c>
      <c r="J38" s="104">
        <v>22</v>
      </c>
    </row>
    <row r="40" spans="1:13" x14ac:dyDescent="0.2">
      <c r="B40" s="105" t="s">
        <v>43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 t="s">
        <v>42</v>
      </c>
      <c r="M40" s="105"/>
    </row>
    <row r="41" spans="1:13" x14ac:dyDescent="0.2">
      <c r="B41" s="105" t="s">
        <v>3</v>
      </c>
      <c r="C41" s="105"/>
      <c r="D41" s="105" t="s">
        <v>4</v>
      </c>
      <c r="E41" s="105"/>
      <c r="F41" s="105" t="s">
        <v>5</v>
      </c>
      <c r="G41" s="105"/>
      <c r="H41" s="105" t="s">
        <v>6</v>
      </c>
      <c r="I41" s="105"/>
      <c r="J41" s="105" t="s">
        <v>7</v>
      </c>
      <c r="K41" s="105"/>
      <c r="L41" s="105" t="s">
        <v>41</v>
      </c>
      <c r="M41" s="105"/>
    </row>
    <row r="42" spans="1:13" x14ac:dyDescent="0.2">
      <c r="A42" s="104" t="s">
        <v>35</v>
      </c>
      <c r="B42" s="104" t="s">
        <v>10</v>
      </c>
      <c r="C42" s="104" t="s">
        <v>11</v>
      </c>
      <c r="D42" s="104" t="s">
        <v>10</v>
      </c>
      <c r="E42" s="104" t="s">
        <v>11</v>
      </c>
      <c r="F42" s="104" t="s">
        <v>10</v>
      </c>
      <c r="G42" s="104" t="s">
        <v>11</v>
      </c>
      <c r="H42" s="104" t="s">
        <v>10</v>
      </c>
      <c r="I42" s="104" t="s">
        <v>11</v>
      </c>
      <c r="J42" s="104" t="s">
        <v>10</v>
      </c>
      <c r="K42" s="104" t="s">
        <v>11</v>
      </c>
      <c r="L42" s="104" t="s">
        <v>10</v>
      </c>
      <c r="M42" s="104" t="s">
        <v>11</v>
      </c>
    </row>
    <row r="43" spans="1:13" x14ac:dyDescent="0.2">
      <c r="A43" s="104" t="str">
        <f>A42</f>
        <v>DSPS</v>
      </c>
      <c r="B43" s="104" t="str">
        <f>B27</f>
        <v>AY07-08#</v>
      </c>
      <c r="C43" s="104" t="str">
        <f t="shared" ref="C43:M43" si="24">C27</f>
        <v>AY07-08%</v>
      </c>
      <c r="D43" s="104" t="str">
        <f t="shared" si="24"/>
        <v>AY08-09#</v>
      </c>
      <c r="E43" s="104" t="str">
        <f t="shared" si="24"/>
        <v>AY08-09%</v>
      </c>
      <c r="F43" s="104" t="str">
        <f t="shared" si="24"/>
        <v>AY09-10#</v>
      </c>
      <c r="G43" s="104" t="str">
        <f t="shared" si="24"/>
        <v>AY09-10%</v>
      </c>
      <c r="H43" s="104" t="str">
        <f t="shared" si="24"/>
        <v>AY10-11#</v>
      </c>
      <c r="I43" s="104" t="str">
        <f t="shared" si="24"/>
        <v>AY10-11%</v>
      </c>
      <c r="J43" s="104" t="str">
        <f t="shared" si="24"/>
        <v>AY11-12#</v>
      </c>
      <c r="K43" s="104" t="str">
        <f t="shared" si="24"/>
        <v>AY11-12%</v>
      </c>
      <c r="L43" s="104" t="str">
        <f t="shared" si="24"/>
        <v>2010 Census#</v>
      </c>
      <c r="M43" s="104" t="str">
        <f t="shared" si="24"/>
        <v>2010 Census%</v>
      </c>
    </row>
    <row r="44" spans="1:13" x14ac:dyDescent="0.2">
      <c r="A44" s="104" t="s">
        <v>44</v>
      </c>
      <c r="B44" s="104">
        <f>VLOOKUP($A42,[4]Sheet1!$A:$F,HLOOKUP(Sheet2!B$1,[4]Sheet1!$1:$2,2,FALSE),FALSE)</f>
        <v>649</v>
      </c>
      <c r="C44" s="104">
        <f>B44/B8</f>
        <v>0.28083080917351794</v>
      </c>
      <c r="D44" s="104">
        <f>VLOOKUP($A42,[4]Sheet1!$A:$F,HLOOKUP(Sheet2!D$1,[4]Sheet1!$1:$2,2,FALSE),FALSE)</f>
        <v>963</v>
      </c>
      <c r="E44" s="104">
        <f>D44/D8</f>
        <v>0.2494818652849741</v>
      </c>
      <c r="F44" s="104">
        <f>VLOOKUP($A42,[4]Sheet1!$A:$F,HLOOKUP(Sheet2!F$1,[4]Sheet1!$1:$2,2,FALSE),FALSE)</f>
        <v>1178</v>
      </c>
      <c r="G44" s="104">
        <f>F44/F8</f>
        <v>0.26507650765076507</v>
      </c>
      <c r="H44" s="104">
        <f>VLOOKUP($A42,[4]Sheet1!$A:$F,HLOOKUP(Sheet2!H$1,[4]Sheet1!$1:$2,2,FALSE),FALSE)</f>
        <v>1155</v>
      </c>
      <c r="I44" s="104">
        <f>H44/H8</f>
        <v>0.29683885890516576</v>
      </c>
      <c r="J44" s="104">
        <f>VLOOKUP($A42,[4]Sheet1!$A:$N,HLOOKUP(Sheet2!J$1,[4]Sheet1!$1:$2,2,FALSE),FALSE)</f>
        <v>1132</v>
      </c>
      <c r="K44" s="104">
        <f>J44/J8</f>
        <v>0.34670750382848392</v>
      </c>
      <c r="L44" s="104">
        <v>105412</v>
      </c>
      <c r="M44" s="104">
        <f>L44/L45</f>
        <v>8.1095074304327316E-2</v>
      </c>
    </row>
    <row r="45" spans="1:13" x14ac:dyDescent="0.2">
      <c r="L45" s="104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10" t="s">
        <v>58</v>
      </c>
      <c r="AB1" s="106" t="s">
        <v>50</v>
      </c>
    </row>
    <row r="2" spans="1:31" x14ac:dyDescent="0.25">
      <c r="AA2" s="106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7" t="s">
        <v>53</v>
      </c>
      <c r="AB3" s="108">
        <v>1466</v>
      </c>
      <c r="AC3" s="108">
        <v>822</v>
      </c>
      <c r="AD3" s="108">
        <v>23</v>
      </c>
      <c r="AE3" s="108">
        <v>2311</v>
      </c>
    </row>
    <row r="4" spans="1:31" x14ac:dyDescent="0.25">
      <c r="AA4" s="107" t="s">
        <v>54</v>
      </c>
      <c r="AB4" s="108">
        <v>2379</v>
      </c>
      <c r="AC4" s="108">
        <v>1435</v>
      </c>
      <c r="AD4" s="108">
        <v>46</v>
      </c>
      <c r="AE4" s="108">
        <v>3860</v>
      </c>
    </row>
    <row r="5" spans="1:31" x14ac:dyDescent="0.25">
      <c r="AA5" s="107" t="s">
        <v>55</v>
      </c>
      <c r="AB5" s="108">
        <v>2588</v>
      </c>
      <c r="AC5" s="108">
        <v>1808</v>
      </c>
      <c r="AD5" s="108">
        <v>48</v>
      </c>
      <c r="AE5" s="108">
        <v>4444</v>
      </c>
    </row>
    <row r="6" spans="1:31" x14ac:dyDescent="0.25">
      <c r="AA6" s="107" t="s">
        <v>56</v>
      </c>
      <c r="AB6" s="108">
        <v>2196</v>
      </c>
      <c r="AC6" s="108">
        <v>1660</v>
      </c>
      <c r="AD6" s="108">
        <v>35</v>
      </c>
      <c r="AE6" s="108">
        <v>3891</v>
      </c>
    </row>
    <row r="7" spans="1:31" x14ac:dyDescent="0.25">
      <c r="AA7" s="107" t="s">
        <v>57</v>
      </c>
      <c r="AB7" s="108">
        <v>1839</v>
      </c>
      <c r="AC7" s="108">
        <v>1404</v>
      </c>
      <c r="AD7" s="108">
        <v>22</v>
      </c>
      <c r="AE7" s="108">
        <v>3265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7" t="s">
        <v>53</v>
      </c>
      <c r="AB3" s="108">
        <v>1125</v>
      </c>
      <c r="AC3" s="108">
        <v>558</v>
      </c>
      <c r="AD3" s="108">
        <v>196</v>
      </c>
      <c r="AE3" s="108">
        <v>154</v>
      </c>
      <c r="AF3" s="108">
        <v>132</v>
      </c>
      <c r="AG3" s="108">
        <v>68</v>
      </c>
      <c r="AH3" s="108">
        <v>32</v>
      </c>
      <c r="AI3" s="108">
        <v>27</v>
      </c>
      <c r="AJ3" s="108">
        <v>19</v>
      </c>
      <c r="AK3" s="108">
        <v>2311</v>
      </c>
    </row>
    <row r="4" spans="1:37" x14ac:dyDescent="0.25">
      <c r="AA4" s="107" t="s">
        <v>54</v>
      </c>
      <c r="AB4" s="108">
        <v>1816</v>
      </c>
      <c r="AC4" s="108">
        <v>1016</v>
      </c>
      <c r="AD4" s="108">
        <v>322</v>
      </c>
      <c r="AE4" s="108">
        <v>264</v>
      </c>
      <c r="AF4" s="108">
        <v>189</v>
      </c>
      <c r="AG4" s="108">
        <v>111</v>
      </c>
      <c r="AH4" s="108">
        <v>68</v>
      </c>
      <c r="AI4" s="108">
        <v>44</v>
      </c>
      <c r="AJ4" s="108">
        <v>30</v>
      </c>
      <c r="AK4" s="108">
        <v>3860</v>
      </c>
    </row>
    <row r="5" spans="1:37" x14ac:dyDescent="0.25">
      <c r="AA5" s="107" t="s">
        <v>55</v>
      </c>
      <c r="AB5" s="108">
        <v>2066</v>
      </c>
      <c r="AC5" s="108">
        <v>1185</v>
      </c>
      <c r="AD5" s="108">
        <v>341</v>
      </c>
      <c r="AE5" s="108">
        <v>285</v>
      </c>
      <c r="AF5" s="108">
        <v>234</v>
      </c>
      <c r="AG5" s="108">
        <v>119</v>
      </c>
      <c r="AH5" s="108">
        <v>151</v>
      </c>
      <c r="AI5" s="108">
        <v>39</v>
      </c>
      <c r="AJ5" s="108">
        <v>24</v>
      </c>
      <c r="AK5" s="108">
        <v>4444</v>
      </c>
    </row>
    <row r="6" spans="1:37" x14ac:dyDescent="0.25">
      <c r="AA6" s="107" t="s">
        <v>56</v>
      </c>
      <c r="AB6" s="108">
        <v>1789</v>
      </c>
      <c r="AC6" s="108">
        <v>1164</v>
      </c>
      <c r="AD6" s="108">
        <v>205</v>
      </c>
      <c r="AE6" s="108">
        <v>220</v>
      </c>
      <c r="AF6" s="108">
        <v>175</v>
      </c>
      <c r="AG6" s="108">
        <v>126</v>
      </c>
      <c r="AH6" s="108">
        <v>173</v>
      </c>
      <c r="AI6" s="108">
        <v>20</v>
      </c>
      <c r="AJ6" s="108">
        <v>19</v>
      </c>
      <c r="AK6" s="108">
        <v>3891</v>
      </c>
    </row>
    <row r="7" spans="1:37" x14ac:dyDescent="0.25">
      <c r="AA7" s="107" t="s">
        <v>57</v>
      </c>
      <c r="AB7" s="108">
        <v>1417</v>
      </c>
      <c r="AC7" s="108">
        <v>1103</v>
      </c>
      <c r="AD7" s="108">
        <v>126</v>
      </c>
      <c r="AE7" s="108">
        <v>174</v>
      </c>
      <c r="AF7" s="108">
        <v>152</v>
      </c>
      <c r="AG7" s="108">
        <v>95</v>
      </c>
      <c r="AH7" s="108">
        <v>173</v>
      </c>
      <c r="AI7" s="108">
        <v>10</v>
      </c>
      <c r="AJ7" s="108">
        <v>15</v>
      </c>
      <c r="AK7" s="108">
        <v>3265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7" t="s">
        <v>53</v>
      </c>
      <c r="AB3" s="108">
        <v>57</v>
      </c>
      <c r="AC3" s="108">
        <v>472</v>
      </c>
      <c r="AD3" s="108">
        <v>826</v>
      </c>
      <c r="AE3" s="108">
        <v>283</v>
      </c>
      <c r="AF3" s="108">
        <v>196</v>
      </c>
      <c r="AG3" s="108">
        <v>142</v>
      </c>
      <c r="AH3" s="108">
        <v>233</v>
      </c>
      <c r="AI3" s="108">
        <v>101</v>
      </c>
      <c r="AJ3" s="108">
        <v>1</v>
      </c>
      <c r="AK3" s="108">
        <v>2311</v>
      </c>
    </row>
    <row r="4" spans="1:37" x14ac:dyDescent="0.25">
      <c r="AA4" s="107" t="s">
        <v>54</v>
      </c>
      <c r="AB4" s="108">
        <v>180</v>
      </c>
      <c r="AC4" s="108">
        <v>843</v>
      </c>
      <c r="AD4" s="108">
        <v>1281</v>
      </c>
      <c r="AE4" s="108">
        <v>435</v>
      </c>
      <c r="AF4" s="108">
        <v>248</v>
      </c>
      <c r="AG4" s="108">
        <v>236</v>
      </c>
      <c r="AH4" s="108">
        <v>406</v>
      </c>
      <c r="AI4" s="108">
        <v>231</v>
      </c>
      <c r="AJ4" s="108">
        <v>0</v>
      </c>
      <c r="AK4" s="108">
        <v>3860</v>
      </c>
    </row>
    <row r="5" spans="1:37" x14ac:dyDescent="0.25">
      <c r="AA5" s="107" t="s">
        <v>55</v>
      </c>
      <c r="AB5" s="108">
        <v>128</v>
      </c>
      <c r="AC5" s="108">
        <v>1071</v>
      </c>
      <c r="AD5" s="108">
        <v>1454</v>
      </c>
      <c r="AE5" s="108">
        <v>545</v>
      </c>
      <c r="AF5" s="108">
        <v>308</v>
      </c>
      <c r="AG5" s="108">
        <v>259</v>
      </c>
      <c r="AH5" s="108">
        <v>443</v>
      </c>
      <c r="AI5" s="108">
        <v>235</v>
      </c>
      <c r="AJ5" s="108">
        <v>1</v>
      </c>
      <c r="AK5" s="108">
        <v>4444</v>
      </c>
    </row>
    <row r="6" spans="1:37" x14ac:dyDescent="0.25">
      <c r="AA6" s="107" t="s">
        <v>56</v>
      </c>
      <c r="AB6" s="108">
        <v>59</v>
      </c>
      <c r="AC6" s="108">
        <v>837</v>
      </c>
      <c r="AD6" s="108">
        <v>1416</v>
      </c>
      <c r="AE6" s="108">
        <v>522</v>
      </c>
      <c r="AF6" s="108">
        <v>291</v>
      </c>
      <c r="AG6" s="108">
        <v>225</v>
      </c>
      <c r="AH6" s="108">
        <v>363</v>
      </c>
      <c r="AI6" s="108">
        <v>178</v>
      </c>
      <c r="AJ6" s="108">
        <v>0</v>
      </c>
      <c r="AK6" s="108">
        <v>3891</v>
      </c>
    </row>
    <row r="7" spans="1:37" x14ac:dyDescent="0.25">
      <c r="AA7" s="107" t="s">
        <v>57</v>
      </c>
      <c r="AB7" s="108">
        <v>19</v>
      </c>
      <c r="AC7" s="108">
        <v>697</v>
      </c>
      <c r="AD7" s="108">
        <v>1305</v>
      </c>
      <c r="AE7" s="108">
        <v>422</v>
      </c>
      <c r="AF7" s="108">
        <v>234</v>
      </c>
      <c r="AG7" s="108">
        <v>179</v>
      </c>
      <c r="AH7" s="108">
        <v>276</v>
      </c>
      <c r="AI7" s="108">
        <v>133</v>
      </c>
      <c r="AJ7" s="108">
        <v>0</v>
      </c>
      <c r="AK7" s="108">
        <v>3265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0D57194-239E-44B9-AAD1-C8B561CD4AB0}"/>
</file>

<file path=customXml/itemProps2.xml><?xml version="1.0" encoding="utf-8"?>
<ds:datastoreItem xmlns:ds="http://schemas.openxmlformats.org/officeDocument/2006/customXml" ds:itemID="{C9E895FD-5B50-470E-B09E-F4095C069318}"/>
</file>

<file path=customXml/itemProps3.xml><?xml version="1.0" encoding="utf-8"?>
<ds:datastoreItem xmlns:ds="http://schemas.openxmlformats.org/officeDocument/2006/customXml" ds:itemID="{58E525F5-B313-4C3F-B275-B113E7DCE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2012-06-04T19:06:44Z</dcterms:created>
  <dcterms:modified xsi:type="dcterms:W3CDTF">2012-10-23T23:11:15Z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