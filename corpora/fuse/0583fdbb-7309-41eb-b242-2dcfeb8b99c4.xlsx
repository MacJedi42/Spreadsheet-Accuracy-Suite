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50" windowWidth="18960" windowHeight="10995" tabRatio="865" activeTab="1"/>
  </bookViews>
  <sheets>
    <sheet name="all" sheetId="1" r:id="rId1"/>
    <sheet name="Demographics" sheetId="2" r:id="rId2"/>
    <sheet name="Obj Emp " sheetId="3" r:id="rId3"/>
    <sheet name="Meeting needs" sheetId="4" r:id="rId4"/>
    <sheet name="Evaluate Instruction" sheetId="10" r:id="rId5"/>
    <sheet name="Pers Grow" sheetId="13" r:id="rId6"/>
    <sheet name="Eval Stud Serv" sheetId="14" r:id="rId7"/>
    <sheet name="Reasons at FRCC" sheetId="16" r:id="rId8"/>
    <sheet name="Online Special Questions" sheetId="33" r:id="rId9"/>
  </sheets>
  <definedNames>
    <definedName name="_xlnm._FilterDatabase" localSheetId="0" hidden="1">all!$A$50:$R$404</definedName>
    <definedName name="_xlnm._FilterDatabase" localSheetId="1" hidden="1">Demographics!$A$2:$F$52</definedName>
    <definedName name="_xlnm._FilterDatabase" localSheetId="6" hidden="1">'Eval Stud Serv'!$R$5:$X$27</definedName>
    <definedName name="_xlnm._FilterDatabase" localSheetId="4" hidden="1">'Evaluate Instruction'!$R$5:$X$14</definedName>
    <definedName name="_xlnm._FilterDatabase" localSheetId="3" hidden="1">'Meeting needs'!$A$11:$F$37</definedName>
    <definedName name="_xlnm._FilterDatabase" localSheetId="2" hidden="1">'Obj Emp '!$A$2:$F$15</definedName>
    <definedName name="_xlnm._FilterDatabase" localSheetId="8" hidden="1">'Online Special Questions'!$A$3:$F$31</definedName>
    <definedName name="_xlnm._FilterDatabase" localSheetId="5" hidden="1">'Pers Grow'!$A$4:$F$84</definedName>
    <definedName name="_xlnm._FilterDatabase" localSheetId="7" hidden="1">'Reasons at FRCC'!$A$4:$F$33</definedName>
    <definedName name="_xlnm.Print_Area" localSheetId="4">'Evaluate Instruction'!$A$1:$P$75</definedName>
  </definedNames>
  <calcPr calcId="145621"/>
</workbook>
</file>

<file path=xl/calcChain.xml><?xml version="1.0" encoding="utf-8"?>
<calcChain xmlns="http://schemas.openxmlformats.org/spreadsheetml/2006/main">
  <c r="A213" i="33" l="1"/>
  <c r="A212" i="33"/>
  <c r="L211" i="33"/>
  <c r="J211" i="33"/>
  <c r="H211" i="33"/>
  <c r="F211" i="33"/>
  <c r="D211" i="33"/>
  <c r="B211" i="33"/>
  <c r="A211" i="33"/>
  <c r="N210" i="33"/>
  <c r="L210" i="33"/>
  <c r="J210" i="33"/>
  <c r="H210" i="33"/>
  <c r="F210" i="33"/>
  <c r="D210" i="33"/>
  <c r="B210" i="33"/>
  <c r="A210" i="33"/>
  <c r="L209" i="33"/>
  <c r="J209" i="33"/>
  <c r="H209" i="33"/>
  <c r="F209" i="33"/>
  <c r="D209" i="33"/>
  <c r="B209" i="33"/>
  <c r="A209" i="33"/>
  <c r="L208" i="33"/>
  <c r="J208" i="33"/>
  <c r="H208" i="33"/>
  <c r="F208" i="33"/>
  <c r="D208" i="33"/>
  <c r="B208" i="33"/>
  <c r="A208" i="33"/>
  <c r="L207" i="33"/>
  <c r="J207" i="33"/>
  <c r="H207" i="33"/>
  <c r="F207" i="33"/>
  <c r="D207" i="33"/>
  <c r="B207" i="33"/>
  <c r="A207" i="33"/>
  <c r="A206" i="33"/>
  <c r="A204" i="33"/>
  <c r="A203" i="33"/>
  <c r="L202" i="33"/>
  <c r="J202" i="33"/>
  <c r="H202" i="33"/>
  <c r="F202" i="33"/>
  <c r="D202" i="33"/>
  <c r="B202" i="33"/>
  <c r="A202" i="33"/>
  <c r="N201" i="33"/>
  <c r="L201" i="33"/>
  <c r="J201" i="33"/>
  <c r="H201" i="33"/>
  <c r="F201" i="33"/>
  <c r="D201" i="33"/>
  <c r="B201" i="33"/>
  <c r="A201" i="33"/>
  <c r="L200" i="33"/>
  <c r="J200" i="33"/>
  <c r="H200" i="33"/>
  <c r="F200" i="33"/>
  <c r="D200" i="33"/>
  <c r="B200" i="33"/>
  <c r="A200" i="33"/>
  <c r="L199" i="33"/>
  <c r="J199" i="33"/>
  <c r="H199" i="33"/>
  <c r="F199" i="33"/>
  <c r="D199" i="33"/>
  <c r="B199" i="33"/>
  <c r="A199" i="33"/>
  <c r="L198" i="33"/>
  <c r="J198" i="33"/>
  <c r="H198" i="33"/>
  <c r="F198" i="33"/>
  <c r="D198" i="33"/>
  <c r="B198" i="33"/>
  <c r="A198" i="33"/>
  <c r="A197" i="33"/>
  <c r="A195" i="33"/>
  <c r="A194" i="33"/>
  <c r="L193" i="33"/>
  <c r="J193" i="33"/>
  <c r="H193" i="33"/>
  <c r="F193" i="33"/>
  <c r="D193" i="33"/>
  <c r="B193" i="33"/>
  <c r="A193" i="33"/>
  <c r="N192" i="33"/>
  <c r="L192" i="33"/>
  <c r="J192" i="33"/>
  <c r="H192" i="33"/>
  <c r="F192" i="33"/>
  <c r="D192" i="33"/>
  <c r="B192" i="33"/>
  <c r="A192" i="33"/>
  <c r="L191" i="33"/>
  <c r="J191" i="33"/>
  <c r="H191" i="33"/>
  <c r="F191" i="33"/>
  <c r="D191" i="33"/>
  <c r="B191" i="33"/>
  <c r="A191" i="33"/>
  <c r="L190" i="33"/>
  <c r="J190" i="33"/>
  <c r="H190" i="33"/>
  <c r="F190" i="33"/>
  <c r="D190" i="33"/>
  <c r="B190" i="33"/>
  <c r="A190" i="33"/>
  <c r="L189" i="33"/>
  <c r="J189" i="33"/>
  <c r="H189" i="33"/>
  <c r="F189" i="33"/>
  <c r="D189" i="33"/>
  <c r="B189" i="33"/>
  <c r="A189" i="33"/>
  <c r="A188" i="33"/>
  <c r="A186" i="33"/>
  <c r="A185" i="33"/>
  <c r="L184" i="33"/>
  <c r="J184" i="33"/>
  <c r="H184" i="33"/>
  <c r="F184" i="33"/>
  <c r="D184" i="33"/>
  <c r="B184" i="33"/>
  <c r="A184" i="33"/>
  <c r="N183" i="33"/>
  <c r="L183" i="33"/>
  <c r="J183" i="33"/>
  <c r="H183" i="33"/>
  <c r="F183" i="33"/>
  <c r="D183" i="33"/>
  <c r="B183" i="33"/>
  <c r="A183" i="33"/>
  <c r="L182" i="33"/>
  <c r="J182" i="33"/>
  <c r="H182" i="33"/>
  <c r="F182" i="33"/>
  <c r="D182" i="33"/>
  <c r="B182" i="33"/>
  <c r="A182" i="33"/>
  <c r="L181" i="33"/>
  <c r="J181" i="33"/>
  <c r="H181" i="33"/>
  <c r="F181" i="33"/>
  <c r="D181" i="33"/>
  <c r="B181" i="33"/>
  <c r="A181" i="33"/>
  <c r="L180" i="33"/>
  <c r="J180" i="33"/>
  <c r="H180" i="33"/>
  <c r="F180" i="33"/>
  <c r="D180" i="33"/>
  <c r="B180" i="33"/>
  <c r="A180" i="33"/>
  <c r="A179" i="33"/>
  <c r="A177" i="33"/>
  <c r="A176" i="33"/>
  <c r="L175" i="33"/>
  <c r="J175" i="33"/>
  <c r="H175" i="33"/>
  <c r="F175" i="33"/>
  <c r="D175" i="33"/>
  <c r="B175" i="33"/>
  <c r="A175" i="33"/>
  <c r="N174" i="33"/>
  <c r="L174" i="33"/>
  <c r="J174" i="33"/>
  <c r="H174" i="33"/>
  <c r="F174" i="33"/>
  <c r="D174" i="33"/>
  <c r="B174" i="33"/>
  <c r="A174" i="33"/>
  <c r="L173" i="33"/>
  <c r="J173" i="33"/>
  <c r="H173" i="33"/>
  <c r="F173" i="33"/>
  <c r="D173" i="33"/>
  <c r="B173" i="33"/>
  <c r="A173" i="33"/>
  <c r="L172" i="33"/>
  <c r="J172" i="33"/>
  <c r="H172" i="33"/>
  <c r="F172" i="33"/>
  <c r="D172" i="33"/>
  <c r="B172" i="33"/>
  <c r="A172" i="33"/>
  <c r="L171" i="33"/>
  <c r="J171" i="33"/>
  <c r="H171" i="33"/>
  <c r="F171" i="33"/>
  <c r="D171" i="33"/>
  <c r="B171" i="33"/>
  <c r="A171" i="33"/>
  <c r="A170" i="33"/>
  <c r="A168" i="33"/>
  <c r="A167" i="33"/>
  <c r="L166" i="33"/>
  <c r="J166" i="33"/>
  <c r="H166" i="33"/>
  <c r="F166" i="33"/>
  <c r="D166" i="33"/>
  <c r="B166" i="33"/>
  <c r="A166" i="33"/>
  <c r="N165" i="33"/>
  <c r="L165" i="33"/>
  <c r="J165" i="33"/>
  <c r="H165" i="33"/>
  <c r="F165" i="33"/>
  <c r="D165" i="33"/>
  <c r="B165" i="33"/>
  <c r="A165" i="33"/>
  <c r="L164" i="33"/>
  <c r="J164" i="33"/>
  <c r="H164" i="33"/>
  <c r="F164" i="33"/>
  <c r="D164" i="33"/>
  <c r="B164" i="33"/>
  <c r="A164" i="33"/>
  <c r="L163" i="33"/>
  <c r="J163" i="33"/>
  <c r="H163" i="33"/>
  <c r="F163" i="33"/>
  <c r="D163" i="33"/>
  <c r="B163" i="33"/>
  <c r="A163" i="33"/>
  <c r="L162" i="33"/>
  <c r="J162" i="33"/>
  <c r="H162" i="33"/>
  <c r="F162" i="33"/>
  <c r="D162" i="33"/>
  <c r="B162" i="33"/>
  <c r="A162" i="33"/>
  <c r="A161" i="33"/>
  <c r="A159" i="33"/>
  <c r="A158" i="33"/>
  <c r="L157" i="33"/>
  <c r="J157" i="33"/>
  <c r="H157" i="33"/>
  <c r="F157" i="33"/>
  <c r="D157" i="33"/>
  <c r="B157" i="33"/>
  <c r="A157" i="33"/>
  <c r="N156" i="33"/>
  <c r="L156" i="33"/>
  <c r="J156" i="33"/>
  <c r="H156" i="33"/>
  <c r="F156" i="33"/>
  <c r="D156" i="33"/>
  <c r="B156" i="33"/>
  <c r="A156" i="33"/>
  <c r="L155" i="33"/>
  <c r="J155" i="33"/>
  <c r="H155" i="33"/>
  <c r="F155" i="33"/>
  <c r="D155" i="33"/>
  <c r="B155" i="33"/>
  <c r="A155" i="33"/>
  <c r="L154" i="33"/>
  <c r="J154" i="33"/>
  <c r="H154" i="33"/>
  <c r="F154" i="33"/>
  <c r="D154" i="33"/>
  <c r="B154" i="33"/>
  <c r="A154" i="33"/>
  <c r="L153" i="33"/>
  <c r="J153" i="33"/>
  <c r="H153" i="33"/>
  <c r="F153" i="33"/>
  <c r="D153" i="33"/>
  <c r="B153" i="33"/>
  <c r="A153" i="33"/>
  <c r="A152" i="33"/>
  <c r="A150" i="33"/>
  <c r="A149" i="33"/>
  <c r="L148" i="33"/>
  <c r="J148" i="33"/>
  <c r="H148" i="33"/>
  <c r="F148" i="33"/>
  <c r="D148" i="33"/>
  <c r="B148" i="33"/>
  <c r="A148" i="33"/>
  <c r="N147" i="33"/>
  <c r="L147" i="33"/>
  <c r="J147" i="33"/>
  <c r="H147" i="33"/>
  <c r="F147" i="33"/>
  <c r="D147" i="33"/>
  <c r="B147" i="33"/>
  <c r="A147" i="33"/>
  <c r="L146" i="33"/>
  <c r="J146" i="33"/>
  <c r="H146" i="33"/>
  <c r="F146" i="33"/>
  <c r="D146" i="33"/>
  <c r="B146" i="33"/>
  <c r="A146" i="33"/>
  <c r="L145" i="33"/>
  <c r="J145" i="33"/>
  <c r="H145" i="33"/>
  <c r="F145" i="33"/>
  <c r="D145" i="33"/>
  <c r="B145" i="33"/>
  <c r="A145" i="33"/>
  <c r="L144" i="33"/>
  <c r="J144" i="33"/>
  <c r="H144" i="33"/>
  <c r="F144" i="33"/>
  <c r="D144" i="33"/>
  <c r="B144" i="33"/>
  <c r="A144" i="33"/>
  <c r="A143" i="33"/>
  <c r="A141" i="33"/>
  <c r="A140" i="33"/>
  <c r="L139" i="33"/>
  <c r="J139" i="33"/>
  <c r="H139" i="33"/>
  <c r="F139" i="33"/>
  <c r="D139" i="33"/>
  <c r="B139" i="33"/>
  <c r="A139" i="33"/>
  <c r="N138" i="33"/>
  <c r="L138" i="33"/>
  <c r="J138" i="33"/>
  <c r="H138" i="33"/>
  <c r="F138" i="33"/>
  <c r="D138" i="33"/>
  <c r="B138" i="33"/>
  <c r="A138" i="33"/>
  <c r="L137" i="33"/>
  <c r="J137" i="33"/>
  <c r="H137" i="33"/>
  <c r="F137" i="33"/>
  <c r="D137" i="33"/>
  <c r="B137" i="33"/>
  <c r="A137" i="33"/>
  <c r="L136" i="33"/>
  <c r="J136" i="33"/>
  <c r="H136" i="33"/>
  <c r="F136" i="33"/>
  <c r="D136" i="33"/>
  <c r="B136" i="33"/>
  <c r="A136" i="33"/>
  <c r="L135" i="33"/>
  <c r="J135" i="33"/>
  <c r="H135" i="33"/>
  <c r="F135" i="33"/>
  <c r="D135" i="33"/>
  <c r="B135" i="33"/>
  <c r="A135" i="33"/>
  <c r="A134" i="33"/>
  <c r="A132" i="33"/>
  <c r="A131" i="33"/>
  <c r="L130" i="33"/>
  <c r="J130" i="33"/>
  <c r="H130" i="33"/>
  <c r="F130" i="33"/>
  <c r="D130" i="33"/>
  <c r="B130" i="33"/>
  <c r="A130" i="33"/>
  <c r="N129" i="33"/>
  <c r="L129" i="33"/>
  <c r="J129" i="33"/>
  <c r="H129" i="33"/>
  <c r="F129" i="33"/>
  <c r="D129" i="33"/>
  <c r="B129" i="33"/>
  <c r="A129" i="33"/>
  <c r="L128" i="33"/>
  <c r="J128" i="33"/>
  <c r="H128" i="33"/>
  <c r="F128" i="33"/>
  <c r="D128" i="33"/>
  <c r="B128" i="33"/>
  <c r="A128" i="33"/>
  <c r="L127" i="33"/>
  <c r="J127" i="33"/>
  <c r="H127" i="33"/>
  <c r="F127" i="33"/>
  <c r="D127" i="33"/>
  <c r="B127" i="33"/>
  <c r="A127" i="33"/>
  <c r="L126" i="33"/>
  <c r="J126" i="33"/>
  <c r="H126" i="33"/>
  <c r="F126" i="33"/>
  <c r="D126" i="33"/>
  <c r="B126" i="33"/>
  <c r="A126" i="33"/>
  <c r="A125" i="33"/>
  <c r="A123" i="33"/>
  <c r="A122" i="33"/>
  <c r="L121" i="33"/>
  <c r="J121" i="33"/>
  <c r="H121" i="33"/>
  <c r="F121" i="33"/>
  <c r="D121" i="33"/>
  <c r="B121" i="33"/>
  <c r="A121" i="33"/>
  <c r="N120" i="33"/>
  <c r="L120" i="33"/>
  <c r="J120" i="33"/>
  <c r="H120" i="33"/>
  <c r="F120" i="33"/>
  <c r="D120" i="33"/>
  <c r="B120" i="33"/>
  <c r="A120" i="33"/>
  <c r="L119" i="33"/>
  <c r="J119" i="33"/>
  <c r="H119" i="33"/>
  <c r="F119" i="33"/>
  <c r="D119" i="33"/>
  <c r="B119" i="33"/>
  <c r="A119" i="33"/>
  <c r="L118" i="33"/>
  <c r="J118" i="33"/>
  <c r="H118" i="33"/>
  <c r="F118" i="33"/>
  <c r="D118" i="33"/>
  <c r="B118" i="33"/>
  <c r="A118" i="33"/>
  <c r="L117" i="33"/>
  <c r="J117" i="33"/>
  <c r="H117" i="33"/>
  <c r="F117" i="33"/>
  <c r="D117" i="33"/>
  <c r="B117" i="33"/>
  <c r="A117" i="33"/>
  <c r="A116" i="33"/>
  <c r="A114" i="33"/>
  <c r="A113" i="33"/>
  <c r="L112" i="33"/>
  <c r="J112" i="33"/>
  <c r="H112" i="33"/>
  <c r="F112" i="33"/>
  <c r="D112" i="33"/>
  <c r="B112" i="33"/>
  <c r="A112" i="33"/>
  <c r="N111" i="33"/>
  <c r="L111" i="33"/>
  <c r="J111" i="33"/>
  <c r="H111" i="33"/>
  <c r="F111" i="33"/>
  <c r="D111" i="33"/>
  <c r="B111" i="33"/>
  <c r="A111" i="33"/>
  <c r="L110" i="33"/>
  <c r="J110" i="33"/>
  <c r="H110" i="33"/>
  <c r="F110" i="33"/>
  <c r="D110" i="33"/>
  <c r="B110" i="33"/>
  <c r="A110" i="33"/>
  <c r="L109" i="33"/>
  <c r="J109" i="33"/>
  <c r="H109" i="33"/>
  <c r="F109" i="33"/>
  <c r="D109" i="33"/>
  <c r="B109" i="33"/>
  <c r="A109" i="33"/>
  <c r="L108" i="33"/>
  <c r="J108" i="33"/>
  <c r="H108" i="33"/>
  <c r="F108" i="33"/>
  <c r="D108" i="33"/>
  <c r="B108" i="33"/>
  <c r="A108" i="33"/>
  <c r="A107" i="33"/>
  <c r="A105" i="33"/>
  <c r="A104" i="33"/>
  <c r="L103" i="33"/>
  <c r="J103" i="33"/>
  <c r="H103" i="33"/>
  <c r="F103" i="33"/>
  <c r="D103" i="33"/>
  <c r="B103" i="33"/>
  <c r="A103" i="33"/>
  <c r="N102" i="33"/>
  <c r="L102" i="33"/>
  <c r="J102" i="33"/>
  <c r="H102" i="33"/>
  <c r="F102" i="33"/>
  <c r="D102" i="33"/>
  <c r="B102" i="33"/>
  <c r="A102" i="33"/>
  <c r="L101" i="33"/>
  <c r="J101" i="33"/>
  <c r="H101" i="33"/>
  <c r="F101" i="33"/>
  <c r="D101" i="33"/>
  <c r="B101" i="33"/>
  <c r="A101" i="33"/>
  <c r="L100" i="33"/>
  <c r="J100" i="33"/>
  <c r="H100" i="33"/>
  <c r="F100" i="33"/>
  <c r="D100" i="33"/>
  <c r="B100" i="33"/>
  <c r="A100" i="33"/>
  <c r="L99" i="33"/>
  <c r="J99" i="33"/>
  <c r="H99" i="33"/>
  <c r="F99" i="33"/>
  <c r="D99" i="33"/>
  <c r="B99" i="33"/>
  <c r="A99" i="33"/>
  <c r="A98" i="33"/>
  <c r="A96" i="33"/>
  <c r="A95" i="33"/>
  <c r="L94" i="33"/>
  <c r="J94" i="33"/>
  <c r="H94" i="33"/>
  <c r="F94" i="33"/>
  <c r="D94" i="33"/>
  <c r="B94" i="33"/>
  <c r="A94" i="33"/>
  <c r="N93" i="33"/>
  <c r="L93" i="33"/>
  <c r="J93" i="33"/>
  <c r="H93" i="33"/>
  <c r="F93" i="33"/>
  <c r="D93" i="33"/>
  <c r="B93" i="33"/>
  <c r="A93" i="33"/>
  <c r="L92" i="33"/>
  <c r="J92" i="33"/>
  <c r="H92" i="33"/>
  <c r="F92" i="33"/>
  <c r="D92" i="33"/>
  <c r="B92" i="33"/>
  <c r="A92" i="33"/>
  <c r="L91" i="33"/>
  <c r="J91" i="33"/>
  <c r="H91" i="33"/>
  <c r="F91" i="33"/>
  <c r="D91" i="33"/>
  <c r="B91" i="33"/>
  <c r="A91" i="33"/>
  <c r="L90" i="33"/>
  <c r="J90" i="33"/>
  <c r="H90" i="33"/>
  <c r="F90" i="33"/>
  <c r="D90" i="33"/>
  <c r="B90" i="33"/>
  <c r="A90" i="33"/>
  <c r="A89" i="33"/>
  <c r="A87" i="33"/>
  <c r="A86" i="33"/>
  <c r="L85" i="33"/>
  <c r="J85" i="33"/>
  <c r="H85" i="33"/>
  <c r="F85" i="33"/>
  <c r="D85" i="33"/>
  <c r="B85" i="33"/>
  <c r="A85" i="33"/>
  <c r="N84" i="33"/>
  <c r="L84" i="33"/>
  <c r="J84" i="33"/>
  <c r="H84" i="33"/>
  <c r="F84" i="33"/>
  <c r="D84" i="33"/>
  <c r="B84" i="33"/>
  <c r="A84" i="33"/>
  <c r="L83" i="33"/>
  <c r="J83" i="33"/>
  <c r="H83" i="33"/>
  <c r="F83" i="33"/>
  <c r="D83" i="33"/>
  <c r="B83" i="33"/>
  <c r="A83" i="33"/>
  <c r="L82" i="33"/>
  <c r="J82" i="33"/>
  <c r="H82" i="33"/>
  <c r="F82" i="33"/>
  <c r="D82" i="33"/>
  <c r="B82" i="33"/>
  <c r="A82" i="33"/>
  <c r="L81" i="33"/>
  <c r="J81" i="33"/>
  <c r="H81" i="33"/>
  <c r="F81" i="33"/>
  <c r="D81" i="33"/>
  <c r="B81" i="33"/>
  <c r="A81" i="33"/>
  <c r="A80" i="33"/>
  <c r="L57" i="33"/>
  <c r="J57" i="33"/>
  <c r="H57" i="33"/>
  <c r="F57" i="33"/>
  <c r="D57" i="33"/>
  <c r="B57" i="33"/>
  <c r="L56" i="33"/>
  <c r="J56" i="33"/>
  <c r="H56" i="33"/>
  <c r="F56" i="33"/>
  <c r="D56" i="33"/>
  <c r="B56" i="33"/>
  <c r="L55" i="33"/>
  <c r="J55" i="33"/>
  <c r="H55" i="33"/>
  <c r="F55" i="33"/>
  <c r="D55" i="33"/>
  <c r="B55" i="33"/>
  <c r="L54" i="33"/>
  <c r="J54" i="33"/>
  <c r="H54" i="33"/>
  <c r="F54" i="33"/>
  <c r="D54" i="33"/>
  <c r="B54" i="33"/>
  <c r="B72" i="33"/>
  <c r="D72" i="33"/>
  <c r="F72" i="33"/>
  <c r="H72" i="33"/>
  <c r="J72" i="33"/>
  <c r="L72" i="33"/>
  <c r="B73" i="33"/>
  <c r="D73" i="33"/>
  <c r="F73" i="33"/>
  <c r="H73" i="33"/>
  <c r="J73" i="33"/>
  <c r="L73" i="33"/>
  <c r="B74" i="33"/>
  <c r="D74" i="33"/>
  <c r="F74" i="33"/>
  <c r="H74" i="33"/>
  <c r="J74" i="33"/>
  <c r="L74" i="33"/>
  <c r="B75" i="33"/>
  <c r="D75" i="33"/>
  <c r="F75" i="33"/>
  <c r="H75" i="33"/>
  <c r="J75" i="33"/>
  <c r="L75" i="33"/>
  <c r="N75" i="33"/>
  <c r="B76" i="33"/>
  <c r="D76" i="33"/>
  <c r="F76" i="33"/>
  <c r="H76" i="33"/>
  <c r="J76" i="33"/>
  <c r="L76" i="33"/>
  <c r="A73" i="33"/>
  <c r="A74" i="33"/>
  <c r="A75" i="33"/>
  <c r="A76" i="33"/>
  <c r="A77" i="33"/>
  <c r="A78" i="33"/>
  <c r="A72" i="33"/>
  <c r="A71" i="33"/>
  <c r="A70" i="33"/>
  <c r="A67" i="33"/>
  <c r="A66" i="33"/>
  <c r="L65" i="33"/>
  <c r="J65" i="33"/>
  <c r="H65" i="33"/>
  <c r="F65" i="33"/>
  <c r="D65" i="33"/>
  <c r="B65" i="33"/>
  <c r="A65" i="33"/>
  <c r="L64" i="33"/>
  <c r="J64" i="33"/>
  <c r="H64" i="33"/>
  <c r="F64" i="33"/>
  <c r="D64" i="33"/>
  <c r="B64" i="33"/>
  <c r="A64" i="33"/>
  <c r="L63" i="33"/>
  <c r="J63" i="33"/>
  <c r="H63" i="33"/>
  <c r="F63" i="33"/>
  <c r="D63" i="33"/>
  <c r="B63" i="33"/>
  <c r="A63" i="33"/>
  <c r="L62" i="33"/>
  <c r="J62" i="33"/>
  <c r="H62" i="33"/>
  <c r="F62" i="33"/>
  <c r="D62" i="33"/>
  <c r="B62" i="33"/>
  <c r="A62" i="33"/>
  <c r="A61" i="33"/>
  <c r="A59" i="33"/>
  <c r="A58" i="33"/>
  <c r="A57" i="33"/>
  <c r="A56" i="33"/>
  <c r="A55" i="33"/>
  <c r="A54" i="33"/>
  <c r="A53" i="33"/>
  <c r="N51" i="33"/>
  <c r="L51" i="33"/>
  <c r="J51" i="33"/>
  <c r="H51" i="33"/>
  <c r="F51" i="33"/>
  <c r="D51" i="33"/>
  <c r="B51" i="33"/>
  <c r="A51" i="33"/>
  <c r="A50" i="33"/>
  <c r="L49" i="33"/>
  <c r="J49" i="33"/>
  <c r="H49" i="33"/>
  <c r="F49" i="33"/>
  <c r="D49" i="33"/>
  <c r="B49" i="33"/>
  <c r="A49" i="33"/>
  <c r="L48" i="33"/>
  <c r="J48" i="33"/>
  <c r="H48" i="33"/>
  <c r="F48" i="33"/>
  <c r="D48" i="33"/>
  <c r="B48" i="33"/>
  <c r="A48" i="33"/>
  <c r="L47" i="33"/>
  <c r="J47" i="33"/>
  <c r="H47" i="33"/>
  <c r="F47" i="33"/>
  <c r="D47" i="33"/>
  <c r="B47" i="33"/>
  <c r="A47" i="33"/>
  <c r="L46" i="33"/>
  <c r="J46" i="33"/>
  <c r="H46" i="33"/>
  <c r="F46" i="33"/>
  <c r="D46" i="33"/>
  <c r="B46" i="33"/>
  <c r="A46" i="33"/>
  <c r="A45" i="33"/>
  <c r="N43" i="33"/>
  <c r="L43" i="33"/>
  <c r="J43" i="33"/>
  <c r="H43" i="33"/>
  <c r="F43" i="33"/>
  <c r="D43" i="33"/>
  <c r="B43" i="33"/>
  <c r="A43" i="33"/>
  <c r="A42" i="33"/>
  <c r="L41" i="33"/>
  <c r="J41" i="33"/>
  <c r="H41" i="33"/>
  <c r="F41" i="33"/>
  <c r="D41" i="33"/>
  <c r="B41" i="33"/>
  <c r="A41" i="33"/>
  <c r="L40" i="33"/>
  <c r="J40" i="33"/>
  <c r="H40" i="33"/>
  <c r="F40" i="33"/>
  <c r="D40" i="33"/>
  <c r="B40" i="33"/>
  <c r="A40" i="33"/>
  <c r="L39" i="33"/>
  <c r="J39" i="33"/>
  <c r="H39" i="33"/>
  <c r="F39" i="33"/>
  <c r="D39" i="33"/>
  <c r="B39" i="33"/>
  <c r="A39" i="33"/>
  <c r="L38" i="33"/>
  <c r="J38" i="33"/>
  <c r="H38" i="33"/>
  <c r="F38" i="33"/>
  <c r="D38" i="33"/>
  <c r="B38" i="33"/>
  <c r="A38" i="33"/>
  <c r="A37" i="33"/>
  <c r="A36" i="33"/>
  <c r="N34" i="33"/>
  <c r="L34" i="33"/>
  <c r="J34" i="33"/>
  <c r="H34" i="33"/>
  <c r="F34" i="33"/>
  <c r="D34" i="33"/>
  <c r="B34" i="33"/>
  <c r="A34" i="33"/>
  <c r="A33" i="33"/>
  <c r="L32" i="33"/>
  <c r="J32" i="33"/>
  <c r="H32" i="33"/>
  <c r="F32" i="33"/>
  <c r="D32" i="33"/>
  <c r="B32" i="33"/>
  <c r="A32" i="33"/>
  <c r="L31" i="33"/>
  <c r="J31" i="33"/>
  <c r="H31" i="33"/>
  <c r="F31" i="33"/>
  <c r="D31" i="33"/>
  <c r="B31" i="33"/>
  <c r="A31" i="33"/>
  <c r="L30" i="33"/>
  <c r="J30" i="33"/>
  <c r="H30" i="33"/>
  <c r="F30" i="33"/>
  <c r="D30" i="33"/>
  <c r="B30" i="33"/>
  <c r="A30" i="33"/>
  <c r="L29" i="33"/>
  <c r="J29" i="33"/>
  <c r="H29" i="33"/>
  <c r="F29" i="33"/>
  <c r="D29" i="33"/>
  <c r="B29" i="33"/>
  <c r="A29" i="33"/>
  <c r="A28" i="33"/>
  <c r="N26" i="33"/>
  <c r="L26" i="33"/>
  <c r="J26" i="33"/>
  <c r="H26" i="33"/>
  <c r="F26" i="33"/>
  <c r="D26" i="33"/>
  <c r="B26" i="33"/>
  <c r="A26" i="33"/>
  <c r="A25" i="33"/>
  <c r="L24" i="33"/>
  <c r="J24" i="33"/>
  <c r="H24" i="33"/>
  <c r="F24" i="33"/>
  <c r="D24" i="33"/>
  <c r="B24" i="33"/>
  <c r="A24" i="33"/>
  <c r="L23" i="33"/>
  <c r="J23" i="33"/>
  <c r="H23" i="33"/>
  <c r="F23" i="33"/>
  <c r="D23" i="33"/>
  <c r="B23" i="33"/>
  <c r="A23" i="33"/>
  <c r="L22" i="33"/>
  <c r="J22" i="33"/>
  <c r="H22" i="33"/>
  <c r="F22" i="33"/>
  <c r="D22" i="33"/>
  <c r="B22" i="33"/>
  <c r="A22" i="33"/>
  <c r="L21" i="33"/>
  <c r="J21" i="33"/>
  <c r="H21" i="33"/>
  <c r="F21" i="33"/>
  <c r="D21" i="33"/>
  <c r="B21" i="33"/>
  <c r="A21" i="33"/>
  <c r="A20" i="33"/>
  <c r="N18" i="33"/>
  <c r="L18" i="33"/>
  <c r="J18" i="33"/>
  <c r="H18" i="33"/>
  <c r="F18" i="33"/>
  <c r="D18" i="33"/>
  <c r="B18" i="33"/>
  <c r="A18" i="33"/>
  <c r="A17" i="33"/>
  <c r="L16" i="33"/>
  <c r="J16" i="33"/>
  <c r="H16" i="33"/>
  <c r="F16" i="33"/>
  <c r="D16" i="33"/>
  <c r="B16" i="33"/>
  <c r="A16" i="33"/>
  <c r="L15" i="33"/>
  <c r="J15" i="33"/>
  <c r="H15" i="33"/>
  <c r="F15" i="33"/>
  <c r="D15" i="33"/>
  <c r="B15" i="33"/>
  <c r="A15" i="33"/>
  <c r="L14" i="33"/>
  <c r="J14" i="33"/>
  <c r="H14" i="33"/>
  <c r="F14" i="33"/>
  <c r="D14" i="33"/>
  <c r="B14" i="33"/>
  <c r="A14" i="33"/>
  <c r="L13" i="33"/>
  <c r="J13" i="33"/>
  <c r="H13" i="33"/>
  <c r="F13" i="33"/>
  <c r="D13" i="33"/>
  <c r="B13" i="33"/>
  <c r="A13" i="33"/>
  <c r="A12" i="33"/>
  <c r="A6" i="33"/>
  <c r="B6" i="33"/>
  <c r="D6" i="33"/>
  <c r="F6" i="33"/>
  <c r="H6" i="33"/>
  <c r="J6" i="33"/>
  <c r="L6" i="33"/>
  <c r="A7" i="33"/>
  <c r="B7" i="33"/>
  <c r="D7" i="33"/>
  <c r="F7" i="33"/>
  <c r="H7" i="33"/>
  <c r="J7" i="33"/>
  <c r="L7" i="33"/>
  <c r="A8" i="33"/>
  <c r="B8" i="33"/>
  <c r="D8" i="33"/>
  <c r="F8" i="33"/>
  <c r="H8" i="33"/>
  <c r="J8" i="33"/>
  <c r="L8" i="33"/>
  <c r="A9" i="33"/>
  <c r="A10" i="33"/>
  <c r="B10" i="33"/>
  <c r="D10" i="33"/>
  <c r="F10" i="33"/>
  <c r="H10" i="33"/>
  <c r="J10" i="33"/>
  <c r="L10" i="33"/>
  <c r="N10" i="33"/>
  <c r="B5" i="33"/>
  <c r="D5" i="33"/>
  <c r="F5" i="33"/>
  <c r="H5" i="33"/>
  <c r="J5" i="33"/>
  <c r="L5" i="33"/>
  <c r="A4" i="33"/>
  <c r="A5" i="33"/>
  <c r="A3" i="33"/>
  <c r="A18" i="16"/>
  <c r="A29" i="16"/>
  <c r="B6" i="16"/>
  <c r="B7" i="16"/>
  <c r="B8" i="16"/>
  <c r="B9" i="16"/>
  <c r="B10" i="16"/>
  <c r="B11" i="16"/>
  <c r="B12" i="16"/>
  <c r="B13" i="16"/>
  <c r="B14" i="16"/>
  <c r="B15" i="16"/>
  <c r="A7" i="16"/>
  <c r="A8" i="16"/>
  <c r="A9" i="16"/>
  <c r="A10" i="16"/>
  <c r="A11" i="16"/>
  <c r="A12" i="16"/>
  <c r="A13" i="16"/>
  <c r="A14" i="16"/>
  <c r="A15" i="16"/>
  <c r="A19" i="16"/>
  <c r="A20" i="16"/>
  <c r="A21" i="16"/>
  <c r="A22" i="16"/>
  <c r="A23" i="16"/>
  <c r="A24" i="16"/>
  <c r="A25" i="16"/>
  <c r="A26" i="16"/>
  <c r="A27" i="16"/>
  <c r="A28" i="16"/>
  <c r="A6" i="16"/>
  <c r="A132" i="14"/>
  <c r="A131" i="14"/>
  <c r="L130" i="14"/>
  <c r="J130" i="14"/>
  <c r="H130" i="14"/>
  <c r="F130" i="14"/>
  <c r="D130" i="14"/>
  <c r="B130" i="14"/>
  <c r="A130" i="14"/>
  <c r="L129" i="14"/>
  <c r="J129" i="14"/>
  <c r="H129" i="14"/>
  <c r="F129" i="14"/>
  <c r="D129" i="14"/>
  <c r="B129" i="14"/>
  <c r="A129" i="14"/>
  <c r="L128" i="14"/>
  <c r="J128" i="14"/>
  <c r="H128" i="14"/>
  <c r="F128" i="14"/>
  <c r="D128" i="14"/>
  <c r="B128" i="14"/>
  <c r="A128" i="14"/>
  <c r="L127" i="14"/>
  <c r="J127" i="14"/>
  <c r="H127" i="14"/>
  <c r="F127" i="14"/>
  <c r="D127" i="14"/>
  <c r="B127" i="14"/>
  <c r="A127" i="14"/>
  <c r="A126" i="14"/>
  <c r="A124" i="14"/>
  <c r="A123" i="14"/>
  <c r="L122" i="14"/>
  <c r="J122" i="14"/>
  <c r="H122" i="14"/>
  <c r="F122" i="14"/>
  <c r="D122" i="14"/>
  <c r="B122" i="14"/>
  <c r="A122" i="14"/>
  <c r="L121" i="14"/>
  <c r="J121" i="14"/>
  <c r="H121" i="14"/>
  <c r="F121" i="14"/>
  <c r="D121" i="14"/>
  <c r="B121" i="14"/>
  <c r="A121" i="14"/>
  <c r="L120" i="14"/>
  <c r="J120" i="14"/>
  <c r="H120" i="14"/>
  <c r="F120" i="14"/>
  <c r="D120" i="14"/>
  <c r="B120" i="14"/>
  <c r="A120" i="14"/>
  <c r="L119" i="14"/>
  <c r="L123" i="14" s="1"/>
  <c r="J119" i="14"/>
  <c r="J123" i="14" s="1"/>
  <c r="H119" i="14"/>
  <c r="H123" i="14" s="1"/>
  <c r="F119" i="14"/>
  <c r="F123" i="14" s="1"/>
  <c r="D119" i="14"/>
  <c r="D123" i="14" s="1"/>
  <c r="B119" i="14"/>
  <c r="B123" i="14" s="1"/>
  <c r="A119" i="14"/>
  <c r="A118" i="14"/>
  <c r="A116" i="14"/>
  <c r="A115" i="14"/>
  <c r="L114" i="14"/>
  <c r="J114" i="14"/>
  <c r="H114" i="14"/>
  <c r="F114" i="14"/>
  <c r="D114" i="14"/>
  <c r="B114" i="14"/>
  <c r="A114" i="14"/>
  <c r="L113" i="14"/>
  <c r="J113" i="14"/>
  <c r="H113" i="14"/>
  <c r="F113" i="14"/>
  <c r="D113" i="14"/>
  <c r="B113" i="14"/>
  <c r="A113" i="14"/>
  <c r="L112" i="14"/>
  <c r="J112" i="14"/>
  <c r="H112" i="14"/>
  <c r="F112" i="14"/>
  <c r="D112" i="14"/>
  <c r="B112" i="14"/>
  <c r="A112" i="14"/>
  <c r="L111" i="14"/>
  <c r="J111" i="14"/>
  <c r="H111" i="14"/>
  <c r="F111" i="14"/>
  <c r="D111" i="14"/>
  <c r="B111" i="14"/>
  <c r="A111" i="14"/>
  <c r="A110" i="14"/>
  <c r="A108" i="14"/>
  <c r="A107" i="14"/>
  <c r="L106" i="14"/>
  <c r="J106" i="14"/>
  <c r="H106" i="14"/>
  <c r="F106" i="14"/>
  <c r="D106" i="14"/>
  <c r="B106" i="14"/>
  <c r="A106" i="14"/>
  <c r="L105" i="14"/>
  <c r="J105" i="14"/>
  <c r="H105" i="14"/>
  <c r="F105" i="14"/>
  <c r="D105" i="14"/>
  <c r="B105" i="14"/>
  <c r="A105" i="14"/>
  <c r="L104" i="14"/>
  <c r="J104" i="14"/>
  <c r="H104" i="14"/>
  <c r="F104" i="14"/>
  <c r="D104" i="14"/>
  <c r="B104" i="14"/>
  <c r="A104" i="14"/>
  <c r="L103" i="14"/>
  <c r="L107" i="14" s="1"/>
  <c r="J103" i="14"/>
  <c r="J107" i="14" s="1"/>
  <c r="H103" i="14"/>
  <c r="H107" i="14" s="1"/>
  <c r="F103" i="14"/>
  <c r="F107" i="14" s="1"/>
  <c r="D103" i="14"/>
  <c r="D107" i="14" s="1"/>
  <c r="B103" i="14"/>
  <c r="B107" i="14" s="1"/>
  <c r="A103" i="14"/>
  <c r="A102" i="14"/>
  <c r="A99" i="14"/>
  <c r="A98" i="14"/>
  <c r="L97" i="14"/>
  <c r="J97" i="14"/>
  <c r="H97" i="14"/>
  <c r="F97" i="14"/>
  <c r="D97" i="14"/>
  <c r="B97" i="14"/>
  <c r="A97" i="14"/>
  <c r="L96" i="14"/>
  <c r="J96" i="14"/>
  <c r="H96" i="14"/>
  <c r="F96" i="14"/>
  <c r="D96" i="14"/>
  <c r="B96" i="14"/>
  <c r="A96" i="14"/>
  <c r="L95" i="14"/>
  <c r="J95" i="14"/>
  <c r="H95" i="14"/>
  <c r="F95" i="14"/>
  <c r="D95" i="14"/>
  <c r="B95" i="14"/>
  <c r="A95" i="14"/>
  <c r="L94" i="14"/>
  <c r="J94" i="14"/>
  <c r="H94" i="14"/>
  <c r="F94" i="14"/>
  <c r="D94" i="14"/>
  <c r="B94" i="14"/>
  <c r="A94" i="14"/>
  <c r="A93" i="14"/>
  <c r="A91" i="14"/>
  <c r="A90" i="14"/>
  <c r="L89" i="14"/>
  <c r="J89" i="14"/>
  <c r="H89" i="14"/>
  <c r="F89" i="14"/>
  <c r="D89" i="14"/>
  <c r="B89" i="14"/>
  <c r="A89" i="14"/>
  <c r="L88" i="14"/>
  <c r="J88" i="14"/>
  <c r="H88" i="14"/>
  <c r="F88" i="14"/>
  <c r="D88" i="14"/>
  <c r="B88" i="14"/>
  <c r="A88" i="14"/>
  <c r="L87" i="14"/>
  <c r="J87" i="14"/>
  <c r="H87" i="14"/>
  <c r="F87" i="14"/>
  <c r="D87" i="14"/>
  <c r="B87" i="14"/>
  <c r="A87" i="14"/>
  <c r="L86" i="14"/>
  <c r="L90" i="14" s="1"/>
  <c r="J86" i="14"/>
  <c r="J90" i="14" s="1"/>
  <c r="H86" i="14"/>
  <c r="H90" i="14" s="1"/>
  <c r="F86" i="14"/>
  <c r="F90" i="14" s="1"/>
  <c r="D86" i="14"/>
  <c r="D90" i="14" s="1"/>
  <c r="B86" i="14"/>
  <c r="B90" i="14" s="1"/>
  <c r="A86" i="14"/>
  <c r="A85" i="14"/>
  <c r="A83" i="14"/>
  <c r="A82" i="14"/>
  <c r="L81" i="14"/>
  <c r="J81" i="14"/>
  <c r="H81" i="14"/>
  <c r="F81" i="14"/>
  <c r="D81" i="14"/>
  <c r="B81" i="14"/>
  <c r="A81" i="14"/>
  <c r="L80" i="14"/>
  <c r="J80" i="14"/>
  <c r="H80" i="14"/>
  <c r="F80" i="14"/>
  <c r="D80" i="14"/>
  <c r="B80" i="14"/>
  <c r="A80" i="14"/>
  <c r="L79" i="14"/>
  <c r="J79" i="14"/>
  <c r="H79" i="14"/>
  <c r="F79" i="14"/>
  <c r="D79" i="14"/>
  <c r="B79" i="14"/>
  <c r="A79" i="14"/>
  <c r="L78" i="14"/>
  <c r="J78" i="14"/>
  <c r="H78" i="14"/>
  <c r="F78" i="14"/>
  <c r="D78" i="14"/>
  <c r="B78" i="14"/>
  <c r="A78" i="14"/>
  <c r="A77" i="14"/>
  <c r="A75" i="14"/>
  <c r="A74" i="14"/>
  <c r="L73" i="14"/>
  <c r="J73" i="14"/>
  <c r="H73" i="14"/>
  <c r="F73" i="14"/>
  <c r="D73" i="14"/>
  <c r="B73" i="14"/>
  <c r="A73" i="14"/>
  <c r="L72" i="14"/>
  <c r="J72" i="14"/>
  <c r="H72" i="14"/>
  <c r="F72" i="14"/>
  <c r="D72" i="14"/>
  <c r="B72" i="14"/>
  <c r="A72" i="14"/>
  <c r="L71" i="14"/>
  <c r="J71" i="14"/>
  <c r="H71" i="14"/>
  <c r="F71" i="14"/>
  <c r="D71" i="14"/>
  <c r="B71" i="14"/>
  <c r="A71" i="14"/>
  <c r="L70" i="14"/>
  <c r="J70" i="14"/>
  <c r="H70" i="14"/>
  <c r="F70" i="14"/>
  <c r="F74" i="14" s="1"/>
  <c r="D70" i="14"/>
  <c r="D74" i="14" s="1"/>
  <c r="B70" i="14"/>
  <c r="B74" i="14" s="1"/>
  <c r="A70" i="14"/>
  <c r="A69" i="14"/>
  <c r="A67" i="14"/>
  <c r="A66" i="14"/>
  <c r="L65" i="14"/>
  <c r="J65" i="14"/>
  <c r="H65" i="14"/>
  <c r="F65" i="14"/>
  <c r="D65" i="14"/>
  <c r="B65" i="14"/>
  <c r="A65" i="14"/>
  <c r="L64" i="14"/>
  <c r="J64" i="14"/>
  <c r="H64" i="14"/>
  <c r="F64" i="14"/>
  <c r="D64" i="14"/>
  <c r="B64" i="14"/>
  <c r="A64" i="14"/>
  <c r="L63" i="14"/>
  <c r="J63" i="14"/>
  <c r="H63" i="14"/>
  <c r="F63" i="14"/>
  <c r="D63" i="14"/>
  <c r="B63" i="14"/>
  <c r="A63" i="14"/>
  <c r="L62" i="14"/>
  <c r="L66" i="14" s="1"/>
  <c r="J62" i="14"/>
  <c r="J66" i="14" s="1"/>
  <c r="H62" i="14"/>
  <c r="H66" i="14" s="1"/>
  <c r="F62" i="14"/>
  <c r="F66" i="14" s="1"/>
  <c r="D62" i="14"/>
  <c r="D66" i="14" s="1"/>
  <c r="B62" i="14"/>
  <c r="B66" i="14" s="1"/>
  <c r="A62" i="14"/>
  <c r="A61" i="14"/>
  <c r="A59" i="14"/>
  <c r="A58" i="14"/>
  <c r="L57" i="14"/>
  <c r="J57" i="14"/>
  <c r="H57" i="14"/>
  <c r="F57" i="14"/>
  <c r="D57" i="14"/>
  <c r="B57" i="14"/>
  <c r="A57" i="14"/>
  <c r="L56" i="14"/>
  <c r="J56" i="14"/>
  <c r="H56" i="14"/>
  <c r="F56" i="14"/>
  <c r="D56" i="14"/>
  <c r="B56" i="14"/>
  <c r="A56" i="14"/>
  <c r="L55" i="14"/>
  <c r="J55" i="14"/>
  <c r="H55" i="14"/>
  <c r="F55" i="14"/>
  <c r="D55" i="14"/>
  <c r="B55" i="14"/>
  <c r="A55" i="14"/>
  <c r="L54" i="14"/>
  <c r="J54" i="14"/>
  <c r="H54" i="14"/>
  <c r="F54" i="14"/>
  <c r="D54" i="14"/>
  <c r="B54" i="14"/>
  <c r="A54" i="14"/>
  <c r="A53" i="14"/>
  <c r="A51" i="14"/>
  <c r="A50" i="14"/>
  <c r="L49" i="14"/>
  <c r="J49" i="14"/>
  <c r="H49" i="14"/>
  <c r="F49" i="14"/>
  <c r="D49" i="14"/>
  <c r="B49" i="14"/>
  <c r="A49" i="14"/>
  <c r="L48" i="14"/>
  <c r="J48" i="14"/>
  <c r="H48" i="14"/>
  <c r="F48" i="14"/>
  <c r="D48" i="14"/>
  <c r="B48" i="14"/>
  <c r="A48" i="14"/>
  <c r="L47" i="14"/>
  <c r="J47" i="14"/>
  <c r="H47" i="14"/>
  <c r="F47" i="14"/>
  <c r="D47" i="14"/>
  <c r="B47" i="14"/>
  <c r="A47" i="14"/>
  <c r="L46" i="14"/>
  <c r="L50" i="14" s="1"/>
  <c r="J46" i="14"/>
  <c r="J50" i="14" s="1"/>
  <c r="H46" i="14"/>
  <c r="H50" i="14" s="1"/>
  <c r="F46" i="14"/>
  <c r="F50" i="14" s="1"/>
  <c r="D46" i="14"/>
  <c r="D50" i="14" s="1"/>
  <c r="B46" i="14"/>
  <c r="B50" i="14" s="1"/>
  <c r="A46" i="14"/>
  <c r="A45" i="14"/>
  <c r="A43" i="14"/>
  <c r="A42" i="14"/>
  <c r="L41" i="14"/>
  <c r="J41" i="14"/>
  <c r="H41" i="14"/>
  <c r="F41" i="14"/>
  <c r="D41" i="14"/>
  <c r="B41" i="14"/>
  <c r="A41" i="14"/>
  <c r="L40" i="14"/>
  <c r="J40" i="14"/>
  <c r="H40" i="14"/>
  <c r="F40" i="14"/>
  <c r="D40" i="14"/>
  <c r="B40" i="14"/>
  <c r="A40" i="14"/>
  <c r="L39" i="14"/>
  <c r="J39" i="14"/>
  <c r="H39" i="14"/>
  <c r="F39" i="14"/>
  <c r="D39" i="14"/>
  <c r="B39" i="14"/>
  <c r="A39" i="14"/>
  <c r="L38" i="14"/>
  <c r="J38" i="14"/>
  <c r="H38" i="14"/>
  <c r="F38" i="14"/>
  <c r="D38" i="14"/>
  <c r="B38" i="14"/>
  <c r="A38" i="14"/>
  <c r="A37" i="14"/>
  <c r="A35" i="14"/>
  <c r="A34" i="14"/>
  <c r="L33" i="14"/>
  <c r="J33" i="14"/>
  <c r="H33" i="14"/>
  <c r="F33" i="14"/>
  <c r="D33" i="14"/>
  <c r="B33" i="14"/>
  <c r="A33" i="14"/>
  <c r="L32" i="14"/>
  <c r="J32" i="14"/>
  <c r="H32" i="14"/>
  <c r="F32" i="14"/>
  <c r="D32" i="14"/>
  <c r="B32" i="14"/>
  <c r="A32" i="14"/>
  <c r="L31" i="14"/>
  <c r="J31" i="14"/>
  <c r="H31" i="14"/>
  <c r="F31" i="14"/>
  <c r="D31" i="14"/>
  <c r="B31" i="14"/>
  <c r="A31" i="14"/>
  <c r="L30" i="14"/>
  <c r="L34" i="14" s="1"/>
  <c r="J30" i="14"/>
  <c r="J34" i="14" s="1"/>
  <c r="H30" i="14"/>
  <c r="H34" i="14" s="1"/>
  <c r="F30" i="14"/>
  <c r="F34" i="14" s="1"/>
  <c r="D30" i="14"/>
  <c r="D34" i="14" s="1"/>
  <c r="B30" i="14"/>
  <c r="B34" i="14" s="1"/>
  <c r="A30" i="14"/>
  <c r="A29" i="14"/>
  <c r="A27" i="14"/>
  <c r="A26" i="14"/>
  <c r="L25" i="14"/>
  <c r="J25" i="14"/>
  <c r="H25" i="14"/>
  <c r="F25" i="14"/>
  <c r="D25" i="14"/>
  <c r="B25" i="14"/>
  <c r="A25" i="14"/>
  <c r="L24" i="14"/>
  <c r="J24" i="14"/>
  <c r="H24" i="14"/>
  <c r="F24" i="14"/>
  <c r="D24" i="14"/>
  <c r="B24" i="14"/>
  <c r="A24" i="14"/>
  <c r="L23" i="14"/>
  <c r="J23" i="14"/>
  <c r="H23" i="14"/>
  <c r="F23" i="14"/>
  <c r="D23" i="14"/>
  <c r="B23" i="14"/>
  <c r="A23" i="14"/>
  <c r="L22" i="14"/>
  <c r="J22" i="14"/>
  <c r="H22" i="14"/>
  <c r="F22" i="14"/>
  <c r="D22" i="14"/>
  <c r="B22" i="14"/>
  <c r="A22" i="14"/>
  <c r="A21" i="14"/>
  <c r="A19" i="14"/>
  <c r="A18" i="14"/>
  <c r="L17" i="14"/>
  <c r="J17" i="14"/>
  <c r="H17" i="14"/>
  <c r="F17" i="14"/>
  <c r="D17" i="14"/>
  <c r="B17" i="14"/>
  <c r="A17" i="14"/>
  <c r="L16" i="14"/>
  <c r="J16" i="14"/>
  <c r="H16" i="14"/>
  <c r="F16" i="14"/>
  <c r="D16" i="14"/>
  <c r="B16" i="14"/>
  <c r="A16" i="14"/>
  <c r="L15" i="14"/>
  <c r="J15" i="14"/>
  <c r="H15" i="14"/>
  <c r="F15" i="14"/>
  <c r="D15" i="14"/>
  <c r="B15" i="14"/>
  <c r="A15" i="14"/>
  <c r="L14" i="14"/>
  <c r="L18" i="14" s="1"/>
  <c r="J14" i="14"/>
  <c r="J18" i="14" s="1"/>
  <c r="H14" i="14"/>
  <c r="H18" i="14" s="1"/>
  <c r="F14" i="14"/>
  <c r="F18" i="14" s="1"/>
  <c r="D14" i="14"/>
  <c r="D18" i="14" s="1"/>
  <c r="B14" i="14"/>
  <c r="B18" i="14" s="1"/>
  <c r="A14" i="14"/>
  <c r="A13" i="14"/>
  <c r="B6" i="14"/>
  <c r="D6" i="14"/>
  <c r="F6" i="14"/>
  <c r="H6" i="14"/>
  <c r="J6" i="14"/>
  <c r="L6" i="14"/>
  <c r="B7" i="14"/>
  <c r="D7" i="14"/>
  <c r="F7" i="14"/>
  <c r="H7" i="14"/>
  <c r="J7" i="14"/>
  <c r="L7" i="14"/>
  <c r="B8" i="14"/>
  <c r="D8" i="14"/>
  <c r="F8" i="14"/>
  <c r="H8" i="14"/>
  <c r="J8" i="14"/>
  <c r="L8" i="14"/>
  <c r="B9" i="14"/>
  <c r="D9" i="14"/>
  <c r="F9" i="14"/>
  <c r="H9" i="14"/>
  <c r="J9" i="14"/>
  <c r="L9" i="14"/>
  <c r="A6" i="14"/>
  <c r="A7" i="14"/>
  <c r="A8" i="14"/>
  <c r="A9" i="14"/>
  <c r="A10" i="14"/>
  <c r="A11" i="14"/>
  <c r="A5" i="14"/>
  <c r="L81" i="13"/>
  <c r="J81" i="13"/>
  <c r="H81" i="13"/>
  <c r="F81" i="13"/>
  <c r="D81" i="13"/>
  <c r="B81" i="13"/>
  <c r="A81" i="13"/>
  <c r="L80" i="13"/>
  <c r="J80" i="13"/>
  <c r="H80" i="13"/>
  <c r="F80" i="13"/>
  <c r="D80" i="13"/>
  <c r="B80" i="13"/>
  <c r="A80" i="13"/>
  <c r="L79" i="13"/>
  <c r="J79" i="13"/>
  <c r="H79" i="13"/>
  <c r="F79" i="13"/>
  <c r="D79" i="13"/>
  <c r="B79" i="13"/>
  <c r="A79" i="13"/>
  <c r="L78" i="13"/>
  <c r="J78" i="13"/>
  <c r="H78" i="13"/>
  <c r="F78" i="13"/>
  <c r="D78" i="13"/>
  <c r="B78" i="13"/>
  <c r="A78" i="13"/>
  <c r="A77" i="13"/>
  <c r="L73" i="13"/>
  <c r="J73" i="13"/>
  <c r="H73" i="13"/>
  <c r="F73" i="13"/>
  <c r="D73" i="13"/>
  <c r="B73" i="13"/>
  <c r="A73" i="13"/>
  <c r="L72" i="13"/>
  <c r="J72" i="13"/>
  <c r="H72" i="13"/>
  <c r="F72" i="13"/>
  <c r="D72" i="13"/>
  <c r="B72" i="13"/>
  <c r="A72" i="13"/>
  <c r="L71" i="13"/>
  <c r="J71" i="13"/>
  <c r="H71" i="13"/>
  <c r="F71" i="13"/>
  <c r="D71" i="13"/>
  <c r="B71" i="13"/>
  <c r="A71" i="13"/>
  <c r="L70" i="13"/>
  <c r="J70" i="13"/>
  <c r="H70" i="13"/>
  <c r="F70" i="13"/>
  <c r="D70" i="13"/>
  <c r="B70" i="13"/>
  <c r="A70" i="13"/>
  <c r="A69" i="13"/>
  <c r="L65" i="13"/>
  <c r="J65" i="13"/>
  <c r="H65" i="13"/>
  <c r="F65" i="13"/>
  <c r="D65" i="13"/>
  <c r="B65" i="13"/>
  <c r="A65" i="13"/>
  <c r="L64" i="13"/>
  <c r="J64" i="13"/>
  <c r="H64" i="13"/>
  <c r="F64" i="13"/>
  <c r="D64" i="13"/>
  <c r="B64" i="13"/>
  <c r="A64" i="13"/>
  <c r="L63" i="13"/>
  <c r="J63" i="13"/>
  <c r="H63" i="13"/>
  <c r="F63" i="13"/>
  <c r="D63" i="13"/>
  <c r="B63" i="13"/>
  <c r="A63" i="13"/>
  <c r="L62" i="13"/>
  <c r="J62" i="13"/>
  <c r="H62" i="13"/>
  <c r="F62" i="13"/>
  <c r="D62" i="13"/>
  <c r="B62" i="13"/>
  <c r="A62" i="13"/>
  <c r="A61" i="13"/>
  <c r="L57" i="13"/>
  <c r="J57" i="13"/>
  <c r="H57" i="13"/>
  <c r="F57" i="13"/>
  <c r="D57" i="13"/>
  <c r="B57" i="13"/>
  <c r="A57" i="13"/>
  <c r="L56" i="13"/>
  <c r="J56" i="13"/>
  <c r="H56" i="13"/>
  <c r="F56" i="13"/>
  <c r="D56" i="13"/>
  <c r="B56" i="13"/>
  <c r="A56" i="13"/>
  <c r="L55" i="13"/>
  <c r="J55" i="13"/>
  <c r="H55" i="13"/>
  <c r="F55" i="13"/>
  <c r="D55" i="13"/>
  <c r="B55" i="13"/>
  <c r="A55" i="13"/>
  <c r="L54" i="13"/>
  <c r="J54" i="13"/>
  <c r="H54" i="13"/>
  <c r="F54" i="13"/>
  <c r="D54" i="13"/>
  <c r="B54" i="13"/>
  <c r="A54" i="13"/>
  <c r="A53" i="13"/>
  <c r="L49" i="13"/>
  <c r="J49" i="13"/>
  <c r="H49" i="13"/>
  <c r="F49" i="13"/>
  <c r="D49" i="13"/>
  <c r="B49" i="13"/>
  <c r="A49" i="13"/>
  <c r="L48" i="13"/>
  <c r="J48" i="13"/>
  <c r="H48" i="13"/>
  <c r="F48" i="13"/>
  <c r="D48" i="13"/>
  <c r="B48" i="13"/>
  <c r="A48" i="13"/>
  <c r="L47" i="13"/>
  <c r="J47" i="13"/>
  <c r="H47" i="13"/>
  <c r="F47" i="13"/>
  <c r="D47" i="13"/>
  <c r="B47" i="13"/>
  <c r="A47" i="13"/>
  <c r="L46" i="13"/>
  <c r="J46" i="13"/>
  <c r="H46" i="13"/>
  <c r="F46" i="13"/>
  <c r="D46" i="13"/>
  <c r="B46" i="13"/>
  <c r="A46" i="13"/>
  <c r="A45" i="13"/>
  <c r="L41" i="13"/>
  <c r="J41" i="13"/>
  <c r="H41" i="13"/>
  <c r="F41" i="13"/>
  <c r="D41" i="13"/>
  <c r="B41" i="13"/>
  <c r="A41" i="13"/>
  <c r="L40" i="13"/>
  <c r="J40" i="13"/>
  <c r="H40" i="13"/>
  <c r="F40" i="13"/>
  <c r="D40" i="13"/>
  <c r="B40" i="13"/>
  <c r="A40" i="13"/>
  <c r="L39" i="13"/>
  <c r="J39" i="13"/>
  <c r="H39" i="13"/>
  <c r="F39" i="13"/>
  <c r="D39" i="13"/>
  <c r="B39" i="13"/>
  <c r="A39" i="13"/>
  <c r="L38" i="13"/>
  <c r="J38" i="13"/>
  <c r="H38" i="13"/>
  <c r="F38" i="13"/>
  <c r="D38" i="13"/>
  <c r="B38" i="13"/>
  <c r="A38" i="13"/>
  <c r="A37" i="13"/>
  <c r="L33" i="13"/>
  <c r="J33" i="13"/>
  <c r="H33" i="13"/>
  <c r="F33" i="13"/>
  <c r="D33" i="13"/>
  <c r="B33" i="13"/>
  <c r="A33" i="13"/>
  <c r="L32" i="13"/>
  <c r="J32" i="13"/>
  <c r="H32" i="13"/>
  <c r="F32" i="13"/>
  <c r="D32" i="13"/>
  <c r="B32" i="13"/>
  <c r="A32" i="13"/>
  <c r="L31" i="13"/>
  <c r="J31" i="13"/>
  <c r="H31" i="13"/>
  <c r="F31" i="13"/>
  <c r="D31" i="13"/>
  <c r="B31" i="13"/>
  <c r="A31" i="13"/>
  <c r="L30" i="13"/>
  <c r="J30" i="13"/>
  <c r="H30" i="13"/>
  <c r="F30" i="13"/>
  <c r="D30" i="13"/>
  <c r="B30" i="13"/>
  <c r="A30" i="13"/>
  <c r="A29" i="13"/>
  <c r="L25" i="13"/>
  <c r="J25" i="13"/>
  <c r="H25" i="13"/>
  <c r="F25" i="13"/>
  <c r="D25" i="13"/>
  <c r="B25" i="13"/>
  <c r="A25" i="13"/>
  <c r="L24" i="13"/>
  <c r="J24" i="13"/>
  <c r="H24" i="13"/>
  <c r="F24" i="13"/>
  <c r="D24" i="13"/>
  <c r="B24" i="13"/>
  <c r="A24" i="13"/>
  <c r="L23" i="13"/>
  <c r="J23" i="13"/>
  <c r="H23" i="13"/>
  <c r="F23" i="13"/>
  <c r="D23" i="13"/>
  <c r="B23" i="13"/>
  <c r="A23" i="13"/>
  <c r="L22" i="13"/>
  <c r="J22" i="13"/>
  <c r="H22" i="13"/>
  <c r="F22" i="13"/>
  <c r="D22" i="13"/>
  <c r="B22" i="13"/>
  <c r="A22" i="13"/>
  <c r="A21" i="13"/>
  <c r="L17" i="13"/>
  <c r="J17" i="13"/>
  <c r="H17" i="13"/>
  <c r="F17" i="13"/>
  <c r="D17" i="13"/>
  <c r="B17" i="13"/>
  <c r="A17" i="13"/>
  <c r="L16" i="13"/>
  <c r="J16" i="13"/>
  <c r="H16" i="13"/>
  <c r="F16" i="13"/>
  <c r="D16" i="13"/>
  <c r="B16" i="13"/>
  <c r="A16" i="13"/>
  <c r="L15" i="13"/>
  <c r="J15" i="13"/>
  <c r="H15" i="13"/>
  <c r="F15" i="13"/>
  <c r="D15" i="13"/>
  <c r="B15" i="13"/>
  <c r="A15" i="13"/>
  <c r="L14" i="13"/>
  <c r="J14" i="13"/>
  <c r="H14" i="13"/>
  <c r="F14" i="13"/>
  <c r="D14" i="13"/>
  <c r="B14" i="13"/>
  <c r="A14" i="13"/>
  <c r="A13" i="13"/>
  <c r="B6" i="13"/>
  <c r="D6" i="13"/>
  <c r="F6" i="13"/>
  <c r="H6" i="13"/>
  <c r="J6" i="13"/>
  <c r="L6" i="13"/>
  <c r="B7" i="13"/>
  <c r="D7" i="13"/>
  <c r="F7" i="13"/>
  <c r="H7" i="13"/>
  <c r="J7" i="13"/>
  <c r="L7" i="13"/>
  <c r="B8" i="13"/>
  <c r="D8" i="13"/>
  <c r="F8" i="13"/>
  <c r="H8" i="13"/>
  <c r="J8" i="13"/>
  <c r="L8" i="13"/>
  <c r="B9" i="13"/>
  <c r="D9" i="13"/>
  <c r="F9" i="13"/>
  <c r="H9" i="13"/>
  <c r="J9" i="13"/>
  <c r="L9" i="13"/>
  <c r="A6" i="13"/>
  <c r="A7" i="13"/>
  <c r="A8" i="13"/>
  <c r="A9" i="13"/>
  <c r="A5" i="13"/>
  <c r="L190" i="1"/>
  <c r="M189" i="1" s="1"/>
  <c r="M73" i="10" s="1"/>
  <c r="J190" i="1"/>
  <c r="H190" i="1"/>
  <c r="I189" i="1" s="1"/>
  <c r="I73" i="10" s="1"/>
  <c r="F190" i="1"/>
  <c r="D190" i="1"/>
  <c r="E189" i="1" s="1"/>
  <c r="E73" i="10" s="1"/>
  <c r="B190" i="1"/>
  <c r="K189" i="1"/>
  <c r="G189" i="1"/>
  <c r="C189" i="1"/>
  <c r="K188" i="1"/>
  <c r="G188" i="1"/>
  <c r="C188" i="1"/>
  <c r="K187" i="1"/>
  <c r="G187" i="1"/>
  <c r="C187" i="1"/>
  <c r="K186" i="1"/>
  <c r="G186" i="1"/>
  <c r="G191" i="1" s="1"/>
  <c r="G75" i="10" s="1"/>
  <c r="C186" i="1"/>
  <c r="C191" i="1" s="1"/>
  <c r="C75" i="10" s="1"/>
  <c r="L182" i="1"/>
  <c r="M181" i="1" s="1"/>
  <c r="M65" i="10" s="1"/>
  <c r="J182" i="1"/>
  <c r="H182" i="1"/>
  <c r="I181" i="1" s="1"/>
  <c r="I65" i="10" s="1"/>
  <c r="F182" i="1"/>
  <c r="D182" i="1"/>
  <c r="E181" i="1" s="1"/>
  <c r="E65" i="10" s="1"/>
  <c r="B182" i="1"/>
  <c r="K181" i="1"/>
  <c r="G181" i="1"/>
  <c r="C181" i="1"/>
  <c r="K180" i="1"/>
  <c r="G180" i="1"/>
  <c r="C180" i="1"/>
  <c r="K179" i="1"/>
  <c r="G179" i="1"/>
  <c r="C179" i="1"/>
  <c r="K178" i="1"/>
  <c r="G178" i="1"/>
  <c r="G183" i="1" s="1"/>
  <c r="G67" i="10" s="1"/>
  <c r="C178" i="1"/>
  <c r="L174" i="1"/>
  <c r="M173" i="1" s="1"/>
  <c r="M57" i="10" s="1"/>
  <c r="J174" i="1"/>
  <c r="H174" i="1"/>
  <c r="I173" i="1" s="1"/>
  <c r="I57" i="10" s="1"/>
  <c r="F174" i="1"/>
  <c r="D174" i="1"/>
  <c r="E173" i="1" s="1"/>
  <c r="E57" i="10" s="1"/>
  <c r="B174" i="1"/>
  <c r="K173" i="1"/>
  <c r="G173" i="1"/>
  <c r="C173" i="1"/>
  <c r="K172" i="1"/>
  <c r="G172" i="1"/>
  <c r="C172" i="1"/>
  <c r="K171" i="1"/>
  <c r="G171" i="1"/>
  <c r="C171" i="1"/>
  <c r="K170" i="1"/>
  <c r="G170" i="1"/>
  <c r="G175" i="1" s="1"/>
  <c r="G59" i="10" s="1"/>
  <c r="C170" i="1"/>
  <c r="L166" i="1"/>
  <c r="M165" i="1" s="1"/>
  <c r="M49" i="10" s="1"/>
  <c r="J166" i="1"/>
  <c r="H166" i="1"/>
  <c r="I165" i="1" s="1"/>
  <c r="I49" i="10" s="1"/>
  <c r="F166" i="1"/>
  <c r="D166" i="1"/>
  <c r="E165" i="1" s="1"/>
  <c r="E49" i="10" s="1"/>
  <c r="B166" i="1"/>
  <c r="K165" i="1"/>
  <c r="G165" i="1"/>
  <c r="C165" i="1"/>
  <c r="K164" i="1"/>
  <c r="G164" i="1"/>
  <c r="C164" i="1"/>
  <c r="K163" i="1"/>
  <c r="G163" i="1"/>
  <c r="C163" i="1"/>
  <c r="K162" i="1"/>
  <c r="G162" i="1"/>
  <c r="G167" i="1" s="1"/>
  <c r="G51" i="10" s="1"/>
  <c r="C162" i="1"/>
  <c r="L158" i="1"/>
  <c r="M157" i="1" s="1"/>
  <c r="M41" i="10" s="1"/>
  <c r="J158" i="1"/>
  <c r="H158" i="1"/>
  <c r="I157" i="1" s="1"/>
  <c r="I41" i="10" s="1"/>
  <c r="F158" i="1"/>
  <c r="D158" i="1"/>
  <c r="E157" i="1" s="1"/>
  <c r="E41" i="10" s="1"/>
  <c r="B158" i="1"/>
  <c r="K157" i="1"/>
  <c r="G157" i="1"/>
  <c r="C157" i="1"/>
  <c r="K156" i="1"/>
  <c r="G156" i="1"/>
  <c r="C156" i="1"/>
  <c r="K155" i="1"/>
  <c r="G155" i="1"/>
  <c r="C155" i="1"/>
  <c r="K154" i="1"/>
  <c r="G154" i="1"/>
  <c r="G159" i="1" s="1"/>
  <c r="G43" i="10" s="1"/>
  <c r="C154" i="1"/>
  <c r="L150" i="1"/>
  <c r="M149" i="1" s="1"/>
  <c r="M33" i="10" s="1"/>
  <c r="J150" i="1"/>
  <c r="H150" i="1"/>
  <c r="I149" i="1" s="1"/>
  <c r="I33" i="10" s="1"/>
  <c r="F150" i="1"/>
  <c r="D150" i="1"/>
  <c r="E149" i="1" s="1"/>
  <c r="E33" i="10" s="1"/>
  <c r="B150" i="1"/>
  <c r="K149" i="1"/>
  <c r="G149" i="1"/>
  <c r="C149" i="1"/>
  <c r="K148" i="1"/>
  <c r="G148" i="1"/>
  <c r="C148" i="1"/>
  <c r="K147" i="1"/>
  <c r="G147" i="1"/>
  <c r="C147" i="1"/>
  <c r="K146" i="1"/>
  <c r="G146" i="1"/>
  <c r="G151" i="1" s="1"/>
  <c r="G35" i="10" s="1"/>
  <c r="C146" i="1"/>
  <c r="L142" i="1"/>
  <c r="M141" i="1" s="1"/>
  <c r="M25" i="10" s="1"/>
  <c r="J142" i="1"/>
  <c r="H142" i="1"/>
  <c r="I141" i="1" s="1"/>
  <c r="I25" i="10" s="1"/>
  <c r="F142" i="1"/>
  <c r="D142" i="1"/>
  <c r="E141" i="1" s="1"/>
  <c r="E25" i="10" s="1"/>
  <c r="B142" i="1"/>
  <c r="K141" i="1"/>
  <c r="G141" i="1"/>
  <c r="C141" i="1"/>
  <c r="K140" i="1"/>
  <c r="G140" i="1"/>
  <c r="C140" i="1"/>
  <c r="K139" i="1"/>
  <c r="G139" i="1"/>
  <c r="C139" i="1"/>
  <c r="K138" i="1"/>
  <c r="G138" i="1"/>
  <c r="G143" i="1" s="1"/>
  <c r="G27" i="10" s="1"/>
  <c r="C138" i="1"/>
  <c r="L134" i="1"/>
  <c r="M133" i="1" s="1"/>
  <c r="M17" i="10" s="1"/>
  <c r="J134" i="1"/>
  <c r="H134" i="1"/>
  <c r="I133" i="1" s="1"/>
  <c r="I17" i="10" s="1"/>
  <c r="F134" i="1"/>
  <c r="D134" i="1"/>
  <c r="E133" i="1" s="1"/>
  <c r="E17" i="10" s="1"/>
  <c r="B134" i="1"/>
  <c r="K133" i="1"/>
  <c r="G133" i="1"/>
  <c r="C133" i="1"/>
  <c r="K132" i="1"/>
  <c r="G132" i="1"/>
  <c r="C132" i="1"/>
  <c r="K131" i="1"/>
  <c r="G131" i="1"/>
  <c r="C131" i="1"/>
  <c r="K130" i="1"/>
  <c r="G130" i="1"/>
  <c r="G135" i="1" s="1"/>
  <c r="G19" i="10" s="1"/>
  <c r="C130" i="1"/>
  <c r="L126" i="1"/>
  <c r="M125" i="1" s="1"/>
  <c r="M9" i="10" s="1"/>
  <c r="J126" i="1"/>
  <c r="H126" i="1"/>
  <c r="F126" i="1"/>
  <c r="D126" i="1"/>
  <c r="E125" i="1" s="1"/>
  <c r="E9" i="10" s="1"/>
  <c r="B126" i="1"/>
  <c r="K125" i="1"/>
  <c r="I125" i="1"/>
  <c r="G125" i="1"/>
  <c r="C125" i="1"/>
  <c r="K124" i="1"/>
  <c r="I124" i="1"/>
  <c r="G124" i="1"/>
  <c r="C124" i="1"/>
  <c r="K123" i="1"/>
  <c r="I123" i="1"/>
  <c r="G123" i="1"/>
  <c r="C123" i="1"/>
  <c r="K122" i="1"/>
  <c r="K127" i="1" s="1"/>
  <c r="K11" i="10" s="1"/>
  <c r="I122" i="1"/>
  <c r="I127" i="1" s="1"/>
  <c r="I11" i="10" s="1"/>
  <c r="G122" i="1"/>
  <c r="G127" i="1" s="1"/>
  <c r="G11" i="10" s="1"/>
  <c r="C122" i="1"/>
  <c r="C127" i="1" s="1"/>
  <c r="C11" i="10" s="1"/>
  <c r="R6" i="10" s="1"/>
  <c r="L74" i="10"/>
  <c r="J74" i="10"/>
  <c r="H74" i="10"/>
  <c r="F74" i="10"/>
  <c r="D74" i="10"/>
  <c r="B74" i="10"/>
  <c r="L73" i="10"/>
  <c r="K73" i="10"/>
  <c r="J73" i="10"/>
  <c r="H73" i="10"/>
  <c r="G73" i="10"/>
  <c r="F73" i="10"/>
  <c r="D73" i="10"/>
  <c r="C73" i="10"/>
  <c r="B73" i="10"/>
  <c r="L72" i="10"/>
  <c r="K72" i="10"/>
  <c r="J72" i="10"/>
  <c r="H72" i="10"/>
  <c r="G72" i="10"/>
  <c r="F72" i="10"/>
  <c r="D72" i="10"/>
  <c r="C72" i="10"/>
  <c r="B72" i="10"/>
  <c r="L71" i="10"/>
  <c r="K71" i="10"/>
  <c r="J71" i="10"/>
  <c r="H71" i="10"/>
  <c r="G71" i="10"/>
  <c r="F71" i="10"/>
  <c r="D71" i="10"/>
  <c r="C71" i="10"/>
  <c r="B71" i="10"/>
  <c r="L70" i="10"/>
  <c r="K70" i="10"/>
  <c r="J70" i="10"/>
  <c r="H70" i="10"/>
  <c r="G70" i="10"/>
  <c r="F70" i="10"/>
  <c r="D70" i="10"/>
  <c r="C70" i="10"/>
  <c r="B70" i="10"/>
  <c r="A69" i="10"/>
  <c r="L66" i="10"/>
  <c r="J66" i="10"/>
  <c r="H66" i="10"/>
  <c r="F66" i="10"/>
  <c r="D66" i="10"/>
  <c r="B66" i="10"/>
  <c r="L65" i="10"/>
  <c r="K65" i="10"/>
  <c r="J65" i="10"/>
  <c r="H65" i="10"/>
  <c r="G65" i="10"/>
  <c r="F65" i="10"/>
  <c r="D65" i="10"/>
  <c r="C65" i="10"/>
  <c r="B65" i="10"/>
  <c r="L64" i="10"/>
  <c r="K64" i="10"/>
  <c r="J64" i="10"/>
  <c r="H64" i="10"/>
  <c r="G64" i="10"/>
  <c r="F64" i="10"/>
  <c r="D64" i="10"/>
  <c r="C64" i="10"/>
  <c r="B64" i="10"/>
  <c r="L63" i="10"/>
  <c r="K63" i="10"/>
  <c r="J63" i="10"/>
  <c r="H63" i="10"/>
  <c r="G63" i="10"/>
  <c r="F63" i="10"/>
  <c r="D63" i="10"/>
  <c r="C63" i="10"/>
  <c r="B63" i="10"/>
  <c r="L62" i="10"/>
  <c r="K62" i="10"/>
  <c r="J62" i="10"/>
  <c r="H62" i="10"/>
  <c r="G62" i="10"/>
  <c r="F62" i="10"/>
  <c r="D62" i="10"/>
  <c r="C62" i="10"/>
  <c r="B62" i="10"/>
  <c r="A61" i="10"/>
  <c r="L58" i="10"/>
  <c r="J58" i="10"/>
  <c r="H58" i="10"/>
  <c r="F58" i="10"/>
  <c r="D58" i="10"/>
  <c r="B58" i="10"/>
  <c r="L57" i="10"/>
  <c r="K57" i="10"/>
  <c r="J57" i="10"/>
  <c r="H57" i="10"/>
  <c r="G57" i="10"/>
  <c r="F57" i="10"/>
  <c r="D57" i="10"/>
  <c r="C57" i="10"/>
  <c r="B57" i="10"/>
  <c r="L56" i="10"/>
  <c r="K56" i="10"/>
  <c r="J56" i="10"/>
  <c r="H56" i="10"/>
  <c r="G56" i="10"/>
  <c r="F56" i="10"/>
  <c r="D56" i="10"/>
  <c r="C56" i="10"/>
  <c r="B56" i="10"/>
  <c r="L55" i="10"/>
  <c r="K55" i="10"/>
  <c r="J55" i="10"/>
  <c r="H55" i="10"/>
  <c r="G55" i="10"/>
  <c r="F55" i="10"/>
  <c r="D55" i="10"/>
  <c r="C55" i="10"/>
  <c r="B55" i="10"/>
  <c r="L54" i="10"/>
  <c r="K54" i="10"/>
  <c r="J54" i="10"/>
  <c r="H54" i="10"/>
  <c r="G54" i="10"/>
  <c r="F54" i="10"/>
  <c r="D54" i="10"/>
  <c r="C54" i="10"/>
  <c r="B54" i="10"/>
  <c r="A53" i="10"/>
  <c r="L50" i="10"/>
  <c r="J50" i="10"/>
  <c r="H50" i="10"/>
  <c r="F50" i="10"/>
  <c r="D50" i="10"/>
  <c r="B50" i="10"/>
  <c r="L49" i="10"/>
  <c r="K49" i="10"/>
  <c r="J49" i="10"/>
  <c r="H49" i="10"/>
  <c r="G49" i="10"/>
  <c r="F49" i="10"/>
  <c r="D49" i="10"/>
  <c r="C49" i="10"/>
  <c r="B49" i="10"/>
  <c r="L48" i="10"/>
  <c r="K48" i="10"/>
  <c r="J48" i="10"/>
  <c r="H48" i="10"/>
  <c r="G48" i="10"/>
  <c r="F48" i="10"/>
  <c r="D48" i="10"/>
  <c r="C48" i="10"/>
  <c r="B48" i="10"/>
  <c r="L47" i="10"/>
  <c r="K47" i="10"/>
  <c r="J47" i="10"/>
  <c r="H47" i="10"/>
  <c r="G47" i="10"/>
  <c r="F47" i="10"/>
  <c r="D47" i="10"/>
  <c r="C47" i="10"/>
  <c r="B47" i="10"/>
  <c r="L46" i="10"/>
  <c r="K46" i="10"/>
  <c r="J46" i="10"/>
  <c r="H46" i="10"/>
  <c r="G46" i="10"/>
  <c r="F46" i="10"/>
  <c r="D46" i="10"/>
  <c r="C46" i="10"/>
  <c r="B46" i="10"/>
  <c r="A45" i="10"/>
  <c r="L42" i="10"/>
  <c r="J42" i="10"/>
  <c r="H42" i="10"/>
  <c r="F42" i="10"/>
  <c r="D42" i="10"/>
  <c r="B42" i="10"/>
  <c r="L41" i="10"/>
  <c r="K41" i="10"/>
  <c r="J41" i="10"/>
  <c r="H41" i="10"/>
  <c r="G41" i="10"/>
  <c r="F41" i="10"/>
  <c r="D41" i="10"/>
  <c r="C41" i="10"/>
  <c r="B41" i="10"/>
  <c r="L40" i="10"/>
  <c r="K40" i="10"/>
  <c r="J40" i="10"/>
  <c r="H40" i="10"/>
  <c r="G40" i="10"/>
  <c r="F40" i="10"/>
  <c r="D40" i="10"/>
  <c r="C40" i="10"/>
  <c r="B40" i="10"/>
  <c r="L39" i="10"/>
  <c r="K39" i="10"/>
  <c r="J39" i="10"/>
  <c r="H39" i="10"/>
  <c r="G39" i="10"/>
  <c r="F39" i="10"/>
  <c r="D39" i="10"/>
  <c r="C39" i="10"/>
  <c r="B39" i="10"/>
  <c r="L38" i="10"/>
  <c r="K38" i="10"/>
  <c r="J38" i="10"/>
  <c r="H38" i="10"/>
  <c r="G38" i="10"/>
  <c r="F38" i="10"/>
  <c r="D38" i="10"/>
  <c r="C38" i="10"/>
  <c r="B38" i="10"/>
  <c r="A37" i="10"/>
  <c r="L34" i="10"/>
  <c r="J34" i="10"/>
  <c r="H34" i="10"/>
  <c r="F34" i="10"/>
  <c r="D34" i="10"/>
  <c r="B34" i="10"/>
  <c r="L33" i="10"/>
  <c r="K33" i="10"/>
  <c r="J33" i="10"/>
  <c r="H33" i="10"/>
  <c r="G33" i="10"/>
  <c r="F33" i="10"/>
  <c r="D33" i="10"/>
  <c r="C33" i="10"/>
  <c r="B33" i="10"/>
  <c r="L32" i="10"/>
  <c r="K32" i="10"/>
  <c r="J32" i="10"/>
  <c r="H32" i="10"/>
  <c r="G32" i="10"/>
  <c r="F32" i="10"/>
  <c r="D32" i="10"/>
  <c r="C32" i="10"/>
  <c r="B32" i="10"/>
  <c r="L31" i="10"/>
  <c r="K31" i="10"/>
  <c r="J31" i="10"/>
  <c r="H31" i="10"/>
  <c r="G31" i="10"/>
  <c r="F31" i="10"/>
  <c r="D31" i="10"/>
  <c r="C31" i="10"/>
  <c r="B31" i="10"/>
  <c r="L30" i="10"/>
  <c r="K30" i="10"/>
  <c r="J30" i="10"/>
  <c r="H30" i="10"/>
  <c r="G30" i="10"/>
  <c r="F30" i="10"/>
  <c r="D30" i="10"/>
  <c r="C30" i="10"/>
  <c r="B30" i="10"/>
  <c r="A29" i="10"/>
  <c r="L26" i="10"/>
  <c r="J26" i="10"/>
  <c r="H26" i="10"/>
  <c r="F26" i="10"/>
  <c r="D26" i="10"/>
  <c r="B26" i="10"/>
  <c r="L25" i="10"/>
  <c r="K25" i="10"/>
  <c r="J25" i="10"/>
  <c r="H25" i="10"/>
  <c r="G25" i="10"/>
  <c r="F25" i="10"/>
  <c r="D25" i="10"/>
  <c r="C25" i="10"/>
  <c r="B25" i="10"/>
  <c r="L24" i="10"/>
  <c r="K24" i="10"/>
  <c r="J24" i="10"/>
  <c r="H24" i="10"/>
  <c r="G24" i="10"/>
  <c r="F24" i="10"/>
  <c r="D24" i="10"/>
  <c r="C24" i="10"/>
  <c r="B24" i="10"/>
  <c r="L23" i="10"/>
  <c r="K23" i="10"/>
  <c r="J23" i="10"/>
  <c r="H23" i="10"/>
  <c r="G23" i="10"/>
  <c r="F23" i="10"/>
  <c r="D23" i="10"/>
  <c r="C23" i="10"/>
  <c r="B23" i="10"/>
  <c r="L22" i="10"/>
  <c r="K22" i="10"/>
  <c r="J22" i="10"/>
  <c r="H22" i="10"/>
  <c r="G22" i="10"/>
  <c r="F22" i="10"/>
  <c r="D22" i="10"/>
  <c r="C22" i="10"/>
  <c r="B22" i="10"/>
  <c r="A21" i="10"/>
  <c r="L18" i="10"/>
  <c r="J18" i="10"/>
  <c r="H18" i="10"/>
  <c r="F18" i="10"/>
  <c r="D18" i="10"/>
  <c r="B18" i="10"/>
  <c r="L17" i="10"/>
  <c r="K17" i="10"/>
  <c r="J17" i="10"/>
  <c r="H17" i="10"/>
  <c r="G17" i="10"/>
  <c r="F17" i="10"/>
  <c r="D17" i="10"/>
  <c r="C17" i="10"/>
  <c r="B17" i="10"/>
  <c r="L16" i="10"/>
  <c r="K16" i="10"/>
  <c r="J16" i="10"/>
  <c r="H16" i="10"/>
  <c r="G16" i="10"/>
  <c r="F16" i="10"/>
  <c r="D16" i="10"/>
  <c r="C16" i="10"/>
  <c r="B16" i="10"/>
  <c r="L15" i="10"/>
  <c r="K15" i="10"/>
  <c r="J15" i="10"/>
  <c r="H15" i="10"/>
  <c r="G15" i="10"/>
  <c r="F15" i="10"/>
  <c r="D15" i="10"/>
  <c r="C15" i="10"/>
  <c r="B15" i="10"/>
  <c r="L14" i="10"/>
  <c r="K14" i="10"/>
  <c r="J14" i="10"/>
  <c r="H14" i="10"/>
  <c r="G14" i="10"/>
  <c r="F14" i="10"/>
  <c r="D14" i="10"/>
  <c r="C14" i="10"/>
  <c r="B14" i="10"/>
  <c r="A13" i="10"/>
  <c r="B7" i="10"/>
  <c r="C7" i="10"/>
  <c r="D7" i="10"/>
  <c r="F7" i="10"/>
  <c r="G7" i="10"/>
  <c r="H7" i="10"/>
  <c r="I7" i="10"/>
  <c r="J7" i="10"/>
  <c r="K7" i="10"/>
  <c r="L7" i="10"/>
  <c r="B8" i="10"/>
  <c r="C8" i="10"/>
  <c r="D8" i="10"/>
  <c r="F8" i="10"/>
  <c r="G8" i="10"/>
  <c r="H8" i="10"/>
  <c r="I8" i="10"/>
  <c r="J8" i="10"/>
  <c r="K8" i="10"/>
  <c r="L8" i="10"/>
  <c r="B9" i="10"/>
  <c r="C9" i="10"/>
  <c r="D9" i="10"/>
  <c r="F9" i="10"/>
  <c r="G9" i="10"/>
  <c r="H9" i="10"/>
  <c r="I9" i="10"/>
  <c r="J9" i="10"/>
  <c r="K9" i="10"/>
  <c r="L9" i="10"/>
  <c r="B10" i="10"/>
  <c r="D10" i="10"/>
  <c r="F10" i="10"/>
  <c r="H10" i="10"/>
  <c r="J10" i="10"/>
  <c r="L10" i="10"/>
  <c r="C6" i="10"/>
  <c r="D6" i="10"/>
  <c r="F6" i="10"/>
  <c r="G6" i="10"/>
  <c r="H6" i="10"/>
  <c r="I6" i="10"/>
  <c r="J6" i="10"/>
  <c r="K6" i="10"/>
  <c r="L6" i="10"/>
  <c r="B6" i="10"/>
  <c r="A5" i="10"/>
  <c r="B32" i="4"/>
  <c r="D32" i="4"/>
  <c r="F32" i="4"/>
  <c r="H32" i="4"/>
  <c r="J32" i="4"/>
  <c r="L32" i="4"/>
  <c r="B33" i="4"/>
  <c r="D33" i="4"/>
  <c r="F33" i="4"/>
  <c r="H33" i="4"/>
  <c r="J33" i="4"/>
  <c r="L33" i="4"/>
  <c r="B34" i="4"/>
  <c r="D34" i="4"/>
  <c r="F34" i="4"/>
  <c r="H34" i="4"/>
  <c r="J34" i="4"/>
  <c r="L34" i="4"/>
  <c r="B35" i="4"/>
  <c r="D35" i="4"/>
  <c r="F35" i="4"/>
  <c r="H35" i="4"/>
  <c r="J35" i="4"/>
  <c r="L35" i="4"/>
  <c r="B24" i="4"/>
  <c r="D24" i="4"/>
  <c r="F24" i="4"/>
  <c r="H24" i="4"/>
  <c r="J24" i="4"/>
  <c r="L24" i="4"/>
  <c r="B25" i="4"/>
  <c r="D25" i="4"/>
  <c r="F25" i="4"/>
  <c r="H25" i="4"/>
  <c r="J25" i="4"/>
  <c r="L25" i="4"/>
  <c r="B26" i="4"/>
  <c r="D26" i="4"/>
  <c r="F26" i="4"/>
  <c r="H26" i="4"/>
  <c r="J26" i="4"/>
  <c r="L26" i="4"/>
  <c r="B27" i="4"/>
  <c r="D27" i="4"/>
  <c r="F27" i="4"/>
  <c r="H27" i="4"/>
  <c r="J27" i="4"/>
  <c r="L27" i="4"/>
  <c r="B17" i="4"/>
  <c r="D17" i="4"/>
  <c r="F17" i="4"/>
  <c r="H17" i="4"/>
  <c r="J17" i="4"/>
  <c r="L17" i="4"/>
  <c r="B18" i="4"/>
  <c r="D18" i="4"/>
  <c r="F18" i="4"/>
  <c r="H18" i="4"/>
  <c r="J18" i="4"/>
  <c r="L18" i="4"/>
  <c r="B19" i="4"/>
  <c r="D19" i="4"/>
  <c r="F19" i="4"/>
  <c r="H19" i="4"/>
  <c r="J19" i="4"/>
  <c r="L19" i="4"/>
  <c r="B20" i="4"/>
  <c r="D20" i="4"/>
  <c r="F20" i="4"/>
  <c r="H20" i="4"/>
  <c r="J20" i="4"/>
  <c r="L20" i="4"/>
  <c r="A23" i="4"/>
  <c r="A24" i="4"/>
  <c r="A25" i="4"/>
  <c r="A26" i="4"/>
  <c r="A27" i="4"/>
  <c r="A31" i="4"/>
  <c r="A32" i="4"/>
  <c r="A33" i="4"/>
  <c r="A34" i="4"/>
  <c r="A35" i="4"/>
  <c r="A18" i="4"/>
  <c r="A19" i="4"/>
  <c r="A20" i="4"/>
  <c r="A17" i="4"/>
  <c r="A16" i="4"/>
  <c r="B12" i="4"/>
  <c r="C12" i="4"/>
  <c r="D12" i="4"/>
  <c r="E12" i="4"/>
  <c r="F12" i="4"/>
  <c r="G12" i="4"/>
  <c r="H12" i="4"/>
  <c r="I12" i="4"/>
  <c r="J12" i="4"/>
  <c r="K12" i="4"/>
  <c r="L12" i="4"/>
  <c r="M12" i="4"/>
  <c r="B13" i="4"/>
  <c r="C13" i="4"/>
  <c r="D13" i="4"/>
  <c r="E13" i="4"/>
  <c r="F13" i="4"/>
  <c r="G13" i="4"/>
  <c r="H13" i="4"/>
  <c r="I13" i="4"/>
  <c r="J13" i="4"/>
  <c r="K13" i="4"/>
  <c r="L13" i="4"/>
  <c r="M13" i="4"/>
  <c r="B14" i="4"/>
  <c r="C14" i="4"/>
  <c r="D14" i="4"/>
  <c r="E14" i="4"/>
  <c r="F14" i="4"/>
  <c r="G14" i="4"/>
  <c r="H14" i="4"/>
  <c r="I14" i="4"/>
  <c r="J14" i="4"/>
  <c r="K14" i="4"/>
  <c r="L14" i="4"/>
  <c r="M14" i="4"/>
  <c r="A12" i="4"/>
  <c r="A13" i="4"/>
  <c r="A14" i="4"/>
  <c r="A11" i="4"/>
  <c r="B4" i="4"/>
  <c r="D4" i="4"/>
  <c r="F4" i="4"/>
  <c r="H4" i="4"/>
  <c r="J4" i="4"/>
  <c r="L4" i="4"/>
  <c r="B5" i="4"/>
  <c r="D5" i="4"/>
  <c r="F5" i="4"/>
  <c r="H5" i="4"/>
  <c r="J5" i="4"/>
  <c r="L5" i="4"/>
  <c r="B6" i="4"/>
  <c r="D6" i="4"/>
  <c r="F6" i="4"/>
  <c r="H6" i="4"/>
  <c r="J6" i="4"/>
  <c r="L6" i="4"/>
  <c r="B7" i="4"/>
  <c r="D7" i="4"/>
  <c r="F7" i="4"/>
  <c r="H7" i="4"/>
  <c r="J7" i="4"/>
  <c r="L7" i="4"/>
  <c r="A4" i="4"/>
  <c r="A5" i="4"/>
  <c r="A6" i="4"/>
  <c r="A7" i="4"/>
  <c r="A8" i="4"/>
  <c r="A9" i="4"/>
  <c r="A3" i="4"/>
  <c r="A4" i="3"/>
  <c r="A17" i="3"/>
  <c r="A26" i="3"/>
  <c r="A32" i="3"/>
  <c r="A34" i="3"/>
  <c r="B34" i="3"/>
  <c r="D34" i="3"/>
  <c r="F34" i="3"/>
  <c r="H34" i="3"/>
  <c r="J34" i="3"/>
  <c r="L34" i="3"/>
  <c r="A35" i="3"/>
  <c r="B35" i="3"/>
  <c r="D35" i="3"/>
  <c r="F35" i="3"/>
  <c r="H35" i="3"/>
  <c r="J35" i="3"/>
  <c r="L35" i="3"/>
  <c r="A36" i="3"/>
  <c r="B33" i="3"/>
  <c r="D33" i="3"/>
  <c r="F33" i="3"/>
  <c r="H33" i="3"/>
  <c r="J33" i="3"/>
  <c r="L33" i="3"/>
  <c r="A33" i="3"/>
  <c r="A28" i="3"/>
  <c r="B28" i="3"/>
  <c r="D28" i="3"/>
  <c r="F28" i="3"/>
  <c r="H28" i="3"/>
  <c r="J28" i="3"/>
  <c r="L28" i="3"/>
  <c r="A29" i="3"/>
  <c r="B29" i="3"/>
  <c r="D29" i="3"/>
  <c r="F29" i="3"/>
  <c r="H29" i="3"/>
  <c r="J29" i="3"/>
  <c r="L29" i="3"/>
  <c r="A30" i="3"/>
  <c r="B27" i="3"/>
  <c r="D27" i="3"/>
  <c r="F27" i="3"/>
  <c r="H27" i="3"/>
  <c r="J27" i="3"/>
  <c r="L27" i="3"/>
  <c r="A27" i="3"/>
  <c r="B18" i="3"/>
  <c r="D18" i="3"/>
  <c r="F18" i="3"/>
  <c r="H18" i="3"/>
  <c r="J18" i="3"/>
  <c r="L18" i="3"/>
  <c r="B19" i="3"/>
  <c r="D19" i="3"/>
  <c r="F19" i="3"/>
  <c r="H19" i="3"/>
  <c r="J19" i="3"/>
  <c r="L19" i="3"/>
  <c r="B20" i="3"/>
  <c r="D20" i="3"/>
  <c r="F20" i="3"/>
  <c r="H20" i="3"/>
  <c r="J20" i="3"/>
  <c r="L20" i="3"/>
  <c r="B21" i="3"/>
  <c r="D21" i="3"/>
  <c r="F21" i="3"/>
  <c r="H21" i="3"/>
  <c r="J21" i="3"/>
  <c r="L21" i="3"/>
  <c r="B22" i="3"/>
  <c r="D22" i="3"/>
  <c r="F22" i="3"/>
  <c r="H22" i="3"/>
  <c r="J22" i="3"/>
  <c r="L22" i="3"/>
  <c r="B23" i="3"/>
  <c r="D23" i="3"/>
  <c r="F23" i="3"/>
  <c r="H23" i="3"/>
  <c r="J23" i="3"/>
  <c r="L23" i="3"/>
  <c r="A24" i="3"/>
  <c r="A19" i="3"/>
  <c r="A20" i="3"/>
  <c r="A21" i="3"/>
  <c r="A22" i="3"/>
  <c r="A23" i="3"/>
  <c r="A18" i="3"/>
  <c r="D6" i="3"/>
  <c r="F6" i="3"/>
  <c r="H6" i="3"/>
  <c r="J6" i="3"/>
  <c r="L6" i="3"/>
  <c r="D7" i="3"/>
  <c r="F7" i="3"/>
  <c r="H7" i="3"/>
  <c r="J7" i="3"/>
  <c r="L7" i="3"/>
  <c r="D8" i="3"/>
  <c r="F8" i="3"/>
  <c r="H8" i="3"/>
  <c r="J8" i="3"/>
  <c r="L8" i="3"/>
  <c r="D9" i="3"/>
  <c r="F9" i="3"/>
  <c r="H9" i="3"/>
  <c r="J9" i="3"/>
  <c r="L9" i="3"/>
  <c r="D10" i="3"/>
  <c r="F10" i="3"/>
  <c r="H10" i="3"/>
  <c r="J10" i="3"/>
  <c r="L10" i="3"/>
  <c r="D11" i="3"/>
  <c r="F11" i="3"/>
  <c r="H11" i="3"/>
  <c r="J11" i="3"/>
  <c r="L11" i="3"/>
  <c r="D12" i="3"/>
  <c r="F12" i="3"/>
  <c r="H12" i="3"/>
  <c r="J12" i="3"/>
  <c r="L12" i="3"/>
  <c r="D13" i="3"/>
  <c r="F13" i="3"/>
  <c r="H13" i="3"/>
  <c r="J13" i="3"/>
  <c r="L13" i="3"/>
  <c r="B7" i="3"/>
  <c r="B8" i="3"/>
  <c r="B9" i="3"/>
  <c r="B10" i="3"/>
  <c r="B11" i="3"/>
  <c r="B12" i="3"/>
  <c r="B13" i="3"/>
  <c r="A8" i="3"/>
  <c r="A9" i="3"/>
  <c r="A10" i="3"/>
  <c r="A11" i="3"/>
  <c r="A12" i="3"/>
  <c r="A13" i="3"/>
  <c r="A6" i="3"/>
  <c r="A7" i="3"/>
  <c r="A5" i="3"/>
  <c r="N51" i="2"/>
  <c r="Q48" i="2"/>
  <c r="M51" i="2" s="1"/>
  <c r="O48" i="2"/>
  <c r="P47" i="2" s="1"/>
  <c r="M48" i="2"/>
  <c r="I51" i="2" s="1"/>
  <c r="K48" i="2"/>
  <c r="L47" i="2" s="1"/>
  <c r="I48" i="2"/>
  <c r="E51" i="2" s="1"/>
  <c r="G48" i="2"/>
  <c r="H47" i="2" s="1"/>
  <c r="B48" i="2"/>
  <c r="R47" i="2"/>
  <c r="N47" i="2"/>
  <c r="J47" i="2"/>
  <c r="D47" i="2"/>
  <c r="F47" i="2" s="1"/>
  <c r="C47" i="2"/>
  <c r="R46" i="2"/>
  <c r="N46" i="2"/>
  <c r="J46" i="2"/>
  <c r="D46" i="2"/>
  <c r="F46" i="2" s="1"/>
  <c r="C46" i="2"/>
  <c r="R45" i="2"/>
  <c r="N45" i="2"/>
  <c r="J45" i="2"/>
  <c r="D45" i="2"/>
  <c r="F45" i="2" s="1"/>
  <c r="C45" i="2"/>
  <c r="R44" i="2"/>
  <c r="N44" i="2"/>
  <c r="J44" i="2"/>
  <c r="D44" i="2"/>
  <c r="F44" i="2" s="1"/>
  <c r="C44" i="2"/>
  <c r="R43" i="2"/>
  <c r="N43" i="2"/>
  <c r="J43" i="2"/>
  <c r="D43" i="2"/>
  <c r="F43" i="2" s="1"/>
  <c r="C43" i="2"/>
  <c r="R42" i="2"/>
  <c r="P42" i="2"/>
  <c r="N42" i="2"/>
  <c r="J42" i="2"/>
  <c r="D42" i="2"/>
  <c r="F42" i="2" s="1"/>
  <c r="C42" i="2"/>
  <c r="R41" i="2"/>
  <c r="P41" i="2"/>
  <c r="N41" i="2"/>
  <c r="L41" i="2"/>
  <c r="J41" i="2"/>
  <c r="J48" i="2" s="1"/>
  <c r="H41" i="2"/>
  <c r="D41" i="2"/>
  <c r="F41" i="2" s="1"/>
  <c r="C41" i="2"/>
  <c r="R40" i="2"/>
  <c r="R48" i="2" s="1"/>
  <c r="P40" i="2"/>
  <c r="N40" i="2"/>
  <c r="N48" i="2" s="1"/>
  <c r="L40" i="2"/>
  <c r="D40" i="2"/>
  <c r="F40" i="2" s="1"/>
  <c r="C40" i="2"/>
  <c r="C48" i="2" s="1"/>
  <c r="I36" i="2"/>
  <c r="Q36" i="2"/>
  <c r="O36" i="2"/>
  <c r="P35" i="2" s="1"/>
  <c r="M36" i="2"/>
  <c r="N35" i="2" s="1"/>
  <c r="K36" i="2"/>
  <c r="L35" i="2" s="1"/>
  <c r="G36" i="2"/>
  <c r="H35" i="2" s="1"/>
  <c r="B36" i="2"/>
  <c r="R35" i="2"/>
  <c r="J35" i="2"/>
  <c r="D35" i="2"/>
  <c r="F35" i="2" s="1"/>
  <c r="C35" i="2"/>
  <c r="R34" i="2"/>
  <c r="N34" i="2"/>
  <c r="J34" i="2"/>
  <c r="D34" i="2"/>
  <c r="F34" i="2" s="1"/>
  <c r="C34" i="2"/>
  <c r="R33" i="2"/>
  <c r="N33" i="2"/>
  <c r="J33" i="2"/>
  <c r="D33" i="2"/>
  <c r="F33" i="2" s="1"/>
  <c r="C33" i="2"/>
  <c r="R32" i="2"/>
  <c r="N32" i="2"/>
  <c r="J32" i="2"/>
  <c r="D32" i="2"/>
  <c r="F32" i="2" s="1"/>
  <c r="C32" i="2"/>
  <c r="R31" i="2"/>
  <c r="N31" i="2"/>
  <c r="J31" i="2"/>
  <c r="D31" i="2"/>
  <c r="F31" i="2" s="1"/>
  <c r="C31" i="2"/>
  <c r="R30" i="2"/>
  <c r="N30" i="2"/>
  <c r="J30" i="2"/>
  <c r="D30" i="2"/>
  <c r="F30" i="2" s="1"/>
  <c r="C30" i="2"/>
  <c r="C29" i="2"/>
  <c r="C36" i="2" s="1"/>
  <c r="Q25" i="1"/>
  <c r="O25" i="1"/>
  <c r="M25" i="1"/>
  <c r="K25" i="1"/>
  <c r="I25" i="1"/>
  <c r="G25" i="1"/>
  <c r="B25" i="1"/>
  <c r="Q25" i="2"/>
  <c r="R24" i="2" s="1"/>
  <c r="O25" i="2"/>
  <c r="P24" i="2" s="1"/>
  <c r="M25" i="2"/>
  <c r="N23" i="2" s="1"/>
  <c r="K25" i="2"/>
  <c r="L24" i="2" s="1"/>
  <c r="I25" i="2"/>
  <c r="J23" i="2" s="1"/>
  <c r="G25" i="2"/>
  <c r="H24" i="2" s="1"/>
  <c r="B25" i="2"/>
  <c r="C24" i="2" s="1"/>
  <c r="N24" i="2"/>
  <c r="J24" i="2"/>
  <c r="D24" i="2"/>
  <c r="F24" i="2" s="1"/>
  <c r="R23" i="2"/>
  <c r="D23" i="2"/>
  <c r="F23" i="2" s="1"/>
  <c r="C23" i="2"/>
  <c r="J22" i="2"/>
  <c r="D22" i="2"/>
  <c r="F22" i="2" s="1"/>
  <c r="Q19" i="2"/>
  <c r="O19" i="2"/>
  <c r="P17" i="2" s="1"/>
  <c r="M19" i="2"/>
  <c r="N18" i="2" s="1"/>
  <c r="K19" i="2"/>
  <c r="L14" i="2" s="1"/>
  <c r="I19" i="2"/>
  <c r="G19" i="2"/>
  <c r="H17" i="2" s="1"/>
  <c r="B19" i="2"/>
  <c r="C18" i="2" s="1"/>
  <c r="R18" i="2"/>
  <c r="L18" i="2"/>
  <c r="J18" i="2"/>
  <c r="H18" i="2"/>
  <c r="D18" i="2"/>
  <c r="R17" i="2"/>
  <c r="N17" i="2"/>
  <c r="L17" i="2"/>
  <c r="J17" i="2"/>
  <c r="D17" i="2"/>
  <c r="F17" i="2" s="1"/>
  <c r="C17" i="2"/>
  <c r="R16" i="2"/>
  <c r="L16" i="2"/>
  <c r="J16" i="2"/>
  <c r="H16" i="2"/>
  <c r="D16" i="2"/>
  <c r="F16" i="2" s="1"/>
  <c r="R15" i="2"/>
  <c r="N15" i="2"/>
  <c r="L15" i="2"/>
  <c r="J15" i="2"/>
  <c r="D15" i="2"/>
  <c r="F15" i="2" s="1"/>
  <c r="C15" i="2"/>
  <c r="R14" i="2"/>
  <c r="N14" i="2"/>
  <c r="J14" i="2"/>
  <c r="D14" i="2"/>
  <c r="F14" i="2" s="1"/>
  <c r="R13" i="2"/>
  <c r="P13" i="2"/>
  <c r="N13" i="2"/>
  <c r="L13" i="2"/>
  <c r="J13" i="2"/>
  <c r="H13" i="2"/>
  <c r="D13" i="2"/>
  <c r="F13" i="2" s="1"/>
  <c r="C13" i="2"/>
  <c r="D10" i="2"/>
  <c r="E8" i="2" s="1"/>
  <c r="B10" i="2"/>
  <c r="C9" i="2" s="1"/>
  <c r="F9" i="2"/>
  <c r="E9" i="2"/>
  <c r="F8" i="2"/>
  <c r="C8" i="2"/>
  <c r="F7" i="2"/>
  <c r="E7" i="2"/>
  <c r="F6" i="2"/>
  <c r="C6" i="2"/>
  <c r="F5" i="2"/>
  <c r="E5" i="2"/>
  <c r="F4" i="2"/>
  <c r="C4" i="2"/>
  <c r="L644" i="1"/>
  <c r="J644" i="1"/>
  <c r="J212" i="33" s="1"/>
  <c r="H644" i="1"/>
  <c r="F644" i="1"/>
  <c r="F212" i="33" s="1"/>
  <c r="D644" i="1"/>
  <c r="B644" i="1"/>
  <c r="B212" i="33" s="1"/>
  <c r="K643" i="1"/>
  <c r="K211" i="33" s="1"/>
  <c r="G643" i="1"/>
  <c r="G211" i="33" s="1"/>
  <c r="C643" i="1"/>
  <c r="C211" i="33" s="1"/>
  <c r="K642" i="1"/>
  <c r="K210" i="33" s="1"/>
  <c r="G642" i="1"/>
  <c r="G210" i="33" s="1"/>
  <c r="C642" i="1"/>
  <c r="C210" i="33" s="1"/>
  <c r="K641" i="1"/>
  <c r="K209" i="33" s="1"/>
  <c r="G641" i="1"/>
  <c r="G209" i="33" s="1"/>
  <c r="C641" i="1"/>
  <c r="C209" i="33" s="1"/>
  <c r="K640" i="1"/>
  <c r="K208" i="33" s="1"/>
  <c r="G640" i="1"/>
  <c r="G208" i="33" s="1"/>
  <c r="C640" i="1"/>
  <c r="C208" i="33" s="1"/>
  <c r="K639" i="1"/>
  <c r="G639" i="1"/>
  <c r="C639" i="1"/>
  <c r="L635" i="1"/>
  <c r="J635" i="1"/>
  <c r="J203" i="33" s="1"/>
  <c r="H635" i="1"/>
  <c r="F635" i="1"/>
  <c r="F203" i="33" s="1"/>
  <c r="D635" i="1"/>
  <c r="B635" i="1"/>
  <c r="B203" i="33" s="1"/>
  <c r="K634" i="1"/>
  <c r="K202" i="33" s="1"/>
  <c r="G634" i="1"/>
  <c r="G202" i="33" s="1"/>
  <c r="C634" i="1"/>
  <c r="C202" i="33" s="1"/>
  <c r="K633" i="1"/>
  <c r="K201" i="33" s="1"/>
  <c r="G633" i="1"/>
  <c r="G201" i="33" s="1"/>
  <c r="C633" i="1"/>
  <c r="C201" i="33" s="1"/>
  <c r="K632" i="1"/>
  <c r="K200" i="33" s="1"/>
  <c r="G632" i="1"/>
  <c r="G200" i="33" s="1"/>
  <c r="C632" i="1"/>
  <c r="C200" i="33" s="1"/>
  <c r="K631" i="1"/>
  <c r="K199" i="33" s="1"/>
  <c r="G631" i="1"/>
  <c r="G199" i="33" s="1"/>
  <c r="C631" i="1"/>
  <c r="C199" i="33" s="1"/>
  <c r="K630" i="1"/>
  <c r="G630" i="1"/>
  <c r="C630" i="1"/>
  <c r="L626" i="1"/>
  <c r="J626" i="1"/>
  <c r="J194" i="33" s="1"/>
  <c r="H626" i="1"/>
  <c r="F626" i="1"/>
  <c r="F194" i="33" s="1"/>
  <c r="D626" i="1"/>
  <c r="B626" i="1"/>
  <c r="B194" i="33" s="1"/>
  <c r="K625" i="1"/>
  <c r="K193" i="33" s="1"/>
  <c r="G625" i="1"/>
  <c r="G193" i="33" s="1"/>
  <c r="C625" i="1"/>
  <c r="C193" i="33" s="1"/>
  <c r="K624" i="1"/>
  <c r="K192" i="33" s="1"/>
  <c r="G624" i="1"/>
  <c r="G192" i="33" s="1"/>
  <c r="C624" i="1"/>
  <c r="C192" i="33" s="1"/>
  <c r="K623" i="1"/>
  <c r="K191" i="33" s="1"/>
  <c r="G623" i="1"/>
  <c r="G191" i="33" s="1"/>
  <c r="C623" i="1"/>
  <c r="C191" i="33" s="1"/>
  <c r="K622" i="1"/>
  <c r="K190" i="33" s="1"/>
  <c r="G622" i="1"/>
  <c r="G190" i="33" s="1"/>
  <c r="C622" i="1"/>
  <c r="C190" i="33" s="1"/>
  <c r="K621" i="1"/>
  <c r="G621" i="1"/>
  <c r="C621" i="1"/>
  <c r="L617" i="1"/>
  <c r="J617" i="1"/>
  <c r="J185" i="33" s="1"/>
  <c r="H617" i="1"/>
  <c r="F617" i="1"/>
  <c r="F185" i="33" s="1"/>
  <c r="D617" i="1"/>
  <c r="B617" i="1"/>
  <c r="B185" i="33" s="1"/>
  <c r="K616" i="1"/>
  <c r="K184" i="33" s="1"/>
  <c r="G616" i="1"/>
  <c r="G184" i="33" s="1"/>
  <c r="C616" i="1"/>
  <c r="C184" i="33" s="1"/>
  <c r="K615" i="1"/>
  <c r="K183" i="33" s="1"/>
  <c r="G615" i="1"/>
  <c r="G183" i="33" s="1"/>
  <c r="C615" i="1"/>
  <c r="C183" i="33" s="1"/>
  <c r="K614" i="1"/>
  <c r="K182" i="33" s="1"/>
  <c r="G614" i="1"/>
  <c r="G182" i="33" s="1"/>
  <c r="C614" i="1"/>
  <c r="C182" i="33" s="1"/>
  <c r="K613" i="1"/>
  <c r="K181" i="33" s="1"/>
  <c r="G613" i="1"/>
  <c r="G181" i="33" s="1"/>
  <c r="C613" i="1"/>
  <c r="C181" i="33" s="1"/>
  <c r="K612" i="1"/>
  <c r="G612" i="1"/>
  <c r="C612" i="1"/>
  <c r="L608" i="1"/>
  <c r="J608" i="1"/>
  <c r="J176" i="33" s="1"/>
  <c r="H608" i="1"/>
  <c r="F608" i="1"/>
  <c r="F176" i="33" s="1"/>
  <c r="D608" i="1"/>
  <c r="B608" i="1"/>
  <c r="B176" i="33" s="1"/>
  <c r="K607" i="1"/>
  <c r="K175" i="33" s="1"/>
  <c r="G607" i="1"/>
  <c r="G175" i="33" s="1"/>
  <c r="C607" i="1"/>
  <c r="C175" i="33" s="1"/>
  <c r="K606" i="1"/>
  <c r="K174" i="33" s="1"/>
  <c r="G606" i="1"/>
  <c r="G174" i="33" s="1"/>
  <c r="C606" i="1"/>
  <c r="C174" i="33" s="1"/>
  <c r="K605" i="1"/>
  <c r="K173" i="33" s="1"/>
  <c r="G605" i="1"/>
  <c r="G173" i="33" s="1"/>
  <c r="C605" i="1"/>
  <c r="C173" i="33" s="1"/>
  <c r="K604" i="1"/>
  <c r="K172" i="33" s="1"/>
  <c r="G604" i="1"/>
  <c r="G172" i="33" s="1"/>
  <c r="C604" i="1"/>
  <c r="C172" i="33" s="1"/>
  <c r="K603" i="1"/>
  <c r="G603" i="1"/>
  <c r="C603" i="1"/>
  <c r="L599" i="1"/>
  <c r="J599" i="1"/>
  <c r="J167" i="33" s="1"/>
  <c r="H599" i="1"/>
  <c r="F599" i="1"/>
  <c r="F167" i="33" s="1"/>
  <c r="D599" i="1"/>
  <c r="B599" i="1"/>
  <c r="B167" i="33" s="1"/>
  <c r="K598" i="1"/>
  <c r="K166" i="33" s="1"/>
  <c r="G598" i="1"/>
  <c r="G166" i="33" s="1"/>
  <c r="C598" i="1"/>
  <c r="C166" i="33" s="1"/>
  <c r="K597" i="1"/>
  <c r="K165" i="33" s="1"/>
  <c r="G597" i="1"/>
  <c r="G165" i="33" s="1"/>
  <c r="C597" i="1"/>
  <c r="C165" i="33" s="1"/>
  <c r="K596" i="1"/>
  <c r="K164" i="33" s="1"/>
  <c r="G596" i="1"/>
  <c r="G164" i="33" s="1"/>
  <c r="C596" i="1"/>
  <c r="C164" i="33" s="1"/>
  <c r="K595" i="1"/>
  <c r="K163" i="33" s="1"/>
  <c r="G595" i="1"/>
  <c r="G163" i="33" s="1"/>
  <c r="C595" i="1"/>
  <c r="C163" i="33" s="1"/>
  <c r="K594" i="1"/>
  <c r="G594" i="1"/>
  <c r="C594" i="1"/>
  <c r="L590" i="1"/>
  <c r="J590" i="1"/>
  <c r="J158" i="33" s="1"/>
  <c r="H590" i="1"/>
  <c r="F590" i="1"/>
  <c r="F158" i="33" s="1"/>
  <c r="D590" i="1"/>
  <c r="B590" i="1"/>
  <c r="B158" i="33" s="1"/>
  <c r="K589" i="1"/>
  <c r="K157" i="33" s="1"/>
  <c r="G589" i="1"/>
  <c r="G157" i="33" s="1"/>
  <c r="C589" i="1"/>
  <c r="C157" i="33" s="1"/>
  <c r="K588" i="1"/>
  <c r="K156" i="33" s="1"/>
  <c r="G588" i="1"/>
  <c r="G156" i="33" s="1"/>
  <c r="C588" i="1"/>
  <c r="C156" i="33" s="1"/>
  <c r="K587" i="1"/>
  <c r="K155" i="33" s="1"/>
  <c r="G587" i="1"/>
  <c r="G155" i="33" s="1"/>
  <c r="C587" i="1"/>
  <c r="C155" i="33" s="1"/>
  <c r="K586" i="1"/>
  <c r="K154" i="33" s="1"/>
  <c r="G586" i="1"/>
  <c r="G154" i="33" s="1"/>
  <c r="C586" i="1"/>
  <c r="C154" i="33" s="1"/>
  <c r="K585" i="1"/>
  <c r="G585" i="1"/>
  <c r="C585" i="1"/>
  <c r="L581" i="1"/>
  <c r="J581" i="1"/>
  <c r="J149" i="33" s="1"/>
  <c r="H581" i="1"/>
  <c r="F581" i="1"/>
  <c r="F149" i="33" s="1"/>
  <c r="D581" i="1"/>
  <c r="B581" i="1"/>
  <c r="B149" i="33" s="1"/>
  <c r="K580" i="1"/>
  <c r="K148" i="33" s="1"/>
  <c r="G580" i="1"/>
  <c r="G148" i="33" s="1"/>
  <c r="K579" i="1"/>
  <c r="K147" i="33" s="1"/>
  <c r="G579" i="1"/>
  <c r="G147" i="33" s="1"/>
  <c r="C579" i="1"/>
  <c r="C147" i="33" s="1"/>
  <c r="K578" i="1"/>
  <c r="K146" i="33" s="1"/>
  <c r="G578" i="1"/>
  <c r="G146" i="33" s="1"/>
  <c r="C578" i="1"/>
  <c r="C146" i="33" s="1"/>
  <c r="K577" i="1"/>
  <c r="K145" i="33" s="1"/>
  <c r="G577" i="1"/>
  <c r="G145" i="33" s="1"/>
  <c r="C577" i="1"/>
  <c r="C145" i="33" s="1"/>
  <c r="K576" i="1"/>
  <c r="G576" i="1"/>
  <c r="C576" i="1"/>
  <c r="L572" i="1"/>
  <c r="J572" i="1"/>
  <c r="J140" i="33" s="1"/>
  <c r="H572" i="1"/>
  <c r="F572" i="1"/>
  <c r="F140" i="33" s="1"/>
  <c r="D572" i="1"/>
  <c r="B572" i="1"/>
  <c r="B140" i="33" s="1"/>
  <c r="K571" i="1"/>
  <c r="K139" i="33" s="1"/>
  <c r="G571" i="1"/>
  <c r="G139" i="33" s="1"/>
  <c r="C571" i="1"/>
  <c r="C139" i="33" s="1"/>
  <c r="K570" i="1"/>
  <c r="K138" i="33" s="1"/>
  <c r="G570" i="1"/>
  <c r="G138" i="33" s="1"/>
  <c r="C570" i="1"/>
  <c r="C138" i="33" s="1"/>
  <c r="K569" i="1"/>
  <c r="K137" i="33" s="1"/>
  <c r="G569" i="1"/>
  <c r="G137" i="33" s="1"/>
  <c r="C569" i="1"/>
  <c r="C137" i="33" s="1"/>
  <c r="K568" i="1"/>
  <c r="K136" i="33" s="1"/>
  <c r="G568" i="1"/>
  <c r="G136" i="33" s="1"/>
  <c r="C568" i="1"/>
  <c r="C136" i="33" s="1"/>
  <c r="K567" i="1"/>
  <c r="G567" i="1"/>
  <c r="C567" i="1"/>
  <c r="L563" i="1"/>
  <c r="J563" i="1"/>
  <c r="J131" i="33" s="1"/>
  <c r="H563" i="1"/>
  <c r="F563" i="1"/>
  <c r="F131" i="33" s="1"/>
  <c r="D563" i="1"/>
  <c r="B563" i="1"/>
  <c r="B131" i="33" s="1"/>
  <c r="K562" i="1"/>
  <c r="K130" i="33" s="1"/>
  <c r="G562" i="1"/>
  <c r="G130" i="33" s="1"/>
  <c r="K561" i="1"/>
  <c r="K129" i="33" s="1"/>
  <c r="G561" i="1"/>
  <c r="G129" i="33" s="1"/>
  <c r="C561" i="1"/>
  <c r="C129" i="33" s="1"/>
  <c r="K560" i="1"/>
  <c r="K128" i="33" s="1"/>
  <c r="G560" i="1"/>
  <c r="G128" i="33" s="1"/>
  <c r="C560" i="1"/>
  <c r="C128" i="33" s="1"/>
  <c r="K559" i="1"/>
  <c r="K127" i="33" s="1"/>
  <c r="G559" i="1"/>
  <c r="G127" i="33" s="1"/>
  <c r="C559" i="1"/>
  <c r="C127" i="33" s="1"/>
  <c r="K558" i="1"/>
  <c r="G558" i="1"/>
  <c r="C558" i="1"/>
  <c r="L554" i="1"/>
  <c r="J554" i="1"/>
  <c r="J122" i="33" s="1"/>
  <c r="H554" i="1"/>
  <c r="F554" i="1"/>
  <c r="F122" i="33" s="1"/>
  <c r="D554" i="1"/>
  <c r="B554" i="1"/>
  <c r="B122" i="33" s="1"/>
  <c r="K553" i="1"/>
  <c r="K121" i="33" s="1"/>
  <c r="G553" i="1"/>
  <c r="G121" i="33" s="1"/>
  <c r="C553" i="1"/>
  <c r="C121" i="33" s="1"/>
  <c r="K552" i="1"/>
  <c r="K120" i="33" s="1"/>
  <c r="G552" i="1"/>
  <c r="G120" i="33" s="1"/>
  <c r="C552" i="1"/>
  <c r="C120" i="33" s="1"/>
  <c r="K551" i="1"/>
  <c r="K119" i="33" s="1"/>
  <c r="G551" i="1"/>
  <c r="G119" i="33" s="1"/>
  <c r="C551" i="1"/>
  <c r="C119" i="33" s="1"/>
  <c r="K550" i="1"/>
  <c r="K118" i="33" s="1"/>
  <c r="G550" i="1"/>
  <c r="G118" i="33" s="1"/>
  <c r="C550" i="1"/>
  <c r="C118" i="33" s="1"/>
  <c r="K549" i="1"/>
  <c r="G549" i="1"/>
  <c r="C549" i="1"/>
  <c r="L545" i="1"/>
  <c r="J545" i="1"/>
  <c r="J113" i="33" s="1"/>
  <c r="H545" i="1"/>
  <c r="F545" i="1"/>
  <c r="F113" i="33" s="1"/>
  <c r="D545" i="1"/>
  <c r="B545" i="1"/>
  <c r="B113" i="33" s="1"/>
  <c r="K544" i="1"/>
  <c r="K112" i="33" s="1"/>
  <c r="G544" i="1"/>
  <c r="G112" i="33" s="1"/>
  <c r="K543" i="1"/>
  <c r="K111" i="33" s="1"/>
  <c r="G543" i="1"/>
  <c r="G111" i="33" s="1"/>
  <c r="C543" i="1"/>
  <c r="C111" i="33" s="1"/>
  <c r="K542" i="1"/>
  <c r="K110" i="33" s="1"/>
  <c r="G542" i="1"/>
  <c r="G110" i="33" s="1"/>
  <c r="C542" i="1"/>
  <c r="C110" i="33" s="1"/>
  <c r="K541" i="1"/>
  <c r="K109" i="33" s="1"/>
  <c r="G541" i="1"/>
  <c r="G109" i="33" s="1"/>
  <c r="C541" i="1"/>
  <c r="C109" i="33" s="1"/>
  <c r="K540" i="1"/>
  <c r="G540" i="1"/>
  <c r="C540" i="1"/>
  <c r="L536" i="1"/>
  <c r="L104" i="33" s="1"/>
  <c r="J536" i="1"/>
  <c r="J104" i="33" s="1"/>
  <c r="H536" i="1"/>
  <c r="H104" i="33" s="1"/>
  <c r="F536" i="1"/>
  <c r="F104" i="33" s="1"/>
  <c r="D536" i="1"/>
  <c r="D104" i="33" s="1"/>
  <c r="B536" i="1"/>
  <c r="B104" i="33" s="1"/>
  <c r="M535" i="1"/>
  <c r="M103" i="33" s="1"/>
  <c r="K535" i="1"/>
  <c r="K103" i="33" s="1"/>
  <c r="I535" i="1"/>
  <c r="I103" i="33" s="1"/>
  <c r="G535" i="1"/>
  <c r="G103" i="33" s="1"/>
  <c r="C535" i="1"/>
  <c r="C103" i="33" s="1"/>
  <c r="M534" i="1"/>
  <c r="M102" i="33" s="1"/>
  <c r="K534" i="1"/>
  <c r="K102" i="33" s="1"/>
  <c r="I534" i="1"/>
  <c r="I102" i="33" s="1"/>
  <c r="G534" i="1"/>
  <c r="G102" i="33" s="1"/>
  <c r="E534" i="1"/>
  <c r="E102" i="33" s="1"/>
  <c r="C534" i="1"/>
  <c r="C102" i="33" s="1"/>
  <c r="M533" i="1"/>
  <c r="M101" i="33" s="1"/>
  <c r="K533" i="1"/>
  <c r="K101" i="33" s="1"/>
  <c r="I533" i="1"/>
  <c r="I101" i="33" s="1"/>
  <c r="G533" i="1"/>
  <c r="G101" i="33" s="1"/>
  <c r="E533" i="1"/>
  <c r="E101" i="33" s="1"/>
  <c r="C533" i="1"/>
  <c r="C101" i="33" s="1"/>
  <c r="M532" i="1"/>
  <c r="M100" i="33" s="1"/>
  <c r="K532" i="1"/>
  <c r="K100" i="33" s="1"/>
  <c r="I532" i="1"/>
  <c r="I100" i="33" s="1"/>
  <c r="G532" i="1"/>
  <c r="G100" i="33" s="1"/>
  <c r="E532" i="1"/>
  <c r="E100" i="33" s="1"/>
  <c r="C532" i="1"/>
  <c r="C100" i="33" s="1"/>
  <c r="M531" i="1"/>
  <c r="K531" i="1"/>
  <c r="I531" i="1"/>
  <c r="G531" i="1"/>
  <c r="E531" i="1"/>
  <c r="C531" i="1"/>
  <c r="L527" i="1"/>
  <c r="J527" i="1"/>
  <c r="J95" i="33" s="1"/>
  <c r="H527" i="1"/>
  <c r="F527" i="1"/>
  <c r="F95" i="33" s="1"/>
  <c r="D527" i="1"/>
  <c r="B527" i="1"/>
  <c r="B95" i="33" s="1"/>
  <c r="G526" i="1"/>
  <c r="G94" i="33" s="1"/>
  <c r="K525" i="1"/>
  <c r="K93" i="33" s="1"/>
  <c r="C525" i="1"/>
  <c r="C93" i="33" s="1"/>
  <c r="G524" i="1"/>
  <c r="G92" i="33" s="1"/>
  <c r="K523" i="1"/>
  <c r="K91" i="33" s="1"/>
  <c r="C523" i="1"/>
  <c r="C91" i="33" s="1"/>
  <c r="G522" i="1"/>
  <c r="L518" i="1"/>
  <c r="J518" i="1"/>
  <c r="J86" i="33" s="1"/>
  <c r="H518" i="1"/>
  <c r="F518" i="1"/>
  <c r="F86" i="33" s="1"/>
  <c r="D518" i="1"/>
  <c r="B518" i="1"/>
  <c r="B86" i="33" s="1"/>
  <c r="K517" i="1"/>
  <c r="K85" i="33" s="1"/>
  <c r="G517" i="1"/>
  <c r="G85" i="33" s="1"/>
  <c r="C517" i="1"/>
  <c r="C85" i="33" s="1"/>
  <c r="K516" i="1"/>
  <c r="K84" i="33" s="1"/>
  <c r="G516" i="1"/>
  <c r="G84" i="33" s="1"/>
  <c r="C516" i="1"/>
  <c r="C84" i="33" s="1"/>
  <c r="K515" i="1"/>
  <c r="K83" i="33" s="1"/>
  <c r="G515" i="1"/>
  <c r="G83" i="33" s="1"/>
  <c r="C515" i="1"/>
  <c r="C83" i="33" s="1"/>
  <c r="K514" i="1"/>
  <c r="K82" i="33" s="1"/>
  <c r="G514" i="1"/>
  <c r="G82" i="33" s="1"/>
  <c r="C514" i="1"/>
  <c r="C82" i="33" s="1"/>
  <c r="K513" i="1"/>
  <c r="G513" i="1"/>
  <c r="C513" i="1"/>
  <c r="B509" i="1"/>
  <c r="B77" i="33" s="1"/>
  <c r="L509" i="1"/>
  <c r="L77" i="33" s="1"/>
  <c r="J509" i="1"/>
  <c r="J77" i="33" s="1"/>
  <c r="H509" i="1"/>
  <c r="H77" i="33" s="1"/>
  <c r="F509" i="1"/>
  <c r="F77" i="33" s="1"/>
  <c r="D509" i="1"/>
  <c r="D77" i="33" s="1"/>
  <c r="M508" i="1"/>
  <c r="M76" i="33" s="1"/>
  <c r="I508" i="1"/>
  <c r="I76" i="33" s="1"/>
  <c r="G508" i="1"/>
  <c r="G76" i="33" s="1"/>
  <c r="E508" i="1"/>
  <c r="E76" i="33" s="1"/>
  <c r="C508" i="1"/>
  <c r="C76" i="33" s="1"/>
  <c r="M507" i="1"/>
  <c r="M75" i="33" s="1"/>
  <c r="I507" i="1"/>
  <c r="I75" i="33" s="1"/>
  <c r="G507" i="1"/>
  <c r="G75" i="33" s="1"/>
  <c r="E507" i="1"/>
  <c r="E75" i="33" s="1"/>
  <c r="C507" i="1"/>
  <c r="C75" i="33" s="1"/>
  <c r="M506" i="1"/>
  <c r="M74" i="33" s="1"/>
  <c r="K506" i="1"/>
  <c r="K74" i="33" s="1"/>
  <c r="I506" i="1"/>
  <c r="I74" i="33" s="1"/>
  <c r="G506" i="1"/>
  <c r="G74" i="33" s="1"/>
  <c r="E506" i="1"/>
  <c r="E74" i="33" s="1"/>
  <c r="C506" i="1"/>
  <c r="C74" i="33" s="1"/>
  <c r="M505" i="1"/>
  <c r="M73" i="33" s="1"/>
  <c r="K505" i="1"/>
  <c r="K73" i="33" s="1"/>
  <c r="I505" i="1"/>
  <c r="I73" i="33" s="1"/>
  <c r="G505" i="1"/>
  <c r="G73" i="33" s="1"/>
  <c r="E505" i="1"/>
  <c r="E73" i="33" s="1"/>
  <c r="C505" i="1"/>
  <c r="C73" i="33" s="1"/>
  <c r="M504" i="1"/>
  <c r="K504" i="1"/>
  <c r="I504" i="1"/>
  <c r="G504" i="1"/>
  <c r="G509" i="1" s="1"/>
  <c r="G77" i="33" s="1"/>
  <c r="E504" i="1"/>
  <c r="C504" i="1"/>
  <c r="N643" i="1"/>
  <c r="N211" i="33" s="1"/>
  <c r="N641" i="1"/>
  <c r="N209" i="33" s="1"/>
  <c r="N640" i="1"/>
  <c r="N208" i="33" s="1"/>
  <c r="N639" i="1"/>
  <c r="N634" i="1"/>
  <c r="N202" i="33" s="1"/>
  <c r="N632" i="1"/>
  <c r="N200" i="33" s="1"/>
  <c r="N631" i="1"/>
  <c r="N199" i="33" s="1"/>
  <c r="N630" i="1"/>
  <c r="N625" i="1"/>
  <c r="N193" i="33" s="1"/>
  <c r="N623" i="1"/>
  <c r="N191" i="33" s="1"/>
  <c r="N622" i="1"/>
  <c r="N190" i="33" s="1"/>
  <c r="N621" i="1"/>
  <c r="N616" i="1"/>
  <c r="N184" i="33" s="1"/>
  <c r="N614" i="1"/>
  <c r="N182" i="33" s="1"/>
  <c r="N613" i="1"/>
  <c r="N181" i="33" s="1"/>
  <c r="N612" i="1"/>
  <c r="N607" i="1"/>
  <c r="N175" i="33" s="1"/>
  <c r="N605" i="1"/>
  <c r="N173" i="33" s="1"/>
  <c r="N604" i="1"/>
  <c r="N172" i="33" s="1"/>
  <c r="N603" i="1"/>
  <c r="N598" i="1"/>
  <c r="N166" i="33" s="1"/>
  <c r="N596" i="1"/>
  <c r="N164" i="33" s="1"/>
  <c r="N595" i="1"/>
  <c r="N163" i="33" s="1"/>
  <c r="N594" i="1"/>
  <c r="N589" i="1"/>
  <c r="N157" i="33" s="1"/>
  <c r="N587" i="1"/>
  <c r="N155" i="33" s="1"/>
  <c r="N586" i="1"/>
  <c r="N154" i="33" s="1"/>
  <c r="N585" i="1"/>
  <c r="N580" i="1"/>
  <c r="N148" i="33" s="1"/>
  <c r="N578" i="1"/>
  <c r="N146" i="33" s="1"/>
  <c r="N577" i="1"/>
  <c r="N145" i="33" s="1"/>
  <c r="N576" i="1"/>
  <c r="N144" i="33" s="1"/>
  <c r="N571" i="1"/>
  <c r="N139" i="33" s="1"/>
  <c r="N569" i="1"/>
  <c r="N137" i="33" s="1"/>
  <c r="N568" i="1"/>
  <c r="N136" i="33" s="1"/>
  <c r="N567" i="1"/>
  <c r="N562" i="1"/>
  <c r="N130" i="33" s="1"/>
  <c r="N560" i="1"/>
  <c r="N128" i="33" s="1"/>
  <c r="N559" i="1"/>
  <c r="N127" i="33" s="1"/>
  <c r="N558" i="1"/>
  <c r="N553" i="1"/>
  <c r="N121" i="33" s="1"/>
  <c r="N551" i="1"/>
  <c r="N119" i="33" s="1"/>
  <c r="N550" i="1"/>
  <c r="N118" i="33" s="1"/>
  <c r="N549" i="1"/>
  <c r="N117" i="33" s="1"/>
  <c r="N544" i="1"/>
  <c r="N112" i="33" s="1"/>
  <c r="N542" i="1"/>
  <c r="N110" i="33" s="1"/>
  <c r="N541" i="1"/>
  <c r="N109" i="33" s="1"/>
  <c r="N540" i="1"/>
  <c r="N108" i="33" s="1"/>
  <c r="N535" i="1"/>
  <c r="N103" i="33" s="1"/>
  <c r="N533" i="1"/>
  <c r="N101" i="33" s="1"/>
  <c r="N532" i="1"/>
  <c r="N100" i="33" s="1"/>
  <c r="N531" i="1"/>
  <c r="N526" i="1"/>
  <c r="N94" i="33" s="1"/>
  <c r="N524" i="1"/>
  <c r="N92" i="33" s="1"/>
  <c r="N523" i="1"/>
  <c r="N91" i="33" s="1"/>
  <c r="N522" i="1"/>
  <c r="N517" i="1"/>
  <c r="N85" i="33" s="1"/>
  <c r="N515" i="1"/>
  <c r="N83" i="33" s="1"/>
  <c r="N514" i="1"/>
  <c r="N82" i="33" s="1"/>
  <c r="N513" i="1"/>
  <c r="N508" i="1"/>
  <c r="N76" i="33" s="1"/>
  <c r="N506" i="1"/>
  <c r="N74" i="33" s="1"/>
  <c r="N505" i="1"/>
  <c r="N73" i="33" s="1"/>
  <c r="N504" i="1"/>
  <c r="N72" i="33" s="1"/>
  <c r="L498" i="1"/>
  <c r="L66" i="33" s="1"/>
  <c r="J498" i="1"/>
  <c r="H498" i="1"/>
  <c r="F498" i="1"/>
  <c r="D498" i="1"/>
  <c r="B498" i="1"/>
  <c r="I497" i="1"/>
  <c r="I65" i="33" s="1"/>
  <c r="E497" i="1"/>
  <c r="E65" i="33" s="1"/>
  <c r="G496" i="1"/>
  <c r="G64" i="33" s="1"/>
  <c r="I495" i="1"/>
  <c r="I63" i="33" s="1"/>
  <c r="E495" i="1"/>
  <c r="E63" i="33" s="1"/>
  <c r="K494" i="1"/>
  <c r="K62" i="33" s="1"/>
  <c r="C494" i="1"/>
  <c r="C62" i="33" s="1"/>
  <c r="L490" i="1"/>
  <c r="L58" i="33" s="1"/>
  <c r="J490" i="1"/>
  <c r="H490" i="1"/>
  <c r="F490" i="1"/>
  <c r="D490" i="1"/>
  <c r="B490" i="1"/>
  <c r="I489" i="1"/>
  <c r="I57" i="33" s="1"/>
  <c r="E489" i="1"/>
  <c r="E57" i="33" s="1"/>
  <c r="G488" i="1"/>
  <c r="G56" i="33" s="1"/>
  <c r="I487" i="1"/>
  <c r="I55" i="33" s="1"/>
  <c r="E487" i="1"/>
  <c r="E55" i="33" s="1"/>
  <c r="K486" i="1"/>
  <c r="K54" i="33" s="1"/>
  <c r="C486" i="1"/>
  <c r="C54" i="33" s="1"/>
  <c r="L482" i="1"/>
  <c r="L50" i="33" s="1"/>
  <c r="J482" i="1"/>
  <c r="H482" i="1"/>
  <c r="F482" i="1"/>
  <c r="D482" i="1"/>
  <c r="B482" i="1"/>
  <c r="I481" i="1"/>
  <c r="I49" i="33" s="1"/>
  <c r="E481" i="1"/>
  <c r="E49" i="33" s="1"/>
  <c r="G480" i="1"/>
  <c r="G48" i="33" s="1"/>
  <c r="I479" i="1"/>
  <c r="I47" i="33" s="1"/>
  <c r="E479" i="1"/>
  <c r="E47" i="33" s="1"/>
  <c r="K478" i="1"/>
  <c r="K46" i="33" s="1"/>
  <c r="C478" i="1"/>
  <c r="C46" i="33" s="1"/>
  <c r="L474" i="1"/>
  <c r="L42" i="33" s="1"/>
  <c r="J474" i="1"/>
  <c r="H474" i="1"/>
  <c r="F474" i="1"/>
  <c r="D474" i="1"/>
  <c r="B474" i="1"/>
  <c r="I473" i="1"/>
  <c r="I41" i="33" s="1"/>
  <c r="E473" i="1"/>
  <c r="E41" i="33" s="1"/>
  <c r="G472" i="1"/>
  <c r="G40" i="33" s="1"/>
  <c r="I471" i="1"/>
  <c r="I39" i="33" s="1"/>
  <c r="E471" i="1"/>
  <c r="E39" i="33" s="1"/>
  <c r="K470" i="1"/>
  <c r="K38" i="33" s="1"/>
  <c r="C470" i="1"/>
  <c r="C38" i="33" s="1"/>
  <c r="L465" i="1"/>
  <c r="L33" i="33" s="1"/>
  <c r="J465" i="1"/>
  <c r="H465" i="1"/>
  <c r="F465" i="1"/>
  <c r="D465" i="1"/>
  <c r="B465" i="1"/>
  <c r="I464" i="1"/>
  <c r="I32" i="33" s="1"/>
  <c r="E464" i="1"/>
  <c r="E32" i="33" s="1"/>
  <c r="G463" i="1"/>
  <c r="G31" i="33" s="1"/>
  <c r="I462" i="1"/>
  <c r="I30" i="33" s="1"/>
  <c r="E462" i="1"/>
  <c r="E30" i="33" s="1"/>
  <c r="K461" i="1"/>
  <c r="K29" i="33" s="1"/>
  <c r="C461" i="1"/>
  <c r="C29" i="33" s="1"/>
  <c r="L457" i="1"/>
  <c r="L25" i="33" s="1"/>
  <c r="J457" i="1"/>
  <c r="H457" i="1"/>
  <c r="F457" i="1"/>
  <c r="D457" i="1"/>
  <c r="B457" i="1"/>
  <c r="I456" i="1"/>
  <c r="I24" i="33" s="1"/>
  <c r="E456" i="1"/>
  <c r="E24" i="33" s="1"/>
  <c r="G455" i="1"/>
  <c r="G23" i="33" s="1"/>
  <c r="I454" i="1"/>
  <c r="I22" i="33" s="1"/>
  <c r="E454" i="1"/>
  <c r="E22" i="33" s="1"/>
  <c r="K453" i="1"/>
  <c r="K21" i="33" s="1"/>
  <c r="C453" i="1"/>
  <c r="C21" i="33" s="1"/>
  <c r="L449" i="1"/>
  <c r="L17" i="33" s="1"/>
  <c r="J449" i="1"/>
  <c r="H449" i="1"/>
  <c r="F449" i="1"/>
  <c r="D449" i="1"/>
  <c r="B449" i="1"/>
  <c r="I448" i="1"/>
  <c r="I16" i="33" s="1"/>
  <c r="E448" i="1"/>
  <c r="E16" i="33" s="1"/>
  <c r="G447" i="1"/>
  <c r="G15" i="33" s="1"/>
  <c r="I446" i="1"/>
  <c r="I14" i="33" s="1"/>
  <c r="E446" i="1"/>
  <c r="E14" i="33" s="1"/>
  <c r="K445" i="1"/>
  <c r="K13" i="33" s="1"/>
  <c r="C445" i="1"/>
  <c r="C13" i="33" s="1"/>
  <c r="L441" i="1"/>
  <c r="L9" i="33" s="1"/>
  <c r="J441" i="1"/>
  <c r="H441" i="1"/>
  <c r="F441" i="1"/>
  <c r="D441" i="1"/>
  <c r="B441" i="1"/>
  <c r="I440" i="1"/>
  <c r="I8" i="33" s="1"/>
  <c r="E440" i="1"/>
  <c r="E8" i="33" s="1"/>
  <c r="G439" i="1"/>
  <c r="G7" i="33" s="1"/>
  <c r="I438" i="1"/>
  <c r="I6" i="33" s="1"/>
  <c r="E438" i="1"/>
  <c r="E6" i="33" s="1"/>
  <c r="K437" i="1"/>
  <c r="K5" i="33" s="1"/>
  <c r="C437" i="1"/>
  <c r="C5" i="33" s="1"/>
  <c r="M497" i="1"/>
  <c r="M65" i="33" s="1"/>
  <c r="N497" i="1"/>
  <c r="N65" i="33" s="1"/>
  <c r="N496" i="1"/>
  <c r="N64" i="33" s="1"/>
  <c r="N495" i="1"/>
  <c r="N63" i="33" s="1"/>
  <c r="N494" i="1"/>
  <c r="N62" i="33" s="1"/>
  <c r="N489" i="1"/>
  <c r="N57" i="33" s="1"/>
  <c r="M489" i="1"/>
  <c r="M57" i="33" s="1"/>
  <c r="N488" i="1"/>
  <c r="N56" i="33" s="1"/>
  <c r="M488" i="1"/>
  <c r="M56" i="33" s="1"/>
  <c r="N487" i="1"/>
  <c r="N55" i="33" s="1"/>
  <c r="M487" i="1"/>
  <c r="M55" i="33" s="1"/>
  <c r="N486" i="1"/>
  <c r="M486" i="1"/>
  <c r="M54" i="33" s="1"/>
  <c r="M481" i="1"/>
  <c r="M49" i="33" s="1"/>
  <c r="N481" i="1"/>
  <c r="N49" i="33" s="1"/>
  <c r="N480" i="1"/>
  <c r="N48" i="33" s="1"/>
  <c r="N479" i="1"/>
  <c r="N47" i="33" s="1"/>
  <c r="M479" i="1"/>
  <c r="M47" i="33" s="1"/>
  <c r="N478" i="1"/>
  <c r="N46" i="33" s="1"/>
  <c r="M478" i="1"/>
  <c r="M46" i="33" s="1"/>
  <c r="N473" i="1"/>
  <c r="N41" i="33" s="1"/>
  <c r="M473" i="1"/>
  <c r="M41" i="33" s="1"/>
  <c r="N472" i="1"/>
  <c r="N40" i="33" s="1"/>
  <c r="M472" i="1"/>
  <c r="M40" i="33" s="1"/>
  <c r="N471" i="1"/>
  <c r="N39" i="33" s="1"/>
  <c r="M471" i="1"/>
  <c r="M39" i="33" s="1"/>
  <c r="N470" i="1"/>
  <c r="M470" i="1"/>
  <c r="M38" i="33" s="1"/>
  <c r="N464" i="1"/>
  <c r="N32" i="33" s="1"/>
  <c r="M464" i="1"/>
  <c r="M32" i="33" s="1"/>
  <c r="N463" i="1"/>
  <c r="N31" i="33" s="1"/>
  <c r="M463" i="1"/>
  <c r="M31" i="33" s="1"/>
  <c r="N462" i="1"/>
  <c r="N30" i="33" s="1"/>
  <c r="M462" i="1"/>
  <c r="M30" i="33" s="1"/>
  <c r="N461" i="1"/>
  <c r="M461" i="1"/>
  <c r="M29" i="33" s="1"/>
  <c r="M456" i="1"/>
  <c r="M24" i="33" s="1"/>
  <c r="N456" i="1"/>
  <c r="N24" i="33" s="1"/>
  <c r="N455" i="1"/>
  <c r="N23" i="33" s="1"/>
  <c r="N454" i="1"/>
  <c r="N22" i="33" s="1"/>
  <c r="N453" i="1"/>
  <c r="N21" i="33" s="1"/>
  <c r="N448" i="1"/>
  <c r="N16" i="33" s="1"/>
  <c r="M448" i="1"/>
  <c r="M16" i="33" s="1"/>
  <c r="N447" i="1"/>
  <c r="N15" i="33" s="1"/>
  <c r="M447" i="1"/>
  <c r="M15" i="33" s="1"/>
  <c r="N446" i="1"/>
  <c r="N14" i="33" s="1"/>
  <c r="M446" i="1"/>
  <c r="M14" i="33" s="1"/>
  <c r="N445" i="1"/>
  <c r="M445" i="1"/>
  <c r="M13" i="33" s="1"/>
  <c r="M440" i="1"/>
  <c r="M8" i="33" s="1"/>
  <c r="N440" i="1"/>
  <c r="N8" i="33" s="1"/>
  <c r="N439" i="1"/>
  <c r="N7" i="33" s="1"/>
  <c r="N438" i="1"/>
  <c r="N6" i="33" s="1"/>
  <c r="N437" i="1"/>
  <c r="N5" i="33" s="1"/>
  <c r="M431" i="1"/>
  <c r="K431" i="1"/>
  <c r="I431" i="1"/>
  <c r="G431" i="1"/>
  <c r="E431" i="1"/>
  <c r="M430" i="1"/>
  <c r="M429" i="1"/>
  <c r="M428" i="1"/>
  <c r="M427" i="1"/>
  <c r="M426" i="1"/>
  <c r="M425" i="1"/>
  <c r="M424" i="1"/>
  <c r="M423" i="1"/>
  <c r="M422" i="1"/>
  <c r="M421" i="1"/>
  <c r="K430" i="1"/>
  <c r="K429" i="1"/>
  <c r="K428" i="1"/>
  <c r="K427" i="1"/>
  <c r="K426" i="1"/>
  <c r="K425" i="1"/>
  <c r="K424" i="1"/>
  <c r="K423" i="1"/>
  <c r="K422" i="1"/>
  <c r="K421" i="1"/>
  <c r="I430" i="1"/>
  <c r="I429" i="1"/>
  <c r="I428" i="1"/>
  <c r="I427" i="1"/>
  <c r="I426" i="1"/>
  <c r="I425" i="1"/>
  <c r="I424" i="1"/>
  <c r="I423" i="1"/>
  <c r="I422" i="1"/>
  <c r="I421" i="1"/>
  <c r="G430" i="1"/>
  <c r="G429" i="1"/>
  <c r="G428" i="1"/>
  <c r="G427" i="1"/>
  <c r="G426" i="1"/>
  <c r="G425" i="1"/>
  <c r="G424" i="1"/>
  <c r="G423" i="1"/>
  <c r="G422" i="1"/>
  <c r="G421" i="1"/>
  <c r="E430" i="1"/>
  <c r="E429" i="1"/>
  <c r="E428" i="1"/>
  <c r="E427" i="1"/>
  <c r="E426" i="1"/>
  <c r="E425" i="1"/>
  <c r="E424" i="1"/>
  <c r="E423" i="1"/>
  <c r="E422" i="1"/>
  <c r="E421" i="1"/>
  <c r="C431" i="1"/>
  <c r="C430" i="1"/>
  <c r="C429" i="1"/>
  <c r="C428" i="1"/>
  <c r="C427" i="1"/>
  <c r="C426" i="1"/>
  <c r="C425" i="1"/>
  <c r="C424" i="1"/>
  <c r="C423" i="1"/>
  <c r="C422" i="1"/>
  <c r="C421" i="1"/>
  <c r="C409" i="1"/>
  <c r="C410" i="1"/>
  <c r="C411" i="1"/>
  <c r="C412" i="1"/>
  <c r="C413" i="1"/>
  <c r="C414" i="1"/>
  <c r="C415" i="1"/>
  <c r="C416" i="1"/>
  <c r="C417" i="1"/>
  <c r="C408" i="1"/>
  <c r="E409" i="1"/>
  <c r="E410" i="1"/>
  <c r="E411" i="1"/>
  <c r="E412" i="1"/>
  <c r="E413" i="1"/>
  <c r="E414" i="1"/>
  <c r="E415" i="1"/>
  <c r="E416" i="1"/>
  <c r="E417" i="1"/>
  <c r="E408" i="1"/>
  <c r="G409" i="1"/>
  <c r="G410" i="1"/>
  <c r="G411" i="1"/>
  <c r="G412" i="1"/>
  <c r="G413" i="1"/>
  <c r="G414" i="1"/>
  <c r="G415" i="1"/>
  <c r="G416" i="1"/>
  <c r="G417" i="1"/>
  <c r="G408" i="1"/>
  <c r="I409" i="1"/>
  <c r="I410" i="1"/>
  <c r="I411" i="1"/>
  <c r="I412" i="1"/>
  <c r="I413" i="1"/>
  <c r="I414" i="1"/>
  <c r="I415" i="1"/>
  <c r="I416" i="1"/>
  <c r="I417" i="1"/>
  <c r="I408" i="1"/>
  <c r="K409" i="1"/>
  <c r="K410" i="1"/>
  <c r="K411" i="1"/>
  <c r="K412" i="1"/>
  <c r="K413" i="1"/>
  <c r="K414" i="1"/>
  <c r="K415" i="1"/>
  <c r="K416" i="1"/>
  <c r="K417" i="1"/>
  <c r="K408" i="1"/>
  <c r="M409" i="1"/>
  <c r="M410" i="1"/>
  <c r="M411" i="1"/>
  <c r="M412" i="1"/>
  <c r="M413" i="1"/>
  <c r="M414" i="1"/>
  <c r="M415" i="1"/>
  <c r="M416" i="1"/>
  <c r="M417" i="1"/>
  <c r="M408" i="1"/>
  <c r="L401" i="1"/>
  <c r="M400" i="1" s="1"/>
  <c r="M130" i="14" s="1"/>
  <c r="J401" i="1"/>
  <c r="K400" i="1" s="1"/>
  <c r="K130" i="14" s="1"/>
  <c r="H401" i="1"/>
  <c r="I400" i="1" s="1"/>
  <c r="I130" i="14" s="1"/>
  <c r="F401" i="1"/>
  <c r="G399" i="1" s="1"/>
  <c r="G129" i="14" s="1"/>
  <c r="D401" i="1"/>
  <c r="E400" i="1" s="1"/>
  <c r="E130" i="14" s="1"/>
  <c r="B401" i="1"/>
  <c r="C400" i="1" s="1"/>
  <c r="C130" i="14" s="1"/>
  <c r="G400" i="1"/>
  <c r="G130" i="14" s="1"/>
  <c r="K399" i="1"/>
  <c r="K129" i="14" s="1"/>
  <c r="C399" i="1"/>
  <c r="C129" i="14" s="1"/>
  <c r="G398" i="1"/>
  <c r="G128" i="14" s="1"/>
  <c r="K397" i="1"/>
  <c r="C397" i="1"/>
  <c r="L393" i="1"/>
  <c r="M392" i="1" s="1"/>
  <c r="M122" i="14" s="1"/>
  <c r="J393" i="1"/>
  <c r="K392" i="1" s="1"/>
  <c r="K122" i="14" s="1"/>
  <c r="H393" i="1"/>
  <c r="I392" i="1" s="1"/>
  <c r="I122" i="14" s="1"/>
  <c r="F393" i="1"/>
  <c r="G391" i="1" s="1"/>
  <c r="G121" i="14" s="1"/>
  <c r="D393" i="1"/>
  <c r="E392" i="1" s="1"/>
  <c r="E122" i="14" s="1"/>
  <c r="B393" i="1"/>
  <c r="C392" i="1" s="1"/>
  <c r="C122" i="14" s="1"/>
  <c r="G392" i="1"/>
  <c r="G122" i="14" s="1"/>
  <c r="K391" i="1"/>
  <c r="K121" i="14" s="1"/>
  <c r="C391" i="1"/>
  <c r="C121" i="14" s="1"/>
  <c r="G390" i="1"/>
  <c r="G120" i="14" s="1"/>
  <c r="K389" i="1"/>
  <c r="C389" i="1"/>
  <c r="L385" i="1"/>
  <c r="M384" i="1" s="1"/>
  <c r="M114" i="14" s="1"/>
  <c r="J385" i="1"/>
  <c r="K384" i="1" s="1"/>
  <c r="K114" i="14" s="1"/>
  <c r="H385" i="1"/>
  <c r="I384" i="1" s="1"/>
  <c r="I114" i="14" s="1"/>
  <c r="F385" i="1"/>
  <c r="G383" i="1" s="1"/>
  <c r="G113" i="14" s="1"/>
  <c r="D385" i="1"/>
  <c r="E384" i="1" s="1"/>
  <c r="E114" i="14" s="1"/>
  <c r="B385" i="1"/>
  <c r="C384" i="1" s="1"/>
  <c r="C114" i="14" s="1"/>
  <c r="G384" i="1"/>
  <c r="G114" i="14" s="1"/>
  <c r="K383" i="1"/>
  <c r="K113" i="14" s="1"/>
  <c r="C383" i="1"/>
  <c r="C113" i="14" s="1"/>
  <c r="G382" i="1"/>
  <c r="G112" i="14" s="1"/>
  <c r="K381" i="1"/>
  <c r="C381" i="1"/>
  <c r="L377" i="1"/>
  <c r="M376" i="1" s="1"/>
  <c r="M106" i="14" s="1"/>
  <c r="J377" i="1"/>
  <c r="K376" i="1" s="1"/>
  <c r="K106" i="14" s="1"/>
  <c r="H377" i="1"/>
  <c r="I376" i="1" s="1"/>
  <c r="I106" i="14" s="1"/>
  <c r="F377" i="1"/>
  <c r="G375" i="1" s="1"/>
  <c r="G105" i="14" s="1"/>
  <c r="D377" i="1"/>
  <c r="E376" i="1" s="1"/>
  <c r="E106" i="14" s="1"/>
  <c r="B377" i="1"/>
  <c r="C376" i="1" s="1"/>
  <c r="C106" i="14" s="1"/>
  <c r="G376" i="1"/>
  <c r="G106" i="14" s="1"/>
  <c r="K375" i="1"/>
  <c r="K105" i="14" s="1"/>
  <c r="C375" i="1"/>
  <c r="C105" i="14" s="1"/>
  <c r="G374" i="1"/>
  <c r="G104" i="14" s="1"/>
  <c r="K373" i="1"/>
  <c r="C373" i="1"/>
  <c r="L368" i="1"/>
  <c r="M367" i="1" s="1"/>
  <c r="M97" i="14" s="1"/>
  <c r="J368" i="1"/>
  <c r="K367" i="1" s="1"/>
  <c r="K97" i="14" s="1"/>
  <c r="H368" i="1"/>
  <c r="I367" i="1" s="1"/>
  <c r="I97" i="14" s="1"/>
  <c r="F368" i="1"/>
  <c r="G366" i="1" s="1"/>
  <c r="G96" i="14" s="1"/>
  <c r="D368" i="1"/>
  <c r="E367" i="1" s="1"/>
  <c r="E97" i="14" s="1"/>
  <c r="B368" i="1"/>
  <c r="C367" i="1" s="1"/>
  <c r="C97" i="14" s="1"/>
  <c r="G367" i="1"/>
  <c r="G97" i="14" s="1"/>
  <c r="K366" i="1"/>
  <c r="K96" i="14" s="1"/>
  <c r="C366" i="1"/>
  <c r="C96" i="14" s="1"/>
  <c r="G365" i="1"/>
  <c r="G95" i="14" s="1"/>
  <c r="K364" i="1"/>
  <c r="C364" i="1"/>
  <c r="B360" i="1"/>
  <c r="L360" i="1"/>
  <c r="M359" i="1" s="1"/>
  <c r="M89" i="14" s="1"/>
  <c r="J360" i="1"/>
  <c r="H360" i="1"/>
  <c r="I359" i="1" s="1"/>
  <c r="I89" i="14" s="1"/>
  <c r="F360" i="1"/>
  <c r="D360" i="1"/>
  <c r="E359" i="1" s="1"/>
  <c r="E89" i="14" s="1"/>
  <c r="K359" i="1"/>
  <c r="K89" i="14" s="1"/>
  <c r="G359" i="1"/>
  <c r="G89" i="14" s="1"/>
  <c r="C359" i="1"/>
  <c r="C89" i="14" s="1"/>
  <c r="K358" i="1"/>
  <c r="K88" i="14" s="1"/>
  <c r="G358" i="1"/>
  <c r="G88" i="14" s="1"/>
  <c r="C358" i="1"/>
  <c r="C88" i="14" s="1"/>
  <c r="K357" i="1"/>
  <c r="K87" i="14" s="1"/>
  <c r="G357" i="1"/>
  <c r="G87" i="14" s="1"/>
  <c r="C357" i="1"/>
  <c r="C87" i="14" s="1"/>
  <c r="K356" i="1"/>
  <c r="G356" i="1"/>
  <c r="C356" i="1"/>
  <c r="L352" i="1"/>
  <c r="M351" i="1" s="1"/>
  <c r="M81" i="14" s="1"/>
  <c r="J352" i="1"/>
  <c r="K351" i="1" s="1"/>
  <c r="K81" i="14" s="1"/>
  <c r="H352" i="1"/>
  <c r="I351" i="1" s="1"/>
  <c r="I81" i="14" s="1"/>
  <c r="F352" i="1"/>
  <c r="G350" i="1" s="1"/>
  <c r="G80" i="14" s="1"/>
  <c r="D352" i="1"/>
  <c r="E351" i="1" s="1"/>
  <c r="E81" i="14" s="1"/>
  <c r="B352" i="1"/>
  <c r="C351" i="1" s="1"/>
  <c r="C81" i="14" s="1"/>
  <c r="G351" i="1"/>
  <c r="G81" i="14" s="1"/>
  <c r="K350" i="1"/>
  <c r="K80" i="14" s="1"/>
  <c r="C350" i="1"/>
  <c r="C80" i="14" s="1"/>
  <c r="G349" i="1"/>
  <c r="G79" i="14" s="1"/>
  <c r="K348" i="1"/>
  <c r="C348" i="1"/>
  <c r="L344" i="1"/>
  <c r="M343" i="1" s="1"/>
  <c r="M73" i="14" s="1"/>
  <c r="J344" i="1"/>
  <c r="K343" i="1" s="1"/>
  <c r="K73" i="14" s="1"/>
  <c r="H344" i="1"/>
  <c r="I343" i="1" s="1"/>
  <c r="I73" i="14" s="1"/>
  <c r="F344" i="1"/>
  <c r="G342" i="1" s="1"/>
  <c r="G72" i="14" s="1"/>
  <c r="D344" i="1"/>
  <c r="E343" i="1" s="1"/>
  <c r="E73" i="14" s="1"/>
  <c r="B344" i="1"/>
  <c r="C343" i="1" s="1"/>
  <c r="C73" i="14" s="1"/>
  <c r="G343" i="1"/>
  <c r="G73" i="14" s="1"/>
  <c r="K342" i="1"/>
  <c r="K72" i="14" s="1"/>
  <c r="C342" i="1"/>
  <c r="C72" i="14" s="1"/>
  <c r="G341" i="1"/>
  <c r="G71" i="14" s="1"/>
  <c r="K340" i="1"/>
  <c r="C340" i="1"/>
  <c r="L336" i="1"/>
  <c r="M335" i="1" s="1"/>
  <c r="M65" i="14" s="1"/>
  <c r="J336" i="1"/>
  <c r="K335" i="1" s="1"/>
  <c r="K65" i="14" s="1"/>
  <c r="H336" i="1"/>
  <c r="I335" i="1" s="1"/>
  <c r="I65" i="14" s="1"/>
  <c r="F336" i="1"/>
  <c r="G334" i="1" s="1"/>
  <c r="G64" i="14" s="1"/>
  <c r="D336" i="1"/>
  <c r="E335" i="1" s="1"/>
  <c r="E65" i="14" s="1"/>
  <c r="B336" i="1"/>
  <c r="C335" i="1" s="1"/>
  <c r="C65" i="14" s="1"/>
  <c r="G335" i="1"/>
  <c r="G65" i="14" s="1"/>
  <c r="K334" i="1"/>
  <c r="K64" i="14" s="1"/>
  <c r="C334" i="1"/>
  <c r="C64" i="14" s="1"/>
  <c r="G333" i="1"/>
  <c r="G63" i="14" s="1"/>
  <c r="K332" i="1"/>
  <c r="C332" i="1"/>
  <c r="L328" i="1"/>
  <c r="M327" i="1" s="1"/>
  <c r="M57" i="14" s="1"/>
  <c r="J328" i="1"/>
  <c r="K327" i="1" s="1"/>
  <c r="K57" i="14" s="1"/>
  <c r="H328" i="1"/>
  <c r="I327" i="1" s="1"/>
  <c r="I57" i="14" s="1"/>
  <c r="F328" i="1"/>
  <c r="G326" i="1" s="1"/>
  <c r="G56" i="14" s="1"/>
  <c r="D328" i="1"/>
  <c r="E327" i="1" s="1"/>
  <c r="E57" i="14" s="1"/>
  <c r="B328" i="1"/>
  <c r="C327" i="1" s="1"/>
  <c r="C57" i="14" s="1"/>
  <c r="G327" i="1"/>
  <c r="G57" i="14" s="1"/>
  <c r="K326" i="1"/>
  <c r="K56" i="14" s="1"/>
  <c r="C326" i="1"/>
  <c r="C56" i="14" s="1"/>
  <c r="G325" i="1"/>
  <c r="G55" i="14" s="1"/>
  <c r="K324" i="1"/>
  <c r="C324" i="1"/>
  <c r="L320" i="1"/>
  <c r="M319" i="1" s="1"/>
  <c r="M49" i="14" s="1"/>
  <c r="J320" i="1"/>
  <c r="K319" i="1" s="1"/>
  <c r="K49" i="14" s="1"/>
  <c r="H320" i="1"/>
  <c r="I319" i="1" s="1"/>
  <c r="I49" i="14" s="1"/>
  <c r="F320" i="1"/>
  <c r="G318" i="1" s="1"/>
  <c r="G48" i="14" s="1"/>
  <c r="D320" i="1"/>
  <c r="E319" i="1" s="1"/>
  <c r="E49" i="14" s="1"/>
  <c r="B320" i="1"/>
  <c r="C319" i="1" s="1"/>
  <c r="C49" i="14" s="1"/>
  <c r="G319" i="1"/>
  <c r="G49" i="14" s="1"/>
  <c r="K318" i="1"/>
  <c r="K48" i="14" s="1"/>
  <c r="C318" i="1"/>
  <c r="C48" i="14" s="1"/>
  <c r="G317" i="1"/>
  <c r="G47" i="14" s="1"/>
  <c r="K316" i="1"/>
  <c r="C316" i="1"/>
  <c r="L312" i="1"/>
  <c r="M311" i="1" s="1"/>
  <c r="M41" i="14" s="1"/>
  <c r="J312" i="1"/>
  <c r="K311" i="1" s="1"/>
  <c r="K41" i="14" s="1"/>
  <c r="H312" i="1"/>
  <c r="I311" i="1" s="1"/>
  <c r="I41" i="14" s="1"/>
  <c r="F312" i="1"/>
  <c r="G310" i="1" s="1"/>
  <c r="G40" i="14" s="1"/>
  <c r="D312" i="1"/>
  <c r="E311" i="1" s="1"/>
  <c r="E41" i="14" s="1"/>
  <c r="B312" i="1"/>
  <c r="C311" i="1" s="1"/>
  <c r="C41" i="14" s="1"/>
  <c r="G311" i="1"/>
  <c r="G41" i="14" s="1"/>
  <c r="K310" i="1"/>
  <c r="K40" i="14" s="1"/>
  <c r="C310" i="1"/>
  <c r="C40" i="14" s="1"/>
  <c r="G309" i="1"/>
  <c r="G39" i="14" s="1"/>
  <c r="K308" i="1"/>
  <c r="G308" i="1"/>
  <c r="C308" i="1"/>
  <c r="L304" i="1"/>
  <c r="M303" i="1" s="1"/>
  <c r="M33" i="14" s="1"/>
  <c r="J304" i="1"/>
  <c r="H304" i="1"/>
  <c r="I303" i="1" s="1"/>
  <c r="I33" i="14" s="1"/>
  <c r="F304" i="1"/>
  <c r="D304" i="1"/>
  <c r="E303" i="1" s="1"/>
  <c r="E33" i="14" s="1"/>
  <c r="B304" i="1"/>
  <c r="C303" i="1" s="1"/>
  <c r="C33" i="14" s="1"/>
  <c r="K303" i="1"/>
  <c r="K33" i="14" s="1"/>
  <c r="G303" i="1"/>
  <c r="G33" i="14" s="1"/>
  <c r="K302" i="1"/>
  <c r="K32" i="14" s="1"/>
  <c r="G302" i="1"/>
  <c r="G32" i="14" s="1"/>
  <c r="C302" i="1"/>
  <c r="C32" i="14" s="1"/>
  <c r="K301" i="1"/>
  <c r="K31" i="14" s="1"/>
  <c r="G301" i="1"/>
  <c r="G31" i="14" s="1"/>
  <c r="C301" i="1"/>
  <c r="C31" i="14" s="1"/>
  <c r="K300" i="1"/>
  <c r="G300" i="1"/>
  <c r="C300" i="1"/>
  <c r="L296" i="1"/>
  <c r="M295" i="1" s="1"/>
  <c r="M25" i="14" s="1"/>
  <c r="J296" i="1"/>
  <c r="H296" i="1"/>
  <c r="I295" i="1" s="1"/>
  <c r="I25" i="14" s="1"/>
  <c r="F296" i="1"/>
  <c r="D296" i="1"/>
  <c r="E295" i="1" s="1"/>
  <c r="E25" i="14" s="1"/>
  <c r="B296" i="1"/>
  <c r="K295" i="1"/>
  <c r="K25" i="14" s="1"/>
  <c r="G295" i="1"/>
  <c r="G25" i="14" s="1"/>
  <c r="C295" i="1"/>
  <c r="C25" i="14" s="1"/>
  <c r="K294" i="1"/>
  <c r="K24" i="14" s="1"/>
  <c r="G294" i="1"/>
  <c r="G24" i="14" s="1"/>
  <c r="C294" i="1"/>
  <c r="C24" i="14" s="1"/>
  <c r="K293" i="1"/>
  <c r="K23" i="14" s="1"/>
  <c r="G293" i="1"/>
  <c r="G23" i="14" s="1"/>
  <c r="C293" i="1"/>
  <c r="C23" i="14" s="1"/>
  <c r="K292" i="1"/>
  <c r="G292" i="1"/>
  <c r="C292" i="1"/>
  <c r="L288" i="1"/>
  <c r="J288" i="1"/>
  <c r="H288" i="1"/>
  <c r="F288" i="1"/>
  <c r="D288" i="1"/>
  <c r="B288" i="1"/>
  <c r="M287" i="1"/>
  <c r="M17" i="14" s="1"/>
  <c r="K287" i="1"/>
  <c r="K17" i="14" s="1"/>
  <c r="I287" i="1"/>
  <c r="I17" i="14" s="1"/>
  <c r="G287" i="1"/>
  <c r="G17" i="14" s="1"/>
  <c r="E287" i="1"/>
  <c r="E17" i="14" s="1"/>
  <c r="C287" i="1"/>
  <c r="C17" i="14" s="1"/>
  <c r="M286" i="1"/>
  <c r="M16" i="14" s="1"/>
  <c r="K286" i="1"/>
  <c r="K16" i="14" s="1"/>
  <c r="I286" i="1"/>
  <c r="I16" i="14" s="1"/>
  <c r="G286" i="1"/>
  <c r="G16" i="14" s="1"/>
  <c r="E286" i="1"/>
  <c r="E16" i="14" s="1"/>
  <c r="C286" i="1"/>
  <c r="C16" i="14" s="1"/>
  <c r="M285" i="1"/>
  <c r="M15" i="14" s="1"/>
  <c r="K285" i="1"/>
  <c r="K15" i="14" s="1"/>
  <c r="I285" i="1"/>
  <c r="I15" i="14" s="1"/>
  <c r="G285" i="1"/>
  <c r="G15" i="14" s="1"/>
  <c r="E285" i="1"/>
  <c r="E15" i="14" s="1"/>
  <c r="C285" i="1"/>
  <c r="C15" i="14" s="1"/>
  <c r="M284" i="1"/>
  <c r="K284" i="1"/>
  <c r="K14" i="14" s="1"/>
  <c r="K19" i="14" s="1"/>
  <c r="I284" i="1"/>
  <c r="G284" i="1"/>
  <c r="G14" i="14" s="1"/>
  <c r="G19" i="14" s="1"/>
  <c r="E284" i="1"/>
  <c r="C284" i="1"/>
  <c r="C14" i="14" s="1"/>
  <c r="C19" i="14" s="1"/>
  <c r="L280" i="1"/>
  <c r="M279" i="1" s="1"/>
  <c r="M9" i="14" s="1"/>
  <c r="J280" i="1"/>
  <c r="H280" i="1"/>
  <c r="I279" i="1" s="1"/>
  <c r="I9" i="14" s="1"/>
  <c r="F280" i="1"/>
  <c r="D280" i="1"/>
  <c r="E279" i="1" s="1"/>
  <c r="E9" i="14" s="1"/>
  <c r="B280" i="1"/>
  <c r="K279" i="1"/>
  <c r="K9" i="14" s="1"/>
  <c r="G279" i="1"/>
  <c r="G9" i="14" s="1"/>
  <c r="C279" i="1"/>
  <c r="C9" i="14" s="1"/>
  <c r="K278" i="1"/>
  <c r="K8" i="14" s="1"/>
  <c r="G278" i="1"/>
  <c r="G8" i="14" s="1"/>
  <c r="C278" i="1"/>
  <c r="C8" i="14" s="1"/>
  <c r="K277" i="1"/>
  <c r="K7" i="14" s="1"/>
  <c r="G277" i="1"/>
  <c r="G7" i="14" s="1"/>
  <c r="C277" i="1"/>
  <c r="C7" i="14" s="1"/>
  <c r="K276" i="1"/>
  <c r="G276" i="1"/>
  <c r="C276" i="1"/>
  <c r="L271" i="1"/>
  <c r="J271" i="1"/>
  <c r="J82" i="13" s="1"/>
  <c r="H271" i="1"/>
  <c r="F271" i="1"/>
  <c r="F82" i="13" s="1"/>
  <c r="D271" i="1"/>
  <c r="B271" i="1"/>
  <c r="B82" i="13" s="1"/>
  <c r="K270" i="1"/>
  <c r="K81" i="13" s="1"/>
  <c r="G270" i="1"/>
  <c r="G81" i="13" s="1"/>
  <c r="C270" i="1"/>
  <c r="C81" i="13" s="1"/>
  <c r="K269" i="1"/>
  <c r="K80" i="13" s="1"/>
  <c r="G269" i="1"/>
  <c r="G80" i="13" s="1"/>
  <c r="C269" i="1"/>
  <c r="C80" i="13" s="1"/>
  <c r="K268" i="1"/>
  <c r="K79" i="13" s="1"/>
  <c r="G268" i="1"/>
  <c r="G79" i="13" s="1"/>
  <c r="C268" i="1"/>
  <c r="C79" i="13" s="1"/>
  <c r="K267" i="1"/>
  <c r="G267" i="1"/>
  <c r="C267" i="1"/>
  <c r="L263" i="1"/>
  <c r="J263" i="1"/>
  <c r="J74" i="13" s="1"/>
  <c r="H263" i="1"/>
  <c r="F263" i="1"/>
  <c r="F74" i="13" s="1"/>
  <c r="D263" i="1"/>
  <c r="B263" i="1"/>
  <c r="B74" i="13" s="1"/>
  <c r="K262" i="1"/>
  <c r="K73" i="13" s="1"/>
  <c r="G262" i="1"/>
  <c r="G73" i="13" s="1"/>
  <c r="C262" i="1"/>
  <c r="C73" i="13" s="1"/>
  <c r="K261" i="1"/>
  <c r="K72" i="13" s="1"/>
  <c r="G261" i="1"/>
  <c r="G72" i="13" s="1"/>
  <c r="C261" i="1"/>
  <c r="C72" i="13" s="1"/>
  <c r="K260" i="1"/>
  <c r="K71" i="13" s="1"/>
  <c r="G260" i="1"/>
  <c r="G71" i="13" s="1"/>
  <c r="C260" i="1"/>
  <c r="C71" i="13" s="1"/>
  <c r="K259" i="1"/>
  <c r="G259" i="1"/>
  <c r="C259" i="1"/>
  <c r="L255" i="1"/>
  <c r="J255" i="1"/>
  <c r="J66" i="13" s="1"/>
  <c r="H255" i="1"/>
  <c r="F255" i="1"/>
  <c r="F66" i="13" s="1"/>
  <c r="D255" i="1"/>
  <c r="B255" i="1"/>
  <c r="B66" i="13" s="1"/>
  <c r="K254" i="1"/>
  <c r="K65" i="13" s="1"/>
  <c r="G254" i="1"/>
  <c r="G65" i="13" s="1"/>
  <c r="C254" i="1"/>
  <c r="C65" i="13" s="1"/>
  <c r="K253" i="1"/>
  <c r="K64" i="13" s="1"/>
  <c r="G253" i="1"/>
  <c r="G64" i="13" s="1"/>
  <c r="C253" i="1"/>
  <c r="C64" i="13" s="1"/>
  <c r="K252" i="1"/>
  <c r="K63" i="13" s="1"/>
  <c r="G252" i="1"/>
  <c r="G63" i="13" s="1"/>
  <c r="C252" i="1"/>
  <c r="C63" i="13" s="1"/>
  <c r="K251" i="1"/>
  <c r="G251" i="1"/>
  <c r="C251" i="1"/>
  <c r="L247" i="1"/>
  <c r="J247" i="1"/>
  <c r="J58" i="13" s="1"/>
  <c r="H247" i="1"/>
  <c r="F247" i="1"/>
  <c r="F58" i="13" s="1"/>
  <c r="D247" i="1"/>
  <c r="B247" i="1"/>
  <c r="B58" i="13" s="1"/>
  <c r="K246" i="1"/>
  <c r="K57" i="13" s="1"/>
  <c r="G246" i="1"/>
  <c r="G57" i="13" s="1"/>
  <c r="K245" i="1"/>
  <c r="K56" i="13" s="1"/>
  <c r="G245" i="1"/>
  <c r="G56" i="13" s="1"/>
  <c r="C245" i="1"/>
  <c r="C56" i="13" s="1"/>
  <c r="K244" i="1"/>
  <c r="K55" i="13" s="1"/>
  <c r="G244" i="1"/>
  <c r="G55" i="13" s="1"/>
  <c r="C244" i="1"/>
  <c r="C55" i="13" s="1"/>
  <c r="K243" i="1"/>
  <c r="G243" i="1"/>
  <c r="C243" i="1"/>
  <c r="L239" i="1"/>
  <c r="J239" i="1"/>
  <c r="J50" i="13" s="1"/>
  <c r="H239" i="1"/>
  <c r="F239" i="1"/>
  <c r="F50" i="13" s="1"/>
  <c r="D239" i="1"/>
  <c r="B239" i="1"/>
  <c r="B50" i="13" s="1"/>
  <c r="K238" i="1"/>
  <c r="K49" i="13" s="1"/>
  <c r="G238" i="1"/>
  <c r="G49" i="13" s="1"/>
  <c r="K237" i="1"/>
  <c r="K48" i="13" s="1"/>
  <c r="G237" i="1"/>
  <c r="G48" i="13" s="1"/>
  <c r="C237" i="1"/>
  <c r="C48" i="13" s="1"/>
  <c r="K236" i="1"/>
  <c r="K47" i="13" s="1"/>
  <c r="G236" i="1"/>
  <c r="G47" i="13" s="1"/>
  <c r="C236" i="1"/>
  <c r="C47" i="13" s="1"/>
  <c r="K235" i="1"/>
  <c r="G235" i="1"/>
  <c r="C235" i="1"/>
  <c r="L231" i="1"/>
  <c r="J231" i="1"/>
  <c r="J42" i="13" s="1"/>
  <c r="H231" i="1"/>
  <c r="F231" i="1"/>
  <c r="F42" i="13" s="1"/>
  <c r="D231" i="1"/>
  <c r="B231" i="1"/>
  <c r="B42" i="13" s="1"/>
  <c r="K230" i="1"/>
  <c r="K41" i="13" s="1"/>
  <c r="G230" i="1"/>
  <c r="G41" i="13" s="1"/>
  <c r="K229" i="1"/>
  <c r="K40" i="13" s="1"/>
  <c r="G229" i="1"/>
  <c r="G40" i="13" s="1"/>
  <c r="C229" i="1"/>
  <c r="C40" i="13" s="1"/>
  <c r="K228" i="1"/>
  <c r="K39" i="13" s="1"/>
  <c r="G228" i="1"/>
  <c r="G39" i="13" s="1"/>
  <c r="C228" i="1"/>
  <c r="C39" i="13" s="1"/>
  <c r="K227" i="1"/>
  <c r="G227" i="1"/>
  <c r="C227" i="1"/>
  <c r="L223" i="1"/>
  <c r="J223" i="1"/>
  <c r="J34" i="13" s="1"/>
  <c r="H223" i="1"/>
  <c r="F223" i="1"/>
  <c r="F34" i="13" s="1"/>
  <c r="D223" i="1"/>
  <c r="B223" i="1"/>
  <c r="B34" i="13" s="1"/>
  <c r="G222" i="1"/>
  <c r="G33" i="13" s="1"/>
  <c r="K221" i="1"/>
  <c r="K32" i="13" s="1"/>
  <c r="G221" i="1"/>
  <c r="G32" i="13" s="1"/>
  <c r="C221" i="1"/>
  <c r="C32" i="13" s="1"/>
  <c r="K220" i="1"/>
  <c r="K31" i="13" s="1"/>
  <c r="G220" i="1"/>
  <c r="G31" i="13" s="1"/>
  <c r="C220" i="1"/>
  <c r="C31" i="13" s="1"/>
  <c r="K219" i="1"/>
  <c r="G219" i="1"/>
  <c r="C219" i="1"/>
  <c r="L215" i="1"/>
  <c r="J215" i="1"/>
  <c r="J26" i="13" s="1"/>
  <c r="H215" i="1"/>
  <c r="F215" i="1"/>
  <c r="F26" i="13" s="1"/>
  <c r="D215" i="1"/>
  <c r="B215" i="1"/>
  <c r="B26" i="13" s="1"/>
  <c r="G214" i="1"/>
  <c r="G25" i="13" s="1"/>
  <c r="K213" i="1"/>
  <c r="K24" i="13" s="1"/>
  <c r="C213" i="1"/>
  <c r="C24" i="13" s="1"/>
  <c r="K212" i="1"/>
  <c r="K23" i="13" s="1"/>
  <c r="G212" i="1"/>
  <c r="G23" i="13" s="1"/>
  <c r="C212" i="1"/>
  <c r="C23" i="13" s="1"/>
  <c r="K211" i="1"/>
  <c r="G211" i="1"/>
  <c r="C211" i="1"/>
  <c r="L207" i="1"/>
  <c r="J207" i="1"/>
  <c r="J18" i="13" s="1"/>
  <c r="H207" i="1"/>
  <c r="F207" i="1"/>
  <c r="F18" i="13" s="1"/>
  <c r="D207" i="1"/>
  <c r="B207" i="1"/>
  <c r="B18" i="13" s="1"/>
  <c r="G206" i="1"/>
  <c r="G17" i="13" s="1"/>
  <c r="K205" i="1"/>
  <c r="K16" i="13" s="1"/>
  <c r="C205" i="1"/>
  <c r="C16" i="13" s="1"/>
  <c r="K204" i="1"/>
  <c r="K15" i="13" s="1"/>
  <c r="G204" i="1"/>
  <c r="G15" i="13" s="1"/>
  <c r="K203" i="1"/>
  <c r="G203" i="1"/>
  <c r="C203" i="1"/>
  <c r="C14" i="13" s="1"/>
  <c r="L199" i="1"/>
  <c r="L10" i="13" s="1"/>
  <c r="J199" i="1"/>
  <c r="J10" i="13" s="1"/>
  <c r="H199" i="1"/>
  <c r="H10" i="13" s="1"/>
  <c r="F199" i="1"/>
  <c r="F10" i="13" s="1"/>
  <c r="D199" i="1"/>
  <c r="D10" i="13" s="1"/>
  <c r="B199" i="1"/>
  <c r="B10" i="13" s="1"/>
  <c r="M198" i="1"/>
  <c r="M9" i="13" s="1"/>
  <c r="K198" i="1"/>
  <c r="K9" i="13" s="1"/>
  <c r="I198" i="1"/>
  <c r="I9" i="13" s="1"/>
  <c r="E198" i="1"/>
  <c r="E9" i="13" s="1"/>
  <c r="C198" i="1"/>
  <c r="C9" i="13" s="1"/>
  <c r="M197" i="1"/>
  <c r="M8" i="13" s="1"/>
  <c r="K197" i="1"/>
  <c r="K8" i="13" s="1"/>
  <c r="I197" i="1"/>
  <c r="I8" i="13" s="1"/>
  <c r="G197" i="1"/>
  <c r="G8" i="13" s="1"/>
  <c r="E197" i="1"/>
  <c r="E8" i="13" s="1"/>
  <c r="C197" i="1"/>
  <c r="C8" i="13" s="1"/>
  <c r="M196" i="1"/>
  <c r="M7" i="13" s="1"/>
  <c r="K196" i="1"/>
  <c r="K7" i="13" s="1"/>
  <c r="I196" i="1"/>
  <c r="I7" i="13" s="1"/>
  <c r="G196" i="1"/>
  <c r="G7" i="13" s="1"/>
  <c r="E196" i="1"/>
  <c r="E7" i="13" s="1"/>
  <c r="C196" i="1"/>
  <c r="C7" i="13" s="1"/>
  <c r="M195" i="1"/>
  <c r="M199" i="1" s="1"/>
  <c r="M10" i="13" s="1"/>
  <c r="K195" i="1"/>
  <c r="K199" i="1" s="1"/>
  <c r="K10" i="13" s="1"/>
  <c r="I195" i="1"/>
  <c r="I199" i="1" s="1"/>
  <c r="I10" i="13" s="1"/>
  <c r="G195" i="1"/>
  <c r="G6" i="13" s="1"/>
  <c r="E195" i="1"/>
  <c r="E199" i="1" s="1"/>
  <c r="E10" i="13" s="1"/>
  <c r="C195" i="1"/>
  <c r="C199" i="1" s="1"/>
  <c r="C10" i="13" s="1"/>
  <c r="L116" i="1"/>
  <c r="L8" i="4" s="1"/>
  <c r="J116" i="1"/>
  <c r="J8" i="4" s="1"/>
  <c r="H116" i="1"/>
  <c r="H8" i="4" s="1"/>
  <c r="F116" i="1"/>
  <c r="F8" i="4" s="1"/>
  <c r="D116" i="1"/>
  <c r="D8" i="4" s="1"/>
  <c r="B116" i="1"/>
  <c r="B8" i="4" s="1"/>
  <c r="C107" i="1"/>
  <c r="C33" i="4" s="1"/>
  <c r="C108" i="1"/>
  <c r="C34" i="4" s="1"/>
  <c r="C109" i="1"/>
  <c r="C35" i="4" s="1"/>
  <c r="C106" i="1"/>
  <c r="C32" i="4" s="1"/>
  <c r="E107" i="1"/>
  <c r="E33" i="4" s="1"/>
  <c r="E108" i="1"/>
  <c r="E34" i="4" s="1"/>
  <c r="E109" i="1"/>
  <c r="E35" i="4" s="1"/>
  <c r="E106" i="1"/>
  <c r="E32" i="4" s="1"/>
  <c r="G107" i="1"/>
  <c r="G33" i="4" s="1"/>
  <c r="G108" i="1"/>
  <c r="G34" i="4" s="1"/>
  <c r="G109" i="1"/>
  <c r="G35" i="4" s="1"/>
  <c r="G106" i="1"/>
  <c r="G32" i="4" s="1"/>
  <c r="I107" i="1"/>
  <c r="I33" i="4" s="1"/>
  <c r="I108" i="1"/>
  <c r="I34" i="4" s="1"/>
  <c r="I109" i="1"/>
  <c r="I35" i="4" s="1"/>
  <c r="I106" i="1"/>
  <c r="I32" i="4" s="1"/>
  <c r="K107" i="1"/>
  <c r="K33" i="4" s="1"/>
  <c r="K108" i="1"/>
  <c r="K34" i="4" s="1"/>
  <c r="K109" i="1"/>
  <c r="K35" i="4" s="1"/>
  <c r="K106" i="1"/>
  <c r="K32" i="4" s="1"/>
  <c r="M109" i="1"/>
  <c r="M35" i="4" s="1"/>
  <c r="M107" i="1"/>
  <c r="M33" i="4" s="1"/>
  <c r="M108" i="1"/>
  <c r="M34" i="4" s="1"/>
  <c r="M106" i="1"/>
  <c r="M32" i="4" s="1"/>
  <c r="L103" i="1"/>
  <c r="M101" i="1" s="1"/>
  <c r="M26" i="4" s="1"/>
  <c r="J103" i="1"/>
  <c r="K102" i="1" s="1"/>
  <c r="K27" i="4" s="1"/>
  <c r="H103" i="1"/>
  <c r="I101" i="1" s="1"/>
  <c r="I26" i="4" s="1"/>
  <c r="F103" i="1"/>
  <c r="G102" i="1" s="1"/>
  <c r="G27" i="4" s="1"/>
  <c r="D103" i="1"/>
  <c r="E101" i="1" s="1"/>
  <c r="E26" i="4" s="1"/>
  <c r="B103" i="1"/>
  <c r="C102" i="1" s="1"/>
  <c r="C27" i="4" s="1"/>
  <c r="B96" i="1"/>
  <c r="C93" i="1" s="1"/>
  <c r="C18" i="4" s="1"/>
  <c r="N102" i="1"/>
  <c r="N27" i="4" s="1"/>
  <c r="L96" i="1"/>
  <c r="M94" i="1" s="1"/>
  <c r="M19" i="4" s="1"/>
  <c r="J96" i="1"/>
  <c r="K95" i="1" s="1"/>
  <c r="K20" i="4" s="1"/>
  <c r="H96" i="1"/>
  <c r="I95" i="1" s="1"/>
  <c r="I20" i="4" s="1"/>
  <c r="F96" i="1"/>
  <c r="G94" i="1" s="1"/>
  <c r="G19" i="4" s="1"/>
  <c r="D96" i="1"/>
  <c r="E95" i="1" s="1"/>
  <c r="E20" i="4" s="1"/>
  <c r="K94" i="1"/>
  <c r="K19" i="4" s="1"/>
  <c r="M95" i="1"/>
  <c r="M20" i="4" s="1"/>
  <c r="K93" i="1"/>
  <c r="K18" i="4" s="1"/>
  <c r="I92" i="1"/>
  <c r="I17" i="4" s="1"/>
  <c r="G95" i="1"/>
  <c r="G20" i="4" s="1"/>
  <c r="E92" i="1"/>
  <c r="E17" i="4" s="1"/>
  <c r="N101" i="1"/>
  <c r="N26" i="4" s="1"/>
  <c r="N100" i="1"/>
  <c r="N25" i="4" s="1"/>
  <c r="N99" i="1"/>
  <c r="N24" i="4" s="1"/>
  <c r="N93" i="1"/>
  <c r="N18" i="4" s="1"/>
  <c r="N94" i="1"/>
  <c r="N19" i="4" s="1"/>
  <c r="N95" i="1"/>
  <c r="N20" i="4" s="1"/>
  <c r="N92" i="1"/>
  <c r="N17" i="4" s="1"/>
  <c r="N87" i="1"/>
  <c r="O87" i="1" s="1"/>
  <c r="O12" i="4" s="1"/>
  <c r="N89" i="1"/>
  <c r="O89" i="1" s="1"/>
  <c r="O14" i="4" s="1"/>
  <c r="N88" i="1"/>
  <c r="O88" i="1" s="1"/>
  <c r="O13" i="4" s="1"/>
  <c r="L84" i="1"/>
  <c r="M83" i="1" s="1"/>
  <c r="M35" i="3" s="1"/>
  <c r="J84" i="1"/>
  <c r="K83" i="1" s="1"/>
  <c r="K35" i="3" s="1"/>
  <c r="H84" i="1"/>
  <c r="I83" i="1" s="1"/>
  <c r="I35" i="3" s="1"/>
  <c r="F84" i="1"/>
  <c r="G83" i="1" s="1"/>
  <c r="G35" i="3" s="1"/>
  <c r="D84" i="1"/>
  <c r="E83" i="1" s="1"/>
  <c r="E35" i="3" s="1"/>
  <c r="B84" i="1"/>
  <c r="C83" i="1" s="1"/>
  <c r="C35" i="3" s="1"/>
  <c r="L78" i="1"/>
  <c r="M77" i="1" s="1"/>
  <c r="M29" i="3" s="1"/>
  <c r="J78" i="1"/>
  <c r="K76" i="1" s="1"/>
  <c r="K28" i="3" s="1"/>
  <c r="H78" i="1"/>
  <c r="I77" i="1" s="1"/>
  <c r="I29" i="3" s="1"/>
  <c r="F78" i="1"/>
  <c r="G77" i="1" s="1"/>
  <c r="G29" i="3" s="1"/>
  <c r="D78" i="1"/>
  <c r="E77" i="1" s="1"/>
  <c r="E29" i="3" s="1"/>
  <c r="B78" i="1"/>
  <c r="C77" i="1" s="1"/>
  <c r="C29" i="3" s="1"/>
  <c r="N77" i="1"/>
  <c r="N29" i="3" s="1"/>
  <c r="K77" i="1"/>
  <c r="K29" i="3" s="1"/>
  <c r="N76" i="1"/>
  <c r="N28" i="3" s="1"/>
  <c r="N75" i="1"/>
  <c r="N27" i="3" s="1"/>
  <c r="N70" i="1"/>
  <c r="N22" i="3" s="1"/>
  <c r="B72" i="1"/>
  <c r="C70" i="1" s="1"/>
  <c r="C22" i="3" s="1"/>
  <c r="N56" i="1"/>
  <c r="N7" i="3" s="1"/>
  <c r="N57" i="1"/>
  <c r="N8" i="3" s="1"/>
  <c r="N58" i="1"/>
  <c r="N9" i="3" s="1"/>
  <c r="N59" i="1"/>
  <c r="N10" i="3" s="1"/>
  <c r="N60" i="1"/>
  <c r="N11" i="3" s="1"/>
  <c r="N61" i="1"/>
  <c r="H63" i="1"/>
  <c r="I60" i="1" s="1"/>
  <c r="I11" i="3" s="1"/>
  <c r="N51" i="1"/>
  <c r="D47" i="1"/>
  <c r="D46" i="1"/>
  <c r="F46" i="1" s="1"/>
  <c r="D45" i="1"/>
  <c r="F45" i="1" s="1"/>
  <c r="D44" i="1"/>
  <c r="F44" i="1" s="1"/>
  <c r="D43" i="1"/>
  <c r="F43" i="1" s="1"/>
  <c r="D42" i="1"/>
  <c r="F42" i="1" s="1"/>
  <c r="D41" i="1"/>
  <c r="D40" i="1"/>
  <c r="F40" i="1" s="1"/>
  <c r="D35" i="1"/>
  <c r="F35" i="1" s="1"/>
  <c r="D34" i="1"/>
  <c r="F34" i="1" s="1"/>
  <c r="D33" i="1"/>
  <c r="F33" i="1" s="1"/>
  <c r="D32" i="1"/>
  <c r="D31" i="1"/>
  <c r="F31" i="1" s="1"/>
  <c r="D30" i="1"/>
  <c r="F30" i="1" s="1"/>
  <c r="D24" i="1"/>
  <c r="F24" i="1" s="1"/>
  <c r="D23" i="1"/>
  <c r="F23" i="1" s="1"/>
  <c r="D22" i="1"/>
  <c r="F22" i="1" s="1"/>
  <c r="D14" i="1"/>
  <c r="D15" i="1"/>
  <c r="D16" i="1"/>
  <c r="D17" i="1"/>
  <c r="D18" i="1"/>
  <c r="D13" i="1"/>
  <c r="G19" i="1"/>
  <c r="H23" i="1" s="1"/>
  <c r="F47" i="1"/>
  <c r="N82" i="1"/>
  <c r="N34" i="3" s="1"/>
  <c r="N81" i="1"/>
  <c r="N33" i="3" s="1"/>
  <c r="N83" i="1"/>
  <c r="N35" i="3" s="1"/>
  <c r="N71" i="1"/>
  <c r="N23" i="3" s="1"/>
  <c r="N69" i="1"/>
  <c r="N21" i="3" s="1"/>
  <c r="N68" i="1"/>
  <c r="N20" i="3" s="1"/>
  <c r="N67" i="1"/>
  <c r="N19" i="3" s="1"/>
  <c r="N54" i="1"/>
  <c r="N55" i="1"/>
  <c r="N6" i="3" s="1"/>
  <c r="N62" i="1"/>
  <c r="F41" i="1"/>
  <c r="F32" i="1"/>
  <c r="Q23" i="14"/>
  <c r="Q22" i="14"/>
  <c r="Q21" i="14"/>
  <c r="Q20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15" i="13"/>
  <c r="Q14" i="13"/>
  <c r="Q13" i="13"/>
  <c r="Q12" i="13"/>
  <c r="Q11" i="13"/>
  <c r="Q10" i="13"/>
  <c r="Q9" i="13"/>
  <c r="Q8" i="13"/>
  <c r="Q7" i="13"/>
  <c r="Q6" i="13"/>
  <c r="M29" i="16"/>
  <c r="L29" i="16"/>
  <c r="K29" i="16"/>
  <c r="J29" i="16"/>
  <c r="I29" i="16"/>
  <c r="H29" i="16"/>
  <c r="G29" i="16"/>
  <c r="F29" i="16"/>
  <c r="E29" i="16"/>
  <c r="D29" i="16"/>
  <c r="C29" i="16"/>
  <c r="B29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C7" i="16"/>
  <c r="D7" i="16"/>
  <c r="E7" i="16"/>
  <c r="F7" i="16"/>
  <c r="G7" i="16"/>
  <c r="H7" i="16"/>
  <c r="I7" i="16"/>
  <c r="J7" i="16"/>
  <c r="K7" i="16"/>
  <c r="L7" i="16"/>
  <c r="M7" i="16"/>
  <c r="C8" i="16"/>
  <c r="D8" i="16"/>
  <c r="E8" i="16"/>
  <c r="F8" i="16"/>
  <c r="G8" i="16"/>
  <c r="H8" i="16"/>
  <c r="I8" i="16"/>
  <c r="J8" i="16"/>
  <c r="K8" i="16"/>
  <c r="L8" i="16"/>
  <c r="M8" i="16"/>
  <c r="C9" i="16"/>
  <c r="D9" i="16"/>
  <c r="E9" i="16"/>
  <c r="F9" i="16"/>
  <c r="G9" i="16"/>
  <c r="H9" i="16"/>
  <c r="I9" i="16"/>
  <c r="J9" i="16"/>
  <c r="K9" i="16"/>
  <c r="L9" i="16"/>
  <c r="M9" i="16"/>
  <c r="C10" i="16"/>
  <c r="D10" i="16"/>
  <c r="E10" i="16"/>
  <c r="F10" i="16"/>
  <c r="G10" i="16"/>
  <c r="H10" i="16"/>
  <c r="I10" i="16"/>
  <c r="J10" i="16"/>
  <c r="K10" i="16"/>
  <c r="L10" i="16"/>
  <c r="M10" i="16"/>
  <c r="C11" i="16"/>
  <c r="D11" i="16"/>
  <c r="E11" i="16"/>
  <c r="F11" i="16"/>
  <c r="G11" i="16"/>
  <c r="H11" i="16"/>
  <c r="I11" i="16"/>
  <c r="J11" i="16"/>
  <c r="K11" i="16"/>
  <c r="L11" i="16"/>
  <c r="M11" i="16"/>
  <c r="C12" i="16"/>
  <c r="D12" i="16"/>
  <c r="E12" i="16"/>
  <c r="F12" i="16"/>
  <c r="G12" i="16"/>
  <c r="H12" i="16"/>
  <c r="I12" i="16"/>
  <c r="J12" i="16"/>
  <c r="K12" i="16"/>
  <c r="L12" i="16"/>
  <c r="M12" i="16"/>
  <c r="C13" i="16"/>
  <c r="D13" i="16"/>
  <c r="E13" i="16"/>
  <c r="F13" i="16"/>
  <c r="G13" i="16"/>
  <c r="H13" i="16"/>
  <c r="I13" i="16"/>
  <c r="J13" i="16"/>
  <c r="K13" i="16"/>
  <c r="L13" i="16"/>
  <c r="M13" i="16"/>
  <c r="C14" i="16"/>
  <c r="D14" i="16"/>
  <c r="E14" i="16"/>
  <c r="F14" i="16"/>
  <c r="G14" i="16"/>
  <c r="H14" i="16"/>
  <c r="I14" i="16"/>
  <c r="J14" i="16"/>
  <c r="K14" i="16"/>
  <c r="L14" i="16"/>
  <c r="M14" i="16"/>
  <c r="C15" i="16"/>
  <c r="D15" i="16"/>
  <c r="E15" i="16"/>
  <c r="F15" i="16"/>
  <c r="G15" i="16"/>
  <c r="H15" i="16"/>
  <c r="I15" i="16"/>
  <c r="J15" i="16"/>
  <c r="K15" i="16"/>
  <c r="L15" i="16"/>
  <c r="M15" i="16"/>
  <c r="C6" i="16"/>
  <c r="D6" i="16"/>
  <c r="E6" i="16"/>
  <c r="F6" i="16"/>
  <c r="G6" i="16"/>
  <c r="H6" i="16"/>
  <c r="I6" i="16"/>
  <c r="J6" i="16"/>
  <c r="K6" i="16"/>
  <c r="L6" i="16"/>
  <c r="M6" i="16"/>
  <c r="G198" i="1" l="1"/>
  <c r="G9" i="13" s="1"/>
  <c r="C204" i="1"/>
  <c r="C15" i="13" s="1"/>
  <c r="C19" i="13" s="1"/>
  <c r="G205" i="1"/>
  <c r="G16" i="13" s="1"/>
  <c r="C206" i="1"/>
  <c r="C17" i="13" s="1"/>
  <c r="K206" i="1"/>
  <c r="K17" i="13" s="1"/>
  <c r="E206" i="1"/>
  <c r="E17" i="13" s="1"/>
  <c r="D18" i="13"/>
  <c r="I206" i="1"/>
  <c r="I17" i="13" s="1"/>
  <c r="H18" i="13"/>
  <c r="M206" i="1"/>
  <c r="M17" i="13" s="1"/>
  <c r="L18" i="13"/>
  <c r="G22" i="13"/>
  <c r="G27" i="13" s="1"/>
  <c r="G213" i="1"/>
  <c r="G24" i="13" s="1"/>
  <c r="C214" i="1"/>
  <c r="C25" i="13" s="1"/>
  <c r="K214" i="1"/>
  <c r="K25" i="13" s="1"/>
  <c r="E214" i="1"/>
  <c r="E25" i="13" s="1"/>
  <c r="D26" i="13"/>
  <c r="I214" i="1"/>
  <c r="I25" i="13" s="1"/>
  <c r="H26" i="13"/>
  <c r="M214" i="1"/>
  <c r="M25" i="13" s="1"/>
  <c r="L26" i="13"/>
  <c r="G223" i="1"/>
  <c r="G34" i="13" s="1"/>
  <c r="G30" i="13"/>
  <c r="G35" i="13" s="1"/>
  <c r="C222" i="1"/>
  <c r="C33" i="13" s="1"/>
  <c r="K222" i="1"/>
  <c r="K33" i="13" s="1"/>
  <c r="E222" i="1"/>
  <c r="E33" i="13" s="1"/>
  <c r="D34" i="13"/>
  <c r="I222" i="1"/>
  <c r="I33" i="13" s="1"/>
  <c r="H34" i="13"/>
  <c r="M222" i="1"/>
  <c r="M33" i="13" s="1"/>
  <c r="L34" i="13"/>
  <c r="G231" i="1"/>
  <c r="G42" i="13" s="1"/>
  <c r="G38" i="13"/>
  <c r="G43" i="13" s="1"/>
  <c r="C230" i="1"/>
  <c r="C41" i="13" s="1"/>
  <c r="E230" i="1"/>
  <c r="E41" i="13" s="1"/>
  <c r="D42" i="13"/>
  <c r="I230" i="1"/>
  <c r="I41" i="13" s="1"/>
  <c r="H42" i="13"/>
  <c r="M230" i="1"/>
  <c r="M41" i="13" s="1"/>
  <c r="L42" i="13"/>
  <c r="G239" i="1"/>
  <c r="G50" i="13" s="1"/>
  <c r="G46" i="13"/>
  <c r="G51" i="13" s="1"/>
  <c r="C238" i="1"/>
  <c r="C49" i="13" s="1"/>
  <c r="E238" i="1"/>
  <c r="E49" i="13" s="1"/>
  <c r="D50" i="13"/>
  <c r="I238" i="1"/>
  <c r="I49" i="13" s="1"/>
  <c r="H50" i="13"/>
  <c r="M238" i="1"/>
  <c r="M49" i="13" s="1"/>
  <c r="L50" i="13"/>
  <c r="G247" i="1"/>
  <c r="G58" i="13" s="1"/>
  <c r="G54" i="13"/>
  <c r="G59" i="13" s="1"/>
  <c r="C246" i="1"/>
  <c r="C57" i="13" s="1"/>
  <c r="E246" i="1"/>
  <c r="E57" i="13" s="1"/>
  <c r="D58" i="13"/>
  <c r="I246" i="1"/>
  <c r="I57" i="13" s="1"/>
  <c r="H58" i="13"/>
  <c r="M246" i="1"/>
  <c r="M57" i="13" s="1"/>
  <c r="L58" i="13"/>
  <c r="G255" i="1"/>
  <c r="G66" i="13" s="1"/>
  <c r="G62" i="13"/>
  <c r="G67" i="13" s="1"/>
  <c r="E254" i="1"/>
  <c r="E65" i="13" s="1"/>
  <c r="D66" i="13"/>
  <c r="I254" i="1"/>
  <c r="I65" i="13" s="1"/>
  <c r="H66" i="13"/>
  <c r="M254" i="1"/>
  <c r="M65" i="13" s="1"/>
  <c r="L66" i="13"/>
  <c r="G263" i="1"/>
  <c r="G74" i="13" s="1"/>
  <c r="G70" i="13"/>
  <c r="G75" i="13" s="1"/>
  <c r="E262" i="1"/>
  <c r="E73" i="13" s="1"/>
  <c r="D74" i="13"/>
  <c r="I262" i="1"/>
  <c r="I73" i="13" s="1"/>
  <c r="H74" i="13"/>
  <c r="M262" i="1"/>
  <c r="M73" i="13" s="1"/>
  <c r="L74" i="13"/>
  <c r="G271" i="1"/>
  <c r="G82" i="13" s="1"/>
  <c r="G78" i="13"/>
  <c r="G83" i="13" s="1"/>
  <c r="E270" i="1"/>
  <c r="E81" i="13" s="1"/>
  <c r="D82" i="13"/>
  <c r="I270" i="1"/>
  <c r="I81" i="13" s="1"/>
  <c r="H82" i="13"/>
  <c r="M270" i="1"/>
  <c r="M81" i="13" s="1"/>
  <c r="L82" i="13"/>
  <c r="G280" i="1"/>
  <c r="G6" i="14"/>
  <c r="E288" i="1"/>
  <c r="E14" i="14"/>
  <c r="E19" i="14" s="1"/>
  <c r="I288" i="1"/>
  <c r="I14" i="14"/>
  <c r="I19" i="14" s="1"/>
  <c r="M288" i="1"/>
  <c r="M14" i="14"/>
  <c r="M19" i="14" s="1"/>
  <c r="C288" i="1"/>
  <c r="K288" i="1"/>
  <c r="C296" i="1"/>
  <c r="C22" i="14"/>
  <c r="C27" i="14" s="1"/>
  <c r="K296" i="1"/>
  <c r="K22" i="14"/>
  <c r="K27" i="14" s="1"/>
  <c r="C304" i="1"/>
  <c r="C30" i="14"/>
  <c r="C35" i="14" s="1"/>
  <c r="K304" i="1"/>
  <c r="K30" i="14"/>
  <c r="K35" i="14" s="1"/>
  <c r="C38" i="14"/>
  <c r="K38" i="14"/>
  <c r="C46" i="14"/>
  <c r="K46" i="14"/>
  <c r="C54" i="14"/>
  <c r="K54" i="14"/>
  <c r="C62" i="14"/>
  <c r="K62" i="14"/>
  <c r="C70" i="14"/>
  <c r="K70" i="14"/>
  <c r="C78" i="14"/>
  <c r="K78" i="14"/>
  <c r="C360" i="1"/>
  <c r="C86" i="14"/>
  <c r="C91" i="14" s="1"/>
  <c r="K360" i="1"/>
  <c r="K86" i="14"/>
  <c r="K91" i="14" s="1"/>
  <c r="C94" i="14"/>
  <c r="K94" i="14"/>
  <c r="C103" i="14"/>
  <c r="K103" i="14"/>
  <c r="C111" i="14"/>
  <c r="K111" i="14"/>
  <c r="C119" i="14"/>
  <c r="K119" i="14"/>
  <c r="C127" i="14"/>
  <c r="K127" i="14"/>
  <c r="N449" i="1"/>
  <c r="N17" i="33" s="1"/>
  <c r="N13" i="33"/>
  <c r="N490" i="1"/>
  <c r="N58" i="33" s="1"/>
  <c r="N54" i="33"/>
  <c r="C440" i="1"/>
  <c r="C8" i="33" s="1"/>
  <c r="B9" i="33"/>
  <c r="G440" i="1"/>
  <c r="G8" i="33" s="1"/>
  <c r="F9" i="33"/>
  <c r="K440" i="1"/>
  <c r="K8" i="33" s="1"/>
  <c r="J9" i="33"/>
  <c r="C448" i="1"/>
  <c r="C16" i="33" s="1"/>
  <c r="B17" i="33"/>
  <c r="G448" i="1"/>
  <c r="G16" i="33" s="1"/>
  <c r="F17" i="33"/>
  <c r="K448" i="1"/>
  <c r="K16" i="33" s="1"/>
  <c r="J17" i="33"/>
  <c r="C456" i="1"/>
  <c r="C24" i="33" s="1"/>
  <c r="B25" i="33"/>
  <c r="G456" i="1"/>
  <c r="G24" i="33" s="1"/>
  <c r="F25" i="33"/>
  <c r="K456" i="1"/>
  <c r="K24" i="33" s="1"/>
  <c r="J25" i="33"/>
  <c r="C464" i="1"/>
  <c r="C32" i="33" s="1"/>
  <c r="B33" i="33"/>
  <c r="G464" i="1"/>
  <c r="G32" i="33" s="1"/>
  <c r="F33" i="33"/>
  <c r="K464" i="1"/>
  <c r="K32" i="33" s="1"/>
  <c r="J33" i="33"/>
  <c r="C473" i="1"/>
  <c r="C41" i="33" s="1"/>
  <c r="B42" i="33"/>
  <c r="G473" i="1"/>
  <c r="G41" i="33" s="1"/>
  <c r="F42" i="33"/>
  <c r="K473" i="1"/>
  <c r="K41" i="33" s="1"/>
  <c r="J42" i="33"/>
  <c r="C481" i="1"/>
  <c r="C49" i="33" s="1"/>
  <c r="B50" i="33"/>
  <c r="G481" i="1"/>
  <c r="G49" i="33" s="1"/>
  <c r="F50" i="33"/>
  <c r="K481" i="1"/>
  <c r="K49" i="33" s="1"/>
  <c r="J50" i="33"/>
  <c r="C489" i="1"/>
  <c r="C57" i="33" s="1"/>
  <c r="B58" i="33"/>
  <c r="G489" i="1"/>
  <c r="G57" i="33" s="1"/>
  <c r="F58" i="33"/>
  <c r="K489" i="1"/>
  <c r="K57" i="33" s="1"/>
  <c r="J58" i="33"/>
  <c r="C497" i="1"/>
  <c r="C65" i="33" s="1"/>
  <c r="B66" i="33"/>
  <c r="G497" i="1"/>
  <c r="G65" i="33" s="1"/>
  <c r="F66" i="33"/>
  <c r="K497" i="1"/>
  <c r="K65" i="33" s="1"/>
  <c r="J66" i="33"/>
  <c r="M483" i="1"/>
  <c r="M51" i="33" s="1"/>
  <c r="M466" i="1"/>
  <c r="M34" i="33" s="1"/>
  <c r="M450" i="1"/>
  <c r="M18" i="33" s="1"/>
  <c r="E510" i="1"/>
  <c r="E78" i="33" s="1"/>
  <c r="E72" i="33"/>
  <c r="I510" i="1"/>
  <c r="I78" i="33" s="1"/>
  <c r="I72" i="33"/>
  <c r="M510" i="1"/>
  <c r="M78" i="33" s="1"/>
  <c r="M72" i="33"/>
  <c r="C519" i="1"/>
  <c r="C87" i="33" s="1"/>
  <c r="C81" i="33"/>
  <c r="K519" i="1"/>
  <c r="K87" i="33" s="1"/>
  <c r="K81" i="33"/>
  <c r="E517" i="1"/>
  <c r="E85" i="33" s="1"/>
  <c r="D86" i="33"/>
  <c r="I517" i="1"/>
  <c r="I85" i="33" s="1"/>
  <c r="H86" i="33"/>
  <c r="M517" i="1"/>
  <c r="M85" i="33" s="1"/>
  <c r="L86" i="33"/>
  <c r="G90" i="33"/>
  <c r="C537" i="1"/>
  <c r="C105" i="33" s="1"/>
  <c r="C99" i="33"/>
  <c r="G537" i="1"/>
  <c r="G105" i="33" s="1"/>
  <c r="G99" i="33"/>
  <c r="K537" i="1"/>
  <c r="K105" i="33" s="1"/>
  <c r="K99" i="33"/>
  <c r="G536" i="1"/>
  <c r="G104" i="33" s="1"/>
  <c r="G546" i="1"/>
  <c r="G114" i="33" s="1"/>
  <c r="G108" i="33"/>
  <c r="C555" i="1"/>
  <c r="C123" i="33" s="1"/>
  <c r="C117" i="33"/>
  <c r="K555" i="1"/>
  <c r="K123" i="33" s="1"/>
  <c r="K117" i="33"/>
  <c r="E553" i="1"/>
  <c r="E121" i="33" s="1"/>
  <c r="D122" i="33"/>
  <c r="I553" i="1"/>
  <c r="I121" i="33" s="1"/>
  <c r="H122" i="33"/>
  <c r="M553" i="1"/>
  <c r="M121" i="33" s="1"/>
  <c r="L122" i="33"/>
  <c r="G564" i="1"/>
  <c r="G132" i="33" s="1"/>
  <c r="G126" i="33"/>
  <c r="C573" i="1"/>
  <c r="C141" i="33" s="1"/>
  <c r="C135" i="33"/>
  <c r="K573" i="1"/>
  <c r="K141" i="33" s="1"/>
  <c r="K135" i="33"/>
  <c r="E571" i="1"/>
  <c r="E139" i="33" s="1"/>
  <c r="D140" i="33"/>
  <c r="I571" i="1"/>
  <c r="I139" i="33" s="1"/>
  <c r="H140" i="33"/>
  <c r="M571" i="1"/>
  <c r="M139" i="33" s="1"/>
  <c r="L140" i="33"/>
  <c r="G582" i="1"/>
  <c r="G150" i="33" s="1"/>
  <c r="G144" i="33"/>
  <c r="C591" i="1"/>
  <c r="C159" i="33" s="1"/>
  <c r="C153" i="33"/>
  <c r="K591" i="1"/>
  <c r="K159" i="33" s="1"/>
  <c r="K153" i="33"/>
  <c r="E589" i="1"/>
  <c r="E157" i="33" s="1"/>
  <c r="D158" i="33"/>
  <c r="I589" i="1"/>
  <c r="I157" i="33" s="1"/>
  <c r="H158" i="33"/>
  <c r="M589" i="1"/>
  <c r="M157" i="33" s="1"/>
  <c r="L158" i="33"/>
  <c r="G600" i="1"/>
  <c r="G168" i="33" s="1"/>
  <c r="G162" i="33"/>
  <c r="C609" i="1"/>
  <c r="C177" i="33" s="1"/>
  <c r="C171" i="33"/>
  <c r="K609" i="1"/>
  <c r="K177" i="33" s="1"/>
  <c r="K171" i="33"/>
  <c r="E607" i="1"/>
  <c r="E175" i="33" s="1"/>
  <c r="D176" i="33"/>
  <c r="I607" i="1"/>
  <c r="I175" i="33" s="1"/>
  <c r="H176" i="33"/>
  <c r="M607" i="1"/>
  <c r="M175" i="33" s="1"/>
  <c r="L176" i="33"/>
  <c r="G618" i="1"/>
  <c r="G186" i="33" s="1"/>
  <c r="G180" i="33"/>
  <c r="C627" i="1"/>
  <c r="C195" i="33" s="1"/>
  <c r="C189" i="33"/>
  <c r="K627" i="1"/>
  <c r="K195" i="33" s="1"/>
  <c r="K189" i="33"/>
  <c r="E625" i="1"/>
  <c r="E193" i="33" s="1"/>
  <c r="D194" i="33"/>
  <c r="I625" i="1"/>
  <c r="I193" i="33" s="1"/>
  <c r="H194" i="33"/>
  <c r="M625" i="1"/>
  <c r="M193" i="33" s="1"/>
  <c r="L194" i="33"/>
  <c r="G636" i="1"/>
  <c r="G204" i="33" s="1"/>
  <c r="G198" i="33"/>
  <c r="C645" i="1"/>
  <c r="C213" i="33" s="1"/>
  <c r="C207" i="33"/>
  <c r="K645" i="1"/>
  <c r="K213" i="33" s="1"/>
  <c r="K207" i="33"/>
  <c r="E643" i="1"/>
  <c r="E211" i="33" s="1"/>
  <c r="D212" i="33"/>
  <c r="I643" i="1"/>
  <c r="I211" i="33" s="1"/>
  <c r="H212" i="33"/>
  <c r="M643" i="1"/>
  <c r="M211" i="33" s="1"/>
  <c r="L212" i="33"/>
  <c r="N13" i="3"/>
  <c r="N12" i="3"/>
  <c r="L30" i="3"/>
  <c r="J30" i="3"/>
  <c r="H30" i="3"/>
  <c r="F30" i="3"/>
  <c r="D30" i="3"/>
  <c r="B30" i="3"/>
  <c r="L36" i="3"/>
  <c r="J36" i="3"/>
  <c r="H36" i="3"/>
  <c r="F36" i="3"/>
  <c r="D36" i="3"/>
  <c r="B36" i="3"/>
  <c r="L21" i="4"/>
  <c r="J21" i="4"/>
  <c r="H21" i="4"/>
  <c r="F21" i="4"/>
  <c r="D21" i="4"/>
  <c r="B21" i="4"/>
  <c r="L28" i="4"/>
  <c r="J28" i="4"/>
  <c r="H28" i="4"/>
  <c r="F28" i="4"/>
  <c r="D28" i="4"/>
  <c r="B28" i="4"/>
  <c r="E122" i="1"/>
  <c r="M122" i="1"/>
  <c r="E123" i="1"/>
  <c r="E7" i="10" s="1"/>
  <c r="M123" i="1"/>
  <c r="M7" i="10" s="1"/>
  <c r="E124" i="1"/>
  <c r="E8" i="10" s="1"/>
  <c r="M124" i="1"/>
  <c r="M8" i="10" s="1"/>
  <c r="C126" i="1"/>
  <c r="C10" i="10" s="1"/>
  <c r="K126" i="1"/>
  <c r="K10" i="10" s="1"/>
  <c r="C135" i="1"/>
  <c r="C19" i="10" s="1"/>
  <c r="K135" i="1"/>
  <c r="K19" i="10" s="1"/>
  <c r="C143" i="1"/>
  <c r="C27" i="10" s="1"/>
  <c r="K143" i="1"/>
  <c r="K27" i="10" s="1"/>
  <c r="C151" i="1"/>
  <c r="C35" i="10" s="1"/>
  <c r="K151" i="1"/>
  <c r="K35" i="10" s="1"/>
  <c r="C159" i="1"/>
  <c r="C43" i="10" s="1"/>
  <c r="K159" i="1"/>
  <c r="K43" i="10" s="1"/>
  <c r="C167" i="1"/>
  <c r="C51" i="10" s="1"/>
  <c r="K167" i="1"/>
  <c r="K51" i="10" s="1"/>
  <c r="C175" i="1"/>
  <c r="C59" i="10" s="1"/>
  <c r="K175" i="1"/>
  <c r="K59" i="10" s="1"/>
  <c r="C183" i="1"/>
  <c r="C67" i="10" s="1"/>
  <c r="K183" i="1"/>
  <c r="K67" i="10" s="1"/>
  <c r="K191" i="1"/>
  <c r="K75" i="10" s="1"/>
  <c r="M6" i="13"/>
  <c r="K6" i="13"/>
  <c r="I6" i="13"/>
  <c r="E6" i="13"/>
  <c r="C6" i="13"/>
  <c r="C11" i="13" s="1"/>
  <c r="G14" i="13"/>
  <c r="G19" i="13" s="1"/>
  <c r="C207" i="1"/>
  <c r="C18" i="13" s="1"/>
  <c r="K207" i="1"/>
  <c r="K18" i="13" s="1"/>
  <c r="K14" i="13"/>
  <c r="K19" i="13" s="1"/>
  <c r="C215" i="1"/>
  <c r="C26" i="13" s="1"/>
  <c r="C22" i="13"/>
  <c r="C27" i="13" s="1"/>
  <c r="K215" i="1"/>
  <c r="K26" i="13" s="1"/>
  <c r="K22" i="13"/>
  <c r="K27" i="13" s="1"/>
  <c r="C223" i="1"/>
  <c r="C34" i="13" s="1"/>
  <c r="C30" i="13"/>
  <c r="C35" i="13" s="1"/>
  <c r="K223" i="1"/>
  <c r="K34" i="13" s="1"/>
  <c r="K30" i="13"/>
  <c r="K35" i="13" s="1"/>
  <c r="C231" i="1"/>
  <c r="C42" i="13" s="1"/>
  <c r="C38" i="13"/>
  <c r="C43" i="13" s="1"/>
  <c r="K231" i="1"/>
  <c r="K42" i="13" s="1"/>
  <c r="K38" i="13"/>
  <c r="K43" i="13" s="1"/>
  <c r="C239" i="1"/>
  <c r="C50" i="13" s="1"/>
  <c r="C46" i="13"/>
  <c r="C51" i="13" s="1"/>
  <c r="K239" i="1"/>
  <c r="K50" i="13" s="1"/>
  <c r="K46" i="13"/>
  <c r="K51" i="13" s="1"/>
  <c r="C247" i="1"/>
  <c r="C58" i="13" s="1"/>
  <c r="C54" i="13"/>
  <c r="C59" i="13" s="1"/>
  <c r="K247" i="1"/>
  <c r="K58" i="13" s="1"/>
  <c r="K54" i="13"/>
  <c r="K59" i="13" s="1"/>
  <c r="C255" i="1"/>
  <c r="C66" i="13" s="1"/>
  <c r="C62" i="13"/>
  <c r="C67" i="13" s="1"/>
  <c r="K255" i="1"/>
  <c r="K66" i="13" s="1"/>
  <c r="K62" i="13"/>
  <c r="K67" i="13" s="1"/>
  <c r="C263" i="1"/>
  <c r="C74" i="13" s="1"/>
  <c r="C70" i="13"/>
  <c r="C75" i="13" s="1"/>
  <c r="K263" i="1"/>
  <c r="K74" i="13" s="1"/>
  <c r="K70" i="13"/>
  <c r="K75" i="13" s="1"/>
  <c r="C271" i="1"/>
  <c r="C82" i="13" s="1"/>
  <c r="C78" i="13"/>
  <c r="C83" i="13" s="1"/>
  <c r="K271" i="1"/>
  <c r="K82" i="13" s="1"/>
  <c r="K78" i="13"/>
  <c r="K83" i="13" s="1"/>
  <c r="C280" i="1"/>
  <c r="C6" i="14"/>
  <c r="K280" i="1"/>
  <c r="K6" i="14"/>
  <c r="G288" i="1"/>
  <c r="G296" i="1"/>
  <c r="G22" i="14"/>
  <c r="G27" i="14" s="1"/>
  <c r="G304" i="1"/>
  <c r="G30" i="14"/>
  <c r="G35" i="14" s="1"/>
  <c r="G312" i="1"/>
  <c r="G38" i="14"/>
  <c r="G43" i="14" s="1"/>
  <c r="C309" i="1"/>
  <c r="C39" i="14" s="1"/>
  <c r="K309" i="1"/>
  <c r="K39" i="14" s="1"/>
  <c r="G316" i="1"/>
  <c r="C317" i="1"/>
  <c r="C47" i="14" s="1"/>
  <c r="K317" i="1"/>
  <c r="K47" i="14" s="1"/>
  <c r="G324" i="1"/>
  <c r="C325" i="1"/>
  <c r="C55" i="14" s="1"/>
  <c r="K325" i="1"/>
  <c r="K55" i="14" s="1"/>
  <c r="G332" i="1"/>
  <c r="C333" i="1"/>
  <c r="C63" i="14" s="1"/>
  <c r="K333" i="1"/>
  <c r="K63" i="14" s="1"/>
  <c r="G340" i="1"/>
  <c r="C341" i="1"/>
  <c r="C71" i="14" s="1"/>
  <c r="K341" i="1"/>
  <c r="K71" i="14" s="1"/>
  <c r="G348" i="1"/>
  <c r="C349" i="1"/>
  <c r="C79" i="14" s="1"/>
  <c r="K349" i="1"/>
  <c r="K79" i="14" s="1"/>
  <c r="G360" i="1"/>
  <c r="G86" i="14"/>
  <c r="G91" i="14" s="1"/>
  <c r="G364" i="1"/>
  <c r="C365" i="1"/>
  <c r="C95" i="14" s="1"/>
  <c r="K365" i="1"/>
  <c r="K95" i="14" s="1"/>
  <c r="G373" i="1"/>
  <c r="C374" i="1"/>
  <c r="C104" i="14" s="1"/>
  <c r="K374" i="1"/>
  <c r="K104" i="14" s="1"/>
  <c r="G381" i="1"/>
  <c r="C382" i="1"/>
  <c r="C112" i="14" s="1"/>
  <c r="K382" i="1"/>
  <c r="K112" i="14" s="1"/>
  <c r="G389" i="1"/>
  <c r="C390" i="1"/>
  <c r="C120" i="14" s="1"/>
  <c r="K390" i="1"/>
  <c r="K120" i="14" s="1"/>
  <c r="G397" i="1"/>
  <c r="C398" i="1"/>
  <c r="C128" i="14" s="1"/>
  <c r="K398" i="1"/>
  <c r="K128" i="14" s="1"/>
  <c r="N465" i="1"/>
  <c r="N33" i="33" s="1"/>
  <c r="N29" i="33"/>
  <c r="N474" i="1"/>
  <c r="N42" i="33" s="1"/>
  <c r="N38" i="33"/>
  <c r="G437" i="1"/>
  <c r="C439" i="1"/>
  <c r="C7" i="33" s="1"/>
  <c r="K439" i="1"/>
  <c r="K7" i="33" s="1"/>
  <c r="E439" i="1"/>
  <c r="E7" i="33" s="1"/>
  <c r="D9" i="33"/>
  <c r="I439" i="1"/>
  <c r="I7" i="33" s="1"/>
  <c r="H9" i="33"/>
  <c r="G445" i="1"/>
  <c r="C447" i="1"/>
  <c r="C15" i="33" s="1"/>
  <c r="K447" i="1"/>
  <c r="K15" i="33" s="1"/>
  <c r="E447" i="1"/>
  <c r="E15" i="33" s="1"/>
  <c r="D17" i="33"/>
  <c r="I447" i="1"/>
  <c r="I15" i="33" s="1"/>
  <c r="H17" i="33"/>
  <c r="G453" i="1"/>
  <c r="C455" i="1"/>
  <c r="C23" i="33" s="1"/>
  <c r="K455" i="1"/>
  <c r="K23" i="33" s="1"/>
  <c r="E455" i="1"/>
  <c r="E23" i="33" s="1"/>
  <c r="D25" i="33"/>
  <c r="I455" i="1"/>
  <c r="I23" i="33" s="1"/>
  <c r="H25" i="33"/>
  <c r="G461" i="1"/>
  <c r="C463" i="1"/>
  <c r="C31" i="33" s="1"/>
  <c r="K463" i="1"/>
  <c r="K31" i="33" s="1"/>
  <c r="E463" i="1"/>
  <c r="E31" i="33" s="1"/>
  <c r="D33" i="33"/>
  <c r="I463" i="1"/>
  <c r="I31" i="33" s="1"/>
  <c r="H33" i="33"/>
  <c r="G470" i="1"/>
  <c r="C472" i="1"/>
  <c r="C40" i="33" s="1"/>
  <c r="K472" i="1"/>
  <c r="K40" i="33" s="1"/>
  <c r="E472" i="1"/>
  <c r="E40" i="33" s="1"/>
  <c r="D42" i="33"/>
  <c r="I472" i="1"/>
  <c r="I40" i="33" s="1"/>
  <c r="H42" i="33"/>
  <c r="G478" i="1"/>
  <c r="C480" i="1"/>
  <c r="C48" i="33" s="1"/>
  <c r="K480" i="1"/>
  <c r="K48" i="33" s="1"/>
  <c r="E480" i="1"/>
  <c r="E48" i="33" s="1"/>
  <c r="D50" i="33"/>
  <c r="I480" i="1"/>
  <c r="I48" i="33" s="1"/>
  <c r="H50" i="33"/>
  <c r="G486" i="1"/>
  <c r="C488" i="1"/>
  <c r="C56" i="33" s="1"/>
  <c r="K488" i="1"/>
  <c r="K56" i="33" s="1"/>
  <c r="E488" i="1"/>
  <c r="E56" i="33" s="1"/>
  <c r="D58" i="33"/>
  <c r="I488" i="1"/>
  <c r="I56" i="33" s="1"/>
  <c r="H58" i="33"/>
  <c r="G494" i="1"/>
  <c r="G62" i="33" s="1"/>
  <c r="C496" i="1"/>
  <c r="C64" i="33" s="1"/>
  <c r="K496" i="1"/>
  <c r="K64" i="33" s="1"/>
  <c r="E496" i="1"/>
  <c r="E64" i="33" s="1"/>
  <c r="D66" i="33"/>
  <c r="I496" i="1"/>
  <c r="I64" i="33" s="1"/>
  <c r="H66" i="33"/>
  <c r="M491" i="1"/>
  <c r="M59" i="33" s="1"/>
  <c r="M475" i="1"/>
  <c r="M43" i="33" s="1"/>
  <c r="N518" i="1"/>
  <c r="N86" i="33" s="1"/>
  <c r="N81" i="33"/>
  <c r="N527" i="1"/>
  <c r="N95" i="33" s="1"/>
  <c r="N90" i="33"/>
  <c r="N536" i="1"/>
  <c r="N104" i="33" s="1"/>
  <c r="N99" i="33"/>
  <c r="N563" i="1"/>
  <c r="N131" i="33" s="1"/>
  <c r="N126" i="33"/>
  <c r="N572" i="1"/>
  <c r="N140" i="33" s="1"/>
  <c r="N135" i="33"/>
  <c r="N590" i="1"/>
  <c r="N158" i="33" s="1"/>
  <c r="N153" i="33"/>
  <c r="N599" i="1"/>
  <c r="N167" i="33" s="1"/>
  <c r="N162" i="33"/>
  <c r="N608" i="1"/>
  <c r="N176" i="33" s="1"/>
  <c r="N171" i="33"/>
  <c r="N617" i="1"/>
  <c r="N185" i="33" s="1"/>
  <c r="N180" i="33"/>
  <c r="N626" i="1"/>
  <c r="N194" i="33" s="1"/>
  <c r="N189" i="33"/>
  <c r="N635" i="1"/>
  <c r="N203" i="33" s="1"/>
  <c r="N198" i="33"/>
  <c r="N644" i="1"/>
  <c r="N212" i="33" s="1"/>
  <c r="N207" i="33"/>
  <c r="C510" i="1"/>
  <c r="C78" i="33" s="1"/>
  <c r="C72" i="33"/>
  <c r="G510" i="1"/>
  <c r="G78" i="33" s="1"/>
  <c r="G72" i="33"/>
  <c r="K510" i="1"/>
  <c r="K78" i="33" s="1"/>
  <c r="K72" i="33"/>
  <c r="K507" i="1"/>
  <c r="K75" i="33" s="1"/>
  <c r="K508" i="1"/>
  <c r="K76" i="33" s="1"/>
  <c r="C509" i="1"/>
  <c r="C77" i="33" s="1"/>
  <c r="K509" i="1"/>
  <c r="K77" i="33" s="1"/>
  <c r="G519" i="1"/>
  <c r="G87" i="33" s="1"/>
  <c r="G81" i="33"/>
  <c r="C522" i="1"/>
  <c r="K522" i="1"/>
  <c r="G523" i="1"/>
  <c r="G91" i="33" s="1"/>
  <c r="C524" i="1"/>
  <c r="C92" i="33" s="1"/>
  <c r="K524" i="1"/>
  <c r="K92" i="33" s="1"/>
  <c r="G525" i="1"/>
  <c r="G93" i="33" s="1"/>
  <c r="C526" i="1"/>
  <c r="C94" i="33" s="1"/>
  <c r="K526" i="1"/>
  <c r="K94" i="33" s="1"/>
  <c r="E526" i="1"/>
  <c r="E94" i="33" s="1"/>
  <c r="D95" i="33"/>
  <c r="I526" i="1"/>
  <c r="I94" i="33" s="1"/>
  <c r="H95" i="33"/>
  <c r="M526" i="1"/>
  <c r="M94" i="33" s="1"/>
  <c r="L95" i="33"/>
  <c r="E537" i="1"/>
  <c r="E105" i="33" s="1"/>
  <c r="E99" i="33"/>
  <c r="I537" i="1"/>
  <c r="I105" i="33" s="1"/>
  <c r="I99" i="33"/>
  <c r="M537" i="1"/>
  <c r="M105" i="33" s="1"/>
  <c r="M99" i="33"/>
  <c r="E535" i="1"/>
  <c r="E103" i="33" s="1"/>
  <c r="C536" i="1"/>
  <c r="C104" i="33" s="1"/>
  <c r="K536" i="1"/>
  <c r="K104" i="33" s="1"/>
  <c r="C546" i="1"/>
  <c r="C114" i="33" s="1"/>
  <c r="C108" i="33"/>
  <c r="K546" i="1"/>
  <c r="K114" i="33" s="1"/>
  <c r="K108" i="33"/>
  <c r="C544" i="1"/>
  <c r="C112" i="33" s="1"/>
  <c r="E544" i="1"/>
  <c r="E112" i="33" s="1"/>
  <c r="D113" i="33"/>
  <c r="I544" i="1"/>
  <c r="I112" i="33" s="1"/>
  <c r="H113" i="33"/>
  <c r="M544" i="1"/>
  <c r="M112" i="33" s="1"/>
  <c r="L113" i="33"/>
  <c r="G555" i="1"/>
  <c r="G123" i="33" s="1"/>
  <c r="G117" i="33"/>
  <c r="C564" i="1"/>
  <c r="C132" i="33" s="1"/>
  <c r="C126" i="33"/>
  <c r="K564" i="1"/>
  <c r="K132" i="33" s="1"/>
  <c r="K126" i="33"/>
  <c r="C562" i="1"/>
  <c r="C130" i="33" s="1"/>
  <c r="E562" i="1"/>
  <c r="E130" i="33" s="1"/>
  <c r="D131" i="33"/>
  <c r="I562" i="1"/>
  <c r="I130" i="33" s="1"/>
  <c r="H131" i="33"/>
  <c r="M562" i="1"/>
  <c r="M130" i="33" s="1"/>
  <c r="L131" i="33"/>
  <c r="G573" i="1"/>
  <c r="G141" i="33" s="1"/>
  <c r="G135" i="33"/>
  <c r="C582" i="1"/>
  <c r="C150" i="33" s="1"/>
  <c r="C144" i="33"/>
  <c r="K582" i="1"/>
  <c r="K150" i="33" s="1"/>
  <c r="K144" i="33"/>
  <c r="C580" i="1"/>
  <c r="C148" i="33" s="1"/>
  <c r="E580" i="1"/>
  <c r="E148" i="33" s="1"/>
  <c r="D149" i="33"/>
  <c r="I580" i="1"/>
  <c r="I148" i="33" s="1"/>
  <c r="H149" i="33"/>
  <c r="M580" i="1"/>
  <c r="M148" i="33" s="1"/>
  <c r="L149" i="33"/>
  <c r="G591" i="1"/>
  <c r="G159" i="33" s="1"/>
  <c r="G153" i="33"/>
  <c r="C600" i="1"/>
  <c r="C168" i="33" s="1"/>
  <c r="C162" i="33"/>
  <c r="K600" i="1"/>
  <c r="K168" i="33" s="1"/>
  <c r="K162" i="33"/>
  <c r="E598" i="1"/>
  <c r="E166" i="33" s="1"/>
  <c r="D167" i="33"/>
  <c r="I598" i="1"/>
  <c r="I166" i="33" s="1"/>
  <c r="H167" i="33"/>
  <c r="M598" i="1"/>
  <c r="M166" i="33" s="1"/>
  <c r="L167" i="33"/>
  <c r="G609" i="1"/>
  <c r="G177" i="33" s="1"/>
  <c r="G171" i="33"/>
  <c r="C618" i="1"/>
  <c r="C186" i="33" s="1"/>
  <c r="C180" i="33"/>
  <c r="K618" i="1"/>
  <c r="K186" i="33" s="1"/>
  <c r="K180" i="33"/>
  <c r="E616" i="1"/>
  <c r="E184" i="33" s="1"/>
  <c r="D185" i="33"/>
  <c r="I616" i="1"/>
  <c r="I184" i="33" s="1"/>
  <c r="H185" i="33"/>
  <c r="M616" i="1"/>
  <c r="M184" i="33" s="1"/>
  <c r="L185" i="33"/>
  <c r="G627" i="1"/>
  <c r="G195" i="33" s="1"/>
  <c r="G189" i="33"/>
  <c r="C636" i="1"/>
  <c r="C204" i="33" s="1"/>
  <c r="C198" i="33"/>
  <c r="K636" i="1"/>
  <c r="K204" i="33" s="1"/>
  <c r="K198" i="33"/>
  <c r="E634" i="1"/>
  <c r="E202" i="33" s="1"/>
  <c r="D203" i="33"/>
  <c r="I634" i="1"/>
  <c r="I202" i="33" s="1"/>
  <c r="H203" i="33"/>
  <c r="M634" i="1"/>
  <c r="M202" i="33" s="1"/>
  <c r="L203" i="33"/>
  <c r="G645" i="1"/>
  <c r="G213" i="33" s="1"/>
  <c r="G207" i="33"/>
  <c r="D25" i="1"/>
  <c r="F25" i="1" s="1"/>
  <c r="J36" i="2"/>
  <c r="R36" i="2"/>
  <c r="C51" i="2"/>
  <c r="G51" i="2"/>
  <c r="K51" i="2"/>
  <c r="B24" i="3"/>
  <c r="N14" i="4"/>
  <c r="N13" i="4"/>
  <c r="N12" i="4"/>
  <c r="G126" i="1"/>
  <c r="G10" i="10" s="1"/>
  <c r="B26" i="14"/>
  <c r="D26" i="14"/>
  <c r="F26" i="14"/>
  <c r="H26" i="14"/>
  <c r="J26" i="14"/>
  <c r="L26" i="14"/>
  <c r="B42" i="14"/>
  <c r="D42" i="14"/>
  <c r="F42" i="14"/>
  <c r="H42" i="14"/>
  <c r="J42" i="14"/>
  <c r="L42" i="14"/>
  <c r="B58" i="14"/>
  <c r="D58" i="14"/>
  <c r="F58" i="14"/>
  <c r="H58" i="14"/>
  <c r="J58" i="14"/>
  <c r="L58" i="14"/>
  <c r="H74" i="14"/>
  <c r="J74" i="14"/>
  <c r="L74" i="14"/>
  <c r="B82" i="14"/>
  <c r="D82" i="14"/>
  <c r="F82" i="14"/>
  <c r="H82" i="14"/>
  <c r="J82" i="14"/>
  <c r="L82" i="14"/>
  <c r="B98" i="14"/>
  <c r="D98" i="14"/>
  <c r="F98" i="14"/>
  <c r="H98" i="14"/>
  <c r="J98" i="14"/>
  <c r="L98" i="14"/>
  <c r="B115" i="14"/>
  <c r="D115" i="14"/>
  <c r="F115" i="14"/>
  <c r="H115" i="14"/>
  <c r="J115" i="14"/>
  <c r="L115" i="14"/>
  <c r="B131" i="14"/>
  <c r="D131" i="14"/>
  <c r="F131" i="14"/>
  <c r="H131" i="14"/>
  <c r="J131" i="14"/>
  <c r="L131" i="14"/>
  <c r="C131" i="14"/>
  <c r="K131" i="14"/>
  <c r="C123" i="14"/>
  <c r="K123" i="14"/>
  <c r="C115" i="14"/>
  <c r="K115" i="14"/>
  <c r="C107" i="14"/>
  <c r="K107" i="14"/>
  <c r="C98" i="14"/>
  <c r="K98" i="14"/>
  <c r="C90" i="14"/>
  <c r="G90" i="14"/>
  <c r="K90" i="14"/>
  <c r="C82" i="14"/>
  <c r="K82" i="14"/>
  <c r="C74" i="14"/>
  <c r="K74" i="14"/>
  <c r="C66" i="14"/>
  <c r="K66" i="14"/>
  <c r="C58" i="14"/>
  <c r="K58" i="14"/>
  <c r="C50" i="14"/>
  <c r="K50" i="14"/>
  <c r="C42" i="14"/>
  <c r="G42" i="14"/>
  <c r="K42" i="14"/>
  <c r="C34" i="14"/>
  <c r="G34" i="14"/>
  <c r="K34" i="14"/>
  <c r="C26" i="14"/>
  <c r="G26" i="14"/>
  <c r="K26" i="14"/>
  <c r="C18" i="14"/>
  <c r="E18" i="14"/>
  <c r="G18" i="14"/>
  <c r="I18" i="14"/>
  <c r="K18" i="14"/>
  <c r="M18" i="14"/>
  <c r="E186" i="1"/>
  <c r="I186" i="1"/>
  <c r="M186" i="1"/>
  <c r="E187" i="1"/>
  <c r="E71" i="10" s="1"/>
  <c r="I187" i="1"/>
  <c r="I71" i="10" s="1"/>
  <c r="M187" i="1"/>
  <c r="M71" i="10" s="1"/>
  <c r="E188" i="1"/>
  <c r="E72" i="10" s="1"/>
  <c r="I188" i="1"/>
  <c r="I72" i="10" s="1"/>
  <c r="M188" i="1"/>
  <c r="M72" i="10" s="1"/>
  <c r="C190" i="1"/>
  <c r="C74" i="10" s="1"/>
  <c r="G190" i="1"/>
  <c r="G74" i="10" s="1"/>
  <c r="K190" i="1"/>
  <c r="K74" i="10" s="1"/>
  <c r="E178" i="1"/>
  <c r="I178" i="1"/>
  <c r="M178" i="1"/>
  <c r="E179" i="1"/>
  <c r="E63" i="10" s="1"/>
  <c r="I179" i="1"/>
  <c r="I63" i="10" s="1"/>
  <c r="M179" i="1"/>
  <c r="M63" i="10" s="1"/>
  <c r="E180" i="1"/>
  <c r="E64" i="10" s="1"/>
  <c r="I180" i="1"/>
  <c r="I64" i="10" s="1"/>
  <c r="M180" i="1"/>
  <c r="M64" i="10" s="1"/>
  <c r="C182" i="1"/>
  <c r="C66" i="10" s="1"/>
  <c r="G182" i="1"/>
  <c r="G66" i="10" s="1"/>
  <c r="K182" i="1"/>
  <c r="K66" i="10" s="1"/>
  <c r="E170" i="1"/>
  <c r="I170" i="1"/>
  <c r="M170" i="1"/>
  <c r="E171" i="1"/>
  <c r="E55" i="10" s="1"/>
  <c r="I171" i="1"/>
  <c r="I55" i="10" s="1"/>
  <c r="M171" i="1"/>
  <c r="M55" i="10" s="1"/>
  <c r="E172" i="1"/>
  <c r="E56" i="10" s="1"/>
  <c r="I172" i="1"/>
  <c r="I56" i="10" s="1"/>
  <c r="M172" i="1"/>
  <c r="M56" i="10" s="1"/>
  <c r="C174" i="1"/>
  <c r="C58" i="10" s="1"/>
  <c r="G174" i="1"/>
  <c r="G58" i="10" s="1"/>
  <c r="K174" i="1"/>
  <c r="K58" i="10" s="1"/>
  <c r="E162" i="1"/>
  <c r="I162" i="1"/>
  <c r="M162" i="1"/>
  <c r="E163" i="1"/>
  <c r="E47" i="10" s="1"/>
  <c r="I163" i="1"/>
  <c r="I47" i="10" s="1"/>
  <c r="M163" i="1"/>
  <c r="M47" i="10" s="1"/>
  <c r="E164" i="1"/>
  <c r="E48" i="10" s="1"/>
  <c r="I164" i="1"/>
  <c r="I48" i="10" s="1"/>
  <c r="M164" i="1"/>
  <c r="M48" i="10" s="1"/>
  <c r="C166" i="1"/>
  <c r="C50" i="10" s="1"/>
  <c r="G166" i="1"/>
  <c r="G50" i="10" s="1"/>
  <c r="K166" i="1"/>
  <c r="K50" i="10" s="1"/>
  <c r="E154" i="1"/>
  <c r="I154" i="1"/>
  <c r="M154" i="1"/>
  <c r="E155" i="1"/>
  <c r="E39" i="10" s="1"/>
  <c r="I155" i="1"/>
  <c r="I39" i="10" s="1"/>
  <c r="M155" i="1"/>
  <c r="M39" i="10" s="1"/>
  <c r="E156" i="1"/>
  <c r="E40" i="10" s="1"/>
  <c r="I156" i="1"/>
  <c r="I40" i="10" s="1"/>
  <c r="M156" i="1"/>
  <c r="M40" i="10" s="1"/>
  <c r="C158" i="1"/>
  <c r="C42" i="10" s="1"/>
  <c r="G158" i="1"/>
  <c r="G42" i="10" s="1"/>
  <c r="K158" i="1"/>
  <c r="K42" i="10" s="1"/>
  <c r="E146" i="1"/>
  <c r="I146" i="1"/>
  <c r="M146" i="1"/>
  <c r="E147" i="1"/>
  <c r="E31" i="10" s="1"/>
  <c r="I147" i="1"/>
  <c r="I31" i="10" s="1"/>
  <c r="M147" i="1"/>
  <c r="M31" i="10" s="1"/>
  <c r="E148" i="1"/>
  <c r="E32" i="10" s="1"/>
  <c r="I148" i="1"/>
  <c r="I32" i="10" s="1"/>
  <c r="M148" i="1"/>
  <c r="M32" i="10" s="1"/>
  <c r="C150" i="1"/>
  <c r="C34" i="10" s="1"/>
  <c r="G150" i="1"/>
  <c r="G34" i="10" s="1"/>
  <c r="K150" i="1"/>
  <c r="K34" i="10" s="1"/>
  <c r="E138" i="1"/>
  <c r="I138" i="1"/>
  <c r="M138" i="1"/>
  <c r="E139" i="1"/>
  <c r="E23" i="10" s="1"/>
  <c r="I139" i="1"/>
  <c r="I23" i="10" s="1"/>
  <c r="M139" i="1"/>
  <c r="M23" i="10" s="1"/>
  <c r="E140" i="1"/>
  <c r="E24" i="10" s="1"/>
  <c r="I140" i="1"/>
  <c r="I24" i="10" s="1"/>
  <c r="M140" i="1"/>
  <c r="M24" i="10" s="1"/>
  <c r="C142" i="1"/>
  <c r="C26" i="10" s="1"/>
  <c r="G142" i="1"/>
  <c r="G26" i="10" s="1"/>
  <c r="K142" i="1"/>
  <c r="K26" i="10" s="1"/>
  <c r="E130" i="1"/>
  <c r="I130" i="1"/>
  <c r="M130" i="1"/>
  <c r="E131" i="1"/>
  <c r="E15" i="10" s="1"/>
  <c r="I131" i="1"/>
  <c r="I15" i="10" s="1"/>
  <c r="M131" i="1"/>
  <c r="M15" i="10" s="1"/>
  <c r="E132" i="1"/>
  <c r="E16" i="10" s="1"/>
  <c r="I132" i="1"/>
  <c r="I16" i="10" s="1"/>
  <c r="M132" i="1"/>
  <c r="M16" i="10" s="1"/>
  <c r="C134" i="1"/>
  <c r="C18" i="10" s="1"/>
  <c r="G134" i="1"/>
  <c r="G18" i="10" s="1"/>
  <c r="K134" i="1"/>
  <c r="K18" i="10" s="1"/>
  <c r="E126" i="1"/>
  <c r="E10" i="10" s="1"/>
  <c r="I126" i="1"/>
  <c r="I10" i="10" s="1"/>
  <c r="M126" i="1"/>
  <c r="M10" i="10" s="1"/>
  <c r="H42" i="2"/>
  <c r="L42" i="2"/>
  <c r="H43" i="2"/>
  <c r="L43" i="2"/>
  <c r="P43" i="2"/>
  <c r="H44" i="2"/>
  <c r="L44" i="2"/>
  <c r="P44" i="2"/>
  <c r="H45" i="2"/>
  <c r="L45" i="2"/>
  <c r="P45" i="2"/>
  <c r="H46" i="2"/>
  <c r="L46" i="2"/>
  <c r="P46" i="2"/>
  <c r="D48" i="2"/>
  <c r="N36" i="2"/>
  <c r="L32" i="2"/>
  <c r="P32" i="2"/>
  <c r="J19" i="2"/>
  <c r="R19" i="2"/>
  <c r="H14" i="2"/>
  <c r="P14" i="2"/>
  <c r="P16" i="2"/>
  <c r="P18" i="2"/>
  <c r="J25" i="2"/>
  <c r="H30" i="2"/>
  <c r="L30" i="2"/>
  <c r="P30" i="2"/>
  <c r="H31" i="2"/>
  <c r="L31" i="2"/>
  <c r="P31" i="2"/>
  <c r="E18" i="2"/>
  <c r="L19" i="2"/>
  <c r="C14" i="2"/>
  <c r="C19" i="2" s="1"/>
  <c r="H15" i="2"/>
  <c r="H19" i="2" s="1"/>
  <c r="P15" i="2"/>
  <c r="P19" i="2" s="1"/>
  <c r="C16" i="2"/>
  <c r="N16" i="2"/>
  <c r="N19" i="2" s="1"/>
  <c r="D19" i="2"/>
  <c r="C22" i="2"/>
  <c r="C25" i="2" s="1"/>
  <c r="D25" i="2"/>
  <c r="H32" i="2"/>
  <c r="H33" i="2"/>
  <c r="L33" i="2"/>
  <c r="P33" i="2"/>
  <c r="H34" i="2"/>
  <c r="L34" i="2"/>
  <c r="P34" i="2"/>
  <c r="F25" i="2"/>
  <c r="D36" i="2"/>
  <c r="R22" i="2"/>
  <c r="R25" i="2" s="1"/>
  <c r="N22" i="2"/>
  <c r="N25" i="2" s="1"/>
  <c r="F18" i="2"/>
  <c r="E22" i="2"/>
  <c r="H22" i="2"/>
  <c r="L22" i="2"/>
  <c r="P22" i="2"/>
  <c r="E23" i="2"/>
  <c r="H23" i="2"/>
  <c r="L23" i="2"/>
  <c r="P23" i="2"/>
  <c r="E24" i="2"/>
  <c r="F10" i="2"/>
  <c r="E4" i="2"/>
  <c r="C5" i="2"/>
  <c r="E6" i="2"/>
  <c r="C7" i="2"/>
  <c r="E639" i="1"/>
  <c r="E207" i="33" s="1"/>
  <c r="I639" i="1"/>
  <c r="I207" i="33" s="1"/>
  <c r="M639" i="1"/>
  <c r="M207" i="33" s="1"/>
  <c r="E640" i="1"/>
  <c r="E208" i="33" s="1"/>
  <c r="I640" i="1"/>
  <c r="I208" i="33" s="1"/>
  <c r="M640" i="1"/>
  <c r="M208" i="33" s="1"/>
  <c r="E641" i="1"/>
  <c r="E209" i="33" s="1"/>
  <c r="I641" i="1"/>
  <c r="I209" i="33" s="1"/>
  <c r="M641" i="1"/>
  <c r="M209" i="33" s="1"/>
  <c r="E642" i="1"/>
  <c r="E210" i="33" s="1"/>
  <c r="I642" i="1"/>
  <c r="I210" i="33" s="1"/>
  <c r="M642" i="1"/>
  <c r="M210" i="33" s="1"/>
  <c r="C644" i="1"/>
  <c r="C212" i="33" s="1"/>
  <c r="G644" i="1"/>
  <c r="G212" i="33" s="1"/>
  <c r="K644" i="1"/>
  <c r="K212" i="33" s="1"/>
  <c r="O631" i="1"/>
  <c r="O199" i="33" s="1"/>
  <c r="E630" i="1"/>
  <c r="E198" i="33" s="1"/>
  <c r="I630" i="1"/>
  <c r="I198" i="33" s="1"/>
  <c r="M630" i="1"/>
  <c r="M198" i="33" s="1"/>
  <c r="E631" i="1"/>
  <c r="E199" i="33" s="1"/>
  <c r="I631" i="1"/>
  <c r="I199" i="33" s="1"/>
  <c r="M631" i="1"/>
  <c r="M199" i="33" s="1"/>
  <c r="E632" i="1"/>
  <c r="E200" i="33" s="1"/>
  <c r="I632" i="1"/>
  <c r="I200" i="33" s="1"/>
  <c r="M632" i="1"/>
  <c r="M200" i="33" s="1"/>
  <c r="E633" i="1"/>
  <c r="E201" i="33" s="1"/>
  <c r="I633" i="1"/>
  <c r="I201" i="33" s="1"/>
  <c r="M633" i="1"/>
  <c r="M201" i="33" s="1"/>
  <c r="C635" i="1"/>
  <c r="C203" i="33" s="1"/>
  <c r="G635" i="1"/>
  <c r="G203" i="33" s="1"/>
  <c r="K635" i="1"/>
  <c r="K203" i="33" s="1"/>
  <c r="E621" i="1"/>
  <c r="E189" i="33" s="1"/>
  <c r="I621" i="1"/>
  <c r="I189" i="33" s="1"/>
  <c r="M621" i="1"/>
  <c r="M189" i="33" s="1"/>
  <c r="E622" i="1"/>
  <c r="E190" i="33" s="1"/>
  <c r="I622" i="1"/>
  <c r="I190" i="33" s="1"/>
  <c r="M622" i="1"/>
  <c r="M190" i="33" s="1"/>
  <c r="E623" i="1"/>
  <c r="E191" i="33" s="1"/>
  <c r="I623" i="1"/>
  <c r="I191" i="33" s="1"/>
  <c r="M623" i="1"/>
  <c r="M191" i="33" s="1"/>
  <c r="E624" i="1"/>
  <c r="E192" i="33" s="1"/>
  <c r="I624" i="1"/>
  <c r="I192" i="33" s="1"/>
  <c r="M624" i="1"/>
  <c r="M192" i="33" s="1"/>
  <c r="C626" i="1"/>
  <c r="C194" i="33" s="1"/>
  <c r="G626" i="1"/>
  <c r="G194" i="33" s="1"/>
  <c r="K626" i="1"/>
  <c r="K194" i="33" s="1"/>
  <c r="E612" i="1"/>
  <c r="E180" i="33" s="1"/>
  <c r="I612" i="1"/>
  <c r="I180" i="33" s="1"/>
  <c r="M612" i="1"/>
  <c r="M180" i="33" s="1"/>
  <c r="E613" i="1"/>
  <c r="E181" i="33" s="1"/>
  <c r="I613" i="1"/>
  <c r="I181" i="33" s="1"/>
  <c r="M613" i="1"/>
  <c r="M181" i="33" s="1"/>
  <c r="E614" i="1"/>
  <c r="E182" i="33" s="1"/>
  <c r="I614" i="1"/>
  <c r="I182" i="33" s="1"/>
  <c r="M614" i="1"/>
  <c r="M182" i="33" s="1"/>
  <c r="E615" i="1"/>
  <c r="E183" i="33" s="1"/>
  <c r="I615" i="1"/>
  <c r="I183" i="33" s="1"/>
  <c r="M615" i="1"/>
  <c r="M183" i="33" s="1"/>
  <c r="C617" i="1"/>
  <c r="C185" i="33" s="1"/>
  <c r="G617" i="1"/>
  <c r="G185" i="33" s="1"/>
  <c r="K617" i="1"/>
  <c r="K185" i="33" s="1"/>
  <c r="E603" i="1"/>
  <c r="E171" i="33" s="1"/>
  <c r="I603" i="1"/>
  <c r="I171" i="33" s="1"/>
  <c r="M603" i="1"/>
  <c r="M171" i="33" s="1"/>
  <c r="E604" i="1"/>
  <c r="E172" i="33" s="1"/>
  <c r="I604" i="1"/>
  <c r="I172" i="33" s="1"/>
  <c r="M604" i="1"/>
  <c r="M172" i="33" s="1"/>
  <c r="E605" i="1"/>
  <c r="E173" i="33" s="1"/>
  <c r="I605" i="1"/>
  <c r="I173" i="33" s="1"/>
  <c r="M605" i="1"/>
  <c r="M173" i="33" s="1"/>
  <c r="E606" i="1"/>
  <c r="E174" i="33" s="1"/>
  <c r="I606" i="1"/>
  <c r="I174" i="33" s="1"/>
  <c r="M606" i="1"/>
  <c r="M174" i="33" s="1"/>
  <c r="C608" i="1"/>
  <c r="C176" i="33" s="1"/>
  <c r="G608" i="1"/>
  <c r="G176" i="33" s="1"/>
  <c r="K608" i="1"/>
  <c r="K176" i="33" s="1"/>
  <c r="O595" i="1"/>
  <c r="O163" i="33" s="1"/>
  <c r="E594" i="1"/>
  <c r="E162" i="33" s="1"/>
  <c r="I594" i="1"/>
  <c r="I162" i="33" s="1"/>
  <c r="M594" i="1"/>
  <c r="M162" i="33" s="1"/>
  <c r="E595" i="1"/>
  <c r="E163" i="33" s="1"/>
  <c r="I595" i="1"/>
  <c r="I163" i="33" s="1"/>
  <c r="M595" i="1"/>
  <c r="M163" i="33" s="1"/>
  <c r="E596" i="1"/>
  <c r="E164" i="33" s="1"/>
  <c r="I596" i="1"/>
  <c r="I164" i="33" s="1"/>
  <c r="M596" i="1"/>
  <c r="M164" i="33" s="1"/>
  <c r="E597" i="1"/>
  <c r="E165" i="33" s="1"/>
  <c r="I597" i="1"/>
  <c r="I165" i="33" s="1"/>
  <c r="M597" i="1"/>
  <c r="M165" i="33" s="1"/>
  <c r="C599" i="1"/>
  <c r="C167" i="33" s="1"/>
  <c r="G599" i="1"/>
  <c r="G167" i="33" s="1"/>
  <c r="K599" i="1"/>
  <c r="K167" i="33" s="1"/>
  <c r="O586" i="1"/>
  <c r="O154" i="33" s="1"/>
  <c r="E585" i="1"/>
  <c r="E153" i="33" s="1"/>
  <c r="I585" i="1"/>
  <c r="I153" i="33" s="1"/>
  <c r="M585" i="1"/>
  <c r="M153" i="33" s="1"/>
  <c r="E586" i="1"/>
  <c r="E154" i="33" s="1"/>
  <c r="I586" i="1"/>
  <c r="I154" i="33" s="1"/>
  <c r="M586" i="1"/>
  <c r="M154" i="33" s="1"/>
  <c r="E587" i="1"/>
  <c r="E155" i="33" s="1"/>
  <c r="I587" i="1"/>
  <c r="I155" i="33" s="1"/>
  <c r="M587" i="1"/>
  <c r="M155" i="33" s="1"/>
  <c r="E588" i="1"/>
  <c r="E156" i="33" s="1"/>
  <c r="I588" i="1"/>
  <c r="I156" i="33" s="1"/>
  <c r="M588" i="1"/>
  <c r="M156" i="33" s="1"/>
  <c r="C590" i="1"/>
  <c r="C158" i="33" s="1"/>
  <c r="G590" i="1"/>
  <c r="G158" i="33" s="1"/>
  <c r="K590" i="1"/>
  <c r="K158" i="33" s="1"/>
  <c r="E576" i="1"/>
  <c r="E144" i="33" s="1"/>
  <c r="I576" i="1"/>
  <c r="I144" i="33" s="1"/>
  <c r="M576" i="1"/>
  <c r="M144" i="33" s="1"/>
  <c r="E577" i="1"/>
  <c r="E145" i="33" s="1"/>
  <c r="I577" i="1"/>
  <c r="I145" i="33" s="1"/>
  <c r="M577" i="1"/>
  <c r="M145" i="33" s="1"/>
  <c r="E578" i="1"/>
  <c r="E146" i="33" s="1"/>
  <c r="I578" i="1"/>
  <c r="I146" i="33" s="1"/>
  <c r="M578" i="1"/>
  <c r="M146" i="33" s="1"/>
  <c r="E579" i="1"/>
  <c r="E147" i="33" s="1"/>
  <c r="I579" i="1"/>
  <c r="I147" i="33" s="1"/>
  <c r="M579" i="1"/>
  <c r="M147" i="33" s="1"/>
  <c r="C581" i="1"/>
  <c r="C149" i="33" s="1"/>
  <c r="G581" i="1"/>
  <c r="G149" i="33" s="1"/>
  <c r="K581" i="1"/>
  <c r="K149" i="33" s="1"/>
  <c r="N581" i="1"/>
  <c r="O568" i="1"/>
  <c r="O136" i="33" s="1"/>
  <c r="E567" i="1"/>
  <c r="E135" i="33" s="1"/>
  <c r="I567" i="1"/>
  <c r="I135" i="33" s="1"/>
  <c r="M567" i="1"/>
  <c r="M135" i="33" s="1"/>
  <c r="E568" i="1"/>
  <c r="E136" i="33" s="1"/>
  <c r="I568" i="1"/>
  <c r="I136" i="33" s="1"/>
  <c r="M568" i="1"/>
  <c r="M136" i="33" s="1"/>
  <c r="E569" i="1"/>
  <c r="E137" i="33" s="1"/>
  <c r="I569" i="1"/>
  <c r="I137" i="33" s="1"/>
  <c r="M569" i="1"/>
  <c r="M137" i="33" s="1"/>
  <c r="E570" i="1"/>
  <c r="E138" i="33" s="1"/>
  <c r="I570" i="1"/>
  <c r="I138" i="33" s="1"/>
  <c r="M570" i="1"/>
  <c r="M138" i="33" s="1"/>
  <c r="C572" i="1"/>
  <c r="C140" i="33" s="1"/>
  <c r="G572" i="1"/>
  <c r="G140" i="33" s="1"/>
  <c r="K572" i="1"/>
  <c r="K140" i="33" s="1"/>
  <c r="O559" i="1"/>
  <c r="O127" i="33" s="1"/>
  <c r="E558" i="1"/>
  <c r="E126" i="33" s="1"/>
  <c r="I558" i="1"/>
  <c r="I126" i="33" s="1"/>
  <c r="M558" i="1"/>
  <c r="M126" i="33" s="1"/>
  <c r="E559" i="1"/>
  <c r="E127" i="33" s="1"/>
  <c r="I559" i="1"/>
  <c r="I127" i="33" s="1"/>
  <c r="M559" i="1"/>
  <c r="M127" i="33" s="1"/>
  <c r="E560" i="1"/>
  <c r="E128" i="33" s="1"/>
  <c r="I560" i="1"/>
  <c r="I128" i="33" s="1"/>
  <c r="M560" i="1"/>
  <c r="M128" i="33" s="1"/>
  <c r="E561" i="1"/>
  <c r="E129" i="33" s="1"/>
  <c r="I561" i="1"/>
  <c r="I129" i="33" s="1"/>
  <c r="M561" i="1"/>
  <c r="M129" i="33" s="1"/>
  <c r="C563" i="1"/>
  <c r="C131" i="33" s="1"/>
  <c r="G563" i="1"/>
  <c r="G131" i="33" s="1"/>
  <c r="K563" i="1"/>
  <c r="K131" i="33" s="1"/>
  <c r="E549" i="1"/>
  <c r="E117" i="33" s="1"/>
  <c r="I549" i="1"/>
  <c r="I117" i="33" s="1"/>
  <c r="M549" i="1"/>
  <c r="M117" i="33" s="1"/>
  <c r="E550" i="1"/>
  <c r="E118" i="33" s="1"/>
  <c r="I550" i="1"/>
  <c r="I118" i="33" s="1"/>
  <c r="M550" i="1"/>
  <c r="M118" i="33" s="1"/>
  <c r="E551" i="1"/>
  <c r="E119" i="33" s="1"/>
  <c r="I551" i="1"/>
  <c r="I119" i="33" s="1"/>
  <c r="M551" i="1"/>
  <c r="M119" i="33" s="1"/>
  <c r="E552" i="1"/>
  <c r="E120" i="33" s="1"/>
  <c r="I552" i="1"/>
  <c r="I120" i="33" s="1"/>
  <c r="M552" i="1"/>
  <c r="M120" i="33" s="1"/>
  <c r="C554" i="1"/>
  <c r="C122" i="33" s="1"/>
  <c r="G554" i="1"/>
  <c r="G122" i="33" s="1"/>
  <c r="K554" i="1"/>
  <c r="K122" i="33" s="1"/>
  <c r="N554" i="1"/>
  <c r="E540" i="1"/>
  <c r="E108" i="33" s="1"/>
  <c r="I540" i="1"/>
  <c r="I108" i="33" s="1"/>
  <c r="M540" i="1"/>
  <c r="M108" i="33" s="1"/>
  <c r="E541" i="1"/>
  <c r="E109" i="33" s="1"/>
  <c r="I541" i="1"/>
  <c r="I109" i="33" s="1"/>
  <c r="M541" i="1"/>
  <c r="M109" i="33" s="1"/>
  <c r="E542" i="1"/>
  <c r="E110" i="33" s="1"/>
  <c r="I542" i="1"/>
  <c r="I110" i="33" s="1"/>
  <c r="M542" i="1"/>
  <c r="M110" i="33" s="1"/>
  <c r="E543" i="1"/>
  <c r="E111" i="33" s="1"/>
  <c r="I543" i="1"/>
  <c r="I111" i="33" s="1"/>
  <c r="M543" i="1"/>
  <c r="M111" i="33" s="1"/>
  <c r="C545" i="1"/>
  <c r="C113" i="33" s="1"/>
  <c r="G545" i="1"/>
  <c r="G113" i="33" s="1"/>
  <c r="K545" i="1"/>
  <c r="K113" i="33" s="1"/>
  <c r="N545" i="1"/>
  <c r="E536" i="1"/>
  <c r="E104" i="33" s="1"/>
  <c r="I536" i="1"/>
  <c r="I104" i="33" s="1"/>
  <c r="M536" i="1"/>
  <c r="M104" i="33" s="1"/>
  <c r="O532" i="1"/>
  <c r="O100" i="33" s="1"/>
  <c r="E522" i="1"/>
  <c r="E90" i="33" s="1"/>
  <c r="I522" i="1"/>
  <c r="I90" i="33" s="1"/>
  <c r="M522" i="1"/>
  <c r="M90" i="33" s="1"/>
  <c r="E523" i="1"/>
  <c r="E91" i="33" s="1"/>
  <c r="I523" i="1"/>
  <c r="I91" i="33" s="1"/>
  <c r="M523" i="1"/>
  <c r="M91" i="33" s="1"/>
  <c r="E524" i="1"/>
  <c r="E92" i="33" s="1"/>
  <c r="I524" i="1"/>
  <c r="I92" i="33" s="1"/>
  <c r="M524" i="1"/>
  <c r="M92" i="33" s="1"/>
  <c r="E525" i="1"/>
  <c r="E93" i="33" s="1"/>
  <c r="I525" i="1"/>
  <c r="I93" i="33" s="1"/>
  <c r="M525" i="1"/>
  <c r="M93" i="33" s="1"/>
  <c r="C527" i="1"/>
  <c r="C95" i="33" s="1"/>
  <c r="G527" i="1"/>
  <c r="G95" i="33" s="1"/>
  <c r="K527" i="1"/>
  <c r="K95" i="33" s="1"/>
  <c r="O523" i="1"/>
  <c r="O91" i="33" s="1"/>
  <c r="E513" i="1"/>
  <c r="E81" i="33" s="1"/>
  <c r="I513" i="1"/>
  <c r="I81" i="33" s="1"/>
  <c r="M513" i="1"/>
  <c r="M81" i="33" s="1"/>
  <c r="E514" i="1"/>
  <c r="E82" i="33" s="1"/>
  <c r="I514" i="1"/>
  <c r="I82" i="33" s="1"/>
  <c r="M514" i="1"/>
  <c r="M82" i="33" s="1"/>
  <c r="E515" i="1"/>
  <c r="E83" i="33" s="1"/>
  <c r="I515" i="1"/>
  <c r="I83" i="33" s="1"/>
  <c r="M515" i="1"/>
  <c r="M83" i="33" s="1"/>
  <c r="E516" i="1"/>
  <c r="E84" i="33" s="1"/>
  <c r="I516" i="1"/>
  <c r="I84" i="33" s="1"/>
  <c r="M516" i="1"/>
  <c r="M84" i="33" s="1"/>
  <c r="C518" i="1"/>
  <c r="C86" i="33" s="1"/>
  <c r="G518" i="1"/>
  <c r="G86" i="33" s="1"/>
  <c r="K518" i="1"/>
  <c r="K86" i="33" s="1"/>
  <c r="O514" i="1"/>
  <c r="O82" i="33" s="1"/>
  <c r="E509" i="1"/>
  <c r="E77" i="33" s="1"/>
  <c r="I509" i="1"/>
  <c r="I77" i="33" s="1"/>
  <c r="M509" i="1"/>
  <c r="M77" i="33" s="1"/>
  <c r="O643" i="1"/>
  <c r="O211" i="33" s="1"/>
  <c r="O642" i="1"/>
  <c r="O210" i="33" s="1"/>
  <c r="O641" i="1"/>
  <c r="O209" i="33" s="1"/>
  <c r="O640" i="1"/>
  <c r="O208" i="33" s="1"/>
  <c r="O639" i="1"/>
  <c r="O207" i="33" s="1"/>
  <c r="O634" i="1"/>
  <c r="O202" i="33" s="1"/>
  <c r="O633" i="1"/>
  <c r="O201" i="33" s="1"/>
  <c r="O632" i="1"/>
  <c r="O200" i="33" s="1"/>
  <c r="O630" i="1"/>
  <c r="O198" i="33" s="1"/>
  <c r="O622" i="1"/>
  <c r="O190" i="33" s="1"/>
  <c r="O625" i="1"/>
  <c r="O193" i="33" s="1"/>
  <c r="O624" i="1"/>
  <c r="O192" i="33" s="1"/>
  <c r="O623" i="1"/>
  <c r="O191" i="33" s="1"/>
  <c r="O621" i="1"/>
  <c r="O189" i="33" s="1"/>
  <c r="O615" i="1"/>
  <c r="O183" i="33" s="1"/>
  <c r="O614" i="1"/>
  <c r="O182" i="33" s="1"/>
  <c r="O613" i="1"/>
  <c r="O181" i="33" s="1"/>
  <c r="O612" i="1"/>
  <c r="O180" i="33" s="1"/>
  <c r="O616" i="1"/>
  <c r="O184" i="33" s="1"/>
  <c r="O604" i="1"/>
  <c r="O172" i="33" s="1"/>
  <c r="O607" i="1"/>
  <c r="O175" i="33" s="1"/>
  <c r="O606" i="1"/>
  <c r="O174" i="33" s="1"/>
  <c r="O605" i="1"/>
  <c r="O173" i="33" s="1"/>
  <c r="O603" i="1"/>
  <c r="O171" i="33" s="1"/>
  <c r="O598" i="1"/>
  <c r="O166" i="33" s="1"/>
  <c r="O597" i="1"/>
  <c r="O165" i="33" s="1"/>
  <c r="O596" i="1"/>
  <c r="O164" i="33" s="1"/>
  <c r="O594" i="1"/>
  <c r="O162" i="33" s="1"/>
  <c r="O589" i="1"/>
  <c r="O157" i="33" s="1"/>
  <c r="O588" i="1"/>
  <c r="O156" i="33" s="1"/>
  <c r="O587" i="1"/>
  <c r="O155" i="33" s="1"/>
  <c r="O585" i="1"/>
  <c r="O153" i="33" s="1"/>
  <c r="O580" i="1"/>
  <c r="O148" i="33" s="1"/>
  <c r="O579" i="1"/>
  <c r="O147" i="33" s="1"/>
  <c r="O578" i="1"/>
  <c r="O146" i="33" s="1"/>
  <c r="O576" i="1"/>
  <c r="O144" i="33" s="1"/>
  <c r="O571" i="1"/>
  <c r="O139" i="33" s="1"/>
  <c r="O570" i="1"/>
  <c r="O138" i="33" s="1"/>
  <c r="O569" i="1"/>
  <c r="O137" i="33" s="1"/>
  <c r="O567" i="1"/>
  <c r="O135" i="33" s="1"/>
  <c r="O562" i="1"/>
  <c r="O130" i="33" s="1"/>
  <c r="O561" i="1"/>
  <c r="O129" i="33" s="1"/>
  <c r="O560" i="1"/>
  <c r="O128" i="33" s="1"/>
  <c r="O558" i="1"/>
  <c r="O126" i="33" s="1"/>
  <c r="O553" i="1"/>
  <c r="O121" i="33" s="1"/>
  <c r="O552" i="1"/>
  <c r="O120" i="33" s="1"/>
  <c r="O551" i="1"/>
  <c r="O119" i="33" s="1"/>
  <c r="O549" i="1"/>
  <c r="O117" i="33" s="1"/>
  <c r="O544" i="1"/>
  <c r="O112" i="33" s="1"/>
  <c r="O542" i="1"/>
  <c r="O110" i="33" s="1"/>
  <c r="O535" i="1"/>
  <c r="O103" i="33" s="1"/>
  <c r="O534" i="1"/>
  <c r="O102" i="33" s="1"/>
  <c r="O533" i="1"/>
  <c r="O101" i="33" s="1"/>
  <c r="O531" i="1"/>
  <c r="O99" i="33" s="1"/>
  <c r="O526" i="1"/>
  <c r="O94" i="33" s="1"/>
  <c r="O525" i="1"/>
  <c r="O93" i="33" s="1"/>
  <c r="O524" i="1"/>
  <c r="O92" i="33" s="1"/>
  <c r="O522" i="1"/>
  <c r="O90" i="33" s="1"/>
  <c r="O517" i="1"/>
  <c r="O85" i="33" s="1"/>
  <c r="O516" i="1"/>
  <c r="O84" i="33" s="1"/>
  <c r="O515" i="1"/>
  <c r="O83" i="33" s="1"/>
  <c r="O513" i="1"/>
  <c r="O81" i="33" s="1"/>
  <c r="N509" i="1"/>
  <c r="E494" i="1"/>
  <c r="E62" i="33" s="1"/>
  <c r="I494" i="1"/>
  <c r="I62" i="33" s="1"/>
  <c r="C495" i="1"/>
  <c r="G495" i="1"/>
  <c r="K495" i="1"/>
  <c r="G498" i="1"/>
  <c r="G66" i="33" s="1"/>
  <c r="E486" i="1"/>
  <c r="I486" i="1"/>
  <c r="C487" i="1"/>
  <c r="C55" i="33" s="1"/>
  <c r="G487" i="1"/>
  <c r="G55" i="33" s="1"/>
  <c r="K487" i="1"/>
  <c r="K55" i="33" s="1"/>
  <c r="G490" i="1"/>
  <c r="G58" i="33" s="1"/>
  <c r="E478" i="1"/>
  <c r="I478" i="1"/>
  <c r="C479" i="1"/>
  <c r="C47" i="33" s="1"/>
  <c r="G479" i="1"/>
  <c r="G47" i="33" s="1"/>
  <c r="K479" i="1"/>
  <c r="K47" i="33" s="1"/>
  <c r="G482" i="1"/>
  <c r="G50" i="33" s="1"/>
  <c r="E470" i="1"/>
  <c r="I470" i="1"/>
  <c r="C471" i="1"/>
  <c r="C39" i="33" s="1"/>
  <c r="G471" i="1"/>
  <c r="G39" i="33" s="1"/>
  <c r="K471" i="1"/>
  <c r="K39" i="33" s="1"/>
  <c r="G474" i="1"/>
  <c r="G42" i="33" s="1"/>
  <c r="E461" i="1"/>
  <c r="I461" i="1"/>
  <c r="C462" i="1"/>
  <c r="C30" i="33" s="1"/>
  <c r="G462" i="1"/>
  <c r="G30" i="33" s="1"/>
  <c r="K462" i="1"/>
  <c r="K30" i="33" s="1"/>
  <c r="G465" i="1"/>
  <c r="G33" i="33" s="1"/>
  <c r="E453" i="1"/>
  <c r="I453" i="1"/>
  <c r="C454" i="1"/>
  <c r="C22" i="33" s="1"/>
  <c r="G454" i="1"/>
  <c r="G22" i="33" s="1"/>
  <c r="K454" i="1"/>
  <c r="K22" i="33" s="1"/>
  <c r="G457" i="1"/>
  <c r="G25" i="33" s="1"/>
  <c r="E445" i="1"/>
  <c r="I445" i="1"/>
  <c r="C446" i="1"/>
  <c r="C14" i="33" s="1"/>
  <c r="G446" i="1"/>
  <c r="G14" i="33" s="1"/>
  <c r="K446" i="1"/>
  <c r="K14" i="33" s="1"/>
  <c r="G449" i="1"/>
  <c r="G17" i="33" s="1"/>
  <c r="E437" i="1"/>
  <c r="I437" i="1"/>
  <c r="C438" i="1"/>
  <c r="C6" i="33" s="1"/>
  <c r="G438" i="1"/>
  <c r="G6" i="33" s="1"/>
  <c r="K438" i="1"/>
  <c r="K6" i="33" s="1"/>
  <c r="G441" i="1"/>
  <c r="G9" i="33" s="1"/>
  <c r="O473" i="1"/>
  <c r="O41" i="33" s="1"/>
  <c r="O472" i="1"/>
  <c r="O40" i="33" s="1"/>
  <c r="O471" i="1"/>
  <c r="O39" i="33" s="1"/>
  <c r="O470" i="1"/>
  <c r="O489" i="1"/>
  <c r="O57" i="33" s="1"/>
  <c r="O488" i="1"/>
  <c r="O56" i="33" s="1"/>
  <c r="O487" i="1"/>
  <c r="O55" i="33" s="1"/>
  <c r="O486" i="1"/>
  <c r="M474" i="1"/>
  <c r="M42" i="33" s="1"/>
  <c r="N482" i="1"/>
  <c r="M490" i="1"/>
  <c r="M58" i="33" s="1"/>
  <c r="N498" i="1"/>
  <c r="M480" i="1"/>
  <c r="M494" i="1"/>
  <c r="M62" i="33" s="1"/>
  <c r="M495" i="1"/>
  <c r="M63" i="33" s="1"/>
  <c r="M496" i="1"/>
  <c r="M64" i="33" s="1"/>
  <c r="O464" i="1"/>
  <c r="O32" i="33" s="1"/>
  <c r="O463" i="1"/>
  <c r="O31" i="33" s="1"/>
  <c r="O462" i="1"/>
  <c r="O30" i="33" s="1"/>
  <c r="O461" i="1"/>
  <c r="M465" i="1"/>
  <c r="M33" i="33" s="1"/>
  <c r="N457" i="1"/>
  <c r="M453" i="1"/>
  <c r="M454" i="1"/>
  <c r="M22" i="33" s="1"/>
  <c r="M455" i="1"/>
  <c r="M23" i="33" s="1"/>
  <c r="O448" i="1"/>
  <c r="O16" i="33" s="1"/>
  <c r="O447" i="1"/>
  <c r="O15" i="33" s="1"/>
  <c r="O446" i="1"/>
  <c r="O14" i="33" s="1"/>
  <c r="O445" i="1"/>
  <c r="M449" i="1"/>
  <c r="M17" i="33" s="1"/>
  <c r="N441" i="1"/>
  <c r="M437" i="1"/>
  <c r="M438" i="1"/>
  <c r="M6" i="33" s="1"/>
  <c r="M439" i="1"/>
  <c r="M7" i="33" s="1"/>
  <c r="E397" i="1"/>
  <c r="E127" i="14" s="1"/>
  <c r="E131" i="14" s="1"/>
  <c r="I397" i="1"/>
  <c r="I127" i="14" s="1"/>
  <c r="I132" i="14" s="1"/>
  <c r="M397" i="1"/>
  <c r="M127" i="14" s="1"/>
  <c r="M131" i="14" s="1"/>
  <c r="E398" i="1"/>
  <c r="E128" i="14" s="1"/>
  <c r="I398" i="1"/>
  <c r="I128" i="14" s="1"/>
  <c r="M398" i="1"/>
  <c r="M128" i="14" s="1"/>
  <c r="E399" i="1"/>
  <c r="E129" i="14" s="1"/>
  <c r="I399" i="1"/>
  <c r="I129" i="14" s="1"/>
  <c r="M399" i="1"/>
  <c r="M129" i="14" s="1"/>
  <c r="E389" i="1"/>
  <c r="E119" i="14" s="1"/>
  <c r="E124" i="14" s="1"/>
  <c r="I389" i="1"/>
  <c r="I119" i="14" s="1"/>
  <c r="M389" i="1"/>
  <c r="M119" i="14" s="1"/>
  <c r="M124" i="14" s="1"/>
  <c r="E390" i="1"/>
  <c r="E120" i="14" s="1"/>
  <c r="I390" i="1"/>
  <c r="I120" i="14" s="1"/>
  <c r="M390" i="1"/>
  <c r="M120" i="14" s="1"/>
  <c r="E391" i="1"/>
  <c r="E121" i="14" s="1"/>
  <c r="I391" i="1"/>
  <c r="I121" i="14" s="1"/>
  <c r="M391" i="1"/>
  <c r="M121" i="14" s="1"/>
  <c r="E381" i="1"/>
  <c r="E111" i="14" s="1"/>
  <c r="E115" i="14" s="1"/>
  <c r="I381" i="1"/>
  <c r="I111" i="14" s="1"/>
  <c r="I116" i="14" s="1"/>
  <c r="M381" i="1"/>
  <c r="M111" i="14" s="1"/>
  <c r="M115" i="14" s="1"/>
  <c r="E382" i="1"/>
  <c r="E112" i="14" s="1"/>
  <c r="I382" i="1"/>
  <c r="I112" i="14" s="1"/>
  <c r="M382" i="1"/>
  <c r="M112" i="14" s="1"/>
  <c r="E383" i="1"/>
  <c r="E113" i="14" s="1"/>
  <c r="I383" i="1"/>
  <c r="I113" i="14" s="1"/>
  <c r="M383" i="1"/>
  <c r="M113" i="14" s="1"/>
  <c r="E373" i="1"/>
  <c r="E103" i="14" s="1"/>
  <c r="E108" i="14" s="1"/>
  <c r="I373" i="1"/>
  <c r="I103" i="14" s="1"/>
  <c r="M373" i="1"/>
  <c r="M103" i="14" s="1"/>
  <c r="M108" i="14" s="1"/>
  <c r="E374" i="1"/>
  <c r="E104" i="14" s="1"/>
  <c r="I374" i="1"/>
  <c r="I104" i="14" s="1"/>
  <c r="M374" i="1"/>
  <c r="M104" i="14" s="1"/>
  <c r="E375" i="1"/>
  <c r="E105" i="14" s="1"/>
  <c r="I375" i="1"/>
  <c r="I105" i="14" s="1"/>
  <c r="M375" i="1"/>
  <c r="M105" i="14" s="1"/>
  <c r="E364" i="1"/>
  <c r="E94" i="14" s="1"/>
  <c r="E98" i="14" s="1"/>
  <c r="I364" i="1"/>
  <c r="I94" i="14" s="1"/>
  <c r="I99" i="14" s="1"/>
  <c r="M364" i="1"/>
  <c r="M94" i="14" s="1"/>
  <c r="M98" i="14" s="1"/>
  <c r="E365" i="1"/>
  <c r="E95" i="14" s="1"/>
  <c r="I365" i="1"/>
  <c r="I95" i="14" s="1"/>
  <c r="M365" i="1"/>
  <c r="M95" i="14" s="1"/>
  <c r="E366" i="1"/>
  <c r="E96" i="14" s="1"/>
  <c r="I366" i="1"/>
  <c r="I96" i="14" s="1"/>
  <c r="M366" i="1"/>
  <c r="M96" i="14" s="1"/>
  <c r="E356" i="1"/>
  <c r="E86" i="14" s="1"/>
  <c r="E91" i="14" s="1"/>
  <c r="I356" i="1"/>
  <c r="I86" i="14" s="1"/>
  <c r="M356" i="1"/>
  <c r="M86" i="14" s="1"/>
  <c r="M91" i="14" s="1"/>
  <c r="E357" i="1"/>
  <c r="E87" i="14" s="1"/>
  <c r="I357" i="1"/>
  <c r="I87" i="14" s="1"/>
  <c r="M357" i="1"/>
  <c r="M87" i="14" s="1"/>
  <c r="E358" i="1"/>
  <c r="E88" i="14" s="1"/>
  <c r="I358" i="1"/>
  <c r="I88" i="14" s="1"/>
  <c r="M358" i="1"/>
  <c r="M88" i="14" s="1"/>
  <c r="E348" i="1"/>
  <c r="E78" i="14" s="1"/>
  <c r="E82" i="14" s="1"/>
  <c r="I348" i="1"/>
  <c r="I78" i="14" s="1"/>
  <c r="I83" i="14" s="1"/>
  <c r="M348" i="1"/>
  <c r="M78" i="14" s="1"/>
  <c r="M82" i="14" s="1"/>
  <c r="E349" i="1"/>
  <c r="E79" i="14" s="1"/>
  <c r="I349" i="1"/>
  <c r="I79" i="14" s="1"/>
  <c r="M349" i="1"/>
  <c r="M79" i="14" s="1"/>
  <c r="E350" i="1"/>
  <c r="E80" i="14" s="1"/>
  <c r="I350" i="1"/>
  <c r="I80" i="14" s="1"/>
  <c r="M350" i="1"/>
  <c r="M80" i="14" s="1"/>
  <c r="E340" i="1"/>
  <c r="E70" i="14" s="1"/>
  <c r="E75" i="14" s="1"/>
  <c r="I340" i="1"/>
  <c r="I70" i="14" s="1"/>
  <c r="M340" i="1"/>
  <c r="M70" i="14" s="1"/>
  <c r="M75" i="14" s="1"/>
  <c r="E341" i="1"/>
  <c r="E71" i="14" s="1"/>
  <c r="I341" i="1"/>
  <c r="I71" i="14" s="1"/>
  <c r="M341" i="1"/>
  <c r="M71" i="14" s="1"/>
  <c r="E342" i="1"/>
  <c r="E72" i="14" s="1"/>
  <c r="I342" i="1"/>
  <c r="I72" i="14" s="1"/>
  <c r="M342" i="1"/>
  <c r="M72" i="14" s="1"/>
  <c r="E332" i="1"/>
  <c r="E62" i="14" s="1"/>
  <c r="E66" i="14" s="1"/>
  <c r="I332" i="1"/>
  <c r="I62" i="14" s="1"/>
  <c r="I67" i="14" s="1"/>
  <c r="M332" i="1"/>
  <c r="M62" i="14" s="1"/>
  <c r="M66" i="14" s="1"/>
  <c r="E333" i="1"/>
  <c r="E63" i="14" s="1"/>
  <c r="I333" i="1"/>
  <c r="I63" i="14" s="1"/>
  <c r="M333" i="1"/>
  <c r="M63" i="14" s="1"/>
  <c r="E334" i="1"/>
  <c r="E64" i="14" s="1"/>
  <c r="I334" i="1"/>
  <c r="I64" i="14" s="1"/>
  <c r="M334" i="1"/>
  <c r="M64" i="14" s="1"/>
  <c r="E324" i="1"/>
  <c r="E54" i="14" s="1"/>
  <c r="E59" i="14" s="1"/>
  <c r="I324" i="1"/>
  <c r="I54" i="14" s="1"/>
  <c r="M324" i="1"/>
  <c r="M54" i="14" s="1"/>
  <c r="M59" i="14" s="1"/>
  <c r="E325" i="1"/>
  <c r="E55" i="14" s="1"/>
  <c r="I325" i="1"/>
  <c r="I55" i="14" s="1"/>
  <c r="M325" i="1"/>
  <c r="M55" i="14" s="1"/>
  <c r="E326" i="1"/>
  <c r="E56" i="14" s="1"/>
  <c r="I326" i="1"/>
  <c r="I56" i="14" s="1"/>
  <c r="M326" i="1"/>
  <c r="M56" i="14" s="1"/>
  <c r="E316" i="1"/>
  <c r="E46" i="14" s="1"/>
  <c r="E50" i="14" s="1"/>
  <c r="I316" i="1"/>
  <c r="I46" i="14" s="1"/>
  <c r="I51" i="14" s="1"/>
  <c r="M316" i="1"/>
  <c r="M46" i="14" s="1"/>
  <c r="M50" i="14" s="1"/>
  <c r="E317" i="1"/>
  <c r="E47" i="14" s="1"/>
  <c r="I317" i="1"/>
  <c r="I47" i="14" s="1"/>
  <c r="M317" i="1"/>
  <c r="M47" i="14" s="1"/>
  <c r="E318" i="1"/>
  <c r="E48" i="14" s="1"/>
  <c r="I318" i="1"/>
  <c r="I48" i="14" s="1"/>
  <c r="M318" i="1"/>
  <c r="M48" i="14" s="1"/>
  <c r="E308" i="1"/>
  <c r="E38" i="14" s="1"/>
  <c r="E43" i="14" s="1"/>
  <c r="I308" i="1"/>
  <c r="I38" i="14" s="1"/>
  <c r="M308" i="1"/>
  <c r="M38" i="14" s="1"/>
  <c r="M43" i="14" s="1"/>
  <c r="E309" i="1"/>
  <c r="E39" i="14" s="1"/>
  <c r="I309" i="1"/>
  <c r="I39" i="14" s="1"/>
  <c r="M309" i="1"/>
  <c r="M39" i="14" s="1"/>
  <c r="E310" i="1"/>
  <c r="E40" i="14" s="1"/>
  <c r="I310" i="1"/>
  <c r="I40" i="14" s="1"/>
  <c r="M310" i="1"/>
  <c r="M40" i="14" s="1"/>
  <c r="E300" i="1"/>
  <c r="E30" i="14" s="1"/>
  <c r="E34" i="14" s="1"/>
  <c r="I300" i="1"/>
  <c r="I30" i="14" s="1"/>
  <c r="I35" i="14" s="1"/>
  <c r="M300" i="1"/>
  <c r="M30" i="14" s="1"/>
  <c r="M34" i="14" s="1"/>
  <c r="E301" i="1"/>
  <c r="E31" i="14" s="1"/>
  <c r="I301" i="1"/>
  <c r="I31" i="14" s="1"/>
  <c r="M301" i="1"/>
  <c r="M31" i="14" s="1"/>
  <c r="E302" i="1"/>
  <c r="E32" i="14" s="1"/>
  <c r="I302" i="1"/>
  <c r="I32" i="14" s="1"/>
  <c r="M302" i="1"/>
  <c r="M32" i="14" s="1"/>
  <c r="E292" i="1"/>
  <c r="E22" i="14" s="1"/>
  <c r="E27" i="14" s="1"/>
  <c r="I292" i="1"/>
  <c r="I22" i="14" s="1"/>
  <c r="M292" i="1"/>
  <c r="M22" i="14" s="1"/>
  <c r="M27" i="14" s="1"/>
  <c r="E293" i="1"/>
  <c r="E23" i="14" s="1"/>
  <c r="I293" i="1"/>
  <c r="I23" i="14" s="1"/>
  <c r="M293" i="1"/>
  <c r="M23" i="14" s="1"/>
  <c r="E294" i="1"/>
  <c r="E24" i="14" s="1"/>
  <c r="I294" i="1"/>
  <c r="I24" i="14" s="1"/>
  <c r="M294" i="1"/>
  <c r="M24" i="14" s="1"/>
  <c r="E276" i="1"/>
  <c r="E6" i="14" s="1"/>
  <c r="I276" i="1"/>
  <c r="I6" i="14" s="1"/>
  <c r="M276" i="1"/>
  <c r="M6" i="14" s="1"/>
  <c r="E277" i="1"/>
  <c r="E7" i="14" s="1"/>
  <c r="I277" i="1"/>
  <c r="I7" i="14" s="1"/>
  <c r="M277" i="1"/>
  <c r="M7" i="14" s="1"/>
  <c r="E278" i="1"/>
  <c r="E8" i="14" s="1"/>
  <c r="I278" i="1"/>
  <c r="I8" i="14" s="1"/>
  <c r="M278" i="1"/>
  <c r="M8" i="14" s="1"/>
  <c r="E267" i="1"/>
  <c r="E78" i="13" s="1"/>
  <c r="E83" i="13" s="1"/>
  <c r="I267" i="1"/>
  <c r="I78" i="13" s="1"/>
  <c r="M267" i="1"/>
  <c r="M78" i="13" s="1"/>
  <c r="M83" i="13" s="1"/>
  <c r="E268" i="1"/>
  <c r="E79" i="13" s="1"/>
  <c r="I268" i="1"/>
  <c r="I79" i="13" s="1"/>
  <c r="M268" i="1"/>
  <c r="M79" i="13" s="1"/>
  <c r="E269" i="1"/>
  <c r="E80" i="13" s="1"/>
  <c r="I269" i="1"/>
  <c r="I80" i="13" s="1"/>
  <c r="M269" i="1"/>
  <c r="M80" i="13" s="1"/>
  <c r="E259" i="1"/>
  <c r="E70" i="13" s="1"/>
  <c r="I259" i="1"/>
  <c r="I70" i="13" s="1"/>
  <c r="I75" i="13" s="1"/>
  <c r="M259" i="1"/>
  <c r="M70" i="13" s="1"/>
  <c r="E260" i="1"/>
  <c r="E71" i="13" s="1"/>
  <c r="I260" i="1"/>
  <c r="I71" i="13" s="1"/>
  <c r="M260" i="1"/>
  <c r="M71" i="13" s="1"/>
  <c r="E261" i="1"/>
  <c r="E72" i="13" s="1"/>
  <c r="I261" i="1"/>
  <c r="I72" i="13" s="1"/>
  <c r="M261" i="1"/>
  <c r="M72" i="13" s="1"/>
  <c r="E251" i="1"/>
  <c r="E62" i="13" s="1"/>
  <c r="E67" i="13" s="1"/>
  <c r="I251" i="1"/>
  <c r="I62" i="13" s="1"/>
  <c r="M251" i="1"/>
  <c r="M62" i="13" s="1"/>
  <c r="M67" i="13" s="1"/>
  <c r="E252" i="1"/>
  <c r="E63" i="13" s="1"/>
  <c r="I252" i="1"/>
  <c r="I63" i="13" s="1"/>
  <c r="M252" i="1"/>
  <c r="M63" i="13" s="1"/>
  <c r="E253" i="1"/>
  <c r="E64" i="13" s="1"/>
  <c r="I253" i="1"/>
  <c r="I64" i="13" s="1"/>
  <c r="M253" i="1"/>
  <c r="M64" i="13" s="1"/>
  <c r="E243" i="1"/>
  <c r="E54" i="13" s="1"/>
  <c r="I243" i="1"/>
  <c r="I54" i="13" s="1"/>
  <c r="I59" i="13" s="1"/>
  <c r="M243" i="1"/>
  <c r="M54" i="13" s="1"/>
  <c r="E244" i="1"/>
  <c r="E55" i="13" s="1"/>
  <c r="I244" i="1"/>
  <c r="I55" i="13" s="1"/>
  <c r="M244" i="1"/>
  <c r="M55" i="13" s="1"/>
  <c r="E245" i="1"/>
  <c r="E56" i="13" s="1"/>
  <c r="I245" i="1"/>
  <c r="I56" i="13" s="1"/>
  <c r="M245" i="1"/>
  <c r="M56" i="13" s="1"/>
  <c r="E235" i="1"/>
  <c r="E46" i="13" s="1"/>
  <c r="E51" i="13" s="1"/>
  <c r="I235" i="1"/>
  <c r="I46" i="13" s="1"/>
  <c r="M235" i="1"/>
  <c r="M46" i="13" s="1"/>
  <c r="M51" i="13" s="1"/>
  <c r="E236" i="1"/>
  <c r="E47" i="13" s="1"/>
  <c r="I236" i="1"/>
  <c r="I47" i="13" s="1"/>
  <c r="M236" i="1"/>
  <c r="M47" i="13" s="1"/>
  <c r="E237" i="1"/>
  <c r="E48" i="13" s="1"/>
  <c r="I237" i="1"/>
  <c r="I48" i="13" s="1"/>
  <c r="M237" i="1"/>
  <c r="M48" i="13" s="1"/>
  <c r="E227" i="1"/>
  <c r="E38" i="13" s="1"/>
  <c r="I227" i="1"/>
  <c r="I38" i="13" s="1"/>
  <c r="I43" i="13" s="1"/>
  <c r="M227" i="1"/>
  <c r="M38" i="13" s="1"/>
  <c r="E228" i="1"/>
  <c r="E39" i="13" s="1"/>
  <c r="I228" i="1"/>
  <c r="I39" i="13" s="1"/>
  <c r="M228" i="1"/>
  <c r="M39" i="13" s="1"/>
  <c r="E229" i="1"/>
  <c r="E40" i="13" s="1"/>
  <c r="I229" i="1"/>
  <c r="I40" i="13" s="1"/>
  <c r="M229" i="1"/>
  <c r="M40" i="13" s="1"/>
  <c r="E219" i="1"/>
  <c r="E30" i="13" s="1"/>
  <c r="E35" i="13" s="1"/>
  <c r="I219" i="1"/>
  <c r="I30" i="13" s="1"/>
  <c r="M219" i="1"/>
  <c r="M30" i="13" s="1"/>
  <c r="M35" i="13" s="1"/>
  <c r="E220" i="1"/>
  <c r="E31" i="13" s="1"/>
  <c r="I220" i="1"/>
  <c r="I31" i="13" s="1"/>
  <c r="M220" i="1"/>
  <c r="M31" i="13" s="1"/>
  <c r="E221" i="1"/>
  <c r="E32" i="13" s="1"/>
  <c r="I221" i="1"/>
  <c r="I32" i="13" s="1"/>
  <c r="M221" i="1"/>
  <c r="M32" i="13" s="1"/>
  <c r="E211" i="1"/>
  <c r="E22" i="13" s="1"/>
  <c r="I211" i="1"/>
  <c r="I22" i="13" s="1"/>
  <c r="I27" i="13" s="1"/>
  <c r="M211" i="1"/>
  <c r="M22" i="13" s="1"/>
  <c r="E212" i="1"/>
  <c r="E23" i="13" s="1"/>
  <c r="I212" i="1"/>
  <c r="I23" i="13" s="1"/>
  <c r="M212" i="1"/>
  <c r="M23" i="13" s="1"/>
  <c r="E213" i="1"/>
  <c r="E24" i="13" s="1"/>
  <c r="I213" i="1"/>
  <c r="I24" i="13" s="1"/>
  <c r="M213" i="1"/>
  <c r="M24" i="13" s="1"/>
  <c r="E203" i="1"/>
  <c r="E14" i="13" s="1"/>
  <c r="E19" i="13" s="1"/>
  <c r="I203" i="1"/>
  <c r="I14" i="13" s="1"/>
  <c r="M203" i="1"/>
  <c r="M14" i="13" s="1"/>
  <c r="M19" i="13" s="1"/>
  <c r="E204" i="1"/>
  <c r="E15" i="13" s="1"/>
  <c r="I204" i="1"/>
  <c r="I15" i="13" s="1"/>
  <c r="M204" i="1"/>
  <c r="M15" i="13" s="1"/>
  <c r="E205" i="1"/>
  <c r="E16" i="13" s="1"/>
  <c r="I205" i="1"/>
  <c r="I16" i="13" s="1"/>
  <c r="M205" i="1"/>
  <c r="M16" i="13" s="1"/>
  <c r="G93" i="1"/>
  <c r="G18" i="4" s="1"/>
  <c r="G101" i="1"/>
  <c r="G26" i="4" s="1"/>
  <c r="C101" i="1"/>
  <c r="C26" i="4" s="1"/>
  <c r="K101" i="1"/>
  <c r="K26" i="4" s="1"/>
  <c r="E94" i="1"/>
  <c r="E19" i="4" s="1"/>
  <c r="I94" i="1"/>
  <c r="I19" i="4" s="1"/>
  <c r="M93" i="1"/>
  <c r="M18" i="4" s="1"/>
  <c r="C99" i="1"/>
  <c r="C24" i="4" s="1"/>
  <c r="G99" i="1"/>
  <c r="G24" i="4" s="1"/>
  <c r="K99" i="1"/>
  <c r="K24" i="4" s="1"/>
  <c r="N84" i="1"/>
  <c r="N96" i="1"/>
  <c r="E93" i="1"/>
  <c r="I93" i="1"/>
  <c r="M92" i="1"/>
  <c r="N103" i="1"/>
  <c r="C100" i="1"/>
  <c r="C25" i="4" s="1"/>
  <c r="E100" i="1"/>
  <c r="E25" i="4" s="1"/>
  <c r="E102" i="1"/>
  <c r="E27" i="4" s="1"/>
  <c r="G100" i="1"/>
  <c r="G25" i="4" s="1"/>
  <c r="I100" i="1"/>
  <c r="I25" i="4" s="1"/>
  <c r="I102" i="1"/>
  <c r="I27" i="4" s="1"/>
  <c r="K100" i="1"/>
  <c r="K25" i="4" s="1"/>
  <c r="M100" i="1"/>
  <c r="M25" i="4" s="1"/>
  <c r="M102" i="1"/>
  <c r="M27" i="4" s="1"/>
  <c r="O95" i="1"/>
  <c r="O20" i="4" s="1"/>
  <c r="E99" i="1"/>
  <c r="E24" i="4" s="1"/>
  <c r="I99" i="1"/>
  <c r="I24" i="4" s="1"/>
  <c r="M99" i="1"/>
  <c r="M24" i="4" s="1"/>
  <c r="C92" i="1"/>
  <c r="C17" i="4" s="1"/>
  <c r="C95" i="1"/>
  <c r="C20" i="4" s="1"/>
  <c r="C94" i="1"/>
  <c r="C19" i="4" s="1"/>
  <c r="G92" i="1"/>
  <c r="G17" i="4" s="1"/>
  <c r="K92" i="1"/>
  <c r="G96" i="1"/>
  <c r="G21" i="4" s="1"/>
  <c r="C82" i="1"/>
  <c r="C34" i="3" s="1"/>
  <c r="I54" i="1"/>
  <c r="C81" i="1"/>
  <c r="K82" i="1"/>
  <c r="K34" i="3" s="1"/>
  <c r="G82" i="1"/>
  <c r="G34" i="3" s="1"/>
  <c r="I58" i="1"/>
  <c r="I9" i="3" s="1"/>
  <c r="C75" i="1"/>
  <c r="C27" i="3" s="1"/>
  <c r="E82" i="1"/>
  <c r="E34" i="3" s="1"/>
  <c r="G81" i="1"/>
  <c r="G33" i="3" s="1"/>
  <c r="I82" i="1"/>
  <c r="I34" i="3" s="1"/>
  <c r="K81" i="1"/>
  <c r="K33" i="3" s="1"/>
  <c r="M82" i="1"/>
  <c r="M34" i="3" s="1"/>
  <c r="E81" i="1"/>
  <c r="E33" i="3" s="1"/>
  <c r="I81" i="1"/>
  <c r="I33" i="3" s="1"/>
  <c r="M81" i="1"/>
  <c r="M33" i="3" s="1"/>
  <c r="I56" i="1"/>
  <c r="I7" i="3" s="1"/>
  <c r="I61" i="1"/>
  <c r="I12" i="3" s="1"/>
  <c r="K75" i="1"/>
  <c r="K27" i="3" s="1"/>
  <c r="C76" i="1"/>
  <c r="C28" i="3" s="1"/>
  <c r="K78" i="1"/>
  <c r="K30" i="3" s="1"/>
  <c r="N78" i="1"/>
  <c r="G75" i="1"/>
  <c r="G27" i="3" s="1"/>
  <c r="G76" i="1"/>
  <c r="G28" i="3" s="1"/>
  <c r="E75" i="1"/>
  <c r="E27" i="3" s="1"/>
  <c r="I75" i="1"/>
  <c r="I27" i="3" s="1"/>
  <c r="M75" i="1"/>
  <c r="M27" i="3" s="1"/>
  <c r="E76" i="1"/>
  <c r="E28" i="3" s="1"/>
  <c r="I76" i="1"/>
  <c r="I28" i="3" s="1"/>
  <c r="M76" i="1"/>
  <c r="M28" i="3" s="1"/>
  <c r="I55" i="1"/>
  <c r="I6" i="3" s="1"/>
  <c r="I57" i="1"/>
  <c r="I8" i="3" s="1"/>
  <c r="I59" i="1"/>
  <c r="I10" i="3" s="1"/>
  <c r="I62" i="1"/>
  <c r="I13" i="3" s="1"/>
  <c r="H22" i="1"/>
  <c r="H24" i="1"/>
  <c r="L5" i="3"/>
  <c r="L14" i="3" s="1"/>
  <c r="J5" i="3"/>
  <c r="H5" i="3"/>
  <c r="F5" i="3"/>
  <c r="D5" i="3"/>
  <c r="B6" i="3"/>
  <c r="B5" i="3"/>
  <c r="O101" i="1" l="1"/>
  <c r="O26" i="4" s="1"/>
  <c r="N28" i="4"/>
  <c r="I96" i="1"/>
  <c r="I21" i="4" s="1"/>
  <c r="I18" i="4"/>
  <c r="O93" i="1"/>
  <c r="O18" i="4" s="1"/>
  <c r="N21" i="4"/>
  <c r="M5" i="33"/>
  <c r="M442" i="1"/>
  <c r="M10" i="33" s="1"/>
  <c r="O453" i="1"/>
  <c r="N25" i="33"/>
  <c r="O29" i="33"/>
  <c r="O466" i="1"/>
  <c r="O34" i="33" s="1"/>
  <c r="O495" i="1"/>
  <c r="O63" i="33" s="1"/>
  <c r="N66" i="33"/>
  <c r="O479" i="1"/>
  <c r="O47" i="33" s="1"/>
  <c r="N50" i="33"/>
  <c r="O54" i="33"/>
  <c r="O491" i="1"/>
  <c r="O59" i="33" s="1"/>
  <c r="O38" i="33"/>
  <c r="O475" i="1"/>
  <c r="O43" i="33" s="1"/>
  <c r="O480" i="1"/>
  <c r="O48" i="33" s="1"/>
  <c r="E5" i="33"/>
  <c r="E442" i="1"/>
  <c r="E10" i="33" s="1"/>
  <c r="E13" i="33"/>
  <c r="E450" i="1"/>
  <c r="E18" i="33" s="1"/>
  <c r="E21" i="33"/>
  <c r="E458" i="1"/>
  <c r="E26" i="33" s="1"/>
  <c r="E29" i="33"/>
  <c r="E466" i="1"/>
  <c r="E34" i="33" s="1"/>
  <c r="E38" i="33"/>
  <c r="E475" i="1"/>
  <c r="E43" i="33" s="1"/>
  <c r="E46" i="33"/>
  <c r="E483" i="1"/>
  <c r="E51" i="33" s="1"/>
  <c r="E54" i="33"/>
  <c r="E491" i="1"/>
  <c r="E59" i="33" s="1"/>
  <c r="K499" i="1"/>
  <c r="K67" i="33" s="1"/>
  <c r="K63" i="33"/>
  <c r="C499" i="1"/>
  <c r="C67" i="33" s="1"/>
  <c r="C63" i="33"/>
  <c r="L48" i="2"/>
  <c r="I34" i="14"/>
  <c r="I50" i="14"/>
  <c r="I66" i="14"/>
  <c r="I82" i="14"/>
  <c r="I98" i="14"/>
  <c r="I115" i="14"/>
  <c r="I131" i="14"/>
  <c r="K528" i="1"/>
  <c r="K96" i="33" s="1"/>
  <c r="K90" i="33"/>
  <c r="K450" i="1"/>
  <c r="K18" i="33" s="1"/>
  <c r="K466" i="1"/>
  <c r="K34" i="33" s="1"/>
  <c r="C483" i="1"/>
  <c r="C51" i="33" s="1"/>
  <c r="G46" i="33"/>
  <c r="G483" i="1"/>
  <c r="G51" i="33" s="1"/>
  <c r="G29" i="33"/>
  <c r="G466" i="1"/>
  <c r="G34" i="33" s="1"/>
  <c r="G13" i="33"/>
  <c r="G450" i="1"/>
  <c r="G18" i="33" s="1"/>
  <c r="G401" i="1"/>
  <c r="G127" i="14"/>
  <c r="G385" i="1"/>
  <c r="G111" i="14"/>
  <c r="G368" i="1"/>
  <c r="G94" i="14"/>
  <c r="G344" i="1"/>
  <c r="G70" i="14"/>
  <c r="G328" i="1"/>
  <c r="G54" i="14"/>
  <c r="E127" i="1"/>
  <c r="E11" i="10" s="1"/>
  <c r="E6" i="10"/>
  <c r="K442" i="1"/>
  <c r="K10" i="33" s="1"/>
  <c r="C458" i="1"/>
  <c r="C26" i="33" s="1"/>
  <c r="K475" i="1"/>
  <c r="K43" i="33" s="1"/>
  <c r="C491" i="1"/>
  <c r="C59" i="33" s="1"/>
  <c r="K401" i="1"/>
  <c r="C401" i="1"/>
  <c r="K393" i="1"/>
  <c r="C393" i="1"/>
  <c r="K385" i="1"/>
  <c r="C385" i="1"/>
  <c r="K377" i="1"/>
  <c r="C377" i="1"/>
  <c r="K368" i="1"/>
  <c r="C368" i="1"/>
  <c r="K352" i="1"/>
  <c r="C352" i="1"/>
  <c r="K344" i="1"/>
  <c r="C344" i="1"/>
  <c r="K336" i="1"/>
  <c r="C336" i="1"/>
  <c r="K328" i="1"/>
  <c r="C328" i="1"/>
  <c r="K320" i="1"/>
  <c r="C320" i="1"/>
  <c r="K312" i="1"/>
  <c r="C312" i="1"/>
  <c r="G215" i="1"/>
  <c r="G26" i="13" s="1"/>
  <c r="G199" i="1"/>
  <c r="G10" i="13" s="1"/>
  <c r="O76" i="1"/>
  <c r="O28" i="3" s="1"/>
  <c r="N30" i="3"/>
  <c r="C84" i="1"/>
  <c r="C36" i="3" s="1"/>
  <c r="C33" i="3"/>
  <c r="K96" i="1"/>
  <c r="K21" i="4" s="1"/>
  <c r="K17" i="4"/>
  <c r="H25" i="1"/>
  <c r="M96" i="1"/>
  <c r="M21" i="4" s="1"/>
  <c r="M17" i="4"/>
  <c r="E96" i="1"/>
  <c r="E21" i="4" s="1"/>
  <c r="E18" i="4"/>
  <c r="O82" i="1"/>
  <c r="O34" i="3" s="1"/>
  <c r="N36" i="3"/>
  <c r="I19" i="13"/>
  <c r="M27" i="13"/>
  <c r="E27" i="13"/>
  <c r="I35" i="13"/>
  <c r="M43" i="13"/>
  <c r="E43" i="13"/>
  <c r="I51" i="13"/>
  <c r="M59" i="13"/>
  <c r="E59" i="13"/>
  <c r="I67" i="13"/>
  <c r="M75" i="13"/>
  <c r="E75" i="13"/>
  <c r="I83" i="13"/>
  <c r="E11" i="14"/>
  <c r="I27" i="14"/>
  <c r="M35" i="14"/>
  <c r="E35" i="14"/>
  <c r="I43" i="14"/>
  <c r="M51" i="14"/>
  <c r="E51" i="14"/>
  <c r="I59" i="14"/>
  <c r="M67" i="14"/>
  <c r="E67" i="14"/>
  <c r="I75" i="14"/>
  <c r="M83" i="14"/>
  <c r="E83" i="14"/>
  <c r="I91" i="14"/>
  <c r="M99" i="14"/>
  <c r="E99" i="14"/>
  <c r="I108" i="14"/>
  <c r="M116" i="14"/>
  <c r="E116" i="14"/>
  <c r="I124" i="14"/>
  <c r="M132" i="14"/>
  <c r="E132" i="14"/>
  <c r="O437" i="1"/>
  <c r="N9" i="33"/>
  <c r="O13" i="33"/>
  <c r="O450" i="1"/>
  <c r="O18" i="33" s="1"/>
  <c r="M21" i="33"/>
  <c r="M458" i="1"/>
  <c r="M26" i="33" s="1"/>
  <c r="M482" i="1"/>
  <c r="M50" i="33" s="1"/>
  <c r="M48" i="33"/>
  <c r="I5" i="33"/>
  <c r="I442" i="1"/>
  <c r="I10" i="33" s="1"/>
  <c r="I13" i="33"/>
  <c r="I450" i="1"/>
  <c r="I18" i="33" s="1"/>
  <c r="I21" i="33"/>
  <c r="I458" i="1"/>
  <c r="I26" i="33" s="1"/>
  <c r="I29" i="33"/>
  <c r="I466" i="1"/>
  <c r="I34" i="33" s="1"/>
  <c r="I38" i="33"/>
  <c r="I475" i="1"/>
  <c r="I43" i="33" s="1"/>
  <c r="I46" i="33"/>
  <c r="I483" i="1"/>
  <c r="I51" i="33" s="1"/>
  <c r="I54" i="33"/>
  <c r="I491" i="1"/>
  <c r="I59" i="33" s="1"/>
  <c r="G499" i="1"/>
  <c r="G67" i="33" s="1"/>
  <c r="G63" i="33"/>
  <c r="O508" i="1"/>
  <c r="O76" i="33" s="1"/>
  <c r="N77" i="33"/>
  <c r="O541" i="1"/>
  <c r="O109" i="33" s="1"/>
  <c r="N113" i="33"/>
  <c r="O550" i="1"/>
  <c r="O118" i="33" s="1"/>
  <c r="N122" i="33"/>
  <c r="O577" i="1"/>
  <c r="O145" i="33" s="1"/>
  <c r="N149" i="33"/>
  <c r="F48" i="2"/>
  <c r="O51" i="2"/>
  <c r="P48" i="2"/>
  <c r="H48" i="2"/>
  <c r="M26" i="14"/>
  <c r="I26" i="14"/>
  <c r="E26" i="14"/>
  <c r="M42" i="14"/>
  <c r="I42" i="14"/>
  <c r="E42" i="14"/>
  <c r="M58" i="14"/>
  <c r="I58" i="14"/>
  <c r="E58" i="14"/>
  <c r="M74" i="14"/>
  <c r="I74" i="14"/>
  <c r="E74" i="14"/>
  <c r="M90" i="14"/>
  <c r="I90" i="14"/>
  <c r="E90" i="14"/>
  <c r="M107" i="14"/>
  <c r="I107" i="14"/>
  <c r="E107" i="14"/>
  <c r="M123" i="14"/>
  <c r="I123" i="14"/>
  <c r="E123" i="14"/>
  <c r="C528" i="1"/>
  <c r="C96" i="33" s="1"/>
  <c r="C90" i="33"/>
  <c r="C450" i="1"/>
  <c r="C18" i="33" s="1"/>
  <c r="C466" i="1"/>
  <c r="C34" i="33" s="1"/>
  <c r="K483" i="1"/>
  <c r="K51" i="33" s="1"/>
  <c r="G54" i="33"/>
  <c r="G491" i="1"/>
  <c r="G59" i="33" s="1"/>
  <c r="G38" i="33"/>
  <c r="G475" i="1"/>
  <c r="G43" i="33" s="1"/>
  <c r="G21" i="33"/>
  <c r="G458" i="1"/>
  <c r="G26" i="33" s="1"/>
  <c r="G5" i="33"/>
  <c r="G442" i="1"/>
  <c r="G10" i="33" s="1"/>
  <c r="G393" i="1"/>
  <c r="G119" i="14"/>
  <c r="G377" i="1"/>
  <c r="G103" i="14"/>
  <c r="G352" i="1"/>
  <c r="G78" i="14"/>
  <c r="G336" i="1"/>
  <c r="G62" i="14"/>
  <c r="G320" i="1"/>
  <c r="G46" i="14"/>
  <c r="M127" i="1"/>
  <c r="M11" i="10" s="1"/>
  <c r="M6" i="10"/>
  <c r="G528" i="1"/>
  <c r="G96" i="33" s="1"/>
  <c r="C442" i="1"/>
  <c r="C10" i="33" s="1"/>
  <c r="K458" i="1"/>
  <c r="K26" i="33" s="1"/>
  <c r="C475" i="1"/>
  <c r="C43" i="33" s="1"/>
  <c r="K491" i="1"/>
  <c r="K59" i="33" s="1"/>
  <c r="K132" i="14"/>
  <c r="C132" i="14"/>
  <c r="K124" i="14"/>
  <c r="C124" i="14"/>
  <c r="K116" i="14"/>
  <c r="C116" i="14"/>
  <c r="K108" i="14"/>
  <c r="C108" i="14"/>
  <c r="K99" i="14"/>
  <c r="C99" i="14"/>
  <c r="K83" i="14"/>
  <c r="C83" i="14"/>
  <c r="K75" i="14"/>
  <c r="C75" i="14"/>
  <c r="K67" i="14"/>
  <c r="C67" i="14"/>
  <c r="K59" i="14"/>
  <c r="C59" i="14"/>
  <c r="K51" i="14"/>
  <c r="C51" i="14"/>
  <c r="K43" i="14"/>
  <c r="C43" i="14"/>
  <c r="G207" i="1"/>
  <c r="G18" i="13" s="1"/>
  <c r="M191" i="1"/>
  <c r="M75" i="10" s="1"/>
  <c r="M190" i="1"/>
  <c r="M74" i="10" s="1"/>
  <c r="M70" i="10"/>
  <c r="E191" i="1"/>
  <c r="E75" i="10" s="1"/>
  <c r="E190" i="1"/>
  <c r="E74" i="10" s="1"/>
  <c r="E70" i="10"/>
  <c r="I191" i="1"/>
  <c r="I75" i="10" s="1"/>
  <c r="I190" i="1"/>
  <c r="I74" i="10" s="1"/>
  <c r="I70" i="10"/>
  <c r="M183" i="1"/>
  <c r="M67" i="10" s="1"/>
  <c r="M182" i="1"/>
  <c r="M66" i="10" s="1"/>
  <c r="M62" i="10"/>
  <c r="E183" i="1"/>
  <c r="E67" i="10" s="1"/>
  <c r="E182" i="1"/>
  <c r="E66" i="10" s="1"/>
  <c r="E62" i="10"/>
  <c r="I183" i="1"/>
  <c r="I67" i="10" s="1"/>
  <c r="I182" i="1"/>
  <c r="I66" i="10" s="1"/>
  <c r="I62" i="10"/>
  <c r="M175" i="1"/>
  <c r="M59" i="10" s="1"/>
  <c r="M174" i="1"/>
  <c r="M58" i="10" s="1"/>
  <c r="M54" i="10"/>
  <c r="E175" i="1"/>
  <c r="E59" i="10" s="1"/>
  <c r="E174" i="1"/>
  <c r="E58" i="10" s="1"/>
  <c r="E54" i="10"/>
  <c r="I175" i="1"/>
  <c r="I59" i="10" s="1"/>
  <c r="I174" i="1"/>
  <c r="I58" i="10" s="1"/>
  <c r="I54" i="10"/>
  <c r="M167" i="1"/>
  <c r="M51" i="10" s="1"/>
  <c r="M166" i="1"/>
  <c r="M50" i="10" s="1"/>
  <c r="M46" i="10"/>
  <c r="E167" i="1"/>
  <c r="E51" i="10" s="1"/>
  <c r="E166" i="1"/>
  <c r="E50" i="10" s="1"/>
  <c r="E46" i="10"/>
  <c r="I167" i="1"/>
  <c r="I51" i="10" s="1"/>
  <c r="I166" i="1"/>
  <c r="I50" i="10" s="1"/>
  <c r="I46" i="10"/>
  <c r="M159" i="1"/>
  <c r="M43" i="10" s="1"/>
  <c r="M158" i="1"/>
  <c r="M42" i="10" s="1"/>
  <c r="M38" i="10"/>
  <c r="E159" i="1"/>
  <c r="E43" i="10" s="1"/>
  <c r="E158" i="1"/>
  <c r="E42" i="10" s="1"/>
  <c r="E38" i="10"/>
  <c r="I159" i="1"/>
  <c r="I43" i="10" s="1"/>
  <c r="I158" i="1"/>
  <c r="I42" i="10" s="1"/>
  <c r="I38" i="10"/>
  <c r="M151" i="1"/>
  <c r="M35" i="10" s="1"/>
  <c r="M150" i="1"/>
  <c r="M34" i="10" s="1"/>
  <c r="M30" i="10"/>
  <c r="E151" i="1"/>
  <c r="E35" i="10" s="1"/>
  <c r="E150" i="1"/>
  <c r="E34" i="10" s="1"/>
  <c r="E30" i="10"/>
  <c r="I151" i="1"/>
  <c r="I35" i="10" s="1"/>
  <c r="I150" i="1"/>
  <c r="I34" i="10" s="1"/>
  <c r="I30" i="10"/>
  <c r="M143" i="1"/>
  <c r="M27" i="10" s="1"/>
  <c r="M142" i="1"/>
  <c r="M26" i="10" s="1"/>
  <c r="M22" i="10"/>
  <c r="E143" i="1"/>
  <c r="E27" i="10" s="1"/>
  <c r="E142" i="1"/>
  <c r="E26" i="10" s="1"/>
  <c r="E22" i="10"/>
  <c r="I143" i="1"/>
  <c r="I27" i="10" s="1"/>
  <c r="I142" i="1"/>
  <c r="I26" i="10" s="1"/>
  <c r="I22" i="10"/>
  <c r="M135" i="1"/>
  <c r="M19" i="10" s="1"/>
  <c r="M134" i="1"/>
  <c r="M18" i="10" s="1"/>
  <c r="M14" i="10"/>
  <c r="E135" i="1"/>
  <c r="E19" i="10" s="1"/>
  <c r="E134" i="1"/>
  <c r="E18" i="10" s="1"/>
  <c r="E14" i="10"/>
  <c r="I135" i="1"/>
  <c r="I19" i="10" s="1"/>
  <c r="I134" i="1"/>
  <c r="I18" i="10" s="1"/>
  <c r="I14" i="10"/>
  <c r="E47" i="2"/>
  <c r="E46" i="2"/>
  <c r="E45" i="2"/>
  <c r="E44" i="2"/>
  <c r="E43" i="2"/>
  <c r="E41" i="2"/>
  <c r="E42" i="2"/>
  <c r="E40" i="2"/>
  <c r="L36" i="2"/>
  <c r="P36" i="2"/>
  <c r="H36" i="2"/>
  <c r="F19" i="2"/>
  <c r="E17" i="2"/>
  <c r="E15" i="2"/>
  <c r="E13" i="2"/>
  <c r="C10" i="2"/>
  <c r="E16" i="2"/>
  <c r="E14" i="2"/>
  <c r="F36" i="2"/>
  <c r="E35" i="2"/>
  <c r="E34" i="2"/>
  <c r="E33" i="2"/>
  <c r="E32" i="2"/>
  <c r="E31" i="2"/>
  <c r="E30" i="2"/>
  <c r="P25" i="2"/>
  <c r="L25" i="2"/>
  <c r="H25" i="2"/>
  <c r="E25" i="2"/>
  <c r="E10" i="2"/>
  <c r="M645" i="1"/>
  <c r="M213" i="33" s="1"/>
  <c r="M644" i="1"/>
  <c r="M212" i="33" s="1"/>
  <c r="E645" i="1"/>
  <c r="E213" i="33" s="1"/>
  <c r="E644" i="1"/>
  <c r="E212" i="33" s="1"/>
  <c r="I645" i="1"/>
  <c r="I213" i="33" s="1"/>
  <c r="I644" i="1"/>
  <c r="I212" i="33" s="1"/>
  <c r="I636" i="1"/>
  <c r="I204" i="33" s="1"/>
  <c r="I635" i="1"/>
  <c r="I203" i="33" s="1"/>
  <c r="M636" i="1"/>
  <c r="M204" i="33" s="1"/>
  <c r="M635" i="1"/>
  <c r="M203" i="33" s="1"/>
  <c r="E636" i="1"/>
  <c r="E204" i="33" s="1"/>
  <c r="E635" i="1"/>
  <c r="E203" i="33" s="1"/>
  <c r="M627" i="1"/>
  <c r="M195" i="33" s="1"/>
  <c r="M626" i="1"/>
  <c r="M194" i="33" s="1"/>
  <c r="E627" i="1"/>
  <c r="E195" i="33" s="1"/>
  <c r="E626" i="1"/>
  <c r="E194" i="33" s="1"/>
  <c r="I627" i="1"/>
  <c r="I195" i="33" s="1"/>
  <c r="I626" i="1"/>
  <c r="I194" i="33" s="1"/>
  <c r="M618" i="1"/>
  <c r="M186" i="33" s="1"/>
  <c r="M617" i="1"/>
  <c r="M185" i="33" s="1"/>
  <c r="E618" i="1"/>
  <c r="E186" i="33" s="1"/>
  <c r="E617" i="1"/>
  <c r="E185" i="33" s="1"/>
  <c r="I618" i="1"/>
  <c r="I186" i="33" s="1"/>
  <c r="I617" i="1"/>
  <c r="I185" i="33" s="1"/>
  <c r="M609" i="1"/>
  <c r="M177" i="33" s="1"/>
  <c r="M608" i="1"/>
  <c r="M176" i="33" s="1"/>
  <c r="E609" i="1"/>
  <c r="E177" i="33" s="1"/>
  <c r="E608" i="1"/>
  <c r="E176" i="33" s="1"/>
  <c r="I609" i="1"/>
  <c r="I177" i="33" s="1"/>
  <c r="I608" i="1"/>
  <c r="I176" i="33" s="1"/>
  <c r="I600" i="1"/>
  <c r="I168" i="33" s="1"/>
  <c r="I599" i="1"/>
  <c r="I167" i="33" s="1"/>
  <c r="M600" i="1"/>
  <c r="M168" i="33" s="1"/>
  <c r="M599" i="1"/>
  <c r="M167" i="33" s="1"/>
  <c r="E600" i="1"/>
  <c r="E168" i="33" s="1"/>
  <c r="E599" i="1"/>
  <c r="E167" i="33" s="1"/>
  <c r="I591" i="1"/>
  <c r="I159" i="33" s="1"/>
  <c r="I590" i="1"/>
  <c r="I158" i="33" s="1"/>
  <c r="M591" i="1"/>
  <c r="M159" i="33" s="1"/>
  <c r="M590" i="1"/>
  <c r="M158" i="33" s="1"/>
  <c r="E591" i="1"/>
  <c r="E159" i="33" s="1"/>
  <c r="E590" i="1"/>
  <c r="E158" i="33" s="1"/>
  <c r="I582" i="1"/>
  <c r="I150" i="33" s="1"/>
  <c r="I581" i="1"/>
  <c r="I149" i="33" s="1"/>
  <c r="M582" i="1"/>
  <c r="M150" i="33" s="1"/>
  <c r="M581" i="1"/>
  <c r="M149" i="33" s="1"/>
  <c r="E582" i="1"/>
  <c r="E150" i="33" s="1"/>
  <c r="E581" i="1"/>
  <c r="E149" i="33" s="1"/>
  <c r="I573" i="1"/>
  <c r="I141" i="33" s="1"/>
  <c r="I572" i="1"/>
  <c r="I140" i="33" s="1"/>
  <c r="M573" i="1"/>
  <c r="M141" i="33" s="1"/>
  <c r="M572" i="1"/>
  <c r="M140" i="33" s="1"/>
  <c r="E573" i="1"/>
  <c r="E141" i="33" s="1"/>
  <c r="E572" i="1"/>
  <c r="E140" i="33" s="1"/>
  <c r="I564" i="1"/>
  <c r="I132" i="33" s="1"/>
  <c r="I563" i="1"/>
  <c r="I131" i="33" s="1"/>
  <c r="M564" i="1"/>
  <c r="M132" i="33" s="1"/>
  <c r="M563" i="1"/>
  <c r="M131" i="33" s="1"/>
  <c r="E564" i="1"/>
  <c r="E132" i="33" s="1"/>
  <c r="E563" i="1"/>
  <c r="E131" i="33" s="1"/>
  <c r="I555" i="1"/>
  <c r="I123" i="33" s="1"/>
  <c r="I554" i="1"/>
  <c r="I122" i="33" s="1"/>
  <c r="M555" i="1"/>
  <c r="M123" i="33" s="1"/>
  <c r="M554" i="1"/>
  <c r="M122" i="33" s="1"/>
  <c r="E555" i="1"/>
  <c r="E123" i="33" s="1"/>
  <c r="E554" i="1"/>
  <c r="E122" i="33" s="1"/>
  <c r="M546" i="1"/>
  <c r="M114" i="33" s="1"/>
  <c r="M545" i="1"/>
  <c r="M113" i="33" s="1"/>
  <c r="E546" i="1"/>
  <c r="E114" i="33" s="1"/>
  <c r="E545" i="1"/>
  <c r="E113" i="33" s="1"/>
  <c r="O540" i="1"/>
  <c r="O108" i="33" s="1"/>
  <c r="O543" i="1"/>
  <c r="O111" i="33" s="1"/>
  <c r="I546" i="1"/>
  <c r="I114" i="33" s="1"/>
  <c r="I545" i="1"/>
  <c r="I113" i="33" s="1"/>
  <c r="M528" i="1"/>
  <c r="M96" i="33" s="1"/>
  <c r="M527" i="1"/>
  <c r="M95" i="33" s="1"/>
  <c r="E528" i="1"/>
  <c r="E96" i="33" s="1"/>
  <c r="E527" i="1"/>
  <c r="E95" i="33" s="1"/>
  <c r="I528" i="1"/>
  <c r="I96" i="33" s="1"/>
  <c r="I527" i="1"/>
  <c r="I95" i="33" s="1"/>
  <c r="M519" i="1"/>
  <c r="M87" i="33" s="1"/>
  <c r="M518" i="1"/>
  <c r="M86" i="33" s="1"/>
  <c r="E519" i="1"/>
  <c r="E87" i="33" s="1"/>
  <c r="E518" i="1"/>
  <c r="E86" i="33" s="1"/>
  <c r="I519" i="1"/>
  <c r="I87" i="33" s="1"/>
  <c r="I518" i="1"/>
  <c r="I86" i="33" s="1"/>
  <c r="O506" i="1"/>
  <c r="O74" i="33" s="1"/>
  <c r="O507" i="1"/>
  <c r="O75" i="33" s="1"/>
  <c r="O644" i="1"/>
  <c r="O212" i="33" s="1"/>
  <c r="O645" i="1"/>
  <c r="O213" i="33" s="1"/>
  <c r="O635" i="1"/>
  <c r="O203" i="33" s="1"/>
  <c r="O636" i="1"/>
  <c r="O204" i="33" s="1"/>
  <c r="O626" i="1"/>
  <c r="O194" i="33" s="1"/>
  <c r="O627" i="1"/>
  <c r="O195" i="33" s="1"/>
  <c r="O617" i="1"/>
  <c r="O185" i="33" s="1"/>
  <c r="O618" i="1"/>
  <c r="O186" i="33" s="1"/>
  <c r="O608" i="1"/>
  <c r="O176" i="33" s="1"/>
  <c r="O609" i="1"/>
  <c r="O177" i="33" s="1"/>
  <c r="O599" i="1"/>
  <c r="O167" i="33" s="1"/>
  <c r="O600" i="1"/>
  <c r="O168" i="33" s="1"/>
  <c r="O590" i="1"/>
  <c r="O158" i="33" s="1"/>
  <c r="O591" i="1"/>
  <c r="O159" i="33" s="1"/>
  <c r="O581" i="1"/>
  <c r="O149" i="33" s="1"/>
  <c r="O582" i="1"/>
  <c r="O150" i="33" s="1"/>
  <c r="O572" i="1"/>
  <c r="O140" i="33" s="1"/>
  <c r="O573" i="1"/>
  <c r="O141" i="33" s="1"/>
  <c r="O563" i="1"/>
  <c r="O131" i="33" s="1"/>
  <c r="O564" i="1"/>
  <c r="O132" i="33" s="1"/>
  <c r="O554" i="1"/>
  <c r="O122" i="33" s="1"/>
  <c r="O555" i="1"/>
  <c r="O123" i="33" s="1"/>
  <c r="O545" i="1"/>
  <c r="O113" i="33" s="1"/>
  <c r="O546" i="1"/>
  <c r="O114" i="33" s="1"/>
  <c r="O536" i="1"/>
  <c r="O104" i="33" s="1"/>
  <c r="O537" i="1"/>
  <c r="O105" i="33" s="1"/>
  <c r="O527" i="1"/>
  <c r="O95" i="33" s="1"/>
  <c r="O528" i="1"/>
  <c r="O96" i="33" s="1"/>
  <c r="O518" i="1"/>
  <c r="O86" i="33" s="1"/>
  <c r="O519" i="1"/>
  <c r="O87" i="33" s="1"/>
  <c r="O505" i="1"/>
  <c r="O73" i="33" s="1"/>
  <c r="O504" i="1"/>
  <c r="O72" i="33" s="1"/>
  <c r="I499" i="1"/>
  <c r="I67" i="33" s="1"/>
  <c r="I498" i="1"/>
  <c r="I66" i="33" s="1"/>
  <c r="O494" i="1"/>
  <c r="O62" i="33" s="1"/>
  <c r="K498" i="1"/>
  <c r="K66" i="33" s="1"/>
  <c r="C498" i="1"/>
  <c r="C66" i="33" s="1"/>
  <c r="E499" i="1"/>
  <c r="E67" i="33" s="1"/>
  <c r="E498" i="1"/>
  <c r="E66" i="33" s="1"/>
  <c r="O496" i="1"/>
  <c r="O64" i="33" s="1"/>
  <c r="I490" i="1"/>
  <c r="I58" i="33" s="1"/>
  <c r="K490" i="1"/>
  <c r="K58" i="33" s="1"/>
  <c r="C490" i="1"/>
  <c r="C58" i="33" s="1"/>
  <c r="E490" i="1"/>
  <c r="E58" i="33" s="1"/>
  <c r="I482" i="1"/>
  <c r="I50" i="33" s="1"/>
  <c r="O478" i="1"/>
  <c r="K482" i="1"/>
  <c r="K50" i="33" s="1"/>
  <c r="C482" i="1"/>
  <c r="C50" i="33" s="1"/>
  <c r="E482" i="1"/>
  <c r="E50" i="33" s="1"/>
  <c r="I474" i="1"/>
  <c r="I42" i="33" s="1"/>
  <c r="K474" i="1"/>
  <c r="K42" i="33" s="1"/>
  <c r="C474" i="1"/>
  <c r="C42" i="33" s="1"/>
  <c r="E474" i="1"/>
  <c r="E42" i="33" s="1"/>
  <c r="I465" i="1"/>
  <c r="I33" i="33" s="1"/>
  <c r="K465" i="1"/>
  <c r="K33" i="33" s="1"/>
  <c r="C465" i="1"/>
  <c r="C33" i="33" s="1"/>
  <c r="E465" i="1"/>
  <c r="E33" i="33" s="1"/>
  <c r="I457" i="1"/>
  <c r="I25" i="33" s="1"/>
  <c r="K457" i="1"/>
  <c r="K25" i="33" s="1"/>
  <c r="C457" i="1"/>
  <c r="C25" i="33" s="1"/>
  <c r="E457" i="1"/>
  <c r="E25" i="33" s="1"/>
  <c r="O456" i="1"/>
  <c r="O24" i="33" s="1"/>
  <c r="O454" i="1"/>
  <c r="O22" i="33" s="1"/>
  <c r="I449" i="1"/>
  <c r="I17" i="33" s="1"/>
  <c r="K449" i="1"/>
  <c r="K17" i="33" s="1"/>
  <c r="C449" i="1"/>
  <c r="C17" i="33" s="1"/>
  <c r="E449" i="1"/>
  <c r="E17" i="33" s="1"/>
  <c r="I441" i="1"/>
  <c r="I9" i="33" s="1"/>
  <c r="K441" i="1"/>
  <c r="K9" i="33" s="1"/>
  <c r="C441" i="1"/>
  <c r="C9" i="33" s="1"/>
  <c r="E441" i="1"/>
  <c r="E9" i="33" s="1"/>
  <c r="M499" i="1"/>
  <c r="M67" i="33" s="1"/>
  <c r="M498" i="1"/>
  <c r="M66" i="33" s="1"/>
  <c r="O490" i="1"/>
  <c r="O58" i="33" s="1"/>
  <c r="O474" i="1"/>
  <c r="O42" i="33" s="1"/>
  <c r="O497" i="1"/>
  <c r="O65" i="33" s="1"/>
  <c r="O481" i="1"/>
  <c r="O49" i="33" s="1"/>
  <c r="O482" i="1"/>
  <c r="O50" i="33" s="1"/>
  <c r="O499" i="1"/>
  <c r="O67" i="33" s="1"/>
  <c r="O465" i="1"/>
  <c r="O33" i="33" s="1"/>
  <c r="M457" i="1"/>
  <c r="M25" i="33" s="1"/>
  <c r="O455" i="1"/>
  <c r="O449" i="1"/>
  <c r="O17" i="33" s="1"/>
  <c r="O440" i="1"/>
  <c r="O8" i="33" s="1"/>
  <c r="O438" i="1"/>
  <c r="O6" i="33" s="1"/>
  <c r="M441" i="1"/>
  <c r="M9" i="33" s="1"/>
  <c r="O439" i="1"/>
  <c r="O7" i="33" s="1"/>
  <c r="M401" i="1"/>
  <c r="E401" i="1"/>
  <c r="I401" i="1"/>
  <c r="M393" i="1"/>
  <c r="E393" i="1"/>
  <c r="I393" i="1"/>
  <c r="M385" i="1"/>
  <c r="E385" i="1"/>
  <c r="I385" i="1"/>
  <c r="M377" i="1"/>
  <c r="E377" i="1"/>
  <c r="I377" i="1"/>
  <c r="M368" i="1"/>
  <c r="E368" i="1"/>
  <c r="I368" i="1"/>
  <c r="M360" i="1"/>
  <c r="E360" i="1"/>
  <c r="I360" i="1"/>
  <c r="M352" i="1"/>
  <c r="E352" i="1"/>
  <c r="I352" i="1"/>
  <c r="M344" i="1"/>
  <c r="E344" i="1"/>
  <c r="I344" i="1"/>
  <c r="M336" i="1"/>
  <c r="E336" i="1"/>
  <c r="I336" i="1"/>
  <c r="M328" i="1"/>
  <c r="E328" i="1"/>
  <c r="I328" i="1"/>
  <c r="M320" i="1"/>
  <c r="E320" i="1"/>
  <c r="I320" i="1"/>
  <c r="M312" i="1"/>
  <c r="E312" i="1"/>
  <c r="I312" i="1"/>
  <c r="M304" i="1"/>
  <c r="E304" i="1"/>
  <c r="I304" i="1"/>
  <c r="M296" i="1"/>
  <c r="E296" i="1"/>
  <c r="I296" i="1"/>
  <c r="M280" i="1"/>
  <c r="E280" i="1"/>
  <c r="I280" i="1"/>
  <c r="M271" i="1"/>
  <c r="M82" i="13" s="1"/>
  <c r="E271" i="1"/>
  <c r="E82" i="13" s="1"/>
  <c r="I271" i="1"/>
  <c r="I82" i="13" s="1"/>
  <c r="M263" i="1"/>
  <c r="M74" i="13" s="1"/>
  <c r="E263" i="1"/>
  <c r="E74" i="13" s="1"/>
  <c r="I263" i="1"/>
  <c r="I74" i="13" s="1"/>
  <c r="M255" i="1"/>
  <c r="M66" i="13" s="1"/>
  <c r="E255" i="1"/>
  <c r="E66" i="13" s="1"/>
  <c r="I255" i="1"/>
  <c r="I66" i="13" s="1"/>
  <c r="M247" i="1"/>
  <c r="M58" i="13" s="1"/>
  <c r="E247" i="1"/>
  <c r="E58" i="13" s="1"/>
  <c r="I247" i="1"/>
  <c r="I58" i="13" s="1"/>
  <c r="M239" i="1"/>
  <c r="M50" i="13" s="1"/>
  <c r="E239" i="1"/>
  <c r="E50" i="13" s="1"/>
  <c r="I239" i="1"/>
  <c r="I50" i="13" s="1"/>
  <c r="M231" i="1"/>
  <c r="M42" i="13" s="1"/>
  <c r="E231" i="1"/>
  <c r="E42" i="13" s="1"/>
  <c r="I231" i="1"/>
  <c r="I42" i="13" s="1"/>
  <c r="M223" i="1"/>
  <c r="M34" i="13" s="1"/>
  <c r="E223" i="1"/>
  <c r="E34" i="13" s="1"/>
  <c r="I223" i="1"/>
  <c r="I34" i="13" s="1"/>
  <c r="M215" i="1"/>
  <c r="M26" i="13" s="1"/>
  <c r="E215" i="1"/>
  <c r="E26" i="13" s="1"/>
  <c r="I215" i="1"/>
  <c r="I26" i="13" s="1"/>
  <c r="M207" i="1"/>
  <c r="M18" i="13" s="1"/>
  <c r="E207" i="1"/>
  <c r="E18" i="13" s="1"/>
  <c r="I207" i="1"/>
  <c r="I18" i="13" s="1"/>
  <c r="O81" i="1"/>
  <c r="O33" i="3" s="1"/>
  <c r="O83" i="1"/>
  <c r="G103" i="1"/>
  <c r="G28" i="4" s="1"/>
  <c r="K103" i="1"/>
  <c r="K28" i="4" s="1"/>
  <c r="C103" i="1"/>
  <c r="C28" i="4" s="1"/>
  <c r="O92" i="1"/>
  <c r="O17" i="4" s="1"/>
  <c r="O94" i="1"/>
  <c r="O19" i="4" s="1"/>
  <c r="M103" i="1"/>
  <c r="M28" i="4" s="1"/>
  <c r="I103" i="1"/>
  <c r="I28" i="4" s="1"/>
  <c r="E103" i="1"/>
  <c r="E28" i="4" s="1"/>
  <c r="O102" i="1"/>
  <c r="O27" i="4" s="1"/>
  <c r="O99" i="1"/>
  <c r="O24" i="4" s="1"/>
  <c r="O100" i="1"/>
  <c r="O25" i="4" s="1"/>
  <c r="K84" i="1"/>
  <c r="K36" i="3" s="1"/>
  <c r="C96" i="1"/>
  <c r="C21" i="4" s="1"/>
  <c r="M84" i="1"/>
  <c r="M36" i="3" s="1"/>
  <c r="C78" i="1"/>
  <c r="C30" i="3" s="1"/>
  <c r="E84" i="1"/>
  <c r="E36" i="3" s="1"/>
  <c r="G84" i="1"/>
  <c r="G36" i="3" s="1"/>
  <c r="I84" i="1"/>
  <c r="I36" i="3" s="1"/>
  <c r="O75" i="1"/>
  <c r="O27" i="3" s="1"/>
  <c r="O77" i="1"/>
  <c r="O29" i="3" s="1"/>
  <c r="M78" i="1"/>
  <c r="M30" i="3" s="1"/>
  <c r="I78" i="1"/>
  <c r="I30" i="3" s="1"/>
  <c r="G78" i="1"/>
  <c r="G30" i="3" s="1"/>
  <c r="E78" i="1"/>
  <c r="E30" i="3" s="1"/>
  <c r="O84" i="1" l="1"/>
  <c r="O36" i="3" s="1"/>
  <c r="O35" i="3"/>
  <c r="O46" i="33"/>
  <c r="O483" i="1"/>
  <c r="O51" i="33" s="1"/>
  <c r="E48" i="2"/>
  <c r="G51" i="14"/>
  <c r="G50" i="14"/>
  <c r="G67" i="14"/>
  <c r="G66" i="14"/>
  <c r="G83" i="14"/>
  <c r="G82" i="14"/>
  <c r="G108" i="14"/>
  <c r="G107" i="14"/>
  <c r="G124" i="14"/>
  <c r="G123" i="14"/>
  <c r="G59" i="14"/>
  <c r="G58" i="14"/>
  <c r="G75" i="14"/>
  <c r="G74" i="14"/>
  <c r="G99" i="14"/>
  <c r="G98" i="14"/>
  <c r="G116" i="14"/>
  <c r="G115" i="14"/>
  <c r="G132" i="14"/>
  <c r="G131" i="14"/>
  <c r="O457" i="1"/>
  <c r="O25" i="33" s="1"/>
  <c r="O23" i="33"/>
  <c r="O498" i="1"/>
  <c r="O66" i="33" s="1"/>
  <c r="O5" i="33"/>
  <c r="O442" i="1"/>
  <c r="O10" i="33" s="1"/>
  <c r="O21" i="33"/>
  <c r="O458" i="1"/>
  <c r="O26" i="33" s="1"/>
  <c r="E19" i="2"/>
  <c r="E36" i="2"/>
  <c r="O509" i="1"/>
  <c r="O77" i="33" s="1"/>
  <c r="O510" i="1"/>
  <c r="O78" i="33" s="1"/>
  <c r="O441" i="1"/>
  <c r="O9" i="33" s="1"/>
  <c r="O96" i="1"/>
  <c r="O21" i="4" s="1"/>
  <c r="O103" i="1"/>
  <c r="O28" i="4" s="1"/>
  <c r="O78" i="1"/>
  <c r="O30" i="3" s="1"/>
  <c r="D36" i="1" l="1"/>
  <c r="B36" i="1"/>
  <c r="C32" i="1" l="1"/>
  <c r="C30" i="1"/>
  <c r="C33" i="1"/>
  <c r="C31" i="1"/>
  <c r="E33" i="1"/>
  <c r="E31" i="1"/>
  <c r="E32" i="1"/>
  <c r="E30" i="1"/>
  <c r="C34" i="1"/>
  <c r="C35" i="1"/>
  <c r="E35" i="1"/>
  <c r="E34" i="1"/>
  <c r="C29" i="1"/>
  <c r="L10" i="14"/>
  <c r="J10" i="14"/>
  <c r="H10" i="14"/>
  <c r="F10" i="14"/>
  <c r="D10" i="14"/>
  <c r="B10" i="14"/>
  <c r="W12" i="13"/>
  <c r="N400" i="1"/>
  <c r="N130" i="14" s="1"/>
  <c r="N399" i="1"/>
  <c r="N129" i="14" s="1"/>
  <c r="N398" i="1"/>
  <c r="N128" i="14" s="1"/>
  <c r="N397" i="1"/>
  <c r="N127" i="14" s="1"/>
  <c r="N131" i="14" s="1"/>
  <c r="N392" i="1"/>
  <c r="N122" i="14" s="1"/>
  <c r="N391" i="1"/>
  <c r="N121" i="14" s="1"/>
  <c r="N390" i="1"/>
  <c r="N120" i="14" s="1"/>
  <c r="N389" i="1"/>
  <c r="N119" i="14" s="1"/>
  <c r="N123" i="14" s="1"/>
  <c r="N384" i="1"/>
  <c r="N114" i="14" s="1"/>
  <c r="N383" i="1"/>
  <c r="N113" i="14" s="1"/>
  <c r="N382" i="1"/>
  <c r="N112" i="14" s="1"/>
  <c r="N381" i="1"/>
  <c r="N111" i="14" s="1"/>
  <c r="N115" i="14" s="1"/>
  <c r="N376" i="1"/>
  <c r="N106" i="14" s="1"/>
  <c r="N375" i="1"/>
  <c r="N105" i="14" s="1"/>
  <c r="N374" i="1"/>
  <c r="N104" i="14" s="1"/>
  <c r="N373" i="1"/>
  <c r="N103" i="14" s="1"/>
  <c r="N107" i="14" s="1"/>
  <c r="N367" i="1"/>
  <c r="N97" i="14" s="1"/>
  <c r="N366" i="1"/>
  <c r="N96" i="14" s="1"/>
  <c r="N365" i="1"/>
  <c r="N95" i="14" s="1"/>
  <c r="N364" i="1"/>
  <c r="N94" i="14" s="1"/>
  <c r="N98" i="14" s="1"/>
  <c r="N359" i="1"/>
  <c r="N89" i="14" s="1"/>
  <c r="N358" i="1"/>
  <c r="N88" i="14" s="1"/>
  <c r="N357" i="1"/>
  <c r="N87" i="14" s="1"/>
  <c r="N356" i="1"/>
  <c r="N86" i="14" s="1"/>
  <c r="N90" i="14" s="1"/>
  <c r="N351" i="1"/>
  <c r="N81" i="14" s="1"/>
  <c r="N350" i="1"/>
  <c r="N80" i="14" s="1"/>
  <c r="N349" i="1"/>
  <c r="N79" i="14" s="1"/>
  <c r="N348" i="1"/>
  <c r="N78" i="14" s="1"/>
  <c r="N82" i="14" s="1"/>
  <c r="N343" i="1"/>
  <c r="N73" i="14" s="1"/>
  <c r="N342" i="1"/>
  <c r="N72" i="14" s="1"/>
  <c r="N341" i="1"/>
  <c r="N71" i="14" s="1"/>
  <c r="N340" i="1"/>
  <c r="N70" i="14" s="1"/>
  <c r="N74" i="14" s="1"/>
  <c r="N335" i="1"/>
  <c r="N65" i="14" s="1"/>
  <c r="N334" i="1"/>
  <c r="N64" i="14" s="1"/>
  <c r="N333" i="1"/>
  <c r="N63" i="14" s="1"/>
  <c r="N332" i="1"/>
  <c r="N62" i="14" s="1"/>
  <c r="N66" i="14" s="1"/>
  <c r="N327" i="1"/>
  <c r="N57" i="14" s="1"/>
  <c r="N326" i="1"/>
  <c r="N56" i="14" s="1"/>
  <c r="N325" i="1"/>
  <c r="N55" i="14" s="1"/>
  <c r="N324" i="1"/>
  <c r="N54" i="14" s="1"/>
  <c r="N58" i="14" s="1"/>
  <c r="N319" i="1"/>
  <c r="N49" i="14" s="1"/>
  <c r="N318" i="1"/>
  <c r="N48" i="14" s="1"/>
  <c r="N317" i="1"/>
  <c r="N47" i="14" s="1"/>
  <c r="N316" i="1"/>
  <c r="N46" i="14" s="1"/>
  <c r="N50" i="14" s="1"/>
  <c r="N311" i="1"/>
  <c r="N41" i="14" s="1"/>
  <c r="N310" i="1"/>
  <c r="N40" i="14" s="1"/>
  <c r="N309" i="1"/>
  <c r="N39" i="14" s="1"/>
  <c r="N308" i="1"/>
  <c r="N38" i="14" s="1"/>
  <c r="N42" i="14" s="1"/>
  <c r="N303" i="1"/>
  <c r="N33" i="14" s="1"/>
  <c r="N302" i="1"/>
  <c r="N32" i="14" s="1"/>
  <c r="N301" i="1"/>
  <c r="N31" i="14" s="1"/>
  <c r="N300" i="1"/>
  <c r="N30" i="14" s="1"/>
  <c r="N34" i="14" s="1"/>
  <c r="N295" i="1"/>
  <c r="N25" i="14" s="1"/>
  <c r="N294" i="1"/>
  <c r="N24" i="14" s="1"/>
  <c r="N293" i="1"/>
  <c r="N23" i="14" s="1"/>
  <c r="N292" i="1"/>
  <c r="N22" i="14" s="1"/>
  <c r="N26" i="14" s="1"/>
  <c r="N287" i="1"/>
  <c r="N17" i="14" s="1"/>
  <c r="N286" i="1"/>
  <c r="N16" i="14" s="1"/>
  <c r="N285" i="1"/>
  <c r="N15" i="14" s="1"/>
  <c r="N284" i="1"/>
  <c r="N14" i="14" s="1"/>
  <c r="N18" i="14" s="1"/>
  <c r="N279" i="1"/>
  <c r="N9" i="14" s="1"/>
  <c r="N278" i="1"/>
  <c r="N8" i="14" s="1"/>
  <c r="N277" i="1"/>
  <c r="N7" i="14" s="1"/>
  <c r="N276" i="1"/>
  <c r="N6" i="14" s="1"/>
  <c r="N270" i="1"/>
  <c r="N81" i="13" s="1"/>
  <c r="N269" i="1"/>
  <c r="N80" i="13" s="1"/>
  <c r="N268" i="1"/>
  <c r="N79" i="13" s="1"/>
  <c r="N267" i="1"/>
  <c r="N78" i="13" s="1"/>
  <c r="N262" i="1"/>
  <c r="N73" i="13" s="1"/>
  <c r="N261" i="1"/>
  <c r="N72" i="13" s="1"/>
  <c r="N260" i="1"/>
  <c r="N71" i="13" s="1"/>
  <c r="N259" i="1"/>
  <c r="N70" i="13" s="1"/>
  <c r="N254" i="1"/>
  <c r="N65" i="13" s="1"/>
  <c r="N253" i="1"/>
  <c r="N64" i="13" s="1"/>
  <c r="N252" i="1"/>
  <c r="N63" i="13" s="1"/>
  <c r="N251" i="1"/>
  <c r="N62" i="13" s="1"/>
  <c r="N246" i="1"/>
  <c r="N57" i="13" s="1"/>
  <c r="N245" i="1"/>
  <c r="N56" i="13" s="1"/>
  <c r="N244" i="1"/>
  <c r="N55" i="13" s="1"/>
  <c r="N243" i="1"/>
  <c r="N54" i="13" s="1"/>
  <c r="N238" i="1"/>
  <c r="N49" i="13" s="1"/>
  <c r="N237" i="1"/>
  <c r="N48" i="13" s="1"/>
  <c r="N236" i="1"/>
  <c r="N47" i="13" s="1"/>
  <c r="N235" i="1"/>
  <c r="N46" i="13" s="1"/>
  <c r="N230" i="1"/>
  <c r="N41" i="13" s="1"/>
  <c r="N229" i="1"/>
  <c r="N40" i="13" s="1"/>
  <c r="N228" i="1"/>
  <c r="N39" i="13" s="1"/>
  <c r="N227" i="1"/>
  <c r="N38" i="13" s="1"/>
  <c r="N222" i="1"/>
  <c r="N33" i="13" s="1"/>
  <c r="N221" i="1"/>
  <c r="N32" i="13" s="1"/>
  <c r="N220" i="1"/>
  <c r="N31" i="13" s="1"/>
  <c r="N219" i="1"/>
  <c r="N30" i="13" s="1"/>
  <c r="N214" i="1"/>
  <c r="N25" i="13" s="1"/>
  <c r="N213" i="1"/>
  <c r="N24" i="13" s="1"/>
  <c r="N212" i="1"/>
  <c r="N23" i="13" s="1"/>
  <c r="N211" i="1"/>
  <c r="N22" i="13" s="1"/>
  <c r="N206" i="1"/>
  <c r="N17" i="13" s="1"/>
  <c r="N205" i="1"/>
  <c r="N16" i="13" s="1"/>
  <c r="N204" i="1"/>
  <c r="N15" i="13" s="1"/>
  <c r="N203" i="1"/>
  <c r="N14" i="13" s="1"/>
  <c r="N198" i="1"/>
  <c r="N9" i="13" s="1"/>
  <c r="N197" i="1"/>
  <c r="N8" i="13" s="1"/>
  <c r="N196" i="1"/>
  <c r="N7" i="13" s="1"/>
  <c r="N195" i="1"/>
  <c r="N6" i="13" s="1"/>
  <c r="N189" i="1"/>
  <c r="N73" i="10" s="1"/>
  <c r="N188" i="1"/>
  <c r="N72" i="10" s="1"/>
  <c r="N187" i="1"/>
  <c r="N71" i="10" s="1"/>
  <c r="N186" i="1"/>
  <c r="N70" i="10" s="1"/>
  <c r="N181" i="1"/>
  <c r="N65" i="10" s="1"/>
  <c r="N180" i="1"/>
  <c r="N64" i="10" s="1"/>
  <c r="N179" i="1"/>
  <c r="N63" i="10" s="1"/>
  <c r="N178" i="1"/>
  <c r="N62" i="10" s="1"/>
  <c r="N173" i="1"/>
  <c r="N57" i="10" s="1"/>
  <c r="N172" i="1"/>
  <c r="N56" i="10" s="1"/>
  <c r="N171" i="1"/>
  <c r="N55" i="10" s="1"/>
  <c r="N170" i="1"/>
  <c r="N54" i="10" s="1"/>
  <c r="N165" i="1"/>
  <c r="N49" i="10" s="1"/>
  <c r="N164" i="1"/>
  <c r="N48" i="10" s="1"/>
  <c r="N163" i="1"/>
  <c r="N47" i="10" s="1"/>
  <c r="N162" i="1"/>
  <c r="N46" i="10" s="1"/>
  <c r="N157" i="1"/>
  <c r="N41" i="10" s="1"/>
  <c r="N156" i="1"/>
  <c r="N40" i="10" s="1"/>
  <c r="N155" i="1"/>
  <c r="N39" i="10" s="1"/>
  <c r="N154" i="1"/>
  <c r="N38" i="10" s="1"/>
  <c r="N149" i="1"/>
  <c r="N33" i="10" s="1"/>
  <c r="N148" i="1"/>
  <c r="N32" i="10" s="1"/>
  <c r="N147" i="1"/>
  <c r="N31" i="10" s="1"/>
  <c r="N146" i="1"/>
  <c r="N30" i="10" s="1"/>
  <c r="N141" i="1"/>
  <c r="N25" i="10" s="1"/>
  <c r="N140" i="1"/>
  <c r="N24" i="10" s="1"/>
  <c r="N139" i="1"/>
  <c r="N23" i="10" s="1"/>
  <c r="N138" i="1"/>
  <c r="N22" i="10" s="1"/>
  <c r="M115" i="1"/>
  <c r="M7" i="4" s="1"/>
  <c r="K115" i="1"/>
  <c r="K7" i="4" s="1"/>
  <c r="I115" i="1"/>
  <c r="I7" i="4" s="1"/>
  <c r="G115" i="1"/>
  <c r="G7" i="4" s="1"/>
  <c r="E115" i="1"/>
  <c r="E7" i="4" s="1"/>
  <c r="C115" i="1"/>
  <c r="C7" i="4" s="1"/>
  <c r="L72" i="1"/>
  <c r="J72" i="1"/>
  <c r="H72" i="1"/>
  <c r="F72" i="1"/>
  <c r="D72" i="1"/>
  <c r="L63" i="1"/>
  <c r="M54" i="1" s="1"/>
  <c r="J63" i="1"/>
  <c r="F63" i="1"/>
  <c r="G60" i="1" s="1"/>
  <c r="G11" i="3" s="1"/>
  <c r="D63" i="1"/>
  <c r="E60" i="1" s="1"/>
  <c r="E11" i="3" s="1"/>
  <c r="B63" i="1"/>
  <c r="Q48" i="1"/>
  <c r="M51" i="1" s="1"/>
  <c r="O48" i="1"/>
  <c r="K51" i="1" s="1"/>
  <c r="M48" i="1"/>
  <c r="I51" i="1" s="1"/>
  <c r="K48" i="1"/>
  <c r="G51" i="1" s="1"/>
  <c r="I48" i="1"/>
  <c r="G48" i="1"/>
  <c r="D48" i="1"/>
  <c r="O51" i="1" s="1"/>
  <c r="B48" i="1"/>
  <c r="Q36" i="1"/>
  <c r="O36" i="1"/>
  <c r="M36" i="1"/>
  <c r="K36" i="1"/>
  <c r="I36" i="1"/>
  <c r="G36" i="1"/>
  <c r="Q19" i="1"/>
  <c r="O19" i="1"/>
  <c r="M19" i="1"/>
  <c r="K19" i="1"/>
  <c r="I19" i="1"/>
  <c r="F7" i="1"/>
  <c r="D10" i="1"/>
  <c r="J14" i="3"/>
  <c r="H14" i="3"/>
  <c r="F14" i="3"/>
  <c r="D14" i="3"/>
  <c r="B14" i="3"/>
  <c r="C51" i="1" l="1"/>
  <c r="H44" i="1"/>
  <c r="N63" i="1"/>
  <c r="C54" i="1"/>
  <c r="G70" i="1"/>
  <c r="G22" i="3" s="1"/>
  <c r="F24" i="3"/>
  <c r="K70" i="1"/>
  <c r="K22" i="3" s="1"/>
  <c r="J24" i="3"/>
  <c r="E70" i="1"/>
  <c r="E22" i="3" s="1"/>
  <c r="D24" i="3"/>
  <c r="I70" i="1"/>
  <c r="I22" i="3" s="1"/>
  <c r="H24" i="3"/>
  <c r="M70" i="1"/>
  <c r="M22" i="3" s="1"/>
  <c r="L24" i="3"/>
  <c r="C5" i="3"/>
  <c r="N14" i="3"/>
  <c r="J43" i="1"/>
  <c r="J41" i="1"/>
  <c r="J44" i="1"/>
  <c r="J42" i="1"/>
  <c r="E51" i="1"/>
  <c r="C46" i="1"/>
  <c r="C45" i="1"/>
  <c r="C47" i="1"/>
  <c r="C44" i="1"/>
  <c r="C43" i="1"/>
  <c r="C60" i="1"/>
  <c r="C11" i="3" s="1"/>
  <c r="C57" i="1"/>
  <c r="C8" i="3" s="1"/>
  <c r="M62" i="1"/>
  <c r="M13" i="3" s="1"/>
  <c r="M59" i="1"/>
  <c r="M10" i="3" s="1"/>
  <c r="M57" i="1"/>
  <c r="M8" i="3" s="1"/>
  <c r="M55" i="1"/>
  <c r="M6" i="3" s="1"/>
  <c r="M60" i="1"/>
  <c r="M11" i="3" s="1"/>
  <c r="M61" i="1"/>
  <c r="M12" i="3" s="1"/>
  <c r="M58" i="1"/>
  <c r="M9" i="3" s="1"/>
  <c r="M56" i="1"/>
  <c r="M7" i="3" s="1"/>
  <c r="K60" i="1"/>
  <c r="K11" i="3" s="1"/>
  <c r="K61" i="1"/>
  <c r="K12" i="3" s="1"/>
  <c r="K58" i="1"/>
  <c r="K9" i="3" s="1"/>
  <c r="K56" i="1"/>
  <c r="K7" i="3" s="1"/>
  <c r="K54" i="1"/>
  <c r="K62" i="1"/>
  <c r="K13" i="3" s="1"/>
  <c r="K59" i="1"/>
  <c r="K10" i="3" s="1"/>
  <c r="K57" i="1"/>
  <c r="K8" i="3" s="1"/>
  <c r="K55" i="1"/>
  <c r="K6" i="3" s="1"/>
  <c r="G61" i="1"/>
  <c r="G12" i="3" s="1"/>
  <c r="G58" i="1"/>
  <c r="G9" i="3" s="1"/>
  <c r="G56" i="1"/>
  <c r="G7" i="3" s="1"/>
  <c r="G54" i="1"/>
  <c r="G62" i="1"/>
  <c r="G13" i="3" s="1"/>
  <c r="G59" i="1"/>
  <c r="G10" i="3" s="1"/>
  <c r="G57" i="1"/>
  <c r="G8" i="3" s="1"/>
  <c r="G55" i="1"/>
  <c r="G6" i="3" s="1"/>
  <c r="E61" i="1"/>
  <c r="E12" i="3" s="1"/>
  <c r="E58" i="1"/>
  <c r="E9" i="3" s="1"/>
  <c r="E56" i="1"/>
  <c r="E7" i="3" s="1"/>
  <c r="E54" i="1"/>
  <c r="E62" i="1"/>
  <c r="E13" i="3" s="1"/>
  <c r="E59" i="1"/>
  <c r="E10" i="3" s="1"/>
  <c r="E57" i="1"/>
  <c r="E8" i="3" s="1"/>
  <c r="E55" i="1"/>
  <c r="E6" i="3" s="1"/>
  <c r="C61" i="1"/>
  <c r="C12" i="3" s="1"/>
  <c r="C58" i="1"/>
  <c r="C9" i="3" s="1"/>
  <c r="C55" i="1"/>
  <c r="C6" i="3" s="1"/>
  <c r="C62" i="1"/>
  <c r="C13" i="3" s="1"/>
  <c r="C59" i="1"/>
  <c r="C10" i="3" s="1"/>
  <c r="C56" i="1"/>
  <c r="C7" i="3" s="1"/>
  <c r="R18" i="1"/>
  <c r="P18" i="1"/>
  <c r="N18" i="1"/>
  <c r="L18" i="1"/>
  <c r="J18" i="1"/>
  <c r="E47" i="1"/>
  <c r="E45" i="1"/>
  <c r="E43" i="1"/>
  <c r="E46" i="1"/>
  <c r="E44" i="1"/>
  <c r="J46" i="1"/>
  <c r="J47" i="1"/>
  <c r="J45" i="1"/>
  <c r="N46" i="1"/>
  <c r="N44" i="1"/>
  <c r="N47" i="1"/>
  <c r="N45" i="1"/>
  <c r="N43" i="1"/>
  <c r="R46" i="1"/>
  <c r="R44" i="1"/>
  <c r="R47" i="1"/>
  <c r="R45" i="1"/>
  <c r="R43" i="1"/>
  <c r="H47" i="1"/>
  <c r="H45" i="1"/>
  <c r="H43" i="1"/>
  <c r="H46" i="1"/>
  <c r="L47" i="1"/>
  <c r="L45" i="1"/>
  <c r="L43" i="1"/>
  <c r="L46" i="1"/>
  <c r="L44" i="1"/>
  <c r="P47" i="1"/>
  <c r="P45" i="1"/>
  <c r="P43" i="1"/>
  <c r="P46" i="1"/>
  <c r="P44" i="1"/>
  <c r="C378" i="1"/>
  <c r="E361" i="1"/>
  <c r="C361" i="1"/>
  <c r="M313" i="1"/>
  <c r="C272" i="1"/>
  <c r="C256" i="1"/>
  <c r="K256" i="1"/>
  <c r="K232" i="1"/>
  <c r="M232" i="1"/>
  <c r="G216" i="1"/>
  <c r="K216" i="1"/>
  <c r="I216" i="1"/>
  <c r="M216" i="1"/>
  <c r="M114" i="1"/>
  <c r="M6" i="4" s="1"/>
  <c r="I114" i="1"/>
  <c r="I6" i="4" s="1"/>
  <c r="G113" i="1"/>
  <c r="G5" i="4" s="1"/>
  <c r="C69" i="1"/>
  <c r="C21" i="3" s="1"/>
  <c r="C67" i="1"/>
  <c r="C19" i="3" s="1"/>
  <c r="C71" i="1"/>
  <c r="C23" i="3" s="1"/>
  <c r="C68" i="1"/>
  <c r="C20" i="3" s="1"/>
  <c r="G69" i="1"/>
  <c r="G21" i="3" s="1"/>
  <c r="G67" i="1"/>
  <c r="G19" i="3" s="1"/>
  <c r="G71" i="1"/>
  <c r="G23" i="3" s="1"/>
  <c r="G68" i="1"/>
  <c r="G20" i="3" s="1"/>
  <c r="K69" i="1"/>
  <c r="K21" i="3" s="1"/>
  <c r="K67" i="1"/>
  <c r="K19" i="3" s="1"/>
  <c r="K71" i="1"/>
  <c r="K23" i="3" s="1"/>
  <c r="K68" i="1"/>
  <c r="K20" i="3" s="1"/>
  <c r="E71" i="1"/>
  <c r="E23" i="3" s="1"/>
  <c r="E68" i="1"/>
  <c r="E20" i="3" s="1"/>
  <c r="E69" i="1"/>
  <c r="E21" i="3" s="1"/>
  <c r="E67" i="1"/>
  <c r="E19" i="3" s="1"/>
  <c r="I71" i="1"/>
  <c r="I23" i="3" s="1"/>
  <c r="I68" i="1"/>
  <c r="I20" i="3" s="1"/>
  <c r="I69" i="1"/>
  <c r="I21" i="3" s="1"/>
  <c r="I67" i="1"/>
  <c r="I19" i="3" s="1"/>
  <c r="M71" i="1"/>
  <c r="M23" i="3" s="1"/>
  <c r="M68" i="1"/>
  <c r="M20" i="3" s="1"/>
  <c r="M69" i="1"/>
  <c r="M21" i="3" s="1"/>
  <c r="M67" i="1"/>
  <c r="M19" i="3" s="1"/>
  <c r="E41" i="1"/>
  <c r="E42" i="1"/>
  <c r="E40" i="1"/>
  <c r="N42" i="1"/>
  <c r="N40" i="1"/>
  <c r="N41" i="1"/>
  <c r="R42" i="1"/>
  <c r="R40" i="1"/>
  <c r="R41" i="1"/>
  <c r="C42" i="1"/>
  <c r="C40" i="1"/>
  <c r="C41" i="1"/>
  <c r="H41" i="1"/>
  <c r="H42" i="1"/>
  <c r="L41" i="1"/>
  <c r="L42" i="1"/>
  <c r="L40" i="1"/>
  <c r="P41" i="1"/>
  <c r="P42" i="1"/>
  <c r="P40" i="1"/>
  <c r="J32" i="1"/>
  <c r="J30" i="1"/>
  <c r="J33" i="1"/>
  <c r="J31" i="1"/>
  <c r="N32" i="1"/>
  <c r="N30" i="1"/>
  <c r="N33" i="1"/>
  <c r="N31" i="1"/>
  <c r="R32" i="1"/>
  <c r="R30" i="1"/>
  <c r="R33" i="1"/>
  <c r="R31" i="1"/>
  <c r="H33" i="1"/>
  <c r="H31" i="1"/>
  <c r="H32" i="1"/>
  <c r="H30" i="1"/>
  <c r="L33" i="1"/>
  <c r="L31" i="1"/>
  <c r="L32" i="1"/>
  <c r="L30" i="1"/>
  <c r="P33" i="1"/>
  <c r="P31" i="1"/>
  <c r="P32" i="1"/>
  <c r="P30" i="1"/>
  <c r="J34" i="1"/>
  <c r="J35" i="1"/>
  <c r="N34" i="1"/>
  <c r="N35" i="1"/>
  <c r="R34" i="1"/>
  <c r="R35" i="1"/>
  <c r="H35" i="1"/>
  <c r="H34" i="1"/>
  <c r="L35" i="1"/>
  <c r="L34" i="1"/>
  <c r="P35" i="1"/>
  <c r="P34" i="1"/>
  <c r="W9" i="13"/>
  <c r="M297" i="1"/>
  <c r="G112" i="1"/>
  <c r="K113" i="1"/>
  <c r="K5" i="4" s="1"/>
  <c r="K112" i="1"/>
  <c r="E394" i="1"/>
  <c r="C11" i="14"/>
  <c r="R6" i="14" s="1"/>
  <c r="G11" i="14"/>
  <c r="T6" i="14" s="1"/>
  <c r="K11" i="14"/>
  <c r="V6" i="14" s="1"/>
  <c r="N10" i="14"/>
  <c r="K10" i="14"/>
  <c r="G10" i="14"/>
  <c r="C10" i="14"/>
  <c r="T13" i="13"/>
  <c r="T10" i="13"/>
  <c r="E11" i="13"/>
  <c r="S6" i="13" s="1"/>
  <c r="G11" i="13"/>
  <c r="T6" i="13" s="1"/>
  <c r="I11" i="13"/>
  <c r="U6" i="13" s="1"/>
  <c r="K11" i="13"/>
  <c r="V6" i="13" s="1"/>
  <c r="M11" i="13"/>
  <c r="W6" i="13" s="1"/>
  <c r="W8" i="13"/>
  <c r="W10" i="13"/>
  <c r="S13" i="13"/>
  <c r="W13" i="13"/>
  <c r="S15" i="13"/>
  <c r="W15" i="13"/>
  <c r="K114" i="1"/>
  <c r="K6" i="4" s="1"/>
  <c r="M113" i="1"/>
  <c r="M5" i="4" s="1"/>
  <c r="M112" i="1"/>
  <c r="M4" i="4" s="1"/>
  <c r="N166" i="1"/>
  <c r="N50" i="10" s="1"/>
  <c r="K208" i="1"/>
  <c r="M256" i="1"/>
  <c r="K272" i="1"/>
  <c r="K297" i="1"/>
  <c r="E313" i="1"/>
  <c r="G386" i="1"/>
  <c r="I208" i="1"/>
  <c r="M208" i="1"/>
  <c r="G114" i="1"/>
  <c r="G6" i="4" s="1"/>
  <c r="I113" i="1"/>
  <c r="I5" i="4" s="1"/>
  <c r="I112" i="1"/>
  <c r="I4" i="4" s="1"/>
  <c r="C208" i="1"/>
  <c r="N207" i="1"/>
  <c r="N18" i="13" s="1"/>
  <c r="C216" i="1"/>
  <c r="C224" i="1"/>
  <c r="G224" i="1"/>
  <c r="K224" i="1"/>
  <c r="N223" i="1"/>
  <c r="N34" i="13" s="1"/>
  <c r="G232" i="1"/>
  <c r="G248" i="1"/>
  <c r="I264" i="1"/>
  <c r="E272" i="1"/>
  <c r="C297" i="1"/>
  <c r="E297" i="1"/>
  <c r="G305" i="1"/>
  <c r="I305" i="1"/>
  <c r="C329" i="1"/>
  <c r="C345" i="1"/>
  <c r="K361" i="1"/>
  <c r="K378" i="1"/>
  <c r="M394" i="1"/>
  <c r="C36" i="1"/>
  <c r="E208" i="1"/>
  <c r="E224" i="1"/>
  <c r="I224" i="1"/>
  <c r="M224" i="1"/>
  <c r="I289" i="1"/>
  <c r="K329" i="1"/>
  <c r="E345" i="1"/>
  <c r="M345" i="1"/>
  <c r="N304" i="1"/>
  <c r="I321" i="1"/>
  <c r="E329" i="1"/>
  <c r="I337" i="1"/>
  <c r="G337" i="1"/>
  <c r="K345" i="1"/>
  <c r="I369" i="1"/>
  <c r="N368" i="1"/>
  <c r="G369" i="1"/>
  <c r="E378" i="1"/>
  <c r="I386" i="1"/>
  <c r="N385" i="1"/>
  <c r="K394" i="1"/>
  <c r="I402" i="1"/>
  <c r="N158" i="1"/>
  <c r="N42" i="10" s="1"/>
  <c r="E232" i="1"/>
  <c r="I353" i="1"/>
  <c r="R16" i="1"/>
  <c r="P16" i="1"/>
  <c r="N16" i="1"/>
  <c r="L16" i="1"/>
  <c r="J16" i="1"/>
  <c r="G402" i="1"/>
  <c r="N401" i="1"/>
  <c r="G353" i="1"/>
  <c r="N352" i="1"/>
  <c r="N336" i="1"/>
  <c r="G321" i="1"/>
  <c r="N320" i="1"/>
  <c r="G289" i="1"/>
  <c r="N288" i="1"/>
  <c r="G264" i="1"/>
  <c r="N263" i="1"/>
  <c r="N74" i="13" s="1"/>
  <c r="I248" i="1"/>
  <c r="N247" i="1"/>
  <c r="N58" i="13" s="1"/>
  <c r="E216" i="1"/>
  <c r="G208" i="1"/>
  <c r="N190" i="1"/>
  <c r="N74" i="10" s="1"/>
  <c r="N182" i="1"/>
  <c r="N66" i="10" s="1"/>
  <c r="N174" i="1"/>
  <c r="N58" i="10" s="1"/>
  <c r="N142" i="1"/>
  <c r="N26" i="10" s="1"/>
  <c r="E113" i="1"/>
  <c r="E5" i="4" s="1"/>
  <c r="N215" i="1"/>
  <c r="N26" i="13" s="1"/>
  <c r="N231" i="1"/>
  <c r="N42" i="13" s="1"/>
  <c r="I232" i="1"/>
  <c r="E248" i="1"/>
  <c r="M248" i="1"/>
  <c r="C248" i="1"/>
  <c r="K248" i="1"/>
  <c r="N255" i="1"/>
  <c r="N66" i="13" s="1"/>
  <c r="I256" i="1"/>
  <c r="E264" i="1"/>
  <c r="M264" i="1"/>
  <c r="C264" i="1"/>
  <c r="K264" i="1"/>
  <c r="N271" i="1"/>
  <c r="N82" i="13" s="1"/>
  <c r="E289" i="1"/>
  <c r="M289" i="1"/>
  <c r="C289" i="1"/>
  <c r="K289" i="1"/>
  <c r="N296" i="1"/>
  <c r="E305" i="1"/>
  <c r="M305" i="1"/>
  <c r="C305" i="1"/>
  <c r="K305" i="1"/>
  <c r="N312" i="1"/>
  <c r="I313" i="1"/>
  <c r="E321" i="1"/>
  <c r="M321" i="1"/>
  <c r="C321" i="1"/>
  <c r="K321" i="1"/>
  <c r="N328" i="1"/>
  <c r="E337" i="1"/>
  <c r="M337" i="1"/>
  <c r="C337" i="1"/>
  <c r="K337" i="1"/>
  <c r="N344" i="1"/>
  <c r="I345" i="1"/>
  <c r="E353" i="1"/>
  <c r="M353" i="1"/>
  <c r="C353" i="1"/>
  <c r="K353" i="1"/>
  <c r="N360" i="1"/>
  <c r="I361" i="1"/>
  <c r="E369" i="1"/>
  <c r="M369" i="1"/>
  <c r="C369" i="1"/>
  <c r="K369" i="1"/>
  <c r="N377" i="1"/>
  <c r="E386" i="1"/>
  <c r="M386" i="1"/>
  <c r="C386" i="1"/>
  <c r="K386" i="1"/>
  <c r="N393" i="1"/>
  <c r="E402" i="1"/>
  <c r="M402" i="1"/>
  <c r="C402" i="1"/>
  <c r="K402" i="1"/>
  <c r="J14" i="1"/>
  <c r="L14" i="1"/>
  <c r="N14" i="1"/>
  <c r="P14" i="1"/>
  <c r="R14" i="1"/>
  <c r="E112" i="1"/>
  <c r="N150" i="1"/>
  <c r="N34" i="10" s="1"/>
  <c r="E10" i="14"/>
  <c r="I10" i="14"/>
  <c r="M10" i="14"/>
  <c r="R11" i="13"/>
  <c r="T11" i="13"/>
  <c r="V11" i="13"/>
  <c r="O400" i="1"/>
  <c r="O130" i="14" s="1"/>
  <c r="O399" i="1"/>
  <c r="O129" i="14" s="1"/>
  <c r="O398" i="1"/>
  <c r="O128" i="14" s="1"/>
  <c r="O397" i="1"/>
  <c r="O127" i="14" s="1"/>
  <c r="O392" i="1"/>
  <c r="O122" i="14" s="1"/>
  <c r="O391" i="1"/>
  <c r="O121" i="14" s="1"/>
  <c r="O390" i="1"/>
  <c r="O120" i="14" s="1"/>
  <c r="O389" i="1"/>
  <c r="O119" i="14" s="1"/>
  <c r="O384" i="1"/>
  <c r="O114" i="14" s="1"/>
  <c r="O383" i="1"/>
  <c r="O113" i="14" s="1"/>
  <c r="O382" i="1"/>
  <c r="O112" i="14" s="1"/>
  <c r="O381" i="1"/>
  <c r="O111" i="14" s="1"/>
  <c r="O376" i="1"/>
  <c r="O106" i="14" s="1"/>
  <c r="O375" i="1"/>
  <c r="O105" i="14" s="1"/>
  <c r="O374" i="1"/>
  <c r="O104" i="14" s="1"/>
  <c r="O373" i="1"/>
  <c r="O103" i="14" s="1"/>
  <c r="O367" i="1"/>
  <c r="O97" i="14" s="1"/>
  <c r="O366" i="1"/>
  <c r="O96" i="14" s="1"/>
  <c r="O365" i="1"/>
  <c r="O95" i="14" s="1"/>
  <c r="O364" i="1"/>
  <c r="O94" i="14" s="1"/>
  <c r="O359" i="1"/>
  <c r="O89" i="14" s="1"/>
  <c r="O358" i="1"/>
  <c r="O88" i="14" s="1"/>
  <c r="O357" i="1"/>
  <c r="O87" i="14" s="1"/>
  <c r="O356" i="1"/>
  <c r="O86" i="14" s="1"/>
  <c r="O351" i="1"/>
  <c r="O81" i="14" s="1"/>
  <c r="O350" i="1"/>
  <c r="O80" i="14" s="1"/>
  <c r="O349" i="1"/>
  <c r="O79" i="14" s="1"/>
  <c r="O348" i="1"/>
  <c r="O78" i="14" s="1"/>
  <c r="O343" i="1"/>
  <c r="O73" i="14" s="1"/>
  <c r="O342" i="1"/>
  <c r="O72" i="14" s="1"/>
  <c r="O341" i="1"/>
  <c r="O71" i="14" s="1"/>
  <c r="O340" i="1"/>
  <c r="O70" i="14" s="1"/>
  <c r="O335" i="1"/>
  <c r="O65" i="14" s="1"/>
  <c r="O334" i="1"/>
  <c r="O64" i="14" s="1"/>
  <c r="O333" i="1"/>
  <c r="O63" i="14" s="1"/>
  <c r="O332" i="1"/>
  <c r="O62" i="14" s="1"/>
  <c r="O327" i="1"/>
  <c r="O57" i="14" s="1"/>
  <c r="O326" i="1"/>
  <c r="O56" i="14" s="1"/>
  <c r="O325" i="1"/>
  <c r="O55" i="14" s="1"/>
  <c r="O324" i="1"/>
  <c r="O54" i="14" s="1"/>
  <c r="O319" i="1"/>
  <c r="O49" i="14" s="1"/>
  <c r="O318" i="1"/>
  <c r="O48" i="14" s="1"/>
  <c r="O317" i="1"/>
  <c r="O47" i="14" s="1"/>
  <c r="O316" i="1"/>
  <c r="O46" i="14" s="1"/>
  <c r="O311" i="1"/>
  <c r="O41" i="14" s="1"/>
  <c r="O310" i="1"/>
  <c r="O40" i="14" s="1"/>
  <c r="O309" i="1"/>
  <c r="O39" i="14" s="1"/>
  <c r="O308" i="1"/>
  <c r="O38" i="14" s="1"/>
  <c r="O303" i="1"/>
  <c r="O33" i="14" s="1"/>
  <c r="O302" i="1"/>
  <c r="O32" i="14" s="1"/>
  <c r="O301" i="1"/>
  <c r="O31" i="14" s="1"/>
  <c r="O300" i="1"/>
  <c r="O30" i="14" s="1"/>
  <c r="O295" i="1"/>
  <c r="O25" i="14" s="1"/>
  <c r="O294" i="1"/>
  <c r="O24" i="14" s="1"/>
  <c r="O293" i="1"/>
  <c r="O23" i="14" s="1"/>
  <c r="O292" i="1"/>
  <c r="O22" i="14" s="1"/>
  <c r="O287" i="1"/>
  <c r="O17" i="14" s="1"/>
  <c r="O286" i="1"/>
  <c r="O16" i="14" s="1"/>
  <c r="O285" i="1"/>
  <c r="O15" i="14" s="1"/>
  <c r="O284" i="1"/>
  <c r="O14" i="14" s="1"/>
  <c r="N280" i="1"/>
  <c r="O276" i="1" s="1"/>
  <c r="O6" i="14" s="1"/>
  <c r="C281" i="1"/>
  <c r="G281" i="1"/>
  <c r="K281" i="1"/>
  <c r="O270" i="1"/>
  <c r="O81" i="13" s="1"/>
  <c r="O269" i="1"/>
  <c r="O80" i="13" s="1"/>
  <c r="O268" i="1"/>
  <c r="O79" i="13" s="1"/>
  <c r="O267" i="1"/>
  <c r="O78" i="13" s="1"/>
  <c r="O83" i="13" s="1"/>
  <c r="O262" i="1"/>
  <c r="O73" i="13" s="1"/>
  <c r="O261" i="1"/>
  <c r="O72" i="13" s="1"/>
  <c r="O260" i="1"/>
  <c r="O71" i="13" s="1"/>
  <c r="O259" i="1"/>
  <c r="O70" i="13" s="1"/>
  <c r="O75" i="13" s="1"/>
  <c r="O254" i="1"/>
  <c r="O65" i="13" s="1"/>
  <c r="O253" i="1"/>
  <c r="O64" i="13" s="1"/>
  <c r="O252" i="1"/>
  <c r="O63" i="13" s="1"/>
  <c r="O251" i="1"/>
  <c r="O62" i="13" s="1"/>
  <c r="O67" i="13" s="1"/>
  <c r="O246" i="1"/>
  <c r="O57" i="13" s="1"/>
  <c r="O245" i="1"/>
  <c r="O56" i="13" s="1"/>
  <c r="O244" i="1"/>
  <c r="O55" i="13" s="1"/>
  <c r="O243" i="1"/>
  <c r="O54" i="13" s="1"/>
  <c r="O59" i="13" s="1"/>
  <c r="N239" i="1"/>
  <c r="C240" i="1"/>
  <c r="G240" i="1"/>
  <c r="K240" i="1"/>
  <c r="O230" i="1"/>
  <c r="O41" i="13" s="1"/>
  <c r="O229" i="1"/>
  <c r="O40" i="13" s="1"/>
  <c r="O228" i="1"/>
  <c r="O39" i="13" s="1"/>
  <c r="O227" i="1"/>
  <c r="O38" i="13" s="1"/>
  <c r="O43" i="13" s="1"/>
  <c r="O222" i="1"/>
  <c r="O33" i="13" s="1"/>
  <c r="O221" i="1"/>
  <c r="O32" i="13" s="1"/>
  <c r="O220" i="1"/>
  <c r="O31" i="13" s="1"/>
  <c r="O219" i="1"/>
  <c r="O30" i="13" s="1"/>
  <c r="O35" i="13" s="1"/>
  <c r="O214" i="1"/>
  <c r="O25" i="13" s="1"/>
  <c r="O213" i="1"/>
  <c r="O24" i="13" s="1"/>
  <c r="O212" i="1"/>
  <c r="O23" i="13" s="1"/>
  <c r="O211" i="1"/>
  <c r="O22" i="13" s="1"/>
  <c r="O27" i="13" s="1"/>
  <c r="O206" i="1"/>
  <c r="O17" i="13" s="1"/>
  <c r="O205" i="1"/>
  <c r="O16" i="13" s="1"/>
  <c r="O204" i="1"/>
  <c r="O15" i="13" s="1"/>
  <c r="O203" i="1"/>
  <c r="O14" i="13" s="1"/>
  <c r="O19" i="13" s="1"/>
  <c r="N199" i="1"/>
  <c r="C200" i="1"/>
  <c r="G200" i="1"/>
  <c r="K200" i="1"/>
  <c r="O189" i="1"/>
  <c r="O73" i="10" s="1"/>
  <c r="O188" i="1"/>
  <c r="O72" i="10" s="1"/>
  <c r="O187" i="1"/>
  <c r="O71" i="10" s="1"/>
  <c r="O186" i="1"/>
  <c r="O70" i="10" s="1"/>
  <c r="O181" i="1"/>
  <c r="O65" i="10" s="1"/>
  <c r="O180" i="1"/>
  <c r="O64" i="10" s="1"/>
  <c r="O179" i="1"/>
  <c r="O63" i="10" s="1"/>
  <c r="O178" i="1"/>
  <c r="O62" i="10" s="1"/>
  <c r="O173" i="1"/>
  <c r="O57" i="10" s="1"/>
  <c r="O172" i="1"/>
  <c r="O56" i="10" s="1"/>
  <c r="O171" i="1"/>
  <c r="O55" i="10" s="1"/>
  <c r="O170" i="1"/>
  <c r="O54" i="10" s="1"/>
  <c r="O165" i="1"/>
  <c r="O49" i="10" s="1"/>
  <c r="O164" i="1"/>
  <c r="O48" i="10" s="1"/>
  <c r="O163" i="1"/>
  <c r="O47" i="10" s="1"/>
  <c r="O162" i="1"/>
  <c r="O46" i="10" s="1"/>
  <c r="O157" i="1"/>
  <c r="O41" i="10" s="1"/>
  <c r="O156" i="1"/>
  <c r="O40" i="10" s="1"/>
  <c r="O155" i="1"/>
  <c r="O39" i="10" s="1"/>
  <c r="O154" i="1"/>
  <c r="O38" i="10" s="1"/>
  <c r="O149" i="1"/>
  <c r="O33" i="10" s="1"/>
  <c r="O148" i="1"/>
  <c r="O32" i="10" s="1"/>
  <c r="O147" i="1"/>
  <c r="O31" i="10" s="1"/>
  <c r="O146" i="1"/>
  <c r="O30" i="10" s="1"/>
  <c r="O141" i="1"/>
  <c r="O25" i="10" s="1"/>
  <c r="O140" i="1"/>
  <c r="O24" i="10" s="1"/>
  <c r="O139" i="1"/>
  <c r="O23" i="10" s="1"/>
  <c r="O138" i="1"/>
  <c r="O22" i="10" s="1"/>
  <c r="E114" i="1"/>
  <c r="E6" i="4" s="1"/>
  <c r="M66" i="1"/>
  <c r="M18" i="3" s="1"/>
  <c r="K66" i="1"/>
  <c r="K18" i="3" s="1"/>
  <c r="I66" i="1"/>
  <c r="I18" i="3" s="1"/>
  <c r="G66" i="1"/>
  <c r="G18" i="3" s="1"/>
  <c r="E66" i="1"/>
  <c r="E18" i="3" s="1"/>
  <c r="R13" i="1"/>
  <c r="R15" i="1"/>
  <c r="R17" i="1"/>
  <c r="P13" i="1"/>
  <c r="P15" i="1"/>
  <c r="P17" i="1"/>
  <c r="N13" i="1"/>
  <c r="N15" i="1"/>
  <c r="N17" i="1"/>
  <c r="L13" i="1"/>
  <c r="L15" i="1"/>
  <c r="L17" i="1"/>
  <c r="J13" i="1"/>
  <c r="J15" i="1"/>
  <c r="J17" i="1"/>
  <c r="T11" i="10"/>
  <c r="V11" i="10"/>
  <c r="O195" i="1" l="1"/>
  <c r="O6" i="13" s="1"/>
  <c r="N10" i="13"/>
  <c r="O235" i="1"/>
  <c r="O46" i="13" s="1"/>
  <c r="N50" i="13"/>
  <c r="E117" i="1"/>
  <c r="E9" i="4" s="1"/>
  <c r="E4" i="4"/>
  <c r="O19" i="14"/>
  <c r="O18" i="14"/>
  <c r="O27" i="14"/>
  <c r="O26" i="14"/>
  <c r="O35" i="14"/>
  <c r="O34" i="14"/>
  <c r="O43" i="14"/>
  <c r="O42" i="14"/>
  <c r="O51" i="14"/>
  <c r="O50" i="14"/>
  <c r="O59" i="14"/>
  <c r="O58" i="14"/>
  <c r="O67" i="14"/>
  <c r="O66" i="14"/>
  <c r="O75" i="14"/>
  <c r="O74" i="14"/>
  <c r="O83" i="14"/>
  <c r="O82" i="14"/>
  <c r="O91" i="14"/>
  <c r="O90" i="14"/>
  <c r="O99" i="14"/>
  <c r="O98" i="14"/>
  <c r="O108" i="14"/>
  <c r="O107" i="14"/>
  <c r="O116" i="14"/>
  <c r="O115" i="14"/>
  <c r="O124" i="14"/>
  <c r="O123" i="14"/>
  <c r="O132" i="14"/>
  <c r="O131" i="14"/>
  <c r="K117" i="1"/>
  <c r="K9" i="4" s="1"/>
  <c r="K4" i="4"/>
  <c r="G117" i="1"/>
  <c r="G9" i="4" s="1"/>
  <c r="G4" i="4"/>
  <c r="O61" i="1"/>
  <c r="O12" i="3" s="1"/>
  <c r="O62" i="1"/>
  <c r="O13" i="3" s="1"/>
  <c r="O54" i="1"/>
  <c r="M116" i="1"/>
  <c r="M8" i="4" s="1"/>
  <c r="M117" i="1"/>
  <c r="M9" i="4" s="1"/>
  <c r="I117" i="1"/>
  <c r="I9" i="4" s="1"/>
  <c r="K116" i="1"/>
  <c r="K8" i="4" s="1"/>
  <c r="I116" i="1"/>
  <c r="I8" i="4" s="1"/>
  <c r="G116" i="1"/>
  <c r="G8" i="4" s="1"/>
  <c r="E116" i="1"/>
  <c r="E8" i="4" s="1"/>
  <c r="M11" i="14"/>
  <c r="W6" i="14" s="1"/>
  <c r="O55" i="1"/>
  <c r="O6" i="3" s="1"/>
  <c r="I11" i="14"/>
  <c r="U6" i="14" s="1"/>
  <c r="R24" i="1"/>
  <c r="R23" i="1"/>
  <c r="R22" i="1"/>
  <c r="P23" i="1"/>
  <c r="P24" i="1"/>
  <c r="P22" i="1"/>
  <c r="N24" i="1"/>
  <c r="N23" i="1"/>
  <c r="N22" i="1"/>
  <c r="L23" i="1"/>
  <c r="L24" i="1"/>
  <c r="L22" i="1"/>
  <c r="J24" i="1"/>
  <c r="J23" i="1"/>
  <c r="J22" i="1"/>
  <c r="U10" i="13"/>
  <c r="R11" i="10"/>
  <c r="S10" i="13"/>
  <c r="V15" i="13"/>
  <c r="R15" i="13"/>
  <c r="W22" i="14"/>
  <c r="W20" i="14"/>
  <c r="W16" i="14"/>
  <c r="W14" i="14"/>
  <c r="W12" i="14"/>
  <c r="W10" i="14"/>
  <c r="W8" i="14"/>
  <c r="W14" i="13"/>
  <c r="K313" i="1"/>
  <c r="S8" i="13"/>
  <c r="V8" i="13"/>
  <c r="R8" i="13"/>
  <c r="U13" i="13"/>
  <c r="S6" i="14"/>
  <c r="S7" i="14"/>
  <c r="U7" i="14"/>
  <c r="S9" i="14"/>
  <c r="U9" i="14"/>
  <c r="U10" i="14"/>
  <c r="S10" i="14"/>
  <c r="U12" i="14"/>
  <c r="S12" i="14"/>
  <c r="U20" i="14"/>
  <c r="S20" i="14"/>
  <c r="S21" i="14"/>
  <c r="U21" i="14"/>
  <c r="U22" i="14"/>
  <c r="S22" i="14"/>
  <c r="S13" i="14"/>
  <c r="U13" i="14"/>
  <c r="W23" i="14"/>
  <c r="W21" i="14"/>
  <c r="W17" i="14"/>
  <c r="W15" i="14"/>
  <c r="W13" i="14"/>
  <c r="W11" i="14"/>
  <c r="W9" i="14"/>
  <c r="W7" i="14"/>
  <c r="V23" i="14"/>
  <c r="R23" i="14"/>
  <c r="S23" i="14"/>
  <c r="U23" i="14"/>
  <c r="T23" i="14"/>
  <c r="T22" i="14"/>
  <c r="V22" i="14"/>
  <c r="R22" i="14"/>
  <c r="T21" i="14"/>
  <c r="V21" i="14"/>
  <c r="R21" i="14"/>
  <c r="V20" i="14"/>
  <c r="T20" i="14"/>
  <c r="R20" i="14"/>
  <c r="V17" i="14"/>
  <c r="R17" i="14"/>
  <c r="S17" i="14"/>
  <c r="U17" i="14"/>
  <c r="T17" i="14"/>
  <c r="V16" i="14"/>
  <c r="R16" i="14"/>
  <c r="U16" i="14"/>
  <c r="S16" i="14"/>
  <c r="T16" i="14"/>
  <c r="V15" i="14"/>
  <c r="R15" i="14"/>
  <c r="S15" i="14"/>
  <c r="U15" i="14"/>
  <c r="T15" i="14"/>
  <c r="V14" i="14"/>
  <c r="R14" i="14"/>
  <c r="U14" i="14"/>
  <c r="S14" i="14"/>
  <c r="T14" i="14"/>
  <c r="V13" i="14"/>
  <c r="R13" i="14"/>
  <c r="T13" i="14"/>
  <c r="V12" i="14"/>
  <c r="T12" i="14"/>
  <c r="R12" i="14"/>
  <c r="V11" i="14"/>
  <c r="R11" i="14"/>
  <c r="S11" i="14"/>
  <c r="U11" i="14"/>
  <c r="T11" i="14"/>
  <c r="T10" i="14"/>
  <c r="V10" i="14"/>
  <c r="R10" i="14"/>
  <c r="V9" i="14"/>
  <c r="R9" i="14"/>
  <c r="T9" i="14"/>
  <c r="V8" i="14"/>
  <c r="R8" i="14"/>
  <c r="U8" i="14"/>
  <c r="S8" i="14"/>
  <c r="T8" i="14"/>
  <c r="V7" i="14"/>
  <c r="R7" i="14"/>
  <c r="T7" i="14"/>
  <c r="U15" i="13"/>
  <c r="T15" i="13"/>
  <c r="V14" i="13"/>
  <c r="R14" i="13"/>
  <c r="U14" i="13"/>
  <c r="S14" i="13"/>
  <c r="V13" i="13"/>
  <c r="R13" i="13"/>
  <c r="V12" i="13"/>
  <c r="R12" i="13"/>
  <c r="U12" i="13"/>
  <c r="S12" i="13"/>
  <c r="V10" i="13"/>
  <c r="R10" i="13"/>
  <c r="V9" i="13"/>
  <c r="R9" i="13"/>
  <c r="U9" i="13"/>
  <c r="S9" i="13"/>
  <c r="U8" i="13"/>
  <c r="T8" i="13"/>
  <c r="R7" i="13"/>
  <c r="W7" i="13"/>
  <c r="U7" i="13"/>
  <c r="S7" i="13"/>
  <c r="V7" i="13"/>
  <c r="T14" i="13"/>
  <c r="T9" i="13"/>
  <c r="T12" i="13"/>
  <c r="T7" i="13"/>
  <c r="W13" i="10"/>
  <c r="W10" i="10"/>
  <c r="W8" i="10"/>
  <c r="U8" i="10"/>
  <c r="S8" i="10"/>
  <c r="U9" i="10"/>
  <c r="U10" i="10"/>
  <c r="S12" i="10"/>
  <c r="U12" i="10"/>
  <c r="W14" i="10"/>
  <c r="W12" i="10"/>
  <c r="W9" i="10"/>
  <c r="W7" i="10"/>
  <c r="T14" i="10"/>
  <c r="S14" i="10"/>
  <c r="U14" i="10"/>
  <c r="V14" i="10"/>
  <c r="T13" i="10"/>
  <c r="U13" i="10"/>
  <c r="S13" i="10"/>
  <c r="V13" i="10"/>
  <c r="V12" i="10"/>
  <c r="T12" i="10"/>
  <c r="T10" i="10"/>
  <c r="V10" i="10"/>
  <c r="V9" i="10"/>
  <c r="R9" i="10"/>
  <c r="T9" i="10"/>
  <c r="T8" i="10"/>
  <c r="V8" i="10"/>
  <c r="R8" i="10"/>
  <c r="V7" i="10"/>
  <c r="T7" i="10"/>
  <c r="S7" i="10"/>
  <c r="U7" i="10"/>
  <c r="R7" i="10"/>
  <c r="J19" i="1"/>
  <c r="C313" i="1"/>
  <c r="E256" i="1"/>
  <c r="C394" i="1"/>
  <c r="M361" i="1"/>
  <c r="M329" i="1"/>
  <c r="M272" i="1"/>
  <c r="C232" i="1"/>
  <c r="E72" i="1"/>
  <c r="E24" i="3" s="1"/>
  <c r="I72" i="1"/>
  <c r="I24" i="3" s="1"/>
  <c r="M72" i="1"/>
  <c r="M24" i="3" s="1"/>
  <c r="I272" i="1"/>
  <c r="M378" i="1"/>
  <c r="R19" i="1"/>
  <c r="P19" i="1"/>
  <c r="N19" i="1"/>
  <c r="L19" i="1"/>
  <c r="I394" i="1"/>
  <c r="I378" i="1"/>
  <c r="I329" i="1"/>
  <c r="I297" i="1"/>
  <c r="O238" i="1"/>
  <c r="O49" i="13" s="1"/>
  <c r="K72" i="1"/>
  <c r="K24" i="3" s="1"/>
  <c r="G72" i="1"/>
  <c r="G24" i="3" s="1"/>
  <c r="G394" i="1"/>
  <c r="G361" i="1"/>
  <c r="G329" i="1"/>
  <c r="G297" i="1"/>
  <c r="G272" i="1"/>
  <c r="J36" i="1"/>
  <c r="O198" i="1"/>
  <c r="O9" i="13" s="1"/>
  <c r="O236" i="1"/>
  <c r="O47" i="13" s="1"/>
  <c r="O279" i="1"/>
  <c r="O9" i="14" s="1"/>
  <c r="G378" i="1"/>
  <c r="G345" i="1"/>
  <c r="G313" i="1"/>
  <c r="G256" i="1"/>
  <c r="O196" i="1"/>
  <c r="O7" i="13" s="1"/>
  <c r="O277" i="1"/>
  <c r="O7" i="14" s="1"/>
  <c r="R48" i="1"/>
  <c r="P48" i="1"/>
  <c r="N48" i="1"/>
  <c r="L48" i="1"/>
  <c r="J48" i="1"/>
  <c r="H48" i="1"/>
  <c r="R36" i="1"/>
  <c r="P36" i="1"/>
  <c r="N36" i="1"/>
  <c r="L36" i="1"/>
  <c r="H36" i="1"/>
  <c r="E48" i="1"/>
  <c r="E36" i="1"/>
  <c r="X23" i="14"/>
  <c r="X22" i="14"/>
  <c r="X21" i="14"/>
  <c r="X20" i="14"/>
  <c r="X17" i="14"/>
  <c r="X16" i="14"/>
  <c r="X15" i="14"/>
  <c r="X14" i="14"/>
  <c r="X13" i="14"/>
  <c r="X12" i="14"/>
  <c r="X11" i="14"/>
  <c r="X10" i="14"/>
  <c r="X9" i="14"/>
  <c r="X8" i="14"/>
  <c r="X7" i="14"/>
  <c r="O11" i="14"/>
  <c r="X6" i="14" s="1"/>
  <c r="X15" i="13"/>
  <c r="X14" i="13"/>
  <c r="X13" i="13"/>
  <c r="X12" i="13"/>
  <c r="W11" i="13"/>
  <c r="S11" i="13"/>
  <c r="U11" i="13"/>
  <c r="X10" i="13"/>
  <c r="X9" i="13"/>
  <c r="X8" i="13"/>
  <c r="X7" i="13"/>
  <c r="O401" i="1"/>
  <c r="O402" i="1"/>
  <c r="O393" i="1"/>
  <c r="O394" i="1"/>
  <c r="O385" i="1"/>
  <c r="O386" i="1"/>
  <c r="O377" i="1"/>
  <c r="O378" i="1"/>
  <c r="O368" i="1"/>
  <c r="O369" i="1"/>
  <c r="O360" i="1"/>
  <c r="O361" i="1"/>
  <c r="O352" i="1"/>
  <c r="O353" i="1"/>
  <c r="O344" i="1"/>
  <c r="O345" i="1"/>
  <c r="O336" i="1"/>
  <c r="O337" i="1"/>
  <c r="O328" i="1"/>
  <c r="O329" i="1"/>
  <c r="O320" i="1"/>
  <c r="O321" i="1"/>
  <c r="O312" i="1"/>
  <c r="O313" i="1"/>
  <c r="O304" i="1"/>
  <c r="O305" i="1"/>
  <c r="O296" i="1"/>
  <c r="O297" i="1"/>
  <c r="O288" i="1"/>
  <c r="O289" i="1"/>
  <c r="M281" i="1"/>
  <c r="E281" i="1"/>
  <c r="O278" i="1"/>
  <c r="O8" i="14" s="1"/>
  <c r="O10" i="14" s="1"/>
  <c r="I281" i="1"/>
  <c r="O271" i="1"/>
  <c r="O82" i="13" s="1"/>
  <c r="O272" i="1"/>
  <c r="O263" i="1"/>
  <c r="O74" i="13" s="1"/>
  <c r="O264" i="1"/>
  <c r="O255" i="1"/>
  <c r="O66" i="13" s="1"/>
  <c r="O256" i="1"/>
  <c r="O247" i="1"/>
  <c r="O58" i="13" s="1"/>
  <c r="O248" i="1"/>
  <c r="M240" i="1"/>
  <c r="E240" i="1"/>
  <c r="O237" i="1"/>
  <c r="O48" i="13" s="1"/>
  <c r="I240" i="1"/>
  <c r="O231" i="1"/>
  <c r="O42" i="13" s="1"/>
  <c r="O232" i="1"/>
  <c r="O223" i="1"/>
  <c r="O34" i="13" s="1"/>
  <c r="O224" i="1"/>
  <c r="O215" i="1"/>
  <c r="O26" i="13" s="1"/>
  <c r="O216" i="1"/>
  <c r="O207" i="1"/>
  <c r="O18" i="13" s="1"/>
  <c r="O208" i="1"/>
  <c r="O200" i="1"/>
  <c r="M200" i="1"/>
  <c r="E200" i="1"/>
  <c r="O197" i="1"/>
  <c r="O8" i="13" s="1"/>
  <c r="I200" i="1"/>
  <c r="O190" i="1"/>
  <c r="O74" i="10" s="1"/>
  <c r="O191" i="1"/>
  <c r="O75" i="10" s="1"/>
  <c r="O182" i="1"/>
  <c r="O66" i="10" s="1"/>
  <c r="O183" i="1"/>
  <c r="O67" i="10" s="1"/>
  <c r="O174" i="1"/>
  <c r="O58" i="10" s="1"/>
  <c r="O175" i="1"/>
  <c r="O59" i="10" s="1"/>
  <c r="O166" i="1"/>
  <c r="O50" i="10" s="1"/>
  <c r="O167" i="1"/>
  <c r="O51" i="10" s="1"/>
  <c r="X11" i="10" s="1"/>
  <c r="O158" i="1"/>
  <c r="O42" i="10" s="1"/>
  <c r="O159" i="1"/>
  <c r="O43" i="10" s="1"/>
  <c r="O150" i="1"/>
  <c r="O34" i="10" s="1"/>
  <c r="O151" i="1"/>
  <c r="O35" i="10" s="1"/>
  <c r="X9" i="10" s="1"/>
  <c r="O142" i="1"/>
  <c r="O26" i="10" s="1"/>
  <c r="O143" i="1"/>
  <c r="O27" i="10" s="1"/>
  <c r="X8" i="10" s="1"/>
  <c r="X14" i="10"/>
  <c r="X13" i="10"/>
  <c r="X12" i="10"/>
  <c r="W11" i="10"/>
  <c r="S11" i="10"/>
  <c r="U11" i="10"/>
  <c r="J25" i="1" l="1"/>
  <c r="N25" i="1"/>
  <c r="R25" i="1"/>
  <c r="O51" i="13"/>
  <c r="X11" i="13" s="1"/>
  <c r="L25" i="1"/>
  <c r="P25" i="1"/>
  <c r="R12" i="10"/>
  <c r="R13" i="10"/>
  <c r="R14" i="10"/>
  <c r="R10" i="10"/>
  <c r="O199" i="1"/>
  <c r="O10" i="13" s="1"/>
  <c r="O280" i="1"/>
  <c r="O281" i="1"/>
  <c r="O239" i="1"/>
  <c r="O50" i="13" s="1"/>
  <c r="O240" i="1"/>
  <c r="S9" i="10" l="1"/>
  <c r="R6" i="13"/>
  <c r="C66" i="1"/>
  <c r="C18" i="3" s="1"/>
  <c r="N66" i="1"/>
  <c r="N18" i="3" s="1"/>
  <c r="N5" i="3"/>
  <c r="M5" i="3"/>
  <c r="K5" i="3"/>
  <c r="I5" i="3"/>
  <c r="G5" i="3"/>
  <c r="E5" i="3"/>
  <c r="H18" i="1"/>
  <c r="C48" i="1"/>
  <c r="B19" i="1"/>
  <c r="C13" i="1" s="1"/>
  <c r="B10" i="1"/>
  <c r="O5" i="3" l="1"/>
  <c r="C24" i="1"/>
  <c r="C23" i="1"/>
  <c r="C22" i="1"/>
  <c r="S10" i="10"/>
  <c r="X10" i="10"/>
  <c r="W6" i="10"/>
  <c r="V6" i="10"/>
  <c r="U6" i="10"/>
  <c r="T6" i="10"/>
  <c r="S6" i="10"/>
  <c r="C72" i="1"/>
  <c r="C24" i="3" s="1"/>
  <c r="H14" i="1"/>
  <c r="H16" i="1"/>
  <c r="H13" i="1"/>
  <c r="H15" i="1"/>
  <c r="H17" i="1"/>
  <c r="N72" i="1"/>
  <c r="N24" i="3" s="1"/>
  <c r="C25" i="1" l="1"/>
  <c r="O66" i="1"/>
  <c r="O18" i="3" s="1"/>
  <c r="O69" i="1"/>
  <c r="O21" i="3" s="1"/>
  <c r="O70" i="1"/>
  <c r="O22" i="3" s="1"/>
  <c r="H19" i="1"/>
  <c r="O11" i="13"/>
  <c r="X6" i="13" s="1"/>
  <c r="O71" i="1"/>
  <c r="O23" i="3" s="1"/>
  <c r="O68" i="1"/>
  <c r="O20" i="3" s="1"/>
  <c r="O67" i="1"/>
  <c r="O19" i="3" s="1"/>
  <c r="N133" i="1"/>
  <c r="N17" i="10" s="1"/>
  <c r="N132" i="1"/>
  <c r="N16" i="10" s="1"/>
  <c r="N131" i="1"/>
  <c r="N15" i="10" s="1"/>
  <c r="N130" i="1"/>
  <c r="N14" i="10" s="1"/>
  <c r="N122" i="1"/>
  <c r="N6" i="10" s="1"/>
  <c r="N125" i="1"/>
  <c r="N9" i="10" s="1"/>
  <c r="N124" i="1"/>
  <c r="N8" i="10" s="1"/>
  <c r="N123" i="1"/>
  <c r="N7" i="10" s="1"/>
  <c r="N423" i="1"/>
  <c r="N424" i="1"/>
  <c r="N425" i="1"/>
  <c r="N426" i="1"/>
  <c r="N427" i="1"/>
  <c r="N428" i="1"/>
  <c r="N429" i="1"/>
  <c r="N430" i="1"/>
  <c r="N431" i="1"/>
  <c r="N422" i="1"/>
  <c r="N421" i="1"/>
  <c r="N417" i="1"/>
  <c r="N416" i="1"/>
  <c r="N415" i="1"/>
  <c r="N413" i="1"/>
  <c r="N414" i="1"/>
  <c r="N409" i="1"/>
  <c r="N410" i="1"/>
  <c r="N411" i="1"/>
  <c r="N412" i="1"/>
  <c r="N408" i="1"/>
  <c r="C112" i="1"/>
  <c r="C4" i="4" s="1"/>
  <c r="C114" i="1"/>
  <c r="C6" i="4" s="1"/>
  <c r="C113" i="1"/>
  <c r="C5" i="4" s="1"/>
  <c r="N113" i="1"/>
  <c r="N5" i="4" s="1"/>
  <c r="N115" i="1"/>
  <c r="N7" i="4" s="1"/>
  <c r="N112" i="1"/>
  <c r="N4" i="4" s="1"/>
  <c r="N114" i="1"/>
  <c r="N6" i="4" s="1"/>
  <c r="N109" i="1"/>
  <c r="N35" i="4" s="1"/>
  <c r="N107" i="1"/>
  <c r="N33" i="4" s="1"/>
  <c r="N108" i="1"/>
  <c r="N34" i="4" s="1"/>
  <c r="N106" i="1"/>
  <c r="N32" i="4" s="1"/>
  <c r="O60" i="1"/>
  <c r="O11" i="3" s="1"/>
  <c r="F36" i="1"/>
  <c r="D19" i="1"/>
  <c r="F13" i="1"/>
  <c r="F14" i="1"/>
  <c r="F18" i="1"/>
  <c r="F17" i="1"/>
  <c r="F16" i="1"/>
  <c r="F15" i="1"/>
  <c r="E9" i="1"/>
  <c r="E7" i="1"/>
  <c r="E6" i="1"/>
  <c r="E8" i="1"/>
  <c r="E5" i="1"/>
  <c r="E4" i="1"/>
  <c r="F5" i="1"/>
  <c r="F8" i="1"/>
  <c r="F6" i="1"/>
  <c r="F9" i="1"/>
  <c r="F10" i="1"/>
  <c r="F4" i="1"/>
  <c r="N116" i="1" l="1"/>
  <c r="C117" i="1"/>
  <c r="C9" i="4" s="1"/>
  <c r="C116" i="1"/>
  <c r="C8" i="4" s="1"/>
  <c r="O58" i="1"/>
  <c r="O9" i="3" s="1"/>
  <c r="O56" i="1"/>
  <c r="O7" i="3" s="1"/>
  <c r="O59" i="1"/>
  <c r="O10" i="3" s="1"/>
  <c r="O57" i="1"/>
  <c r="O8" i="3" s="1"/>
  <c r="E18" i="1"/>
  <c r="O106" i="1"/>
  <c r="O32" i="4" s="1"/>
  <c r="O410" i="1"/>
  <c r="N8" i="16"/>
  <c r="O414" i="1"/>
  <c r="N12" i="16"/>
  <c r="O415" i="1"/>
  <c r="N13" i="16"/>
  <c r="O417" i="1"/>
  <c r="N15" i="16"/>
  <c r="O422" i="1"/>
  <c r="N20" i="16"/>
  <c r="O430" i="1"/>
  <c r="N28" i="16"/>
  <c r="O428" i="1"/>
  <c r="N26" i="16"/>
  <c r="O426" i="1"/>
  <c r="N24" i="16"/>
  <c r="O424" i="1"/>
  <c r="N22" i="16"/>
  <c r="O107" i="1"/>
  <c r="O33" i="4" s="1"/>
  <c r="O412" i="1"/>
  <c r="N10" i="16"/>
  <c r="O108" i="1"/>
  <c r="O34" i="4" s="1"/>
  <c r="O109" i="1"/>
  <c r="O35" i="4" s="1"/>
  <c r="O408" i="1"/>
  <c r="N6" i="16"/>
  <c r="O411" i="1"/>
  <c r="N9" i="16"/>
  <c r="O409" i="1"/>
  <c r="N7" i="16"/>
  <c r="O413" i="1"/>
  <c r="N11" i="16"/>
  <c r="O416" i="1"/>
  <c r="N14" i="16"/>
  <c r="O421" i="1"/>
  <c r="N19" i="16"/>
  <c r="O431" i="1"/>
  <c r="N29" i="16"/>
  <c r="O429" i="1"/>
  <c r="N27" i="16"/>
  <c r="O427" i="1"/>
  <c r="N25" i="16"/>
  <c r="O425" i="1"/>
  <c r="N23" i="16"/>
  <c r="O423" i="1"/>
  <c r="N21" i="16"/>
  <c r="E10" i="1"/>
  <c r="O72" i="1"/>
  <c r="O24" i="3" s="1"/>
  <c r="N134" i="1"/>
  <c r="E13" i="1"/>
  <c r="E17" i="1"/>
  <c r="N126" i="1"/>
  <c r="C8" i="1"/>
  <c r="C5" i="1"/>
  <c r="C9" i="1"/>
  <c r="E15" i="1"/>
  <c r="C7" i="1"/>
  <c r="C6" i="1"/>
  <c r="C4" i="1"/>
  <c r="O114" i="1"/>
  <c r="O6" i="4" s="1"/>
  <c r="E16" i="1"/>
  <c r="C16" i="1"/>
  <c r="E14" i="1"/>
  <c r="O112" i="1" l="1"/>
  <c r="O4" i="4" s="1"/>
  <c r="N8" i="4"/>
  <c r="O133" i="1"/>
  <c r="O17" i="10" s="1"/>
  <c r="N18" i="10"/>
  <c r="O125" i="1"/>
  <c r="O9" i="10" s="1"/>
  <c r="N10" i="10"/>
  <c r="C10" i="1"/>
  <c r="O115" i="1"/>
  <c r="O7" i="4" s="1"/>
  <c r="O113" i="1"/>
  <c r="O5" i="4" s="1"/>
  <c r="O131" i="1"/>
  <c r="O15" i="10" s="1"/>
  <c r="E24" i="1"/>
  <c r="E23" i="1"/>
  <c r="E22" i="1"/>
  <c r="E25" i="1" s="1"/>
  <c r="O21" i="16"/>
  <c r="O23" i="16"/>
  <c r="O25" i="16"/>
  <c r="O27" i="16"/>
  <c r="O29" i="16"/>
  <c r="O19" i="16"/>
  <c r="O14" i="16"/>
  <c r="O11" i="16"/>
  <c r="O7" i="16"/>
  <c r="O9" i="16"/>
  <c r="O6" i="16"/>
  <c r="O10" i="16"/>
  <c r="O22" i="16"/>
  <c r="O24" i="16"/>
  <c r="O26" i="16"/>
  <c r="O28" i="16"/>
  <c r="O20" i="16"/>
  <c r="O15" i="16"/>
  <c r="O13" i="16"/>
  <c r="O12" i="16"/>
  <c r="O8" i="16"/>
  <c r="E19" i="1"/>
  <c r="O132" i="1"/>
  <c r="O16" i="10" s="1"/>
  <c r="O130" i="1"/>
  <c r="O124" i="1"/>
  <c r="O8" i="10" s="1"/>
  <c r="O122" i="1"/>
  <c r="O6" i="10" s="1"/>
  <c r="O123" i="1"/>
  <c r="O7" i="10" s="1"/>
  <c r="C17" i="1"/>
  <c r="C14" i="1"/>
  <c r="F19" i="1"/>
  <c r="C18" i="1"/>
  <c r="C15" i="1"/>
  <c r="F48" i="1"/>
  <c r="C19" i="1" l="1"/>
  <c r="O135" i="1"/>
  <c r="O19" i="10" s="1"/>
  <c r="X7" i="10" s="1"/>
  <c r="O14" i="10"/>
  <c r="O116" i="1"/>
  <c r="O8" i="4" s="1"/>
  <c r="O117" i="1"/>
  <c r="O9" i="4" s="1"/>
  <c r="O134" i="1"/>
  <c r="O18" i="10" s="1"/>
  <c r="O127" i="1"/>
  <c r="O11" i="10" s="1"/>
  <c r="X6" i="10" s="1"/>
  <c r="O126" i="1"/>
  <c r="O10" i="10" s="1"/>
</calcChain>
</file>

<file path=xl/sharedStrings.xml><?xml version="1.0" encoding="utf-8"?>
<sst xmlns="http://schemas.openxmlformats.org/spreadsheetml/2006/main" count="1880" uniqueCount="235">
  <si>
    <t xml:space="preserve"> </t>
  </si>
  <si>
    <t>Total</t>
  </si>
  <si>
    <t>AA</t>
  </si>
  <si>
    <t>AAS</t>
  </si>
  <si>
    <t>AGS</t>
  </si>
  <si>
    <t>AS</t>
  </si>
  <si>
    <t>CER</t>
  </si>
  <si>
    <t>UND</t>
  </si>
  <si>
    <t>Unknown</t>
  </si>
  <si>
    <t>Age</t>
  </si>
  <si>
    <t>Degree</t>
  </si>
  <si>
    <t>Sex</t>
  </si>
  <si>
    <t>18 to 19</t>
  </si>
  <si>
    <t>20 to 21</t>
  </si>
  <si>
    <t>22 to 24</t>
  </si>
  <si>
    <t>25 to 30</t>
  </si>
  <si>
    <t>31 to 40</t>
  </si>
  <si>
    <t>Over 40</t>
  </si>
  <si>
    <t>Hispanic</t>
  </si>
  <si>
    <t>Ethnicity</t>
  </si>
  <si>
    <t>What is your primary objective in attending FRCC?</t>
  </si>
  <si>
    <t>Personal interest</t>
  </si>
  <si>
    <t xml:space="preserve">American Indian </t>
  </si>
  <si>
    <t>%</t>
  </si>
  <si>
    <t>How would you rate your FRCC experience so far?</t>
  </si>
  <si>
    <t>Very poor</t>
  </si>
  <si>
    <t>Poor</t>
  </si>
  <si>
    <t>Good</t>
  </si>
  <si>
    <t>Very good</t>
  </si>
  <si>
    <t>How did you hear about FRCC (Multiple answers)</t>
  </si>
  <si>
    <t>Class schedule picked up at other location</t>
  </si>
  <si>
    <t xml:space="preserve"> Newspaper articles or advertisements</t>
  </si>
  <si>
    <t>Viewbook, catalog, or other brochures</t>
  </si>
  <si>
    <t>Parents</t>
  </si>
  <si>
    <t>When do you prefer to take classes:</t>
  </si>
  <si>
    <t>High school teacher or counselor</t>
  </si>
  <si>
    <t>Friend or another FRCC student</t>
  </si>
  <si>
    <t>Visit to high school by FRCC staff</t>
  </si>
  <si>
    <t>Sought out closest college</t>
  </si>
  <si>
    <t>FRCC web site</t>
  </si>
  <si>
    <t>Quality of instruction</t>
  </si>
  <si>
    <t>What are the main reasons that you chose or are continuing at FRCC (multiple answers)</t>
  </si>
  <si>
    <t>Close to home or work</t>
  </si>
  <si>
    <t>Low cost</t>
  </si>
  <si>
    <t>Courses or programs meet my needs</t>
  </si>
  <si>
    <t>Small classes</t>
  </si>
  <si>
    <t>Supportive staff</t>
  </si>
  <si>
    <t>Friends or relatives advice</t>
  </si>
  <si>
    <t>Convenient parking</t>
  </si>
  <si>
    <t>Admission or registration procedures made FRCC easier to attend</t>
  </si>
  <si>
    <t>Courses offered where or when I can take them</t>
  </si>
  <si>
    <t>I obtained financial aid or scholarship.</t>
  </si>
  <si>
    <t>EVALUATE FRCC INSTRUCTION</t>
  </si>
  <si>
    <t xml:space="preserve"> Instructor's knowledge of subject(s)</t>
  </si>
  <si>
    <t>Course objectives &amp; requirements made clear</t>
  </si>
  <si>
    <t>Content of course(s)</t>
  </si>
  <si>
    <t>Instructional methods</t>
  </si>
  <si>
    <t>Testing and grading</t>
  </si>
  <si>
    <t>Class size</t>
  </si>
  <si>
    <t>Course availability</t>
  </si>
  <si>
    <t>Overall Evaluation of Instruction</t>
  </si>
  <si>
    <t>EVALUATE PERSONAL GROWTH</t>
  </si>
  <si>
    <t>Very dissatisfied</t>
  </si>
  <si>
    <t>Dissatisfied</t>
  </si>
  <si>
    <t>Satisfied</t>
  </si>
  <si>
    <t>Very satisfied</t>
  </si>
  <si>
    <t>Ability to organize ideas</t>
  </si>
  <si>
    <t>Ability to think critically</t>
  </si>
  <si>
    <t>Ability to write with clarity</t>
  </si>
  <si>
    <t>Ability to speak with clarity</t>
  </si>
  <si>
    <t>Ability and skills in problem solving</t>
  </si>
  <si>
    <t>Knowledge of methods &amp; achievements in the social sciences</t>
  </si>
  <si>
    <t>Knowledge &amp; skills in mathematics</t>
  </si>
  <si>
    <t>Awareness &amp; appreciation of the arts and humanities</t>
  </si>
  <si>
    <t>Awareness &amp; understanding of ethics</t>
  </si>
  <si>
    <t>Admission/registration procedures</t>
  </si>
  <si>
    <t>EVALUATE STUDENT SERVICES</t>
  </si>
  <si>
    <t>Career counseling</t>
  </si>
  <si>
    <t>Academic advising</t>
  </si>
  <si>
    <t>Financial aid</t>
  </si>
  <si>
    <t>Veterans' services</t>
  </si>
  <si>
    <t>Student activities/life</t>
  </si>
  <si>
    <t>Job placement</t>
  </si>
  <si>
    <t>Special services</t>
  </si>
  <si>
    <t>Library</t>
  </si>
  <si>
    <t>Tutoring services</t>
  </si>
  <si>
    <t>Educational development courses/basic skills center</t>
  </si>
  <si>
    <t>Overall Evaluation of Student Services</t>
  </si>
  <si>
    <t>Bookstore</t>
  </si>
  <si>
    <t>Cashier</t>
  </si>
  <si>
    <t>Food services</t>
  </si>
  <si>
    <t>Overall Evaluation of Business Services</t>
  </si>
  <si>
    <t>EVALUATE BUSINESS SERVICES</t>
  </si>
  <si>
    <t>Do you consider yourself disabled or handicapped?</t>
  </si>
  <si>
    <t>Most Important</t>
  </si>
  <si>
    <t>2nd Important</t>
  </si>
  <si>
    <t>3rd Important</t>
  </si>
  <si>
    <t>Least Important</t>
  </si>
  <si>
    <t>Boulder County</t>
  </si>
  <si>
    <t>Brighton</t>
  </si>
  <si>
    <t>FRCC Online</t>
  </si>
  <si>
    <t>Larimer</t>
  </si>
  <si>
    <t>CCC Online</t>
  </si>
  <si>
    <t>Female</t>
  </si>
  <si>
    <t>Male</t>
  </si>
  <si>
    <t>Respondent</t>
  </si>
  <si>
    <t>Primary Campus</t>
  </si>
  <si>
    <t>Technology is enhancing your learning process at FRCC.</t>
  </si>
  <si>
    <t>Technology skills you are learning are complete and up to date</t>
  </si>
  <si>
    <t>Faculty promote cultural diversity awareness and learning in the classroom</t>
  </si>
  <si>
    <t>FRCC student life has programs that promote campus cultural diversity</t>
  </si>
  <si>
    <t xml:space="preserve"> in the morning</t>
  </si>
  <si>
    <t xml:space="preserve"> in the afternoon</t>
  </si>
  <si>
    <t xml:space="preserve"> in the evening</t>
  </si>
  <si>
    <t>on the weekend</t>
  </si>
  <si>
    <t>Percent of Good or Very Good</t>
  </si>
  <si>
    <t>Class schedule mailed to home or office</t>
  </si>
  <si>
    <t>Percent of Satisfied or Very Satisfied</t>
  </si>
  <si>
    <t>Respondents are older than the average student.</t>
  </si>
  <si>
    <t>Boulder and CCC online are the oldest students</t>
  </si>
  <si>
    <t>How many credit hours are you taking this semester?</t>
  </si>
  <si>
    <t>Online students are more likely to be full time workers.</t>
  </si>
  <si>
    <t>4 or less</t>
  </si>
  <si>
    <t>5 to 11</t>
  </si>
  <si>
    <t>12 or more</t>
  </si>
  <si>
    <t>Less than 18</t>
  </si>
  <si>
    <t>Westminster</t>
  </si>
  <si>
    <t>% of campus</t>
  </si>
  <si>
    <t>Boulder Cty</t>
  </si>
  <si>
    <t>FRCC Onl</t>
  </si>
  <si>
    <t>Brighton students were most likely to respond to survey.</t>
  </si>
  <si>
    <t>Boulder and FRCC online are the oldest students</t>
  </si>
  <si>
    <t xml:space="preserve">Highest concentration of Hispancs are at Brighton </t>
  </si>
  <si>
    <t>Campuses vary on when they prefer to take their courses, with the online students most likely to want evening/weekend classes.</t>
  </si>
  <si>
    <t>The only question that fell below 90% satisfaction was Math abilities</t>
  </si>
  <si>
    <t>Red formatting indicates realatively lower responses while green formatting indicates relatively higher responses.</t>
  </si>
  <si>
    <t>CCCS Onl</t>
  </si>
  <si>
    <t>Class Size</t>
  </si>
  <si>
    <t>Evaluate FRCC Student Services</t>
  </si>
  <si>
    <t>Evaluate FRCC Business Services</t>
  </si>
  <si>
    <t>N</t>
  </si>
  <si>
    <t>Median</t>
  </si>
  <si>
    <t>Note: Students less than 18 years old were omitted from this survey because of uncertainty around confidentiality for underage students.</t>
  </si>
  <si>
    <t>2 Or More</t>
  </si>
  <si>
    <t>Asian</t>
  </si>
  <si>
    <t>Black</t>
  </si>
  <si>
    <t>International</t>
  </si>
  <si>
    <t>White</t>
  </si>
  <si>
    <t>Earn a Vocational/Technical Certificate</t>
  </si>
  <si>
    <t>Earn a Vocational/Technical Degree (AAS)</t>
  </si>
  <si>
    <t>Earn an Academic Degree (AA, AS, AGS)</t>
  </si>
  <si>
    <t>Improve skills for present job</t>
  </si>
  <si>
    <t>Prepare to enter job market</t>
  </si>
  <si>
    <t>Take concurrent college and high school courses</t>
  </si>
  <si>
    <t>Receive financial aid benefits</t>
  </si>
  <si>
    <t>Present employment status</t>
  </si>
  <si>
    <t>Employed full or part-time in a job NOT RELATED to your FRCC program.</t>
  </si>
  <si>
    <t>Employed full or part-time in a job RELATED to your FRCC program.</t>
  </si>
  <si>
    <t>Military NOT RELATED to your FRCC program.</t>
  </si>
  <si>
    <t>Military RELATED to your FRCC program.</t>
  </si>
  <si>
    <t>Unemployed -- NOT seeking employment.</t>
  </si>
  <si>
    <t>Unemployed -- seeking employment.</t>
  </si>
  <si>
    <t>If employed, how many hours per week are you working</t>
  </si>
  <si>
    <t>20 or less</t>
  </si>
  <si>
    <t>21-39</t>
  </si>
  <si>
    <t>40 or more</t>
  </si>
  <si>
    <t>Percent of question Respondents who agree with the following:</t>
  </si>
  <si>
    <t>Instructional program is meeting your educational goals.</t>
  </si>
  <si>
    <t>About right amount</t>
  </si>
  <si>
    <t>Don't know/don't care</t>
  </si>
  <si>
    <t>Not enough</t>
  </si>
  <si>
    <t>Too much</t>
  </si>
  <si>
    <t>Don't know/ don't care</t>
  </si>
  <si>
    <t>Very Good</t>
  </si>
  <si>
    <t>Very Poor</t>
  </si>
  <si>
    <t>Knowledge of methods &amp; achievements in science</t>
  </si>
  <si>
    <t>CCCS Online</t>
  </si>
  <si>
    <t>Percent of Campus Respondents</t>
  </si>
  <si>
    <t>Special Section on Online Experience</t>
  </si>
  <si>
    <t>If you are taking an online course, what are your reasons in order of impact</t>
  </si>
  <si>
    <t>Percent of 1st or 2nd importance</t>
  </si>
  <si>
    <t>Scheduling Flexibility of Online Courses</t>
  </si>
  <si>
    <t>Ability to work on course from home or office</t>
  </si>
  <si>
    <t>I learn best in the online environment</t>
  </si>
  <si>
    <t>I would prefer to take the course on campus but it was not offered when/where I could take it</t>
  </si>
  <si>
    <t>If you are NOT taking an online course, what are your reasons for not doing so in order of impact</t>
  </si>
  <si>
    <t>I prefer to learn with the instructor and classmates in person</t>
  </si>
  <si>
    <t>I do not have reliable computer/internet connection</t>
  </si>
  <si>
    <t>I am not comfortable using online technologies</t>
  </si>
  <si>
    <t>Tuition for online courses is higher</t>
  </si>
  <si>
    <t>How Often do you typically use the following technologies?</t>
  </si>
  <si>
    <t>Desire2Learn</t>
  </si>
  <si>
    <t>Daily</t>
  </si>
  <si>
    <t>2+ days a week</t>
  </si>
  <si>
    <t>Once a week</t>
  </si>
  <si>
    <t>Monthly</t>
  </si>
  <si>
    <t>Never</t>
  </si>
  <si>
    <t>Once a week or more</t>
  </si>
  <si>
    <t>eWolf</t>
  </si>
  <si>
    <t>Text messaging</t>
  </si>
  <si>
    <t>FRCC cccs.edu email</t>
  </si>
  <si>
    <t>Personal Email</t>
  </si>
  <si>
    <t>Twitter</t>
  </si>
  <si>
    <t>Facebook</t>
  </si>
  <si>
    <t>SmarPhone Apps</t>
  </si>
  <si>
    <t>Touch-screen tablet (iPod)</t>
  </si>
  <si>
    <t>eReaders (Kindle, Nook)</t>
  </si>
  <si>
    <t>Web-based video conferencing (Skype, etc)</t>
  </si>
  <si>
    <t>Online networking tools (LinkedIn, Google+, etc)</t>
  </si>
  <si>
    <t>YouTube</t>
  </si>
  <si>
    <t>Other digital content creation/sharing tools</t>
  </si>
  <si>
    <t>Second Life or other VirtualWorlds</t>
  </si>
  <si>
    <t>Massive multi-player online games (World of Warcraft)</t>
  </si>
  <si>
    <t>Take a few courses, transfer</t>
  </si>
  <si>
    <t>Survey of all Currently enrolled students Fall 2012 -- All questions by Primary Campus</t>
  </si>
  <si>
    <t>Survey of all Currently enrolled students Fall 2012 -- Demographics</t>
  </si>
  <si>
    <t>Survey of all Currently enrolled students Fall 2012 -- Objectives and Employment</t>
  </si>
  <si>
    <t>Survey of all Currently enrolled students Fall 2012 -- Meeting Needs</t>
  </si>
  <si>
    <t>Survey of all Currently enrolled students Fall 2012 --  Evaluate Instruction</t>
  </si>
  <si>
    <t>Survey of all Currently enrolled students Fall 2012 -- Evaluate Personal Growth</t>
  </si>
  <si>
    <t>Survey of all Currently enrolled students Fall 2012 -- Evaluate Student and Business services</t>
  </si>
  <si>
    <t>Survey of all Currently enrolled students Fall 2012 -- Reasons for choosing FRCC</t>
  </si>
  <si>
    <t>CCCOnline students were least likely to respond to the survey</t>
  </si>
  <si>
    <t>Brighton and Online are most likely to be in AAS</t>
  </si>
  <si>
    <t>CCCS Online and Brighton are least likely to be AA</t>
  </si>
  <si>
    <t>Women have higher response rates, and are more likely to attend the online campuses.</t>
  </si>
  <si>
    <t>International Students have the highest response rates.</t>
  </si>
  <si>
    <t>Similar percentage to last year</t>
  </si>
  <si>
    <t>Highest concentration of Whies are Online</t>
  </si>
  <si>
    <t xml:space="preserve"> Obtaining  transfer credits is the most common goal.</t>
  </si>
  <si>
    <t>Larimer students are most likely to be full-time students</t>
  </si>
  <si>
    <t>Instructor's knowledge of subject(s)</t>
  </si>
  <si>
    <t>Survey of all Currently enrolled students Fall 2012 -- Online Questions</t>
  </si>
  <si>
    <t>Course Availability had the lowest level of satisfaction.</t>
  </si>
  <si>
    <t>Academic Advising and Career Counseling had the lowest overall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</si>
</sst>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####.0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BE5F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7" fillId="0" borderId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3" fontId="3" fillId="0" borderId="0" xfId="0" applyNumberFormat="1" applyFont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center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4" fontId="3" fillId="0" borderId="0" xfId="0" applyNumberFormat="1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4" fontId="3" fillId="2" borderId="0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4" fontId="3" fillId="0" borderId="0" xfId="0" applyNumberFormat="1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9" fontId="0" fillId="0" borderId="1" xfId="0" applyNumberForma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9" fontId="2" fillId="3" borderId="1" xfId="0" applyNumberFormat="1" applyFont="1" applyFill="1" applyBorder="1" applyAlignment="1">
      <alignment horizontal="center" vertical="center"/>
    </xf>
    <xf numFmtId="9" fontId="3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" fontId="2" fillId="0" borderId="0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left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4" fontId="3" fillId="0" borderId="0" xfId="0" applyNumberFormat="1" applyFont="1" applyBorder="1" applyAlignment="1">
      <alignment vertical="center"/>
    </xf>
    <xf numFmtId="9" fontId="3" fillId="0" borderId="1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8" fillId="0" borderId="1" xfId="0" applyFont="1" applyBorder="1"/>
    <xf numFmtId="4" fontId="2" fillId="0" borderId="1" xfId="0" applyNumberFormat="1" applyFont="1" applyFill="1" applyBorder="1" applyAlignment="1">
      <alignment vertical="center"/>
    </xf>
    <xf numFmtId="4" fontId="2" fillId="0" borderId="1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9" fontId="9" fillId="0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wrapText="1"/>
    </xf>
    <xf numFmtId="9" fontId="9" fillId="0" borderId="1" xfId="0" applyNumberFormat="1" applyFont="1" applyBorder="1" applyAlignment="1">
      <alignment horizontal="center" wrapText="1"/>
    </xf>
    <xf numFmtId="9" fontId="9" fillId="0" borderId="1" xfId="0" applyNumberFormat="1" applyFont="1" applyFill="1" applyBorder="1" applyAlignment="1">
      <alignment horizontal="center" wrapText="1"/>
    </xf>
    <xf numFmtId="9" fontId="9" fillId="4" borderId="1" xfId="0" applyNumberFormat="1" applyFont="1" applyFill="1" applyBorder="1" applyAlignment="1">
      <alignment horizontal="center" wrapText="1"/>
    </xf>
    <xf numFmtId="9" fontId="9" fillId="5" borderId="1" xfId="0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wrapText="1"/>
    </xf>
    <xf numFmtId="4" fontId="9" fillId="0" borderId="1" xfId="0" applyNumberFormat="1" applyFont="1" applyFill="1" applyBorder="1" applyAlignment="1">
      <alignment horizontal="left" wrapText="1"/>
    </xf>
    <xf numFmtId="9" fontId="0" fillId="4" borderId="1" xfId="0" applyNumberForma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4" fontId="0" fillId="0" borderId="1" xfId="0" applyNumberForma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4" fontId="9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9" fontId="2" fillId="0" borderId="1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4" fontId="12" fillId="2" borderId="0" xfId="0" applyNumberFormat="1" applyFont="1" applyFill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164" fontId="13" fillId="0" borderId="1" xfId="0" applyNumberFormat="1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9" fontId="3" fillId="0" borderId="0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9" fontId="3" fillId="0" borderId="0" xfId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vertical="center" wrapText="1"/>
    </xf>
    <xf numFmtId="9" fontId="9" fillId="4" borderId="1" xfId="0" applyNumberFormat="1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3" fontId="13" fillId="0" borderId="1" xfId="0" applyNumberFormat="1" applyFont="1" applyBorder="1" applyAlignment="1">
      <alignment horizontal="center" vertical="center"/>
    </xf>
    <xf numFmtId="9" fontId="3" fillId="0" borderId="0" xfId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 wrapText="1"/>
    </xf>
    <xf numFmtId="4" fontId="2" fillId="0" borderId="0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4" fontId="2" fillId="0" borderId="13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3" fontId="3" fillId="0" borderId="3" xfId="0" applyNumberFormat="1" applyFont="1" applyFill="1" applyBorder="1" applyAlignment="1">
      <alignment horizontal="left" vertical="center" wrapText="1"/>
    </xf>
    <xf numFmtId="3" fontId="3" fillId="0" borderId="5" xfId="0" applyNumberFormat="1" applyFont="1" applyFill="1" applyBorder="1" applyAlignment="1">
      <alignment horizontal="left" vertical="center" wrapText="1"/>
    </xf>
    <xf numFmtId="3" fontId="3" fillId="0" borderId="2" xfId="0" applyNumberFormat="1" applyFont="1" applyFill="1" applyBorder="1" applyAlignment="1">
      <alignment horizontal="left" vertical="center" wrapText="1"/>
    </xf>
    <xf numFmtId="3" fontId="3" fillId="0" borderId="6" xfId="0" applyNumberFormat="1" applyFont="1" applyFill="1" applyBorder="1" applyAlignment="1">
      <alignment horizontal="left" vertical="center" wrapText="1"/>
    </xf>
    <xf numFmtId="3" fontId="3" fillId="0" borderId="7" xfId="0" applyNumberFormat="1" applyFont="1" applyFill="1" applyBorder="1" applyAlignment="1">
      <alignment horizontal="left" vertical="center" wrapText="1"/>
    </xf>
    <xf numFmtId="3" fontId="3" fillId="0" borderId="9" xfId="0" applyNumberFormat="1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" fontId="2" fillId="0" borderId="11" xfId="0" applyNumberFormat="1" applyFont="1" applyFill="1" applyBorder="1" applyAlignment="1">
      <alignment horizontal="center" vertical="center"/>
    </xf>
    <xf numFmtId="4" fontId="2" fillId="0" borderId="12" xfId="0" applyNumberFormat="1" applyFont="1" applyFill="1" applyBorder="1" applyAlignment="1">
      <alignment horizontal="center" vertical="center"/>
    </xf>
    <xf numFmtId="4" fontId="2" fillId="0" borderId="11" xfId="0" applyNumberFormat="1" applyFont="1" applyFill="1" applyBorder="1" applyAlignment="1">
      <alignment horizontal="center" vertical="center" wrapText="1"/>
    </xf>
    <xf numFmtId="4" fontId="2" fillId="0" borderId="12" xfId="0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3"/>
    <cellStyle name="Percent" xfId="1" builtinId="5"/>
    <cellStyle name="Percent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3692077465817894E-2"/>
          <c:y val="9.2243186582809195E-2"/>
          <c:w val="0.8498574259509315"/>
          <c:h val="0.6543752785618856"/>
        </c:manualLayout>
      </c:layout>
      <c:bar3DChart>
        <c:barDir val="col"/>
        <c:grouping val="clustered"/>
        <c:varyColors val="0"/>
        <c:ser>
          <c:idx val="1"/>
          <c:order val="0"/>
          <c:tx>
            <c:v>Total</c:v>
          </c:tx>
          <c:invertIfNegative val="0"/>
          <c:cat>
            <c:multiLvlStrRef>
              <c:f>'Meeting needs'!#REF!</c:f>
            </c:multiLvlStrRef>
          </c:cat>
          <c:val>
            <c:numRef>
              <c:f>'Meeting needs'!#REF!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v>Respondent</c:v>
          </c:tx>
          <c:invertIfNegative val="0"/>
          <c:cat>
            <c:multiLvlStrRef>
              <c:f>'Meeting needs'!#REF!</c:f>
            </c:multiLvlStrRef>
          </c:cat>
          <c:val>
            <c:numRef>
              <c:f>'Meeting needs'!#REF!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4223104"/>
        <c:axId val="64224640"/>
        <c:axId val="0"/>
      </c:bar3DChart>
      <c:catAx>
        <c:axId val="642231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4224640"/>
        <c:crosses val="autoZero"/>
        <c:auto val="1"/>
        <c:lblAlgn val="ctr"/>
        <c:lblOffset val="100"/>
        <c:noMultiLvlLbl val="0"/>
      </c:catAx>
      <c:valAx>
        <c:axId val="6422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42231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3692077465817894E-2"/>
          <c:y val="9.2243186582809195E-2"/>
          <c:w val="0.8498574259509315"/>
          <c:h val="0.65437527856188704"/>
        </c:manualLayout>
      </c:layout>
      <c:bar3DChart>
        <c:barDir val="col"/>
        <c:grouping val="clustered"/>
        <c:varyColors val="0"/>
        <c:ser>
          <c:idx val="1"/>
          <c:order val="0"/>
          <c:tx>
            <c:v>Total</c:v>
          </c:tx>
          <c:invertIfNegative val="0"/>
          <c:cat>
            <c:multiLvlStrRef>
              <c:f>'all (4)'!#REF!</c:f>
            </c:multiLvlStrRef>
          </c:cat>
          <c:val>
            <c:numRef>
              <c:f>'all (4)'!#REF!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v>Respondent</c:v>
          </c:tx>
          <c:invertIfNegative val="0"/>
          <c:cat>
            <c:multiLvlStrRef>
              <c:f>'all (4)'!#REF!</c:f>
            </c:multiLvlStrRef>
          </c:cat>
          <c:val>
            <c:numRef>
              <c:f>'all (4)'!#REF!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4875520"/>
        <c:axId val="67503232"/>
        <c:axId val="0"/>
      </c:bar3DChart>
      <c:catAx>
        <c:axId val="648755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7503232"/>
        <c:crosses val="autoZero"/>
        <c:auto val="1"/>
        <c:lblAlgn val="ctr"/>
        <c:lblOffset val="100"/>
        <c:noMultiLvlLbl val="0"/>
      </c:catAx>
      <c:valAx>
        <c:axId val="67503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48755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9</xdr:row>
      <xdr:rowOff>95250</xdr:rowOff>
    </xdr:from>
    <xdr:to>
      <xdr:col>19</xdr:col>
      <xdr:colOff>0</xdr:colOff>
      <xdr:row>10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95250</xdr:rowOff>
    </xdr:from>
    <xdr:to>
      <xdr:col>16</xdr:col>
      <xdr:colOff>0</xdr:colOff>
      <xdr:row>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IR Theme">
  <a:themeElements>
    <a:clrScheme name="FRCC">
      <a:dk1>
        <a:srgbClr val="000000"/>
      </a:dk1>
      <a:lt1>
        <a:srgbClr val="FFFFFF"/>
      </a:lt1>
      <a:dk2>
        <a:srgbClr val="869F29"/>
      </a:dk2>
      <a:lt2>
        <a:srgbClr val="AFCF7B"/>
      </a:lt2>
      <a:accent1>
        <a:srgbClr val="70A399"/>
      </a:accent1>
      <a:accent2>
        <a:srgbClr val="E3B11F"/>
      </a:accent2>
      <a:accent3>
        <a:srgbClr val="0C4976"/>
      </a:accent3>
      <a:accent4>
        <a:srgbClr val="B70005"/>
      </a:accent4>
      <a:accent5>
        <a:srgbClr val="758FC2"/>
      </a:accent5>
      <a:accent6>
        <a:srgbClr val="46402D"/>
      </a:accent6>
      <a:hlink>
        <a:srgbClr val="A33100"/>
      </a:hlink>
      <a:folHlink>
        <a:srgbClr val="A1780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pex">
      <a:fillStyleLst>
        <a:solidFill>
          <a:schemeClr val="phClr"/>
        </a:solidFill>
        <a:gradFill rotWithShape="1">
          <a:gsLst>
            <a:gs pos="20000">
              <a:schemeClr val="phClr">
                <a:tint val="9000"/>
              </a:schemeClr>
            </a:gs>
            <a:gs pos="100000">
              <a:schemeClr val="phClr">
                <a:tint val="70000"/>
                <a:satMod val="100000"/>
              </a:schemeClr>
            </a:gs>
          </a:gsLst>
          <a:path path="circle">
            <a:fillToRect l="-15000" t="-15000" r="115000" b="115000"/>
          </a:path>
        </a:gradFill>
        <a:gradFill rotWithShape="1">
          <a:gsLst>
            <a:gs pos="0">
              <a:schemeClr val="phClr">
                <a:shade val="60000"/>
              </a:schemeClr>
            </a:gs>
            <a:gs pos="33000">
              <a:schemeClr val="phClr">
                <a:tint val="86500"/>
              </a:schemeClr>
            </a:gs>
            <a:gs pos="46750">
              <a:schemeClr val="phClr">
                <a:tint val="71000"/>
                <a:satMod val="112000"/>
              </a:schemeClr>
            </a:gs>
            <a:gs pos="53000">
              <a:schemeClr val="phClr">
                <a:tint val="71000"/>
                <a:satMod val="112000"/>
              </a:schemeClr>
            </a:gs>
            <a:gs pos="68000">
              <a:schemeClr val="phClr">
                <a:tint val="86000"/>
              </a:schemeClr>
            </a:gs>
            <a:gs pos="100000">
              <a:schemeClr val="phClr">
                <a:shade val="60000"/>
              </a:schemeClr>
            </a:gs>
          </a:gsLst>
          <a:lin ang="8350000" scaled="1"/>
        </a:gradFill>
      </a:fillStyleLst>
      <a:lnStyleLst>
        <a:ln w="9525" cap="flat" cmpd="sng" algn="ctr">
          <a:solidFill>
            <a:schemeClr val="phClr">
              <a:shade val="48000"/>
              <a:satMod val="11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130000" dist="101600" dir="27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100000"/>
            </a:lightRig>
          </a:scene3d>
          <a:sp3d>
            <a:bevelT w="508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5"/>
  <sheetViews>
    <sheetView zoomScaleNormal="100" workbookViewId="0">
      <selection activeCell="P5" sqref="P5"/>
    </sheetView>
  </sheetViews>
  <sheetFormatPr defaultRowHeight="12" x14ac:dyDescent="0.2"/>
  <cols>
    <col min="1" max="1" width="25.85546875" style="48" customWidth="1"/>
    <col min="2" max="2" width="8.42578125" style="46" bestFit="1" customWidth="1"/>
    <col min="3" max="3" width="7" style="46" bestFit="1" customWidth="1"/>
    <col min="4" max="4" width="7.5703125" style="46" bestFit="1" customWidth="1"/>
    <col min="5" max="5" width="6.85546875" style="46" bestFit="1" customWidth="1"/>
    <col min="6" max="6" width="7.5703125" style="46" bestFit="1" customWidth="1"/>
    <col min="7" max="7" width="6" style="46" customWidth="1"/>
    <col min="8" max="8" width="6" style="49" customWidth="1"/>
    <col min="9" max="18" width="6" style="46" customWidth="1"/>
    <col min="19" max="19" width="1.7109375" style="46" customWidth="1"/>
    <col min="20" max="16384" width="9.140625" style="47"/>
  </cols>
  <sheetData>
    <row r="1" spans="1:20" ht="15.75" x14ac:dyDescent="0.2">
      <c r="A1" s="127" t="s">
        <v>214</v>
      </c>
      <c r="B1" s="44"/>
      <c r="C1" s="44"/>
      <c r="D1" s="44"/>
      <c r="E1" s="44"/>
      <c r="F1" s="44"/>
      <c r="G1" s="44"/>
      <c r="H1" s="45"/>
      <c r="I1" s="44"/>
    </row>
    <row r="2" spans="1:20" x14ac:dyDescent="0.2">
      <c r="B2" s="3"/>
      <c r="C2" s="3"/>
      <c r="D2" s="3"/>
    </row>
    <row r="3" spans="1:20" s="43" customFormat="1" ht="24" x14ac:dyDescent="0.2">
      <c r="A3" s="36" t="s">
        <v>106</v>
      </c>
      <c r="B3" s="148" t="s">
        <v>1</v>
      </c>
      <c r="C3" s="148"/>
      <c r="D3" s="150" t="s">
        <v>105</v>
      </c>
      <c r="E3" s="150"/>
      <c r="F3" s="50" t="s">
        <v>127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spans="1:20" x14ac:dyDescent="0.2">
      <c r="A4" s="26" t="s">
        <v>98</v>
      </c>
      <c r="B4" s="38">
        <v>2638</v>
      </c>
      <c r="C4" s="39">
        <f>B4/B10</f>
        <v>0.13999893859788781</v>
      </c>
      <c r="D4" s="38">
        <v>487</v>
      </c>
      <c r="E4" s="39">
        <f>D4/D10</f>
        <v>0.16083223249669748</v>
      </c>
      <c r="F4" s="52">
        <f>D4/B4</f>
        <v>0.18460955269143289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110"/>
    </row>
    <row r="5" spans="1:20" x14ac:dyDescent="0.2">
      <c r="A5" s="26" t="s">
        <v>99</v>
      </c>
      <c r="B5" s="38">
        <v>184</v>
      </c>
      <c r="C5" s="39">
        <f>B5/B10</f>
        <v>9.7648994321498702E-3</v>
      </c>
      <c r="D5" s="38">
        <v>38</v>
      </c>
      <c r="E5" s="39">
        <f>D5/D10</f>
        <v>1.2549537648612946E-2</v>
      </c>
      <c r="F5" s="52">
        <f t="shared" ref="F5:F10" si="0">D5/B5</f>
        <v>0.20652173913043478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110"/>
    </row>
    <row r="6" spans="1:20" x14ac:dyDescent="0.2">
      <c r="A6" s="26" t="s">
        <v>102</v>
      </c>
      <c r="B6" s="38">
        <v>1500</v>
      </c>
      <c r="C6" s="39">
        <f>B6/B10</f>
        <v>7.9605158414265242E-2</v>
      </c>
      <c r="D6" s="38">
        <v>201</v>
      </c>
      <c r="E6" s="39">
        <f>D6/D10</f>
        <v>6.6380449141347428E-2</v>
      </c>
      <c r="F6" s="52">
        <f t="shared" si="0"/>
        <v>0.13400000000000001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110"/>
    </row>
    <row r="7" spans="1:20" x14ac:dyDescent="0.2">
      <c r="A7" s="26" t="s">
        <v>101</v>
      </c>
      <c r="B7" s="38">
        <v>5884</v>
      </c>
      <c r="C7" s="39">
        <f>B7/B10</f>
        <v>0.31226450140635781</v>
      </c>
      <c r="D7" s="38">
        <v>899</v>
      </c>
      <c r="E7" s="39">
        <f>D7/D10</f>
        <v>0.29689564068692204</v>
      </c>
      <c r="F7" s="52">
        <f>D7/B7</f>
        <v>0.15278721957851801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110"/>
    </row>
    <row r="8" spans="1:20" x14ac:dyDescent="0.2">
      <c r="A8" s="26" t="s">
        <v>100</v>
      </c>
      <c r="B8" s="38">
        <v>2667</v>
      </c>
      <c r="C8" s="39">
        <f>B8/B10</f>
        <v>0.14153797166056362</v>
      </c>
      <c r="D8" s="38">
        <v>424</v>
      </c>
      <c r="E8" s="39">
        <f>D8/D10</f>
        <v>0.14002642007926025</v>
      </c>
      <c r="F8" s="52">
        <f>D8/B8</f>
        <v>0.15898012748406448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110"/>
    </row>
    <row r="9" spans="1:20" x14ac:dyDescent="0.2">
      <c r="A9" s="26" t="s">
        <v>126</v>
      </c>
      <c r="B9" s="38">
        <v>5970</v>
      </c>
      <c r="C9" s="39">
        <f>B9/B10</f>
        <v>0.31682853048877568</v>
      </c>
      <c r="D9" s="38">
        <v>979</v>
      </c>
      <c r="E9" s="39">
        <f>D9/D10</f>
        <v>0.32331571994715985</v>
      </c>
      <c r="F9" s="52">
        <f t="shared" si="0"/>
        <v>0.16398659966499163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110"/>
    </row>
    <row r="10" spans="1:20" s="43" customFormat="1" x14ac:dyDescent="0.2">
      <c r="A10" s="36" t="s">
        <v>1</v>
      </c>
      <c r="B10" s="30">
        <f>SUM(B4:B9)</f>
        <v>18843</v>
      </c>
      <c r="C10" s="116">
        <f>SUM(C4:C9)</f>
        <v>1</v>
      </c>
      <c r="D10" s="30">
        <f t="shared" ref="D10" si="1">SUM(D4:D9)</f>
        <v>3028</v>
      </c>
      <c r="E10" s="53">
        <f>SUM(E4:E9)</f>
        <v>1</v>
      </c>
      <c r="F10" s="54">
        <f t="shared" si="0"/>
        <v>0.16069627978559678</v>
      </c>
      <c r="G10" s="55"/>
      <c r="H10" s="55"/>
      <c r="I10" s="55"/>
      <c r="J10" s="55"/>
      <c r="K10" s="55"/>
      <c r="L10" s="55"/>
      <c r="M10" s="55" t="s">
        <v>0</v>
      </c>
      <c r="N10" s="55"/>
      <c r="O10" s="55"/>
      <c r="P10" s="55"/>
      <c r="Q10" s="55"/>
      <c r="R10" s="55"/>
      <c r="S10" s="55"/>
      <c r="T10" s="111"/>
    </row>
    <row r="11" spans="1:20" x14ac:dyDescent="0.2">
      <c r="F11" s="45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110"/>
    </row>
    <row r="12" spans="1:20" s="43" customFormat="1" x14ac:dyDescent="0.2">
      <c r="A12" s="28" t="s">
        <v>10</v>
      </c>
      <c r="B12" s="148" t="s">
        <v>1</v>
      </c>
      <c r="C12" s="148"/>
      <c r="D12" s="150" t="s">
        <v>105</v>
      </c>
      <c r="E12" s="150"/>
      <c r="F12" s="112" t="s">
        <v>23</v>
      </c>
      <c r="G12" s="154" t="s">
        <v>128</v>
      </c>
      <c r="H12" s="154"/>
      <c r="I12" s="154" t="s">
        <v>99</v>
      </c>
      <c r="J12" s="154"/>
      <c r="K12" s="155" t="s">
        <v>176</v>
      </c>
      <c r="L12" s="155"/>
      <c r="M12" s="154" t="s">
        <v>101</v>
      </c>
      <c r="N12" s="154"/>
      <c r="O12" s="154" t="s">
        <v>100</v>
      </c>
      <c r="P12" s="154"/>
      <c r="Q12" s="154" t="s">
        <v>126</v>
      </c>
      <c r="R12" s="154"/>
      <c r="S12" s="55"/>
      <c r="T12" s="111"/>
    </row>
    <row r="13" spans="1:20" x14ac:dyDescent="0.2">
      <c r="A13" s="26" t="s">
        <v>2</v>
      </c>
      <c r="B13" s="38">
        <v>5794</v>
      </c>
      <c r="C13" s="39">
        <f>B13/B19</f>
        <v>0.30748819190150189</v>
      </c>
      <c r="D13" s="38">
        <f>G13+I13+K13+M13+O13+Q13</f>
        <v>902</v>
      </c>
      <c r="E13" s="39">
        <f>D13/D19</f>
        <v>0.29788639365918096</v>
      </c>
      <c r="F13" s="52">
        <f>D13/B13</f>
        <v>0.15567828788401794</v>
      </c>
      <c r="G13" s="38">
        <v>145</v>
      </c>
      <c r="H13" s="39">
        <f>G13/G19</f>
        <v>0.29774127310061604</v>
      </c>
      <c r="I13" s="38">
        <v>9</v>
      </c>
      <c r="J13" s="39">
        <f>I13/I19</f>
        <v>0.23684210526315788</v>
      </c>
      <c r="K13" s="38">
        <v>46</v>
      </c>
      <c r="L13" s="39">
        <f>K13/K19</f>
        <v>0.22885572139303484</v>
      </c>
      <c r="M13" s="38">
        <v>299</v>
      </c>
      <c r="N13" s="39">
        <f>M13/M19</f>
        <v>0.33259176863181311</v>
      </c>
      <c r="O13" s="38">
        <v>127</v>
      </c>
      <c r="P13" s="39">
        <f>O13/O19</f>
        <v>0.29952830188679247</v>
      </c>
      <c r="Q13" s="38">
        <v>276</v>
      </c>
      <c r="R13" s="39">
        <f>Q13/Q19</f>
        <v>0.28192032686414709</v>
      </c>
      <c r="S13" s="56"/>
      <c r="T13" s="110"/>
    </row>
    <row r="14" spans="1:20" x14ac:dyDescent="0.2">
      <c r="A14" s="26" t="s">
        <v>3</v>
      </c>
      <c r="B14" s="38">
        <v>5407</v>
      </c>
      <c r="C14" s="39">
        <f>B14/B19</f>
        <v>0.28695006103062143</v>
      </c>
      <c r="D14" s="38">
        <f t="shared" ref="D14:D18" si="2">G14+I14+K14+M14+O14+Q14</f>
        <v>944</v>
      </c>
      <c r="E14" s="39">
        <f>D14/D19</f>
        <v>0.31175693527080584</v>
      </c>
      <c r="F14" s="52">
        <f t="shared" ref="F14:F19" si="3">D14/B14</f>
        <v>0.17458849639356389</v>
      </c>
      <c r="G14" s="38">
        <v>116</v>
      </c>
      <c r="H14" s="39">
        <f>G14/G19</f>
        <v>0.23819301848049282</v>
      </c>
      <c r="I14" s="38">
        <v>13</v>
      </c>
      <c r="J14" s="39">
        <f>I14/I19</f>
        <v>0.34210526315789475</v>
      </c>
      <c r="K14" s="38">
        <v>68</v>
      </c>
      <c r="L14" s="39">
        <f>K14/K19</f>
        <v>0.3383084577114428</v>
      </c>
      <c r="M14" s="38">
        <v>280</v>
      </c>
      <c r="N14" s="39">
        <f>M14/M19</f>
        <v>0.31145717463848721</v>
      </c>
      <c r="O14" s="38">
        <v>143</v>
      </c>
      <c r="P14" s="39">
        <f>O14/O19</f>
        <v>0.33726415094339623</v>
      </c>
      <c r="Q14" s="38">
        <v>324</v>
      </c>
      <c r="R14" s="39">
        <f>Q14/Q19</f>
        <v>0.33094994892747703</v>
      </c>
      <c r="S14" s="56"/>
      <c r="T14" s="110"/>
    </row>
    <row r="15" spans="1:20" x14ac:dyDescent="0.2">
      <c r="A15" s="26" t="s">
        <v>4</v>
      </c>
      <c r="B15" s="38">
        <v>1423</v>
      </c>
      <c r="C15" s="39">
        <f>B15/B19</f>
        <v>7.5518760282332967E-2</v>
      </c>
      <c r="D15" s="38">
        <f t="shared" si="2"/>
        <v>201</v>
      </c>
      <c r="E15" s="39">
        <f>D15/D19</f>
        <v>6.6380449141347428E-2</v>
      </c>
      <c r="F15" s="52">
        <f t="shared" si="3"/>
        <v>0.14125087842586087</v>
      </c>
      <c r="G15" s="38">
        <v>25</v>
      </c>
      <c r="H15" s="39">
        <f>G15/G19</f>
        <v>5.1334702258726897E-2</v>
      </c>
      <c r="I15" s="38">
        <v>2</v>
      </c>
      <c r="J15" s="39">
        <f>I15/I19</f>
        <v>5.2631578947368418E-2</v>
      </c>
      <c r="K15" s="38">
        <v>13</v>
      </c>
      <c r="L15" s="39">
        <f>K15/K19</f>
        <v>6.4676616915422883E-2</v>
      </c>
      <c r="M15" s="38">
        <v>55</v>
      </c>
      <c r="N15" s="39">
        <f>M15/M19</f>
        <v>6.1179087875417128E-2</v>
      </c>
      <c r="O15" s="38">
        <v>29</v>
      </c>
      <c r="P15" s="39">
        <f>O15/O19</f>
        <v>6.8396226415094338E-2</v>
      </c>
      <c r="Q15" s="38">
        <v>77</v>
      </c>
      <c r="R15" s="39">
        <f>Q15/Q19</f>
        <v>7.8651685393258425E-2</v>
      </c>
      <c r="S15" s="56"/>
    </row>
    <row r="16" spans="1:20" x14ac:dyDescent="0.2">
      <c r="A16" s="26" t="s">
        <v>5</v>
      </c>
      <c r="B16" s="38">
        <v>3365</v>
      </c>
      <c r="C16" s="39">
        <f>B16/B19</f>
        <v>0.17858090537600169</v>
      </c>
      <c r="D16" s="38">
        <f t="shared" si="2"/>
        <v>540</v>
      </c>
      <c r="E16" s="39">
        <f>D16/D19</f>
        <v>0.17833553500660501</v>
      </c>
      <c r="F16" s="52">
        <f t="shared" si="3"/>
        <v>0.16047548291233285</v>
      </c>
      <c r="G16" s="38">
        <v>84</v>
      </c>
      <c r="H16" s="39">
        <f>G16/G19</f>
        <v>0.17248459958932238</v>
      </c>
      <c r="I16" s="38">
        <v>11</v>
      </c>
      <c r="J16" s="39">
        <f>I16/I19</f>
        <v>0.28947368421052633</v>
      </c>
      <c r="K16" s="38">
        <v>40</v>
      </c>
      <c r="L16" s="39">
        <f>K16/K19</f>
        <v>0.19900497512437812</v>
      </c>
      <c r="M16" s="38">
        <v>167</v>
      </c>
      <c r="N16" s="39">
        <f>M16/M19</f>
        <v>0.185761957730812</v>
      </c>
      <c r="O16" s="38">
        <v>50</v>
      </c>
      <c r="P16" s="39">
        <f>O16/O19</f>
        <v>0.11792452830188679</v>
      </c>
      <c r="Q16" s="38">
        <v>188</v>
      </c>
      <c r="R16" s="39">
        <f>Q16/Q19</f>
        <v>0.19203268641470889</v>
      </c>
      <c r="S16" s="56"/>
    </row>
    <row r="17" spans="1:20" x14ac:dyDescent="0.2">
      <c r="A17" s="26" t="s">
        <v>6</v>
      </c>
      <c r="B17" s="38">
        <v>1445</v>
      </c>
      <c r="C17" s="39">
        <f>B17/B19</f>
        <v>7.668630260574219E-2</v>
      </c>
      <c r="D17" s="38">
        <f t="shared" si="2"/>
        <v>248</v>
      </c>
      <c r="E17" s="39">
        <f>D17/D19</f>
        <v>8.1902245706737126E-2</v>
      </c>
      <c r="F17" s="52">
        <f t="shared" si="3"/>
        <v>0.17162629757785466</v>
      </c>
      <c r="G17" s="38">
        <v>79</v>
      </c>
      <c r="H17" s="39">
        <f>G17/G19</f>
        <v>0.16221765913757699</v>
      </c>
      <c r="I17" s="38">
        <v>1</v>
      </c>
      <c r="J17" s="39">
        <f>I17/I19</f>
        <v>2.6315789473684209E-2</v>
      </c>
      <c r="K17" s="38">
        <v>18</v>
      </c>
      <c r="L17" s="39">
        <f>K17/K19</f>
        <v>8.9552238805970144E-2</v>
      </c>
      <c r="M17" s="38">
        <v>52</v>
      </c>
      <c r="N17" s="39">
        <f>M17/M19</f>
        <v>5.7842046718576193E-2</v>
      </c>
      <c r="O17" s="38">
        <v>40</v>
      </c>
      <c r="P17" s="39">
        <f>O17/O19</f>
        <v>9.4339622641509441E-2</v>
      </c>
      <c r="Q17" s="38">
        <v>58</v>
      </c>
      <c r="R17" s="39">
        <f>Q17/Q19</f>
        <v>5.9244126659856997E-2</v>
      </c>
      <c r="S17" s="56"/>
    </row>
    <row r="18" spans="1:20" x14ac:dyDescent="0.2">
      <c r="A18" s="26" t="s">
        <v>7</v>
      </c>
      <c r="B18" s="38">
        <v>1409</v>
      </c>
      <c r="C18" s="39">
        <f>B18/B19</f>
        <v>7.4775778803799819E-2</v>
      </c>
      <c r="D18" s="38">
        <f t="shared" si="2"/>
        <v>193</v>
      </c>
      <c r="E18" s="39">
        <f>D18/D19</f>
        <v>6.3738441215323641E-2</v>
      </c>
      <c r="F18" s="52">
        <f t="shared" si="3"/>
        <v>0.13697657913413769</v>
      </c>
      <c r="G18" s="38">
        <v>38</v>
      </c>
      <c r="H18" s="39">
        <f>G18/G19</f>
        <v>7.8028747433264892E-2</v>
      </c>
      <c r="I18" s="38">
        <v>2</v>
      </c>
      <c r="J18" s="39">
        <f>I18/I19</f>
        <v>5.2631578947368418E-2</v>
      </c>
      <c r="K18" s="38">
        <v>16</v>
      </c>
      <c r="L18" s="39">
        <f>K18/K19</f>
        <v>7.9601990049751242E-2</v>
      </c>
      <c r="M18" s="38">
        <v>46</v>
      </c>
      <c r="N18" s="39">
        <f>M18/M19</f>
        <v>5.116796440489433E-2</v>
      </c>
      <c r="O18" s="38">
        <v>35</v>
      </c>
      <c r="P18" s="39">
        <f>O18/O19</f>
        <v>8.254716981132075E-2</v>
      </c>
      <c r="Q18" s="38">
        <v>56</v>
      </c>
      <c r="R18" s="39">
        <f>Q18/Q19</f>
        <v>5.7201225740551587E-2</v>
      </c>
      <c r="S18" s="56"/>
    </row>
    <row r="19" spans="1:20" s="43" customFormat="1" x14ac:dyDescent="0.2">
      <c r="A19" s="36" t="s">
        <v>1</v>
      </c>
      <c r="B19" s="30">
        <f>SUM(B13:B18)</f>
        <v>18843</v>
      </c>
      <c r="C19" s="53">
        <f>SUM(C13:C18)</f>
        <v>0.99999999999999989</v>
      </c>
      <c r="D19" s="25">
        <f>SUM(D13:D18)</f>
        <v>3028</v>
      </c>
      <c r="E19" s="53">
        <f>SUM(E13:E18)</f>
        <v>1</v>
      </c>
      <c r="F19" s="54">
        <f t="shared" si="3"/>
        <v>0.16069627978559678</v>
      </c>
      <c r="G19" s="25">
        <f t="shared" ref="G19:R19" si="4">SUM(G13:G18)</f>
        <v>487</v>
      </c>
      <c r="H19" s="41">
        <f t="shared" si="4"/>
        <v>1</v>
      </c>
      <c r="I19" s="25">
        <f t="shared" si="4"/>
        <v>38</v>
      </c>
      <c r="J19" s="41">
        <f t="shared" si="4"/>
        <v>1</v>
      </c>
      <c r="K19" s="25">
        <f t="shared" si="4"/>
        <v>201</v>
      </c>
      <c r="L19" s="41">
        <f t="shared" si="4"/>
        <v>1.0000000000000002</v>
      </c>
      <c r="M19" s="25">
        <f t="shared" si="4"/>
        <v>899</v>
      </c>
      <c r="N19" s="41">
        <f t="shared" si="4"/>
        <v>0.99999999999999989</v>
      </c>
      <c r="O19" s="25">
        <f t="shared" si="4"/>
        <v>424</v>
      </c>
      <c r="P19" s="41">
        <f t="shared" si="4"/>
        <v>1</v>
      </c>
      <c r="Q19" s="25">
        <f t="shared" si="4"/>
        <v>979</v>
      </c>
      <c r="R19" s="41">
        <f t="shared" si="4"/>
        <v>1</v>
      </c>
      <c r="S19" s="57"/>
    </row>
    <row r="20" spans="1:20" x14ac:dyDescent="0.2">
      <c r="A20" s="20"/>
      <c r="B20" s="2"/>
      <c r="F20" s="49"/>
      <c r="H20" s="46"/>
      <c r="I20" s="46" t="s">
        <v>0</v>
      </c>
      <c r="S20" s="44"/>
      <c r="T20" s="47" t="s">
        <v>0</v>
      </c>
    </row>
    <row r="21" spans="1:20" s="43" customFormat="1" x14ac:dyDescent="0.2">
      <c r="A21" s="28" t="s">
        <v>11</v>
      </c>
      <c r="B21" s="148" t="s">
        <v>1</v>
      </c>
      <c r="C21" s="148"/>
      <c r="D21" s="150" t="s">
        <v>105</v>
      </c>
      <c r="E21" s="150"/>
      <c r="F21" s="50" t="s">
        <v>23</v>
      </c>
      <c r="G21" s="151" t="s">
        <v>128</v>
      </c>
      <c r="H21" s="151"/>
      <c r="I21" s="151" t="s">
        <v>99</v>
      </c>
      <c r="J21" s="151"/>
      <c r="K21" s="150" t="s">
        <v>176</v>
      </c>
      <c r="L21" s="150"/>
      <c r="M21" s="151" t="s">
        <v>101</v>
      </c>
      <c r="N21" s="151"/>
      <c r="O21" s="151" t="s">
        <v>100</v>
      </c>
      <c r="P21" s="151"/>
      <c r="Q21" s="151" t="s">
        <v>126</v>
      </c>
      <c r="R21" s="151"/>
      <c r="S21" s="55"/>
    </row>
    <row r="22" spans="1:20" x14ac:dyDescent="0.2">
      <c r="A22" s="26" t="s">
        <v>103</v>
      </c>
      <c r="B22" s="38">
        <v>10870</v>
      </c>
      <c r="C22" s="39">
        <f>B22/B25</f>
        <v>0.5768720479753755</v>
      </c>
      <c r="D22" s="38">
        <f>G22+I22+K22+M22+O22+Q22</f>
        <v>2067</v>
      </c>
      <c r="E22" s="39">
        <f>D22/D25</f>
        <v>0.68262879788639363</v>
      </c>
      <c r="F22" s="52">
        <f t="shared" ref="F22:F25" si="5">D22/B22</f>
        <v>0.19015639374425022</v>
      </c>
      <c r="G22" s="38">
        <v>333</v>
      </c>
      <c r="H22" s="39">
        <f>G22/G25</f>
        <v>0.68377823408624228</v>
      </c>
      <c r="I22" s="38">
        <v>28</v>
      </c>
      <c r="J22" s="39">
        <f>I22/I25</f>
        <v>0.73684210526315785</v>
      </c>
      <c r="K22" s="38">
        <v>150</v>
      </c>
      <c r="L22" s="39">
        <f>K22/K25</f>
        <v>0.74626865671641796</v>
      </c>
      <c r="M22" s="38">
        <v>542</v>
      </c>
      <c r="N22" s="39">
        <f>M22/M25</f>
        <v>0.60289210233592883</v>
      </c>
      <c r="O22" s="38">
        <v>323</v>
      </c>
      <c r="P22" s="39">
        <f>O22/O25</f>
        <v>0.7617924528301887</v>
      </c>
      <c r="Q22" s="38">
        <v>691</v>
      </c>
      <c r="R22" s="39">
        <f>Q22/Q25</f>
        <v>0.70582226762002043</v>
      </c>
      <c r="S22" s="56"/>
    </row>
    <row r="23" spans="1:20" x14ac:dyDescent="0.2">
      <c r="A23" s="26" t="s">
        <v>104</v>
      </c>
      <c r="B23" s="38">
        <v>7964</v>
      </c>
      <c r="C23" s="39">
        <f>B23/B25</f>
        <v>0.42265032107413891</v>
      </c>
      <c r="D23" s="38">
        <f t="shared" ref="D23:D24" si="6">G23+I23+K23+M23+O23+Q23</f>
        <v>960</v>
      </c>
      <c r="E23" s="39">
        <f>D23/D25</f>
        <v>0.31704095112285335</v>
      </c>
      <c r="F23" s="52">
        <f t="shared" si="5"/>
        <v>0.12054244098442994</v>
      </c>
      <c r="G23" s="38">
        <v>154</v>
      </c>
      <c r="H23" s="39">
        <f>G23/G25</f>
        <v>0.31622176591375772</v>
      </c>
      <c r="I23" s="38">
        <v>10</v>
      </c>
      <c r="J23" s="39">
        <f>I23/I25</f>
        <v>0.26315789473684209</v>
      </c>
      <c r="K23" s="38">
        <v>51</v>
      </c>
      <c r="L23" s="39">
        <f>K23/K25</f>
        <v>0.2537313432835821</v>
      </c>
      <c r="M23" s="38">
        <v>356</v>
      </c>
      <c r="N23" s="39">
        <f>M23/M25</f>
        <v>0.39599555061179087</v>
      </c>
      <c r="O23" s="38">
        <v>101</v>
      </c>
      <c r="P23" s="39">
        <f>O23/O25</f>
        <v>0.23820754716981132</v>
      </c>
      <c r="Q23" s="38">
        <v>288</v>
      </c>
      <c r="R23" s="39">
        <f>Q23/Q25</f>
        <v>0.29417773237997957</v>
      </c>
      <c r="S23" s="56"/>
    </row>
    <row r="24" spans="1:20" x14ac:dyDescent="0.2">
      <c r="A24" s="26" t="s">
        <v>140</v>
      </c>
      <c r="B24" s="38">
        <v>9</v>
      </c>
      <c r="C24" s="39">
        <f>B24/B25</f>
        <v>4.7763095048559148E-4</v>
      </c>
      <c r="D24" s="38">
        <f t="shared" si="6"/>
        <v>1</v>
      </c>
      <c r="E24" s="39">
        <f>D24/D25</f>
        <v>3.3025099075297226E-4</v>
      </c>
      <c r="F24" s="52">
        <f t="shared" si="5"/>
        <v>0.1111111111111111</v>
      </c>
      <c r="G24" s="23"/>
      <c r="H24" s="39">
        <f>G24/G25</f>
        <v>0</v>
      </c>
      <c r="I24" s="23"/>
      <c r="J24" s="39">
        <f>I24/I25</f>
        <v>0</v>
      </c>
      <c r="K24" s="23"/>
      <c r="L24" s="39">
        <f>K24/K25</f>
        <v>0</v>
      </c>
      <c r="M24" s="38">
        <v>1</v>
      </c>
      <c r="N24" s="39">
        <f>M24/M25</f>
        <v>1.1123470522803114E-3</v>
      </c>
      <c r="O24" s="23"/>
      <c r="P24" s="39">
        <f>O24/O25</f>
        <v>0</v>
      </c>
      <c r="Q24" s="23"/>
      <c r="R24" s="39">
        <f>Q24/Q25</f>
        <v>0</v>
      </c>
      <c r="S24" s="56"/>
    </row>
    <row r="25" spans="1:20" s="43" customFormat="1" x14ac:dyDescent="0.2">
      <c r="A25" s="36" t="s">
        <v>1</v>
      </c>
      <c r="B25" s="30">
        <f>SUM(B22:B24)</f>
        <v>18843</v>
      </c>
      <c r="C25" s="41">
        <f>SUM(C22:C24)</f>
        <v>1</v>
      </c>
      <c r="D25" s="30">
        <f>SUM(D22:D24)</f>
        <v>3028</v>
      </c>
      <c r="E25" s="41">
        <f>SUM(E22:E24)</f>
        <v>1</v>
      </c>
      <c r="F25" s="54">
        <f t="shared" si="5"/>
        <v>0.16069627978559678</v>
      </c>
      <c r="G25" s="30">
        <f t="shared" ref="G25:R25" si="7">SUM(G22:G24)</f>
        <v>487</v>
      </c>
      <c r="H25" s="41">
        <f t="shared" si="7"/>
        <v>1</v>
      </c>
      <c r="I25" s="30">
        <f t="shared" si="7"/>
        <v>38</v>
      </c>
      <c r="J25" s="41">
        <f t="shared" si="7"/>
        <v>1</v>
      </c>
      <c r="K25" s="30">
        <f t="shared" si="7"/>
        <v>201</v>
      </c>
      <c r="L25" s="41">
        <f t="shared" si="7"/>
        <v>1</v>
      </c>
      <c r="M25" s="30">
        <f t="shared" si="7"/>
        <v>899</v>
      </c>
      <c r="N25" s="41">
        <f t="shared" si="7"/>
        <v>1</v>
      </c>
      <c r="O25" s="30">
        <f t="shared" si="7"/>
        <v>424</v>
      </c>
      <c r="P25" s="41">
        <f t="shared" si="7"/>
        <v>1</v>
      </c>
      <c r="Q25" s="30">
        <f t="shared" si="7"/>
        <v>979</v>
      </c>
      <c r="R25" s="41">
        <f t="shared" si="7"/>
        <v>1</v>
      </c>
      <c r="S25" s="57"/>
    </row>
    <row r="26" spans="1:20" x14ac:dyDescent="0.2">
      <c r="B26" s="3"/>
      <c r="F26" s="49"/>
      <c r="S26" s="44"/>
    </row>
    <row r="27" spans="1:20" x14ac:dyDescent="0.2">
      <c r="A27" s="84" t="s">
        <v>142</v>
      </c>
      <c r="B27" s="3"/>
      <c r="F27" s="49"/>
      <c r="S27" s="44"/>
    </row>
    <row r="28" spans="1:20" s="43" customFormat="1" x14ac:dyDescent="0.2">
      <c r="A28" s="28" t="s">
        <v>9</v>
      </c>
      <c r="B28" s="148" t="s">
        <v>1</v>
      </c>
      <c r="C28" s="148"/>
      <c r="D28" s="150" t="s">
        <v>105</v>
      </c>
      <c r="E28" s="150"/>
      <c r="F28" s="50" t="s">
        <v>23</v>
      </c>
      <c r="G28" s="151" t="s">
        <v>128</v>
      </c>
      <c r="H28" s="151"/>
      <c r="I28" s="151" t="s">
        <v>99</v>
      </c>
      <c r="J28" s="151"/>
      <c r="K28" s="150" t="s">
        <v>176</v>
      </c>
      <c r="L28" s="150"/>
      <c r="M28" s="151" t="s">
        <v>101</v>
      </c>
      <c r="N28" s="151"/>
      <c r="O28" s="151" t="s">
        <v>100</v>
      </c>
      <c r="P28" s="151"/>
      <c r="Q28" s="151" t="s">
        <v>126</v>
      </c>
      <c r="R28" s="151"/>
      <c r="S28" s="55"/>
    </row>
    <row r="29" spans="1:20" hidden="1" x14ac:dyDescent="0.2">
      <c r="A29" s="26" t="s">
        <v>125</v>
      </c>
      <c r="B29" s="38"/>
      <c r="C29" s="39">
        <f>B29/B36</f>
        <v>0</v>
      </c>
      <c r="D29" s="38"/>
      <c r="E29" s="39"/>
      <c r="F29" s="52"/>
      <c r="G29" s="29"/>
      <c r="H29" s="39"/>
      <c r="I29" s="29"/>
      <c r="J29" s="39"/>
      <c r="K29" s="29"/>
      <c r="L29" s="39"/>
      <c r="M29" s="29"/>
      <c r="N29" s="39"/>
      <c r="O29" s="29"/>
      <c r="P29" s="39"/>
      <c r="Q29" s="29"/>
      <c r="R29" s="39"/>
      <c r="S29" s="56"/>
    </row>
    <row r="30" spans="1:20" x14ac:dyDescent="0.2">
      <c r="A30" s="26" t="s">
        <v>12</v>
      </c>
      <c r="B30" s="38">
        <v>3573</v>
      </c>
      <c r="C30" s="39">
        <f>B30/B36</f>
        <v>0.18961948734277981</v>
      </c>
      <c r="D30" s="38">
        <f>G30+I30+K30+M30+O30+Q30</f>
        <v>456</v>
      </c>
      <c r="E30" s="39">
        <f>D30/D36</f>
        <v>0.15059445178335534</v>
      </c>
      <c r="F30" s="52">
        <f>D30/B30</f>
        <v>0.12762384550797648</v>
      </c>
      <c r="G30" s="38">
        <v>64</v>
      </c>
      <c r="H30" s="39">
        <f>G30/G36</f>
        <v>0.13141683778234087</v>
      </c>
      <c r="I30" s="38">
        <v>9</v>
      </c>
      <c r="J30" s="39">
        <f>I30/I36</f>
        <v>0.23684210526315788</v>
      </c>
      <c r="K30" s="38">
        <v>12</v>
      </c>
      <c r="L30" s="39">
        <f>K30/K36</f>
        <v>5.9701492537313432E-2</v>
      </c>
      <c r="M30" s="38">
        <v>188</v>
      </c>
      <c r="N30" s="39">
        <f>M30/M36</f>
        <v>0.20912124582869857</v>
      </c>
      <c r="O30" s="38">
        <v>18</v>
      </c>
      <c r="P30" s="39">
        <f>O30/O36</f>
        <v>4.2452830188679243E-2</v>
      </c>
      <c r="Q30" s="38">
        <v>165</v>
      </c>
      <c r="R30" s="39">
        <f>Q30/Q36</f>
        <v>0.16853932584269662</v>
      </c>
      <c r="S30" s="56"/>
    </row>
    <row r="31" spans="1:20" x14ac:dyDescent="0.2">
      <c r="A31" s="26" t="s">
        <v>13</v>
      </c>
      <c r="B31" s="38">
        <v>3288</v>
      </c>
      <c r="C31" s="39">
        <f>B31/B36</f>
        <v>0.17449450724406942</v>
      </c>
      <c r="D31" s="38">
        <f t="shared" ref="D31:D35" si="8">G31+I31+K31+M31+O31+Q31</f>
        <v>331</v>
      </c>
      <c r="E31" s="39">
        <f>D31/D36</f>
        <v>0.10931307793923382</v>
      </c>
      <c r="F31" s="52">
        <f t="shared" ref="F31:F33" si="9">D31/B31</f>
        <v>0.100669099756691</v>
      </c>
      <c r="G31" s="38">
        <v>55</v>
      </c>
      <c r="H31" s="39">
        <f>G31/G36</f>
        <v>0.11293634496919917</v>
      </c>
      <c r="I31" s="38">
        <v>4</v>
      </c>
      <c r="J31" s="39">
        <f>I31/I36</f>
        <v>0.10526315789473684</v>
      </c>
      <c r="K31" s="38">
        <v>13</v>
      </c>
      <c r="L31" s="39">
        <f>K31/K36</f>
        <v>6.4676616915422883E-2</v>
      </c>
      <c r="M31" s="38">
        <v>125</v>
      </c>
      <c r="N31" s="39">
        <f>M31/M36</f>
        <v>0.13904338153503892</v>
      </c>
      <c r="O31" s="38">
        <v>27</v>
      </c>
      <c r="P31" s="39">
        <f>O31/O36</f>
        <v>6.3679245283018868E-2</v>
      </c>
      <c r="Q31" s="38">
        <v>107</v>
      </c>
      <c r="R31" s="39">
        <f>Q31/Q36</f>
        <v>0.10929519918283963</v>
      </c>
      <c r="S31" s="56"/>
    </row>
    <row r="32" spans="1:20" x14ac:dyDescent="0.2">
      <c r="A32" s="26" t="s">
        <v>14</v>
      </c>
      <c r="B32" s="38">
        <v>3117</v>
      </c>
      <c r="C32" s="39">
        <f>B32/B36</f>
        <v>0.16541951918484318</v>
      </c>
      <c r="D32" s="38">
        <f t="shared" si="8"/>
        <v>337</v>
      </c>
      <c r="E32" s="39">
        <f>D32/D36</f>
        <v>0.11129458388375166</v>
      </c>
      <c r="F32" s="52">
        <f t="shared" si="9"/>
        <v>0.10811677895412256</v>
      </c>
      <c r="G32" s="38">
        <v>55</v>
      </c>
      <c r="H32" s="39">
        <f>G32/G36</f>
        <v>0.11293634496919917</v>
      </c>
      <c r="I32" s="38">
        <v>4</v>
      </c>
      <c r="J32" s="39">
        <f>I32/I36</f>
        <v>0.10526315789473684</v>
      </c>
      <c r="K32" s="38">
        <v>25</v>
      </c>
      <c r="L32" s="39">
        <f>K32/K36</f>
        <v>0.12437810945273632</v>
      </c>
      <c r="M32" s="38">
        <v>103</v>
      </c>
      <c r="N32" s="39">
        <f>M32/M36</f>
        <v>0.11457174638487208</v>
      </c>
      <c r="O32" s="38">
        <v>45</v>
      </c>
      <c r="P32" s="39">
        <f>O32/O36</f>
        <v>0.10613207547169812</v>
      </c>
      <c r="Q32" s="38">
        <v>105</v>
      </c>
      <c r="R32" s="39">
        <f>Q32/Q36</f>
        <v>0.10725229826353422</v>
      </c>
      <c r="S32" s="56"/>
    </row>
    <row r="33" spans="1:19" x14ac:dyDescent="0.2">
      <c r="A33" s="26" t="s">
        <v>15</v>
      </c>
      <c r="B33" s="38">
        <v>3699</v>
      </c>
      <c r="C33" s="39">
        <f>B33/B36</f>
        <v>0.19630632064957809</v>
      </c>
      <c r="D33" s="38">
        <f t="shared" si="8"/>
        <v>561</v>
      </c>
      <c r="E33" s="39">
        <f>D33/D36</f>
        <v>0.18527080581241745</v>
      </c>
      <c r="F33" s="52">
        <f t="shared" si="9"/>
        <v>0.15166261151662611</v>
      </c>
      <c r="G33" s="38">
        <v>97</v>
      </c>
      <c r="H33" s="39">
        <f>G33/G36</f>
        <v>0.19917864476386038</v>
      </c>
      <c r="I33" s="38">
        <v>5</v>
      </c>
      <c r="J33" s="39">
        <f>I33/I36</f>
        <v>0.13157894736842105</v>
      </c>
      <c r="K33" s="38">
        <v>41</v>
      </c>
      <c r="L33" s="39">
        <f>K33/K36</f>
        <v>0.20398009950248755</v>
      </c>
      <c r="M33" s="38">
        <v>150</v>
      </c>
      <c r="N33" s="39">
        <f>M33/M36</f>
        <v>0.16685205784204671</v>
      </c>
      <c r="O33" s="38">
        <v>81</v>
      </c>
      <c r="P33" s="39">
        <f>O33/O36</f>
        <v>0.19103773584905662</v>
      </c>
      <c r="Q33" s="38">
        <v>187</v>
      </c>
      <c r="R33" s="39">
        <f>Q33/Q36</f>
        <v>0.19101123595505617</v>
      </c>
      <c r="S33" s="56"/>
    </row>
    <row r="34" spans="1:19" x14ac:dyDescent="0.2">
      <c r="A34" s="26" t="s">
        <v>16</v>
      </c>
      <c r="B34" s="38">
        <v>2909</v>
      </c>
      <c r="C34" s="39">
        <f>B34/B36</f>
        <v>0.15438093721806506</v>
      </c>
      <c r="D34" s="38">
        <f t="shared" si="8"/>
        <v>628</v>
      </c>
      <c r="E34" s="39">
        <f>D34/D36</f>
        <v>0.20739762219286659</v>
      </c>
      <c r="F34" s="52">
        <f t="shared" ref="F34:F36" si="10">D34/B34</f>
        <v>0.21588174630457202</v>
      </c>
      <c r="G34" s="38">
        <v>91</v>
      </c>
      <c r="H34" s="39">
        <f>G34/G36</f>
        <v>0.18685831622176591</v>
      </c>
      <c r="I34" s="38">
        <v>5</v>
      </c>
      <c r="J34" s="39">
        <f>I34/I36</f>
        <v>0.13157894736842105</v>
      </c>
      <c r="K34" s="38">
        <v>58</v>
      </c>
      <c r="L34" s="39">
        <f>K34/K36</f>
        <v>0.28855721393034828</v>
      </c>
      <c r="M34" s="38">
        <v>152</v>
      </c>
      <c r="N34" s="39">
        <f>M34/M36</f>
        <v>0.16907675194660735</v>
      </c>
      <c r="O34" s="38">
        <v>121</v>
      </c>
      <c r="P34" s="39">
        <f>O34/O36</f>
        <v>0.28537735849056606</v>
      </c>
      <c r="Q34" s="38">
        <v>201</v>
      </c>
      <c r="R34" s="39">
        <f>Q34/Q36</f>
        <v>0.20531154239019409</v>
      </c>
      <c r="S34" s="56"/>
    </row>
    <row r="35" spans="1:19" x14ac:dyDescent="0.2">
      <c r="A35" s="26" t="s">
        <v>17</v>
      </c>
      <c r="B35" s="38">
        <v>2257</v>
      </c>
      <c r="C35" s="39">
        <f>B35/B36</f>
        <v>0.11977922836066444</v>
      </c>
      <c r="D35" s="38">
        <f t="shared" si="8"/>
        <v>715</v>
      </c>
      <c r="E35" s="39">
        <f>D35/D36</f>
        <v>0.23612945838837515</v>
      </c>
      <c r="F35" s="52">
        <f t="shared" si="10"/>
        <v>0.31679220203810365</v>
      </c>
      <c r="G35" s="38">
        <v>125</v>
      </c>
      <c r="H35" s="39">
        <f>G35/G36</f>
        <v>0.25667351129363447</v>
      </c>
      <c r="I35" s="38">
        <v>11</v>
      </c>
      <c r="J35" s="39">
        <f>I35/I36</f>
        <v>0.28947368421052633</v>
      </c>
      <c r="K35" s="38">
        <v>52</v>
      </c>
      <c r="L35" s="39">
        <f>K35/K36</f>
        <v>0.25870646766169153</v>
      </c>
      <c r="M35" s="38">
        <v>181</v>
      </c>
      <c r="N35" s="39">
        <f>M35/M36</f>
        <v>0.20133481646273638</v>
      </c>
      <c r="O35" s="38">
        <v>132</v>
      </c>
      <c r="P35" s="39">
        <f>O35/O36</f>
        <v>0.31132075471698112</v>
      </c>
      <c r="Q35" s="38">
        <v>214</v>
      </c>
      <c r="R35" s="39">
        <f>Q35/Q36</f>
        <v>0.21859039836567926</v>
      </c>
      <c r="S35" s="56"/>
    </row>
    <row r="36" spans="1:19" s="43" customFormat="1" x14ac:dyDescent="0.2">
      <c r="A36" s="36" t="s">
        <v>1</v>
      </c>
      <c r="B36" s="40">
        <f>SUM(B29:B35)</f>
        <v>18843</v>
      </c>
      <c r="C36" s="41">
        <f>SUM(C29:C35)</f>
        <v>1</v>
      </c>
      <c r="D36" s="40">
        <f>SUM(D29:D35)</f>
        <v>3028</v>
      </c>
      <c r="E36" s="53">
        <f>SUM(E29:E35)</f>
        <v>1</v>
      </c>
      <c r="F36" s="54">
        <f t="shared" si="10"/>
        <v>0.16069627978559678</v>
      </c>
      <c r="G36" s="30">
        <f t="shared" ref="G36:R36" si="11">SUM(G29:G35)</f>
        <v>487</v>
      </c>
      <c r="H36" s="53">
        <f t="shared" si="11"/>
        <v>1</v>
      </c>
      <c r="I36" s="30">
        <f t="shared" si="11"/>
        <v>38</v>
      </c>
      <c r="J36" s="53">
        <f t="shared" si="11"/>
        <v>0.99999999999999989</v>
      </c>
      <c r="K36" s="30">
        <f t="shared" si="11"/>
        <v>201</v>
      </c>
      <c r="L36" s="53">
        <f t="shared" si="11"/>
        <v>1</v>
      </c>
      <c r="M36" s="30">
        <f t="shared" si="11"/>
        <v>899</v>
      </c>
      <c r="N36" s="53">
        <f t="shared" si="11"/>
        <v>1</v>
      </c>
      <c r="O36" s="30">
        <f t="shared" si="11"/>
        <v>424</v>
      </c>
      <c r="P36" s="53">
        <f t="shared" si="11"/>
        <v>1</v>
      </c>
      <c r="Q36" s="30">
        <f t="shared" si="11"/>
        <v>979</v>
      </c>
      <c r="R36" s="53">
        <f t="shared" si="11"/>
        <v>1</v>
      </c>
      <c r="S36" s="57"/>
    </row>
    <row r="37" spans="1:19" x14ac:dyDescent="0.2">
      <c r="A37" s="35" t="s">
        <v>141</v>
      </c>
      <c r="B37" s="128">
        <v>23.5</v>
      </c>
      <c r="C37" s="42"/>
      <c r="D37" s="129">
        <v>30.182334833057102</v>
      </c>
      <c r="E37" s="107"/>
      <c r="F37" s="107"/>
      <c r="G37" s="107">
        <v>31.736702127659584</v>
      </c>
      <c r="H37" s="60"/>
      <c r="I37" s="59">
        <v>26.028571428571418</v>
      </c>
      <c r="J37" s="59"/>
      <c r="K37" s="107">
        <v>30.55272727272726</v>
      </c>
      <c r="L37" s="59"/>
      <c r="M37" s="107">
        <v>28.564687975646855</v>
      </c>
      <c r="N37" s="59"/>
      <c r="O37" s="59">
        <v>33.744000000000007</v>
      </c>
      <c r="P37" s="59"/>
      <c r="Q37" s="59">
        <v>29.272114574557708</v>
      </c>
      <c r="R37" s="58"/>
    </row>
    <row r="38" spans="1:19" x14ac:dyDescent="0.2">
      <c r="B38" s="4"/>
      <c r="C38" s="4"/>
      <c r="D38" s="2"/>
      <c r="F38" s="49"/>
      <c r="H38" s="46"/>
    </row>
    <row r="39" spans="1:19" s="43" customFormat="1" x14ac:dyDescent="0.2">
      <c r="A39" s="28" t="s">
        <v>19</v>
      </c>
      <c r="B39" s="148" t="s">
        <v>1</v>
      </c>
      <c r="C39" s="148"/>
      <c r="D39" s="150" t="s">
        <v>105</v>
      </c>
      <c r="E39" s="150"/>
      <c r="F39" s="50" t="s">
        <v>23</v>
      </c>
      <c r="G39" s="151" t="s">
        <v>128</v>
      </c>
      <c r="H39" s="151"/>
      <c r="I39" s="151" t="s">
        <v>99</v>
      </c>
      <c r="J39" s="151"/>
      <c r="K39" s="150" t="s">
        <v>176</v>
      </c>
      <c r="L39" s="150"/>
      <c r="M39" s="151" t="s">
        <v>101</v>
      </c>
      <c r="N39" s="151"/>
      <c r="O39" s="151" t="s">
        <v>100</v>
      </c>
      <c r="P39" s="151"/>
      <c r="Q39" s="151" t="s">
        <v>126</v>
      </c>
      <c r="R39" s="151"/>
      <c r="S39" s="51"/>
    </row>
    <row r="40" spans="1:19" x14ac:dyDescent="0.2">
      <c r="A40" s="26" t="s">
        <v>143</v>
      </c>
      <c r="B40" s="38">
        <v>15</v>
      </c>
      <c r="C40" s="39">
        <f>B40/B48</f>
        <v>7.9605158414265242E-4</v>
      </c>
      <c r="D40" s="38">
        <f>G40+I40+K40+M40+O40+Q40</f>
        <v>4</v>
      </c>
      <c r="E40" s="39">
        <f>D40/D48</f>
        <v>1.321003963011889E-3</v>
      </c>
      <c r="F40" s="52">
        <f>D40/B40</f>
        <v>0.26666666666666666</v>
      </c>
      <c r="G40" s="71"/>
      <c r="H40" s="39"/>
      <c r="I40" s="38">
        <v>1</v>
      </c>
      <c r="J40" s="39"/>
      <c r="K40" s="38">
        <v>1</v>
      </c>
      <c r="L40" s="39">
        <f>K40/K48</f>
        <v>4.9751243781094526E-3</v>
      </c>
      <c r="M40" s="38">
        <v>2</v>
      </c>
      <c r="N40" s="39">
        <f>M40/M48</f>
        <v>2.2246941045606229E-3</v>
      </c>
      <c r="O40" s="71"/>
      <c r="P40" s="39">
        <f>O40/O48</f>
        <v>0</v>
      </c>
      <c r="Q40" s="71"/>
      <c r="R40" s="39">
        <f>Q40/Q48</f>
        <v>0</v>
      </c>
      <c r="S40" s="61"/>
    </row>
    <row r="41" spans="1:19" x14ac:dyDescent="0.2">
      <c r="A41" s="26" t="s">
        <v>22</v>
      </c>
      <c r="B41" s="38">
        <v>338</v>
      </c>
      <c r="C41" s="39">
        <f>B41/B48</f>
        <v>1.7937695696014434E-2</v>
      </c>
      <c r="D41" s="38">
        <f t="shared" ref="D41" si="12">G41+I41+K41+M41+O41+Q41</f>
        <v>50</v>
      </c>
      <c r="E41" s="39">
        <f>D41/D48</f>
        <v>1.6512549537648614E-2</v>
      </c>
      <c r="F41" s="52">
        <f t="shared" ref="F41:F47" si="13">D41/B41</f>
        <v>0.14792899408284024</v>
      </c>
      <c r="G41" s="38">
        <v>9</v>
      </c>
      <c r="H41" s="39">
        <f>G41/G48</f>
        <v>1.8480492813141684E-2</v>
      </c>
      <c r="I41" s="38">
        <v>1</v>
      </c>
      <c r="J41" s="39">
        <f>I41/I48</f>
        <v>2.6315789473684209E-2</v>
      </c>
      <c r="K41" s="38">
        <v>3</v>
      </c>
      <c r="L41" s="39">
        <f>K41/K48</f>
        <v>1.4925373134328358E-2</v>
      </c>
      <c r="M41" s="38">
        <v>12</v>
      </c>
      <c r="N41" s="39">
        <f>M41/M48</f>
        <v>1.3348164627363738E-2</v>
      </c>
      <c r="O41" s="38">
        <v>7</v>
      </c>
      <c r="P41" s="39">
        <f>O41/O48</f>
        <v>1.6509433962264151E-2</v>
      </c>
      <c r="Q41" s="38">
        <v>18</v>
      </c>
      <c r="R41" s="39">
        <f>Q41/Q48</f>
        <v>1.8386108273748723E-2</v>
      </c>
      <c r="S41" s="61"/>
    </row>
    <row r="42" spans="1:19" x14ac:dyDescent="0.2">
      <c r="A42" s="26" t="s">
        <v>144</v>
      </c>
      <c r="B42" s="38">
        <v>784</v>
      </c>
      <c r="C42" s="39">
        <f>B42/B48</f>
        <v>4.1606962797855966E-2</v>
      </c>
      <c r="D42" s="38">
        <f>G42+I42+K42+M42+O42+Q42</f>
        <v>92</v>
      </c>
      <c r="E42" s="39">
        <f>D42/D48</f>
        <v>3.0383091149273449E-2</v>
      </c>
      <c r="F42" s="52">
        <f t="shared" si="13"/>
        <v>0.11734693877551021</v>
      </c>
      <c r="G42" s="38">
        <v>19</v>
      </c>
      <c r="H42" s="39">
        <f>G42/G48</f>
        <v>3.9014373716632446E-2</v>
      </c>
      <c r="I42" s="38">
        <v>1</v>
      </c>
      <c r="J42" s="39">
        <f>I42/I48</f>
        <v>2.6315789473684209E-2</v>
      </c>
      <c r="K42" s="38">
        <v>6</v>
      </c>
      <c r="L42" s="39">
        <f>K42/K48</f>
        <v>2.9850746268656716E-2</v>
      </c>
      <c r="M42" s="38">
        <v>14</v>
      </c>
      <c r="N42" s="39">
        <f>M42/M48</f>
        <v>1.557285873192436E-2</v>
      </c>
      <c r="O42" s="38">
        <v>6</v>
      </c>
      <c r="P42" s="39">
        <f>O42/O48</f>
        <v>1.4150943396226415E-2</v>
      </c>
      <c r="Q42" s="38">
        <v>46</v>
      </c>
      <c r="R42" s="39">
        <f>Q42/Q48</f>
        <v>4.6986721144024517E-2</v>
      </c>
      <c r="S42" s="61"/>
    </row>
    <row r="43" spans="1:19" x14ac:dyDescent="0.2">
      <c r="A43" s="26" t="s">
        <v>145</v>
      </c>
      <c r="B43" s="38">
        <v>371</v>
      </c>
      <c r="C43" s="39">
        <f>B43/B48</f>
        <v>1.9689009181128269E-2</v>
      </c>
      <c r="D43" s="38">
        <f t="shared" ref="D43:D47" si="14">G43+I43+K43+M43+O43+Q43</f>
        <v>56</v>
      </c>
      <c r="E43" s="39">
        <f>D43/D48</f>
        <v>1.8494055482166448E-2</v>
      </c>
      <c r="F43" s="52">
        <f t="shared" si="13"/>
        <v>0.15094339622641509</v>
      </c>
      <c r="G43" s="38">
        <v>8</v>
      </c>
      <c r="H43" s="39">
        <f>G43/G48</f>
        <v>1.6427104722792608E-2</v>
      </c>
      <c r="I43" s="38"/>
      <c r="J43" s="39">
        <f>I43/I48</f>
        <v>0</v>
      </c>
      <c r="K43" s="38">
        <v>4</v>
      </c>
      <c r="L43" s="39">
        <f>K43/K48</f>
        <v>1.9900497512437811E-2</v>
      </c>
      <c r="M43" s="38">
        <v>15</v>
      </c>
      <c r="N43" s="39">
        <f>M43/M48</f>
        <v>1.6685205784204672E-2</v>
      </c>
      <c r="O43" s="38">
        <v>4</v>
      </c>
      <c r="P43" s="39">
        <f>O43/O48</f>
        <v>9.433962264150943E-3</v>
      </c>
      <c r="Q43" s="38">
        <v>25</v>
      </c>
      <c r="R43" s="39">
        <f>Q43/Q48</f>
        <v>2.5536261491317672E-2</v>
      </c>
      <c r="S43" s="61"/>
    </row>
    <row r="44" spans="1:19" x14ac:dyDescent="0.2">
      <c r="A44" s="26" t="s">
        <v>18</v>
      </c>
      <c r="B44" s="38">
        <v>2500</v>
      </c>
      <c r="C44" s="39">
        <f>B44/B48</f>
        <v>0.13267526402377541</v>
      </c>
      <c r="D44" s="38">
        <f t="shared" si="14"/>
        <v>334</v>
      </c>
      <c r="E44" s="39">
        <f>D44/D48</f>
        <v>0.11030383091149273</v>
      </c>
      <c r="F44" s="52">
        <f t="shared" si="13"/>
        <v>0.1336</v>
      </c>
      <c r="G44" s="38">
        <v>53</v>
      </c>
      <c r="H44" s="39">
        <f>G44/G48</f>
        <v>0.10882956878850103</v>
      </c>
      <c r="I44" s="38">
        <v>14</v>
      </c>
      <c r="J44" s="39">
        <f>I44/I48</f>
        <v>0.36842105263157893</v>
      </c>
      <c r="K44" s="38">
        <v>16</v>
      </c>
      <c r="L44" s="39">
        <f>K44/K48</f>
        <v>7.9601990049751242E-2</v>
      </c>
      <c r="M44" s="38">
        <v>79</v>
      </c>
      <c r="N44" s="39">
        <f>M44/M48</f>
        <v>8.7875417130144601E-2</v>
      </c>
      <c r="O44" s="38">
        <v>41</v>
      </c>
      <c r="P44" s="39">
        <f>O44/O48</f>
        <v>9.6698113207547176E-2</v>
      </c>
      <c r="Q44" s="38">
        <v>131</v>
      </c>
      <c r="R44" s="39">
        <f>Q44/Q48</f>
        <v>0.13381001021450459</v>
      </c>
      <c r="S44" s="61"/>
    </row>
    <row r="45" spans="1:19" x14ac:dyDescent="0.2">
      <c r="A45" s="26" t="s">
        <v>146</v>
      </c>
      <c r="B45" s="38">
        <v>190</v>
      </c>
      <c r="C45" s="39">
        <f>B45/B48</f>
        <v>1.0083320065806931E-2</v>
      </c>
      <c r="D45" s="38">
        <f t="shared" si="14"/>
        <v>33</v>
      </c>
      <c r="E45" s="39">
        <f>D45/D48</f>
        <v>1.0898282694848084E-2</v>
      </c>
      <c r="F45" s="52">
        <f t="shared" si="13"/>
        <v>0.1736842105263158</v>
      </c>
      <c r="G45" s="38">
        <v>6</v>
      </c>
      <c r="H45" s="39">
        <f>G45/G48</f>
        <v>1.2320328542094456E-2</v>
      </c>
      <c r="I45" s="23"/>
      <c r="J45" s="39">
        <f>I45/I48</f>
        <v>0</v>
      </c>
      <c r="K45" s="38">
        <v>2</v>
      </c>
      <c r="L45" s="39">
        <f>K45/K48</f>
        <v>9.9502487562189053E-3</v>
      </c>
      <c r="M45" s="38">
        <v>5</v>
      </c>
      <c r="N45" s="39">
        <f>M45/M48</f>
        <v>5.5617352614015575E-3</v>
      </c>
      <c r="O45" s="38"/>
      <c r="P45" s="39">
        <f>O45/O48</f>
        <v>0</v>
      </c>
      <c r="Q45" s="38">
        <v>20</v>
      </c>
      <c r="R45" s="39">
        <f>Q45/Q48</f>
        <v>2.0429009193054137E-2</v>
      </c>
      <c r="S45" s="61"/>
    </row>
    <row r="46" spans="1:19" x14ac:dyDescent="0.2">
      <c r="A46" s="26" t="s">
        <v>8</v>
      </c>
      <c r="B46" s="38">
        <v>1127</v>
      </c>
      <c r="C46" s="39">
        <f>B46/B48</f>
        <v>5.9810009021917951E-2</v>
      </c>
      <c r="D46" s="38">
        <f t="shared" si="14"/>
        <v>169</v>
      </c>
      <c r="E46" s="39">
        <f>D46/D48</f>
        <v>5.5812417437252314E-2</v>
      </c>
      <c r="F46" s="52">
        <f t="shared" si="13"/>
        <v>0.14995563442768411</v>
      </c>
      <c r="G46" s="38">
        <v>36</v>
      </c>
      <c r="H46" s="39">
        <f>G46/G48</f>
        <v>7.3921971252566734E-2</v>
      </c>
      <c r="I46" s="38">
        <v>1</v>
      </c>
      <c r="J46" s="39">
        <f>I46/I48</f>
        <v>2.6315789473684209E-2</v>
      </c>
      <c r="K46" s="38">
        <v>10</v>
      </c>
      <c r="L46" s="39">
        <f>K46/K48</f>
        <v>4.975124378109453E-2</v>
      </c>
      <c r="M46" s="38">
        <v>52</v>
      </c>
      <c r="N46" s="39">
        <f>M46/M48</f>
        <v>5.7842046718576193E-2</v>
      </c>
      <c r="O46" s="38">
        <v>17</v>
      </c>
      <c r="P46" s="39">
        <f>O46/O48</f>
        <v>4.0094339622641507E-2</v>
      </c>
      <c r="Q46" s="38">
        <v>53</v>
      </c>
      <c r="R46" s="39">
        <f>Q46/Q48</f>
        <v>5.4136874361593465E-2</v>
      </c>
      <c r="S46" s="61"/>
    </row>
    <row r="47" spans="1:19" x14ac:dyDescent="0.2">
      <c r="A47" s="26" t="s">
        <v>147</v>
      </c>
      <c r="B47" s="38">
        <v>13518</v>
      </c>
      <c r="C47" s="39">
        <f>B47/B48</f>
        <v>0.71740168762935841</v>
      </c>
      <c r="D47" s="38">
        <f t="shared" si="14"/>
        <v>2290</v>
      </c>
      <c r="E47" s="39">
        <f>D47/D48</f>
        <v>0.75627476882430644</v>
      </c>
      <c r="F47" s="52">
        <f t="shared" si="13"/>
        <v>0.16940375795235982</v>
      </c>
      <c r="G47" s="38">
        <v>356</v>
      </c>
      <c r="H47" s="39">
        <f>G47/G48</f>
        <v>0.731006160164271</v>
      </c>
      <c r="I47" s="38">
        <v>20</v>
      </c>
      <c r="J47" s="39">
        <f>I47/I48</f>
        <v>0.52631578947368418</v>
      </c>
      <c r="K47" s="38">
        <v>159</v>
      </c>
      <c r="L47" s="39">
        <f>K47/K48</f>
        <v>0.79104477611940294</v>
      </c>
      <c r="M47" s="38">
        <v>720</v>
      </c>
      <c r="N47" s="39">
        <f>M47/M48</f>
        <v>0.80088987764182429</v>
      </c>
      <c r="O47" s="38">
        <v>349</v>
      </c>
      <c r="P47" s="39">
        <f>O47/O48</f>
        <v>0.82311320754716977</v>
      </c>
      <c r="Q47" s="38">
        <v>686</v>
      </c>
      <c r="R47" s="39">
        <f>Q47/Q48</f>
        <v>0.70071501532175684</v>
      </c>
      <c r="S47" s="61"/>
    </row>
    <row r="48" spans="1:19" s="43" customFormat="1" x14ac:dyDescent="0.2">
      <c r="A48" s="36" t="s">
        <v>1</v>
      </c>
      <c r="B48" s="30">
        <f>SUM(B40:B47)</f>
        <v>18843</v>
      </c>
      <c r="C48" s="53">
        <f>SUM(C40:C47)</f>
        <v>1</v>
      </c>
      <c r="D48" s="30">
        <f>SUM(D40:D47)</f>
        <v>3028</v>
      </c>
      <c r="E48" s="53">
        <f>SUM(E40:E47)</f>
        <v>1</v>
      </c>
      <c r="F48" s="54">
        <f t="shared" ref="F48" si="15">D48/B48</f>
        <v>0.16069627978559678</v>
      </c>
      <c r="G48" s="30">
        <f t="shared" ref="G48:R48" si="16">SUM(G40:G47)</f>
        <v>487</v>
      </c>
      <c r="H48" s="53">
        <f t="shared" si="16"/>
        <v>1</v>
      </c>
      <c r="I48" s="30">
        <f t="shared" si="16"/>
        <v>38</v>
      </c>
      <c r="J48" s="53">
        <f t="shared" si="16"/>
        <v>0.97368421052631571</v>
      </c>
      <c r="K48" s="30">
        <f t="shared" si="16"/>
        <v>201</v>
      </c>
      <c r="L48" s="53">
        <f t="shared" si="16"/>
        <v>1</v>
      </c>
      <c r="M48" s="30">
        <f t="shared" si="16"/>
        <v>899</v>
      </c>
      <c r="N48" s="53">
        <f t="shared" si="16"/>
        <v>1</v>
      </c>
      <c r="O48" s="30">
        <f t="shared" si="16"/>
        <v>424</v>
      </c>
      <c r="P48" s="53">
        <f t="shared" si="16"/>
        <v>1</v>
      </c>
      <c r="Q48" s="30">
        <f t="shared" si="16"/>
        <v>979</v>
      </c>
      <c r="R48" s="53">
        <f t="shared" si="16"/>
        <v>1</v>
      </c>
      <c r="S48" s="62"/>
    </row>
    <row r="49" spans="1:19" x14ac:dyDescent="0.2">
      <c r="F49" s="49"/>
      <c r="H49" s="46"/>
    </row>
    <row r="50" spans="1:19" x14ac:dyDescent="0.2">
      <c r="A50" s="153" t="s">
        <v>93</v>
      </c>
      <c r="B50" s="151" t="s">
        <v>128</v>
      </c>
      <c r="C50" s="151"/>
      <c r="D50" s="151" t="s">
        <v>99</v>
      </c>
      <c r="E50" s="151"/>
      <c r="F50" s="150" t="s">
        <v>176</v>
      </c>
      <c r="G50" s="150"/>
      <c r="H50" s="151" t="s">
        <v>101</v>
      </c>
      <c r="I50" s="151"/>
      <c r="J50" s="151" t="s">
        <v>100</v>
      </c>
      <c r="K50" s="151"/>
      <c r="L50" s="151" t="s">
        <v>126</v>
      </c>
      <c r="M50" s="151"/>
      <c r="N50" s="148" t="s">
        <v>1</v>
      </c>
      <c r="O50" s="148"/>
      <c r="Q50" s="1"/>
    </row>
    <row r="51" spans="1:19" x14ac:dyDescent="0.2">
      <c r="A51" s="153"/>
      <c r="B51" s="38">
        <v>31</v>
      </c>
      <c r="C51" s="113">
        <f>B51/G48</f>
        <v>6.3655030800821355E-2</v>
      </c>
      <c r="D51" s="38">
        <v>6</v>
      </c>
      <c r="E51" s="113">
        <f>D51/I48</f>
        <v>0.15789473684210525</v>
      </c>
      <c r="F51" s="38">
        <v>10</v>
      </c>
      <c r="G51" s="113">
        <f>F51/K48</f>
        <v>4.975124378109453E-2</v>
      </c>
      <c r="H51" s="38">
        <v>62</v>
      </c>
      <c r="I51" s="113">
        <f>H51/M48</f>
        <v>6.8965517241379309E-2</v>
      </c>
      <c r="J51" s="38">
        <v>35</v>
      </c>
      <c r="K51" s="113">
        <f>J51/O48</f>
        <v>8.254716981132075E-2</v>
      </c>
      <c r="L51" s="38">
        <v>63</v>
      </c>
      <c r="M51" s="113">
        <f>L51/Q48</f>
        <v>6.4351378958120528E-2</v>
      </c>
      <c r="N51" s="29">
        <f>L51+J51+H51+F51+D51+B51</f>
        <v>207</v>
      </c>
      <c r="O51" s="113">
        <f>N51/D48</f>
        <v>6.8361955085865261E-2</v>
      </c>
      <c r="Q51" s="1"/>
    </row>
    <row r="52" spans="1:19" x14ac:dyDescent="0.2">
      <c r="A52" s="20" t="s">
        <v>0</v>
      </c>
      <c r="B52" s="3"/>
      <c r="C52" s="3"/>
      <c r="D52" s="3"/>
      <c r="E52" s="3"/>
    </row>
    <row r="53" spans="1:19" s="43" customFormat="1" ht="24" x14ac:dyDescent="0.2">
      <c r="A53" s="36" t="s">
        <v>20</v>
      </c>
      <c r="B53" s="151" t="s">
        <v>128</v>
      </c>
      <c r="C53" s="151"/>
      <c r="D53" s="151" t="s">
        <v>99</v>
      </c>
      <c r="E53" s="151"/>
      <c r="F53" s="150" t="s">
        <v>176</v>
      </c>
      <c r="G53" s="150"/>
      <c r="H53" s="151" t="s">
        <v>101</v>
      </c>
      <c r="I53" s="151"/>
      <c r="J53" s="151" t="s">
        <v>100</v>
      </c>
      <c r="K53" s="151"/>
      <c r="L53" s="151" t="s">
        <v>126</v>
      </c>
      <c r="M53" s="151"/>
      <c r="N53" s="148" t="s">
        <v>1</v>
      </c>
      <c r="O53" s="148"/>
      <c r="P53" s="46"/>
      <c r="Q53" s="51"/>
      <c r="R53" s="51"/>
      <c r="S53" s="51"/>
    </row>
    <row r="54" spans="1:19" ht="24" x14ac:dyDescent="0.2">
      <c r="A54" s="26" t="s">
        <v>148</v>
      </c>
      <c r="B54" s="29">
        <v>56</v>
      </c>
      <c r="C54" s="39">
        <f>B54/B63</f>
        <v>0.11965811965811966</v>
      </c>
      <c r="D54" s="38">
        <v>1</v>
      </c>
      <c r="E54" s="39">
        <f>D54/D63</f>
        <v>2.7777777777777776E-2</v>
      </c>
      <c r="F54" s="38">
        <v>12</v>
      </c>
      <c r="G54" s="39">
        <f>F54/F63</f>
        <v>6.3492063492063489E-2</v>
      </c>
      <c r="H54" s="38">
        <v>42</v>
      </c>
      <c r="I54" s="39">
        <f>H54/H63</f>
        <v>4.7673098751418841E-2</v>
      </c>
      <c r="J54" s="38">
        <v>32</v>
      </c>
      <c r="K54" s="39">
        <f>J54/J63</f>
        <v>7.7481840193704604E-2</v>
      </c>
      <c r="L54" s="38">
        <v>41</v>
      </c>
      <c r="M54" s="39">
        <f>L54/L63</f>
        <v>4.2842215256008356E-2</v>
      </c>
      <c r="N54" s="29">
        <f>B54+D54+F54+H54+J54+L54</f>
        <v>184</v>
      </c>
      <c r="O54" s="39">
        <f>N54/N63</f>
        <v>6.25E-2</v>
      </c>
    </row>
    <row r="55" spans="1:19" ht="24" x14ac:dyDescent="0.2">
      <c r="A55" s="26" t="s">
        <v>149</v>
      </c>
      <c r="B55" s="29">
        <v>44</v>
      </c>
      <c r="C55" s="39">
        <f>B55/B63</f>
        <v>9.4017094017094016E-2</v>
      </c>
      <c r="D55" s="38">
        <v>4</v>
      </c>
      <c r="E55" s="39">
        <f>D55/D63</f>
        <v>0.1111111111111111</v>
      </c>
      <c r="F55" s="38">
        <v>18</v>
      </c>
      <c r="G55" s="39">
        <f>F55/F63</f>
        <v>9.5238095238095233E-2</v>
      </c>
      <c r="H55" s="38">
        <v>115</v>
      </c>
      <c r="I55" s="39">
        <f>H55/H63</f>
        <v>0.13053348467650397</v>
      </c>
      <c r="J55" s="38">
        <v>42</v>
      </c>
      <c r="K55" s="39">
        <f>J55/J63</f>
        <v>0.10169491525423729</v>
      </c>
      <c r="L55" s="38">
        <v>84</v>
      </c>
      <c r="M55" s="39">
        <f>L55/L63</f>
        <v>8.7774294670846395E-2</v>
      </c>
      <c r="N55" s="29">
        <f>B55+D55+F55+H55+J55+L55</f>
        <v>307</v>
      </c>
      <c r="O55" s="39">
        <f>N55/N63</f>
        <v>0.10427989130434782</v>
      </c>
    </row>
    <row r="56" spans="1:19" ht="24" x14ac:dyDescent="0.2">
      <c r="A56" s="26" t="s">
        <v>150</v>
      </c>
      <c r="B56" s="29">
        <v>208</v>
      </c>
      <c r="C56" s="39">
        <f>B57/B63</f>
        <v>2.9914529914529916E-2</v>
      </c>
      <c r="D56" s="38">
        <v>24</v>
      </c>
      <c r="E56" s="39">
        <f>D57/D63</f>
        <v>0</v>
      </c>
      <c r="F56" s="38">
        <v>97</v>
      </c>
      <c r="G56" s="39">
        <f>F57/F63</f>
        <v>2.6455026455026454E-2</v>
      </c>
      <c r="H56" s="38">
        <v>443</v>
      </c>
      <c r="I56" s="39">
        <f>H57/H63</f>
        <v>1.4755959137343927E-2</v>
      </c>
      <c r="J56" s="38">
        <v>220</v>
      </c>
      <c r="K56" s="39">
        <f>J57/J63</f>
        <v>4.3583535108958835E-2</v>
      </c>
      <c r="L56" s="38">
        <v>508</v>
      </c>
      <c r="M56" s="39">
        <f>L57/L63</f>
        <v>2.2988505747126436E-2</v>
      </c>
      <c r="N56" s="29">
        <f t="shared" ref="N56:N61" si="17">B56+D56+F56+H56+J56+L56</f>
        <v>1500</v>
      </c>
      <c r="O56" s="39">
        <f>N57/N63</f>
        <v>2.4456521739130436E-2</v>
      </c>
    </row>
    <row r="57" spans="1:19" x14ac:dyDescent="0.2">
      <c r="A57" s="26" t="s">
        <v>151</v>
      </c>
      <c r="B57" s="29">
        <v>14</v>
      </c>
      <c r="C57" s="39">
        <f>B58/B63</f>
        <v>2.9914529914529916E-2</v>
      </c>
      <c r="D57" s="29"/>
      <c r="E57" s="39">
        <f>D58/D63</f>
        <v>0</v>
      </c>
      <c r="F57" s="38">
        <v>5</v>
      </c>
      <c r="G57" s="39">
        <f>F58/F63</f>
        <v>2.6455026455026454E-2</v>
      </c>
      <c r="H57" s="38">
        <v>13</v>
      </c>
      <c r="I57" s="39">
        <f>H58/H63</f>
        <v>2.8376844494892167E-2</v>
      </c>
      <c r="J57" s="38">
        <v>18</v>
      </c>
      <c r="K57" s="39">
        <f>J58/J63</f>
        <v>3.3898305084745763E-2</v>
      </c>
      <c r="L57" s="38">
        <v>22</v>
      </c>
      <c r="M57" s="39">
        <f>L58/L63</f>
        <v>2.4033437826541274E-2</v>
      </c>
      <c r="N57" s="29">
        <f t="shared" si="17"/>
        <v>72</v>
      </c>
      <c r="O57" s="39">
        <f>N58/N63</f>
        <v>2.751358695652174E-2</v>
      </c>
    </row>
    <row r="58" spans="1:19" x14ac:dyDescent="0.2">
      <c r="A58" s="26" t="s">
        <v>21</v>
      </c>
      <c r="B58" s="29">
        <v>14</v>
      </c>
      <c r="C58" s="39">
        <f>B58/B63</f>
        <v>2.9914529914529916E-2</v>
      </c>
      <c r="D58" s="29"/>
      <c r="E58" s="39">
        <f>D58/D63</f>
        <v>0</v>
      </c>
      <c r="F58" s="38">
        <v>5</v>
      </c>
      <c r="G58" s="39">
        <f>F58/F63</f>
        <v>2.6455026455026454E-2</v>
      </c>
      <c r="H58" s="38">
        <v>25</v>
      </c>
      <c r="I58" s="39">
        <f>H58/H63</f>
        <v>2.8376844494892167E-2</v>
      </c>
      <c r="J58" s="38">
        <v>14</v>
      </c>
      <c r="K58" s="39">
        <f>J58/J63</f>
        <v>3.3898305084745763E-2</v>
      </c>
      <c r="L58" s="38">
        <v>23</v>
      </c>
      <c r="M58" s="39">
        <f>L58/L63</f>
        <v>2.4033437826541274E-2</v>
      </c>
      <c r="N58" s="29">
        <f t="shared" si="17"/>
        <v>81</v>
      </c>
      <c r="O58" s="39">
        <f>N58/N63</f>
        <v>2.751358695652174E-2</v>
      </c>
    </row>
    <row r="59" spans="1:19" x14ac:dyDescent="0.2">
      <c r="A59" s="26" t="s">
        <v>152</v>
      </c>
      <c r="B59" s="29">
        <v>9</v>
      </c>
      <c r="C59" s="39">
        <f>B59/B63</f>
        <v>1.9230769230769232E-2</v>
      </c>
      <c r="D59" s="38">
        <v>1</v>
      </c>
      <c r="E59" s="39">
        <f>D59/D63</f>
        <v>2.7777777777777776E-2</v>
      </c>
      <c r="F59" s="38">
        <v>1</v>
      </c>
      <c r="G59" s="39">
        <f>F59/F63</f>
        <v>5.2910052910052907E-3</v>
      </c>
      <c r="H59" s="38">
        <v>20</v>
      </c>
      <c r="I59" s="39">
        <f>H59/H63</f>
        <v>2.2701475595913734E-2</v>
      </c>
      <c r="J59" s="38">
        <v>11</v>
      </c>
      <c r="K59" s="39">
        <f>J59/J63</f>
        <v>2.6634382566585957E-2</v>
      </c>
      <c r="L59" s="38">
        <v>20</v>
      </c>
      <c r="M59" s="39">
        <f>L59/L63</f>
        <v>2.0898641588296761E-2</v>
      </c>
      <c r="N59" s="29">
        <f t="shared" si="17"/>
        <v>62</v>
      </c>
      <c r="O59" s="39">
        <f>N59/N63</f>
        <v>2.1059782608695652E-2</v>
      </c>
    </row>
    <row r="60" spans="1:19" x14ac:dyDescent="0.2">
      <c r="A60" s="26" t="s">
        <v>154</v>
      </c>
      <c r="B60" s="29"/>
      <c r="C60" s="39">
        <f>B60/B63</f>
        <v>0</v>
      </c>
      <c r="D60" s="38"/>
      <c r="E60" s="39">
        <f>D60/D63</f>
        <v>0</v>
      </c>
      <c r="F60" s="38"/>
      <c r="G60" s="39">
        <f>F60/F63</f>
        <v>0</v>
      </c>
      <c r="H60" s="38">
        <v>1</v>
      </c>
      <c r="I60" s="39">
        <f>H60/H63</f>
        <v>1.1350737797956867E-3</v>
      </c>
      <c r="J60" s="38">
        <v>1</v>
      </c>
      <c r="K60" s="39">
        <f>J60/J63</f>
        <v>2.4213075060532689E-3</v>
      </c>
      <c r="L60" s="38">
        <v>3</v>
      </c>
      <c r="M60" s="39">
        <f>L60/L63</f>
        <v>3.134796238244514E-3</v>
      </c>
      <c r="N60" s="29">
        <f t="shared" si="17"/>
        <v>5</v>
      </c>
      <c r="O60" s="39">
        <f>N60/N63</f>
        <v>1.6983695652173913E-3</v>
      </c>
    </row>
    <row r="61" spans="1:19" x14ac:dyDescent="0.2">
      <c r="A61" s="26" t="s">
        <v>213</v>
      </c>
      <c r="B61" s="29">
        <v>122</v>
      </c>
      <c r="C61" s="39">
        <f>B61/B63</f>
        <v>0.2606837606837607</v>
      </c>
      <c r="D61" s="38">
        <v>6</v>
      </c>
      <c r="E61" s="39">
        <f>D61/D63</f>
        <v>0.16666666666666666</v>
      </c>
      <c r="F61" s="38">
        <v>50</v>
      </c>
      <c r="G61" s="39">
        <f>F61/F63</f>
        <v>0.26455026455026454</v>
      </c>
      <c r="H61" s="38">
        <v>219</v>
      </c>
      <c r="I61" s="39">
        <f>H61/H63</f>
        <v>0.24858115777525538</v>
      </c>
      <c r="J61" s="38">
        <v>75</v>
      </c>
      <c r="K61" s="39">
        <f>J61/J63</f>
        <v>0.18159806295399517</v>
      </c>
      <c r="L61" s="38">
        <v>252</v>
      </c>
      <c r="M61" s="39">
        <f>L61/L63</f>
        <v>0.26332288401253917</v>
      </c>
      <c r="N61" s="29">
        <f t="shared" si="17"/>
        <v>724</v>
      </c>
      <c r="O61" s="39">
        <f>N61/N63</f>
        <v>0.24592391304347827</v>
      </c>
    </row>
    <row r="62" spans="1:19" ht="24" x14ac:dyDescent="0.2">
      <c r="A62" s="26" t="s">
        <v>153</v>
      </c>
      <c r="B62" s="29">
        <v>1</v>
      </c>
      <c r="C62" s="39">
        <f>B62/B63</f>
        <v>2.136752136752137E-3</v>
      </c>
      <c r="D62" s="29"/>
      <c r="E62" s="39">
        <f>D62/D63</f>
        <v>0</v>
      </c>
      <c r="F62" s="38">
        <v>1</v>
      </c>
      <c r="G62" s="39">
        <f>F62/F63</f>
        <v>5.2910052910052907E-3</v>
      </c>
      <c r="H62" s="38">
        <v>3</v>
      </c>
      <c r="I62" s="39">
        <f>H62/H63</f>
        <v>3.4052213393870601E-3</v>
      </c>
      <c r="J62" s="29"/>
      <c r="K62" s="39">
        <f>J62/J63</f>
        <v>0</v>
      </c>
      <c r="L62" s="38">
        <v>4</v>
      </c>
      <c r="M62" s="39">
        <f>L62/L63</f>
        <v>4.1797283176593526E-3</v>
      </c>
      <c r="N62" s="29">
        <f>B62+D62+F62+H62+J62+L62</f>
        <v>9</v>
      </c>
      <c r="O62" s="39">
        <f>N62/N63</f>
        <v>3.0570652173913045E-3</v>
      </c>
    </row>
    <row r="63" spans="1:19" s="43" customFormat="1" x14ac:dyDescent="0.2">
      <c r="A63" s="36" t="s">
        <v>1</v>
      </c>
      <c r="B63" s="25">
        <f t="shared" ref="B63:L63" si="18">SUM(B54:B62)</f>
        <v>468</v>
      </c>
      <c r="C63" s="41" t="s">
        <v>0</v>
      </c>
      <c r="D63" s="25">
        <f t="shared" si="18"/>
        <v>36</v>
      </c>
      <c r="E63" s="41" t="s">
        <v>0</v>
      </c>
      <c r="F63" s="25">
        <f t="shared" si="18"/>
        <v>189</v>
      </c>
      <c r="G63" s="41" t="s">
        <v>0</v>
      </c>
      <c r="H63" s="25">
        <f t="shared" si="18"/>
        <v>881</v>
      </c>
      <c r="I63" s="41" t="s">
        <v>0</v>
      </c>
      <c r="J63" s="25">
        <f t="shared" si="18"/>
        <v>413</v>
      </c>
      <c r="K63" s="41" t="s">
        <v>0</v>
      </c>
      <c r="L63" s="25">
        <f t="shared" si="18"/>
        <v>957</v>
      </c>
      <c r="M63" s="41" t="s">
        <v>0</v>
      </c>
      <c r="N63" s="30">
        <f>B63+D63+F63+H63+J63+L63</f>
        <v>2944</v>
      </c>
      <c r="O63" s="41" t="s">
        <v>0</v>
      </c>
      <c r="P63" s="46"/>
      <c r="Q63" s="51"/>
      <c r="R63" s="51"/>
      <c r="S63" s="51"/>
    </row>
    <row r="64" spans="1:19" s="43" customFormat="1" x14ac:dyDescent="0.2">
      <c r="A64" s="20"/>
      <c r="B64" s="5"/>
      <c r="C64" s="63"/>
      <c r="D64" s="5"/>
      <c r="E64" s="63"/>
      <c r="F64" s="5"/>
      <c r="G64" s="63"/>
      <c r="H64" s="5"/>
      <c r="I64" s="63"/>
      <c r="J64" s="5"/>
      <c r="K64" s="63"/>
      <c r="L64" s="5"/>
      <c r="M64" s="63"/>
      <c r="N64" s="62"/>
      <c r="O64" s="63"/>
      <c r="P64" s="46"/>
      <c r="Q64" s="51"/>
      <c r="R64" s="51"/>
      <c r="S64" s="51"/>
    </row>
    <row r="65" spans="1:19" s="43" customFormat="1" x14ac:dyDescent="0.2">
      <c r="A65" s="108" t="s">
        <v>155</v>
      </c>
      <c r="B65" s="151" t="s">
        <v>128</v>
      </c>
      <c r="C65" s="151"/>
      <c r="D65" s="151" t="s">
        <v>99</v>
      </c>
      <c r="E65" s="151"/>
      <c r="F65" s="150" t="s">
        <v>176</v>
      </c>
      <c r="G65" s="150"/>
      <c r="H65" s="151" t="s">
        <v>101</v>
      </c>
      <c r="I65" s="151"/>
      <c r="J65" s="151" t="s">
        <v>100</v>
      </c>
      <c r="K65" s="151"/>
      <c r="L65" s="151" t="s">
        <v>126</v>
      </c>
      <c r="M65" s="151"/>
      <c r="N65" s="148" t="s">
        <v>1</v>
      </c>
      <c r="O65" s="148"/>
      <c r="P65" s="46"/>
      <c r="Q65" s="51"/>
      <c r="R65" s="51"/>
      <c r="S65" s="51"/>
    </row>
    <row r="66" spans="1:19" s="43" customFormat="1" ht="36" x14ac:dyDescent="0.2">
      <c r="A66" s="118" t="s">
        <v>156</v>
      </c>
      <c r="B66" s="29">
        <v>204</v>
      </c>
      <c r="C66" s="39">
        <f>B66/B72</f>
        <v>0.42148760330578511</v>
      </c>
      <c r="D66" s="38">
        <v>14</v>
      </c>
      <c r="E66" s="39">
        <f>D66/D72</f>
        <v>0.36842105263157893</v>
      </c>
      <c r="F66" s="38">
        <v>78</v>
      </c>
      <c r="G66" s="39">
        <f>F66/F72</f>
        <v>0.39</v>
      </c>
      <c r="H66" s="38">
        <v>427</v>
      </c>
      <c r="I66" s="39">
        <f>H66/H72</f>
        <v>0.4770949720670391</v>
      </c>
      <c r="J66" s="38">
        <v>184</v>
      </c>
      <c r="K66" s="39">
        <f>J66/J72</f>
        <v>0.43601895734597157</v>
      </c>
      <c r="L66" s="38">
        <v>443</v>
      </c>
      <c r="M66" s="39">
        <f>L66/L72</f>
        <v>0.45529290853031862</v>
      </c>
      <c r="N66" s="29">
        <f t="shared" ref="N66:N71" si="19">B66+D66+F66+H66+J66+L66</f>
        <v>1350</v>
      </c>
      <c r="O66" s="39">
        <f>N66/N72</f>
        <v>0.44820717131474103</v>
      </c>
      <c r="P66" s="46"/>
      <c r="Q66" s="51"/>
      <c r="R66" s="51"/>
      <c r="S66" s="51"/>
    </row>
    <row r="67" spans="1:19" s="43" customFormat="1" ht="36" x14ac:dyDescent="0.2">
      <c r="A67" s="118" t="s">
        <v>157</v>
      </c>
      <c r="B67" s="29">
        <v>97</v>
      </c>
      <c r="C67" s="39">
        <f>B67/B72</f>
        <v>0.20041322314049587</v>
      </c>
      <c r="D67" s="38">
        <v>7</v>
      </c>
      <c r="E67" s="39">
        <f>D67/D72</f>
        <v>0.18421052631578946</v>
      </c>
      <c r="F67" s="38">
        <v>64</v>
      </c>
      <c r="G67" s="39">
        <f>F67/F72</f>
        <v>0.32</v>
      </c>
      <c r="H67" s="38">
        <v>156</v>
      </c>
      <c r="I67" s="39">
        <f>H67/H72</f>
        <v>0.17430167597765364</v>
      </c>
      <c r="J67" s="38">
        <v>123</v>
      </c>
      <c r="K67" s="39">
        <f>J67/J72</f>
        <v>0.29146919431279622</v>
      </c>
      <c r="L67" s="38">
        <v>196</v>
      </c>
      <c r="M67" s="39">
        <f>L67/L72</f>
        <v>0.20143884892086331</v>
      </c>
      <c r="N67" s="29">
        <f t="shared" si="19"/>
        <v>643</v>
      </c>
      <c r="O67" s="39">
        <f>N67/N72</f>
        <v>0.21347941567065074</v>
      </c>
      <c r="P67" s="46"/>
      <c r="Q67" s="51"/>
      <c r="R67" s="51"/>
      <c r="S67" s="51"/>
    </row>
    <row r="68" spans="1:19" s="43" customFormat="1" ht="24" x14ac:dyDescent="0.2">
      <c r="A68" s="118" t="s">
        <v>158</v>
      </c>
      <c r="B68" s="29">
        <v>1</v>
      </c>
      <c r="C68" s="39">
        <f>B68/B72</f>
        <v>2.0661157024793389E-3</v>
      </c>
      <c r="D68" s="29"/>
      <c r="E68" s="39">
        <f>D68/D72</f>
        <v>0</v>
      </c>
      <c r="F68" s="38">
        <v>1</v>
      </c>
      <c r="G68" s="39">
        <f>F68/F72</f>
        <v>5.0000000000000001E-3</v>
      </c>
      <c r="H68" s="38">
        <v>4</v>
      </c>
      <c r="I68" s="39">
        <f>H68/H72</f>
        <v>4.4692737430167594E-3</v>
      </c>
      <c r="J68" s="38">
        <v>1</v>
      </c>
      <c r="K68" s="39">
        <f>J68/J72</f>
        <v>2.3696682464454978E-3</v>
      </c>
      <c r="L68" s="38">
        <v>1</v>
      </c>
      <c r="M68" s="39">
        <f>L68/L72</f>
        <v>1.0277492291880781E-3</v>
      </c>
      <c r="N68" s="29">
        <f t="shared" si="19"/>
        <v>8</v>
      </c>
      <c r="O68" s="39">
        <f>N68/N72</f>
        <v>2.6560424966799467E-3</v>
      </c>
      <c r="P68" s="46"/>
      <c r="Q68" s="51"/>
      <c r="R68" s="51" t="s">
        <v>0</v>
      </c>
      <c r="S68" s="51"/>
    </row>
    <row r="69" spans="1:19" s="43" customFormat="1" ht="24" x14ac:dyDescent="0.2">
      <c r="A69" s="118" t="s">
        <v>159</v>
      </c>
      <c r="B69" s="29">
        <v>2</v>
      </c>
      <c r="C69" s="39">
        <f>B69/B72</f>
        <v>4.1322314049586778E-3</v>
      </c>
      <c r="D69" s="29"/>
      <c r="E69" s="39">
        <f>D69/D72</f>
        <v>0</v>
      </c>
      <c r="F69" s="29"/>
      <c r="G69" s="39">
        <f>F69/F72</f>
        <v>0</v>
      </c>
      <c r="H69" s="38">
        <v>8</v>
      </c>
      <c r="I69" s="39">
        <f>H69/H72</f>
        <v>8.9385474860335188E-3</v>
      </c>
      <c r="J69" s="29"/>
      <c r="K69" s="39">
        <f>J69/J72</f>
        <v>0</v>
      </c>
      <c r="L69" s="38">
        <v>6</v>
      </c>
      <c r="M69" s="39">
        <f>L69/L72</f>
        <v>6.1664953751284684E-3</v>
      </c>
      <c r="N69" s="29">
        <f t="shared" si="19"/>
        <v>16</v>
      </c>
      <c r="O69" s="39">
        <f>N69/N72</f>
        <v>5.3120849933598934E-3</v>
      </c>
      <c r="P69" s="46"/>
      <c r="Q69" s="51"/>
      <c r="R69" s="51"/>
      <c r="S69" s="51"/>
    </row>
    <row r="70" spans="1:19" s="43" customFormat="1" ht="24" x14ac:dyDescent="0.2">
      <c r="A70" s="118" t="s">
        <v>160</v>
      </c>
      <c r="B70" s="29">
        <v>88</v>
      </c>
      <c r="C70" s="39">
        <f>B70/B72</f>
        <v>0.18181818181818182</v>
      </c>
      <c r="D70" s="38">
        <v>7</v>
      </c>
      <c r="E70" s="39">
        <f>D70/D72</f>
        <v>0.18421052631578946</v>
      </c>
      <c r="F70" s="38">
        <v>26</v>
      </c>
      <c r="G70" s="39">
        <f>F70/F72</f>
        <v>0.13</v>
      </c>
      <c r="H70" s="38">
        <v>135</v>
      </c>
      <c r="I70" s="39">
        <f>H70/H72</f>
        <v>0.15083798882681565</v>
      </c>
      <c r="J70" s="38">
        <v>59</v>
      </c>
      <c r="K70" s="39">
        <f>J70/J72</f>
        <v>0.13981042654028436</v>
      </c>
      <c r="L70" s="38">
        <v>151</v>
      </c>
      <c r="M70" s="39">
        <f>L70/L72</f>
        <v>0.15519013360739981</v>
      </c>
      <c r="N70" s="29">
        <f t="shared" si="19"/>
        <v>466</v>
      </c>
      <c r="O70" s="39">
        <f>N70/N72</f>
        <v>0.15471447543160691</v>
      </c>
      <c r="P70" s="46"/>
      <c r="Q70" s="51"/>
      <c r="R70" s="51"/>
      <c r="S70" s="51"/>
    </row>
    <row r="71" spans="1:19" s="43" customFormat="1" ht="24" x14ac:dyDescent="0.2">
      <c r="A71" s="118" t="s">
        <v>161</v>
      </c>
      <c r="B71" s="29">
        <v>92</v>
      </c>
      <c r="C71" s="39">
        <f>B71/B72</f>
        <v>0.19008264462809918</v>
      </c>
      <c r="D71" s="38">
        <v>10</v>
      </c>
      <c r="E71" s="39">
        <f>D71/D72</f>
        <v>0.26315789473684209</v>
      </c>
      <c r="F71" s="38">
        <v>31</v>
      </c>
      <c r="G71" s="39">
        <f>F71/F72</f>
        <v>0.155</v>
      </c>
      <c r="H71" s="38">
        <v>165</v>
      </c>
      <c r="I71" s="39">
        <f>H71/H72</f>
        <v>0.18435754189944134</v>
      </c>
      <c r="J71" s="38">
        <v>55</v>
      </c>
      <c r="K71" s="39">
        <f>J71/J72</f>
        <v>0.13033175355450238</v>
      </c>
      <c r="L71" s="38">
        <v>176</v>
      </c>
      <c r="M71" s="39">
        <f>L71/L72</f>
        <v>0.18088386433710174</v>
      </c>
      <c r="N71" s="29">
        <f t="shared" si="19"/>
        <v>529</v>
      </c>
      <c r="O71" s="39">
        <f>N71/N72</f>
        <v>0.1756308100929615</v>
      </c>
      <c r="P71" s="46"/>
      <c r="Q71" s="51"/>
      <c r="R71" s="51"/>
      <c r="S71" s="51"/>
    </row>
    <row r="72" spans="1:19" x14ac:dyDescent="0.2">
      <c r="A72" s="64" t="s">
        <v>1</v>
      </c>
      <c r="B72" s="58">
        <f t="shared" ref="B72:O72" si="20">SUM(B66:B71)</f>
        <v>484</v>
      </c>
      <c r="C72" s="41">
        <f t="shared" si="20"/>
        <v>1</v>
      </c>
      <c r="D72" s="58">
        <f t="shared" si="20"/>
        <v>38</v>
      </c>
      <c r="E72" s="41">
        <f t="shared" si="20"/>
        <v>1</v>
      </c>
      <c r="F72" s="58">
        <f t="shared" si="20"/>
        <v>200</v>
      </c>
      <c r="G72" s="41">
        <f t="shared" si="20"/>
        <v>1</v>
      </c>
      <c r="H72" s="58">
        <f t="shared" si="20"/>
        <v>895</v>
      </c>
      <c r="I72" s="41">
        <f t="shared" si="20"/>
        <v>1</v>
      </c>
      <c r="J72" s="58">
        <f t="shared" si="20"/>
        <v>422</v>
      </c>
      <c r="K72" s="41">
        <f t="shared" si="20"/>
        <v>1</v>
      </c>
      <c r="L72" s="58">
        <f t="shared" si="20"/>
        <v>973</v>
      </c>
      <c r="M72" s="41">
        <f t="shared" si="20"/>
        <v>1</v>
      </c>
      <c r="N72" s="30">
        <f t="shared" si="20"/>
        <v>3012</v>
      </c>
      <c r="O72" s="41">
        <f t="shared" si="20"/>
        <v>1</v>
      </c>
    </row>
    <row r="73" spans="1:19" s="69" customFormat="1" x14ac:dyDescent="0.2"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46"/>
      <c r="Q73" s="70"/>
      <c r="R73" s="70"/>
      <c r="S73" s="70"/>
    </row>
    <row r="74" spans="1:19" s="69" customFormat="1" ht="24" x14ac:dyDescent="0.2">
      <c r="A74" s="108" t="s">
        <v>162</v>
      </c>
      <c r="B74" s="151" t="s">
        <v>128</v>
      </c>
      <c r="C74" s="151"/>
      <c r="D74" s="151" t="s">
        <v>99</v>
      </c>
      <c r="E74" s="151"/>
      <c r="F74" s="150" t="s">
        <v>176</v>
      </c>
      <c r="G74" s="150"/>
      <c r="H74" s="151" t="s">
        <v>101</v>
      </c>
      <c r="I74" s="151"/>
      <c r="J74" s="151" t="s">
        <v>100</v>
      </c>
      <c r="K74" s="151"/>
      <c r="L74" s="151" t="s">
        <v>126</v>
      </c>
      <c r="M74" s="151"/>
      <c r="N74" s="148" t="s">
        <v>1</v>
      </c>
      <c r="O74" s="148"/>
      <c r="P74" s="46"/>
      <c r="Q74" s="70"/>
      <c r="R74" s="70"/>
      <c r="S74" s="70"/>
    </row>
    <row r="75" spans="1:19" s="69" customFormat="1" x14ac:dyDescent="0.2">
      <c r="A75" s="68" t="s">
        <v>163</v>
      </c>
      <c r="B75" s="38">
        <v>102</v>
      </c>
      <c r="C75" s="39">
        <f>B75/B78</f>
        <v>0.31677018633540371</v>
      </c>
      <c r="D75" s="38">
        <v>7</v>
      </c>
      <c r="E75" s="39">
        <f>D75/D78</f>
        <v>0.30434782608695654</v>
      </c>
      <c r="F75" s="38">
        <v>31</v>
      </c>
      <c r="G75" s="39">
        <f>F75/F78</f>
        <v>0.21088435374149661</v>
      </c>
      <c r="H75" s="38">
        <v>250</v>
      </c>
      <c r="I75" s="39">
        <f>H75/H78</f>
        <v>0.4098360655737705</v>
      </c>
      <c r="J75" s="38">
        <v>63</v>
      </c>
      <c r="K75" s="39">
        <f>J75/J78</f>
        <v>0.19811320754716982</v>
      </c>
      <c r="L75" s="38">
        <v>200</v>
      </c>
      <c r="M75" s="39">
        <f>L75/L78</f>
        <v>0.303951367781155</v>
      </c>
      <c r="N75" s="29">
        <f>B75+D75+F75+H75+J75+L75</f>
        <v>653</v>
      </c>
      <c r="O75" s="39">
        <f>N75/N78</f>
        <v>0.31424446583253129</v>
      </c>
      <c r="P75" s="46"/>
      <c r="Q75" s="70"/>
      <c r="R75" s="70"/>
      <c r="S75" s="70"/>
    </row>
    <row r="76" spans="1:19" s="69" customFormat="1" x14ac:dyDescent="0.2">
      <c r="A76" s="68" t="s">
        <v>164</v>
      </c>
      <c r="B76" s="38">
        <v>127</v>
      </c>
      <c r="C76" s="39">
        <f>B76/B78</f>
        <v>0.39440993788819878</v>
      </c>
      <c r="D76" s="38">
        <v>10</v>
      </c>
      <c r="E76" s="39">
        <f>D76/D78</f>
        <v>0.43478260869565216</v>
      </c>
      <c r="F76" s="38">
        <v>39</v>
      </c>
      <c r="G76" s="39">
        <f>F76/F78</f>
        <v>0.26530612244897961</v>
      </c>
      <c r="H76" s="38">
        <v>236</v>
      </c>
      <c r="I76" s="39">
        <f>H76/H78</f>
        <v>0.38688524590163936</v>
      </c>
      <c r="J76" s="38">
        <v>86</v>
      </c>
      <c r="K76" s="39">
        <f>J76/J78</f>
        <v>0.27044025157232704</v>
      </c>
      <c r="L76" s="38">
        <v>233</v>
      </c>
      <c r="M76" s="39">
        <f>L76/L78</f>
        <v>0.35410334346504557</v>
      </c>
      <c r="N76" s="29">
        <f>B76+D76+F76+H76+J76+L76</f>
        <v>731</v>
      </c>
      <c r="O76" s="39">
        <f>N76/N78</f>
        <v>0.3517805582290664</v>
      </c>
      <c r="P76" s="46"/>
      <c r="Q76" s="70"/>
      <c r="R76" s="70"/>
      <c r="S76" s="70"/>
    </row>
    <row r="77" spans="1:19" s="69" customFormat="1" x14ac:dyDescent="0.2">
      <c r="A77" s="68" t="s">
        <v>165</v>
      </c>
      <c r="B77" s="38">
        <v>93</v>
      </c>
      <c r="C77" s="39">
        <f>B77/B78</f>
        <v>0.28881987577639751</v>
      </c>
      <c r="D77" s="38">
        <v>6</v>
      </c>
      <c r="E77" s="39">
        <f>D77/D78</f>
        <v>0.2608695652173913</v>
      </c>
      <c r="F77" s="38">
        <v>77</v>
      </c>
      <c r="G77" s="39">
        <f>F77/F78</f>
        <v>0.52380952380952384</v>
      </c>
      <c r="H77" s="38">
        <v>124</v>
      </c>
      <c r="I77" s="39">
        <f>H77/H78</f>
        <v>0.20327868852459016</v>
      </c>
      <c r="J77" s="38">
        <v>169</v>
      </c>
      <c r="K77" s="39">
        <f>J77/J78</f>
        <v>0.53144654088050314</v>
      </c>
      <c r="L77" s="38">
        <v>225</v>
      </c>
      <c r="M77" s="39">
        <f>L77/L78</f>
        <v>0.34194528875379937</v>
      </c>
      <c r="N77" s="29">
        <f>B77+D77+F77+H77+J77+L77</f>
        <v>694</v>
      </c>
      <c r="O77" s="39">
        <f>N77/N78</f>
        <v>0.33397497593840231</v>
      </c>
      <c r="P77" s="46"/>
      <c r="Q77" s="70"/>
      <c r="R77" s="70"/>
      <c r="S77" s="70"/>
    </row>
    <row r="78" spans="1:19" s="69" customFormat="1" x14ac:dyDescent="0.2">
      <c r="A78" s="64" t="s">
        <v>1</v>
      </c>
      <c r="B78" s="107">
        <f t="shared" ref="B78:M78" si="21">SUM(B75:B77)</f>
        <v>322</v>
      </c>
      <c r="C78" s="41">
        <f t="shared" si="21"/>
        <v>1</v>
      </c>
      <c r="D78" s="107">
        <f t="shared" si="21"/>
        <v>23</v>
      </c>
      <c r="E78" s="41">
        <f t="shared" si="21"/>
        <v>1</v>
      </c>
      <c r="F78" s="107">
        <f t="shared" si="21"/>
        <v>147</v>
      </c>
      <c r="G78" s="41">
        <f t="shared" si="21"/>
        <v>1</v>
      </c>
      <c r="H78" s="107">
        <f t="shared" si="21"/>
        <v>610</v>
      </c>
      <c r="I78" s="41">
        <f t="shared" si="21"/>
        <v>1</v>
      </c>
      <c r="J78" s="107">
        <f t="shared" si="21"/>
        <v>318</v>
      </c>
      <c r="K78" s="41">
        <f t="shared" si="21"/>
        <v>1</v>
      </c>
      <c r="L78" s="107">
        <f t="shared" si="21"/>
        <v>658</v>
      </c>
      <c r="M78" s="41">
        <f t="shared" si="21"/>
        <v>0.99999999999999989</v>
      </c>
      <c r="N78" s="30">
        <f>SUM(N74:N77)</f>
        <v>2078</v>
      </c>
      <c r="O78" s="41">
        <f>SUM(O74:O77)</f>
        <v>1</v>
      </c>
      <c r="P78" s="46"/>
      <c r="Q78" s="70"/>
      <c r="R78" s="70" t="s">
        <v>0</v>
      </c>
      <c r="S78" s="70"/>
    </row>
    <row r="79" spans="1:19" s="69" customFormat="1" x14ac:dyDescent="0.2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46"/>
      <c r="Q79" s="70"/>
      <c r="R79" s="70"/>
      <c r="S79" s="70"/>
    </row>
    <row r="80" spans="1:19" s="69" customFormat="1" ht="24" x14ac:dyDescent="0.2">
      <c r="A80" s="36" t="s">
        <v>120</v>
      </c>
      <c r="B80" s="151" t="s">
        <v>128</v>
      </c>
      <c r="C80" s="151"/>
      <c r="D80" s="151" t="s">
        <v>99</v>
      </c>
      <c r="E80" s="151"/>
      <c r="F80" s="150" t="s">
        <v>176</v>
      </c>
      <c r="G80" s="150"/>
      <c r="H80" s="151" t="s">
        <v>101</v>
      </c>
      <c r="I80" s="151"/>
      <c r="J80" s="151" t="s">
        <v>100</v>
      </c>
      <c r="K80" s="151"/>
      <c r="L80" s="151" t="s">
        <v>126</v>
      </c>
      <c r="M80" s="151"/>
      <c r="N80" s="148" t="s">
        <v>1</v>
      </c>
      <c r="O80" s="148"/>
      <c r="P80" s="46"/>
      <c r="Q80" s="70"/>
      <c r="R80" s="70"/>
      <c r="S80" s="70"/>
    </row>
    <row r="81" spans="1:19" s="69" customFormat="1" x14ac:dyDescent="0.2">
      <c r="A81" s="68" t="s">
        <v>122</v>
      </c>
      <c r="B81" s="38">
        <v>99</v>
      </c>
      <c r="C81" s="39">
        <f>B81/B84</f>
        <v>0.20412371134020618</v>
      </c>
      <c r="D81" s="38">
        <v>6</v>
      </c>
      <c r="E81" s="39">
        <f>D81/D84</f>
        <v>0.16216216216216217</v>
      </c>
      <c r="F81" s="38">
        <v>48</v>
      </c>
      <c r="G81" s="39">
        <f>F81/F84</f>
        <v>0.24120603015075376</v>
      </c>
      <c r="H81" s="38">
        <v>98</v>
      </c>
      <c r="I81" s="39">
        <f>H81/H84</f>
        <v>0.10961968680089486</v>
      </c>
      <c r="J81" s="38">
        <v>95</v>
      </c>
      <c r="K81" s="39">
        <f>J81/J84</f>
        <v>0.22565320665083136</v>
      </c>
      <c r="L81" s="38">
        <v>147</v>
      </c>
      <c r="M81" s="39">
        <f>L81/L84</f>
        <v>0.15217391304347827</v>
      </c>
      <c r="N81" s="29">
        <f>B81+D81+F81+H81+J81+L81</f>
        <v>493</v>
      </c>
      <c r="O81" s="39">
        <f>N81/N84</f>
        <v>0.16422385076615589</v>
      </c>
      <c r="P81" s="46"/>
      <c r="Q81" s="70"/>
      <c r="R81" s="70"/>
      <c r="S81" s="70"/>
    </row>
    <row r="82" spans="1:19" s="69" customFormat="1" x14ac:dyDescent="0.2">
      <c r="A82" s="68" t="s">
        <v>123</v>
      </c>
      <c r="B82" s="38">
        <v>230</v>
      </c>
      <c r="C82" s="39">
        <f>B82/B84</f>
        <v>0.47422680412371132</v>
      </c>
      <c r="D82" s="38">
        <v>25</v>
      </c>
      <c r="E82" s="39">
        <f>D82/D84</f>
        <v>0.67567567567567566</v>
      </c>
      <c r="F82" s="38">
        <v>116</v>
      </c>
      <c r="G82" s="39">
        <f>F82/F84</f>
        <v>0.58291457286432158</v>
      </c>
      <c r="H82" s="38">
        <v>360</v>
      </c>
      <c r="I82" s="39">
        <f>H82/H84</f>
        <v>0.40268456375838924</v>
      </c>
      <c r="J82" s="38">
        <v>230</v>
      </c>
      <c r="K82" s="39">
        <f>J82/J84</f>
        <v>0.54631828978622332</v>
      </c>
      <c r="L82" s="38">
        <v>463</v>
      </c>
      <c r="M82" s="39">
        <f>L82/L84</f>
        <v>0.47929606625258797</v>
      </c>
      <c r="N82" s="29">
        <f>B82+D82+F82+H82+J82+L82</f>
        <v>1424</v>
      </c>
      <c r="O82" s="39">
        <f>N82/N84</f>
        <v>0.47435043304463692</v>
      </c>
      <c r="P82" s="46"/>
      <c r="Q82" s="70"/>
      <c r="R82" s="70"/>
      <c r="S82" s="70"/>
    </row>
    <row r="83" spans="1:19" s="69" customFormat="1" x14ac:dyDescent="0.2">
      <c r="A83" s="68" t="s">
        <v>124</v>
      </c>
      <c r="B83" s="38">
        <v>156</v>
      </c>
      <c r="C83" s="39">
        <f>B83/B84</f>
        <v>0.3216494845360825</v>
      </c>
      <c r="D83" s="38">
        <v>6</v>
      </c>
      <c r="E83" s="39">
        <f>D83/D84</f>
        <v>0.16216216216216217</v>
      </c>
      <c r="F83" s="38">
        <v>35</v>
      </c>
      <c r="G83" s="39">
        <f>F83/F84</f>
        <v>0.17587939698492464</v>
      </c>
      <c r="H83" s="38">
        <v>436</v>
      </c>
      <c r="I83" s="39">
        <f>H83/H84</f>
        <v>0.48769574944071586</v>
      </c>
      <c r="J83" s="38">
        <v>96</v>
      </c>
      <c r="K83" s="39">
        <f>J83/J84</f>
        <v>0.22802850356294538</v>
      </c>
      <c r="L83" s="38">
        <v>356</v>
      </c>
      <c r="M83" s="39">
        <f>L83/L84</f>
        <v>0.36853002070393376</v>
      </c>
      <c r="N83" s="29">
        <f>B83+D83+F83+H83+J83+L83</f>
        <v>1085</v>
      </c>
      <c r="O83" s="39">
        <f>N83/N84</f>
        <v>0.36142571618920721</v>
      </c>
      <c r="P83" s="46"/>
      <c r="Q83" s="70"/>
      <c r="R83" s="70"/>
      <c r="S83" s="70"/>
    </row>
    <row r="84" spans="1:19" s="69" customFormat="1" x14ac:dyDescent="0.2">
      <c r="A84" s="64" t="s">
        <v>1</v>
      </c>
      <c r="B84" s="30">
        <f t="shared" ref="B84:O84" si="22">SUM(B81:B83)</f>
        <v>485</v>
      </c>
      <c r="C84" s="41">
        <f t="shared" si="22"/>
        <v>1</v>
      </c>
      <c r="D84" s="30">
        <f t="shared" si="22"/>
        <v>37</v>
      </c>
      <c r="E84" s="41">
        <f t="shared" si="22"/>
        <v>1</v>
      </c>
      <c r="F84" s="30">
        <f t="shared" si="22"/>
        <v>199</v>
      </c>
      <c r="G84" s="41">
        <f t="shared" si="22"/>
        <v>1</v>
      </c>
      <c r="H84" s="30">
        <f t="shared" si="22"/>
        <v>894</v>
      </c>
      <c r="I84" s="41">
        <f t="shared" si="22"/>
        <v>1</v>
      </c>
      <c r="J84" s="30">
        <f t="shared" si="22"/>
        <v>421</v>
      </c>
      <c r="K84" s="41">
        <f t="shared" si="22"/>
        <v>1</v>
      </c>
      <c r="L84" s="30">
        <f t="shared" si="22"/>
        <v>966</v>
      </c>
      <c r="M84" s="41">
        <f t="shared" si="22"/>
        <v>1</v>
      </c>
      <c r="N84" s="30">
        <f t="shared" si="22"/>
        <v>3002</v>
      </c>
      <c r="O84" s="41">
        <f t="shared" si="22"/>
        <v>1</v>
      </c>
      <c r="P84" s="46"/>
      <c r="Q84" s="70"/>
      <c r="R84" s="70" t="s">
        <v>0</v>
      </c>
      <c r="S84" s="70"/>
    </row>
    <row r="85" spans="1:19" s="69" customFormat="1" x14ac:dyDescent="0.2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46"/>
      <c r="Q85" s="70"/>
      <c r="R85" s="70"/>
      <c r="S85" s="70"/>
    </row>
    <row r="86" spans="1:19" s="43" customFormat="1" ht="36" x14ac:dyDescent="0.2">
      <c r="A86" s="115" t="s">
        <v>166</v>
      </c>
      <c r="B86" s="149" t="s">
        <v>128</v>
      </c>
      <c r="C86" s="149"/>
      <c r="D86" s="149" t="s">
        <v>99</v>
      </c>
      <c r="E86" s="149"/>
      <c r="F86" s="152" t="s">
        <v>176</v>
      </c>
      <c r="G86" s="152"/>
      <c r="H86" s="149" t="s">
        <v>101</v>
      </c>
      <c r="I86" s="149"/>
      <c r="J86" s="149" t="s">
        <v>100</v>
      </c>
      <c r="K86" s="149"/>
      <c r="L86" s="149" t="s">
        <v>126</v>
      </c>
      <c r="M86" s="149"/>
      <c r="N86" s="148" t="s">
        <v>1</v>
      </c>
      <c r="O86" s="148"/>
      <c r="P86" s="46"/>
      <c r="Q86" s="51"/>
      <c r="R86" s="51"/>
      <c r="S86" s="51"/>
    </row>
    <row r="87" spans="1:19" ht="36" x14ac:dyDescent="0.2">
      <c r="A87" s="26" t="s">
        <v>167</v>
      </c>
      <c r="B87" s="38">
        <v>457</v>
      </c>
      <c r="C87" s="114">
        <v>0.93839835728952781</v>
      </c>
      <c r="D87" s="38">
        <v>34</v>
      </c>
      <c r="E87" s="114">
        <v>0.89473684210526316</v>
      </c>
      <c r="F87" s="38">
        <v>173</v>
      </c>
      <c r="G87" s="114">
        <v>0.87</v>
      </c>
      <c r="H87" s="38">
        <v>815</v>
      </c>
      <c r="I87" s="114">
        <v>0.90656284760845385</v>
      </c>
      <c r="J87" s="38">
        <v>375</v>
      </c>
      <c r="K87" s="114">
        <v>0.89</v>
      </c>
      <c r="L87" s="38">
        <v>867</v>
      </c>
      <c r="M87" s="114">
        <v>0.9</v>
      </c>
      <c r="N87" s="29">
        <f>B87+D87+F87+H87+J87+L87</f>
        <v>2721</v>
      </c>
      <c r="O87" s="113">
        <f>N87/3028</f>
        <v>0.89861294583883755</v>
      </c>
    </row>
    <row r="88" spans="1:19" ht="24" x14ac:dyDescent="0.2">
      <c r="A88" s="26" t="s">
        <v>107</v>
      </c>
      <c r="B88" s="38">
        <v>401</v>
      </c>
      <c r="C88" s="114">
        <v>0.82340862422997896</v>
      </c>
      <c r="D88" s="38">
        <v>35</v>
      </c>
      <c r="E88" s="113">
        <v>0.92105263157894735</v>
      </c>
      <c r="F88" s="38">
        <v>173</v>
      </c>
      <c r="G88" s="113">
        <v>0.8737373737373737</v>
      </c>
      <c r="H88" s="38">
        <v>762</v>
      </c>
      <c r="I88" s="113">
        <v>0.85521885521885521</v>
      </c>
      <c r="J88" s="38">
        <v>373</v>
      </c>
      <c r="K88" s="113">
        <v>0.88809523809523805</v>
      </c>
      <c r="L88" s="38">
        <v>817</v>
      </c>
      <c r="M88" s="113">
        <v>0.84927234927234929</v>
      </c>
      <c r="N88" s="29">
        <f t="shared" ref="N88:N89" si="23">B88+D88+F88+H88+J88+L88</f>
        <v>2561</v>
      </c>
      <c r="O88" s="113">
        <f t="shared" ref="O88:O89" si="24">N88/3028</f>
        <v>0.84577278731836192</v>
      </c>
    </row>
    <row r="89" spans="1:19" ht="36" x14ac:dyDescent="0.2">
      <c r="A89" s="26" t="s">
        <v>108</v>
      </c>
      <c r="B89" s="38">
        <v>407</v>
      </c>
      <c r="C89" s="113">
        <v>0.88478260869565217</v>
      </c>
      <c r="D89" s="38">
        <v>33</v>
      </c>
      <c r="E89" s="113">
        <v>0.89189189189189189</v>
      </c>
      <c r="F89" s="38">
        <v>178</v>
      </c>
      <c r="G89" s="113">
        <v>0.90816326530612246</v>
      </c>
      <c r="H89" s="38">
        <v>781</v>
      </c>
      <c r="I89" s="113">
        <v>0.89873417721518989</v>
      </c>
      <c r="J89" s="38">
        <v>372</v>
      </c>
      <c r="K89" s="113">
        <v>0.89855072463768115</v>
      </c>
      <c r="L89" s="38">
        <v>827</v>
      </c>
      <c r="M89" s="113">
        <v>0.88260405549626464</v>
      </c>
      <c r="N89" s="29">
        <f t="shared" si="23"/>
        <v>2598</v>
      </c>
      <c r="O89" s="113">
        <f t="shared" si="24"/>
        <v>0.8579920739762219</v>
      </c>
    </row>
    <row r="90" spans="1:19" s="69" customFormat="1" x14ac:dyDescent="0.2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46"/>
      <c r="Q90" s="70"/>
      <c r="R90" s="70"/>
      <c r="S90" s="70"/>
    </row>
    <row r="91" spans="1:19" ht="36" x14ac:dyDescent="0.2">
      <c r="A91" s="26" t="s">
        <v>109</v>
      </c>
      <c r="B91" s="151" t="s">
        <v>128</v>
      </c>
      <c r="C91" s="151"/>
      <c r="D91" s="151" t="s">
        <v>99</v>
      </c>
      <c r="E91" s="151"/>
      <c r="F91" s="150" t="s">
        <v>176</v>
      </c>
      <c r="G91" s="150"/>
      <c r="H91" s="151" t="s">
        <v>101</v>
      </c>
      <c r="I91" s="151"/>
      <c r="J91" s="151" t="s">
        <v>100</v>
      </c>
      <c r="K91" s="151"/>
      <c r="L91" s="151" t="s">
        <v>126</v>
      </c>
      <c r="M91" s="151"/>
      <c r="N91" s="148" t="s">
        <v>1</v>
      </c>
      <c r="O91" s="148"/>
    </row>
    <row r="92" spans="1:19" x14ac:dyDescent="0.2">
      <c r="A92" s="26" t="s">
        <v>168</v>
      </c>
      <c r="B92" s="38">
        <v>323</v>
      </c>
      <c r="C92" s="39">
        <f>B92/B96</f>
        <v>0.68</v>
      </c>
      <c r="D92" s="38">
        <v>31</v>
      </c>
      <c r="E92" s="39">
        <f>D92/D96</f>
        <v>0.86111111111111116</v>
      </c>
      <c r="F92" s="38">
        <v>104</v>
      </c>
      <c r="G92" s="39">
        <f>F92/F96</f>
        <v>0.53886010362694303</v>
      </c>
      <c r="H92" s="38">
        <v>615</v>
      </c>
      <c r="I92" s="39">
        <f>H92/H96</f>
        <v>0.70045558086560367</v>
      </c>
      <c r="J92" s="38">
        <v>216</v>
      </c>
      <c r="K92" s="39">
        <f>J92/J96</f>
        <v>0.52682926829268295</v>
      </c>
      <c r="L92" s="38">
        <v>621</v>
      </c>
      <c r="M92" s="39">
        <f>L92/L96</f>
        <v>0.65299684542586756</v>
      </c>
      <c r="N92" s="29">
        <f>B92+D92+F92+H92+J92+L92</f>
        <v>1910</v>
      </c>
      <c r="O92" s="39">
        <f>N92/N96</f>
        <v>0.64899762147468565</v>
      </c>
    </row>
    <row r="93" spans="1:19" x14ac:dyDescent="0.2">
      <c r="A93" s="26" t="s">
        <v>170</v>
      </c>
      <c r="B93" s="38">
        <v>37</v>
      </c>
      <c r="C93" s="39">
        <f>B93/B96</f>
        <v>7.7894736842105267E-2</v>
      </c>
      <c r="D93" s="38">
        <v>1</v>
      </c>
      <c r="E93" s="39">
        <f>D93/D96</f>
        <v>2.7777777777777776E-2</v>
      </c>
      <c r="F93" s="38">
        <v>11</v>
      </c>
      <c r="G93" s="39">
        <f>F93/F96</f>
        <v>5.6994818652849742E-2</v>
      </c>
      <c r="H93" s="38">
        <v>60</v>
      </c>
      <c r="I93" s="39">
        <f>H93/H96</f>
        <v>6.8337129840546698E-2</v>
      </c>
      <c r="J93" s="38">
        <v>29</v>
      </c>
      <c r="K93" s="39">
        <f>J93/J96</f>
        <v>7.0731707317073164E-2</v>
      </c>
      <c r="L93" s="38">
        <v>94</v>
      </c>
      <c r="M93" s="39">
        <f>L93/L96</f>
        <v>9.8843322818086221E-2</v>
      </c>
      <c r="N93" s="29">
        <f>B93+D93+F93+H93+J93+L93</f>
        <v>232</v>
      </c>
      <c r="O93" s="39">
        <f>N93/N96</f>
        <v>7.883112470268433E-2</v>
      </c>
    </row>
    <row r="94" spans="1:19" x14ac:dyDescent="0.2">
      <c r="A94" s="26" t="s">
        <v>171</v>
      </c>
      <c r="B94" s="38">
        <v>8</v>
      </c>
      <c r="C94" s="39">
        <f>B94/B96</f>
        <v>1.6842105263157894E-2</v>
      </c>
      <c r="D94" s="38">
        <v>1</v>
      </c>
      <c r="E94" s="39">
        <f>D94/D96</f>
        <v>2.7777777777777776E-2</v>
      </c>
      <c r="F94" s="38">
        <v>2</v>
      </c>
      <c r="G94" s="39">
        <f>F94/F96</f>
        <v>1.0362694300518135E-2</v>
      </c>
      <c r="H94" s="38">
        <v>19</v>
      </c>
      <c r="I94" s="39">
        <f>H94/H96</f>
        <v>2.164009111617312E-2</v>
      </c>
      <c r="J94" s="38">
        <v>7</v>
      </c>
      <c r="K94" s="39">
        <f>J94/J96</f>
        <v>1.7073170731707318E-2</v>
      </c>
      <c r="L94" s="38">
        <v>11</v>
      </c>
      <c r="M94" s="39">
        <f>L94/L96</f>
        <v>1.1566771819137749E-2</v>
      </c>
      <c r="N94" s="29">
        <f>B94+D94+F94+H94+J94+L94</f>
        <v>48</v>
      </c>
      <c r="O94" s="39">
        <f>N94/N96</f>
        <v>1.6309887869520898E-2</v>
      </c>
    </row>
    <row r="95" spans="1:19" x14ac:dyDescent="0.2">
      <c r="A95" s="26" t="s">
        <v>172</v>
      </c>
      <c r="B95" s="38">
        <v>107</v>
      </c>
      <c r="C95" s="39">
        <f>B95/B96</f>
        <v>0.22526315789473683</v>
      </c>
      <c r="D95" s="38">
        <v>3</v>
      </c>
      <c r="E95" s="39">
        <f>D95/D96</f>
        <v>8.3333333333333329E-2</v>
      </c>
      <c r="F95" s="38">
        <v>76</v>
      </c>
      <c r="G95" s="39">
        <f>F95/F96</f>
        <v>0.39378238341968913</v>
      </c>
      <c r="H95" s="38">
        <v>184</v>
      </c>
      <c r="I95" s="39">
        <f>H95/H96</f>
        <v>0.20956719817767655</v>
      </c>
      <c r="J95" s="38">
        <v>158</v>
      </c>
      <c r="K95" s="39">
        <f>J95/J96</f>
        <v>0.38536585365853659</v>
      </c>
      <c r="L95" s="38">
        <v>225</v>
      </c>
      <c r="M95" s="39">
        <f>L95/L96</f>
        <v>0.23659305993690852</v>
      </c>
      <c r="N95" s="29">
        <f>B95+D95+F95+H95+J95+L95</f>
        <v>753</v>
      </c>
      <c r="O95" s="39">
        <f>N95/N96</f>
        <v>0.2558613659531091</v>
      </c>
    </row>
    <row r="96" spans="1:19" x14ac:dyDescent="0.2">
      <c r="A96" s="26"/>
      <c r="B96" s="30">
        <f t="shared" ref="B96:O96" si="25">SUM(B92:B95)</f>
        <v>475</v>
      </c>
      <c r="C96" s="41">
        <f t="shared" si="25"/>
        <v>1</v>
      </c>
      <c r="D96" s="30">
        <f t="shared" si="25"/>
        <v>36</v>
      </c>
      <c r="E96" s="41">
        <f t="shared" si="25"/>
        <v>1</v>
      </c>
      <c r="F96" s="30">
        <f t="shared" si="25"/>
        <v>193</v>
      </c>
      <c r="G96" s="41">
        <f t="shared" si="25"/>
        <v>1</v>
      </c>
      <c r="H96" s="30">
        <f t="shared" si="25"/>
        <v>878</v>
      </c>
      <c r="I96" s="41">
        <f t="shared" si="25"/>
        <v>1</v>
      </c>
      <c r="J96" s="30">
        <f t="shared" si="25"/>
        <v>410</v>
      </c>
      <c r="K96" s="41">
        <f t="shared" si="25"/>
        <v>1</v>
      </c>
      <c r="L96" s="30">
        <f t="shared" si="25"/>
        <v>951</v>
      </c>
      <c r="M96" s="41">
        <f t="shared" si="25"/>
        <v>1</v>
      </c>
      <c r="N96" s="30">
        <f t="shared" si="25"/>
        <v>2943</v>
      </c>
      <c r="O96" s="41">
        <f t="shared" si="25"/>
        <v>1</v>
      </c>
    </row>
    <row r="97" spans="1:19" s="69" customFormat="1" x14ac:dyDescent="0.2"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46"/>
      <c r="Q97" s="70"/>
      <c r="R97" s="70"/>
      <c r="S97" s="70"/>
    </row>
    <row r="98" spans="1:19" ht="36" x14ac:dyDescent="0.2">
      <c r="A98" s="26" t="s">
        <v>110</v>
      </c>
      <c r="B98" s="151" t="s">
        <v>128</v>
      </c>
      <c r="C98" s="151"/>
      <c r="D98" s="151" t="s">
        <v>99</v>
      </c>
      <c r="E98" s="151"/>
      <c r="F98" s="150" t="s">
        <v>176</v>
      </c>
      <c r="G98" s="150"/>
      <c r="H98" s="151" t="s">
        <v>101</v>
      </c>
      <c r="I98" s="151"/>
      <c r="J98" s="151" t="s">
        <v>100</v>
      </c>
      <c r="K98" s="151"/>
      <c r="L98" s="151" t="s">
        <v>126</v>
      </c>
      <c r="M98" s="151"/>
      <c r="N98" s="148" t="s">
        <v>1</v>
      </c>
      <c r="O98" s="148"/>
      <c r="P98" s="46" t="s">
        <v>0</v>
      </c>
    </row>
    <row r="99" spans="1:19" x14ac:dyDescent="0.2">
      <c r="A99" s="26" t="s">
        <v>168</v>
      </c>
      <c r="B99" s="38">
        <v>223</v>
      </c>
      <c r="C99" s="39">
        <f>B99/B103</f>
        <v>0.47245762711864409</v>
      </c>
      <c r="D99" s="38">
        <v>17</v>
      </c>
      <c r="E99" s="39">
        <f>D99/D103</f>
        <v>0.47222222222222221</v>
      </c>
      <c r="F99" s="38">
        <v>58</v>
      </c>
      <c r="G99" s="39">
        <f>F99/F103</f>
        <v>0.30208333333333331</v>
      </c>
      <c r="H99" s="38">
        <v>465</v>
      </c>
      <c r="I99" s="39">
        <f>H99/H103</f>
        <v>0.53021664766248577</v>
      </c>
      <c r="J99" s="38">
        <v>144</v>
      </c>
      <c r="K99" s="39">
        <f>J99/J103</f>
        <v>0.34951456310679613</v>
      </c>
      <c r="L99" s="38">
        <v>441</v>
      </c>
      <c r="M99" s="39">
        <f>L99/L103</f>
        <v>0.46617336152219874</v>
      </c>
      <c r="N99" s="29">
        <f>B99+D99+F99+H99+J99+L99</f>
        <v>1348</v>
      </c>
      <c r="O99" s="39">
        <f>N99/N103</f>
        <v>0.45928449744463373</v>
      </c>
    </row>
    <row r="100" spans="1:19" x14ac:dyDescent="0.2">
      <c r="A100" s="26" t="s">
        <v>170</v>
      </c>
      <c r="B100" s="38">
        <v>37</v>
      </c>
      <c r="C100" s="39">
        <f>B100/B103</f>
        <v>7.8389830508474576E-2</v>
      </c>
      <c r="D100" s="38">
        <v>2</v>
      </c>
      <c r="E100" s="39">
        <f>D100/D103</f>
        <v>5.5555555555555552E-2</v>
      </c>
      <c r="F100" s="38">
        <v>10</v>
      </c>
      <c r="G100" s="39">
        <f>F100/F103</f>
        <v>5.2083333333333336E-2</v>
      </c>
      <c r="H100" s="38">
        <v>67</v>
      </c>
      <c r="I100" s="39">
        <f>H100/H103</f>
        <v>7.6396807297605479E-2</v>
      </c>
      <c r="J100" s="38">
        <v>23</v>
      </c>
      <c r="K100" s="39">
        <f>J100/J103</f>
        <v>5.5825242718446605E-2</v>
      </c>
      <c r="L100" s="38">
        <v>78</v>
      </c>
      <c r="M100" s="39">
        <f>L100/L103</f>
        <v>8.2452431289640596E-2</v>
      </c>
      <c r="N100" s="29">
        <f>B100+D100+F100+H100+J100+L100</f>
        <v>217</v>
      </c>
      <c r="O100" s="39">
        <f>N100/N103</f>
        <v>7.3935264054514477E-2</v>
      </c>
    </row>
    <row r="101" spans="1:19" x14ac:dyDescent="0.2">
      <c r="A101" s="26" t="s">
        <v>171</v>
      </c>
      <c r="B101" s="38">
        <v>9</v>
      </c>
      <c r="C101" s="39">
        <f>B101/B103</f>
        <v>1.9067796610169493E-2</v>
      </c>
      <c r="D101" s="38"/>
      <c r="E101" s="39">
        <f>D101/D103</f>
        <v>0</v>
      </c>
      <c r="F101" s="38">
        <v>1</v>
      </c>
      <c r="G101" s="39">
        <f>F101/F103</f>
        <v>5.208333333333333E-3</v>
      </c>
      <c r="H101" s="38">
        <v>14</v>
      </c>
      <c r="I101" s="39">
        <f>H101/H103</f>
        <v>1.596351197263398E-2</v>
      </c>
      <c r="J101" s="38">
        <v>3</v>
      </c>
      <c r="K101" s="39">
        <f>J101/J103</f>
        <v>7.2815533980582527E-3</v>
      </c>
      <c r="L101" s="38">
        <v>17</v>
      </c>
      <c r="M101" s="39">
        <f>L101/L103</f>
        <v>1.7970401691331923E-2</v>
      </c>
      <c r="N101" s="29">
        <f>B101+D101+F101+H101+J101+L101</f>
        <v>44</v>
      </c>
      <c r="O101" s="39">
        <f>N101/N103</f>
        <v>1.4991482112436116E-2</v>
      </c>
    </row>
    <row r="102" spans="1:19" x14ac:dyDescent="0.2">
      <c r="A102" s="26" t="s">
        <v>169</v>
      </c>
      <c r="B102" s="38">
        <v>203</v>
      </c>
      <c r="C102" s="39">
        <f>B102/B103</f>
        <v>0.43008474576271188</v>
      </c>
      <c r="D102" s="38">
        <v>17</v>
      </c>
      <c r="E102" s="39">
        <f>D102/D103</f>
        <v>0.47222222222222221</v>
      </c>
      <c r="F102" s="38">
        <v>123</v>
      </c>
      <c r="G102" s="39">
        <f>F102/F103</f>
        <v>0.640625</v>
      </c>
      <c r="H102" s="38">
        <v>331</v>
      </c>
      <c r="I102" s="39">
        <f>H102/H103</f>
        <v>0.37742303306727482</v>
      </c>
      <c r="J102" s="38">
        <v>242</v>
      </c>
      <c r="K102" s="39">
        <f>J102/J103</f>
        <v>0.58737864077669899</v>
      </c>
      <c r="L102" s="38">
        <v>410</v>
      </c>
      <c r="M102" s="39">
        <f>L102/L103</f>
        <v>0.43340380549682878</v>
      </c>
      <c r="N102" s="29">
        <f>B102+D102+F102+H102+J102+L102</f>
        <v>1326</v>
      </c>
      <c r="O102" s="39">
        <f>N102/N103</f>
        <v>0.45178875638841565</v>
      </c>
    </row>
    <row r="103" spans="1:19" x14ac:dyDescent="0.2">
      <c r="A103" s="26"/>
      <c r="B103" s="30">
        <f t="shared" ref="B103:O103" si="26">SUM(B99:B102)</f>
        <v>472</v>
      </c>
      <c r="C103" s="41">
        <f t="shared" si="26"/>
        <v>1</v>
      </c>
      <c r="D103" s="30">
        <f t="shared" si="26"/>
        <v>36</v>
      </c>
      <c r="E103" s="41">
        <f t="shared" si="26"/>
        <v>1</v>
      </c>
      <c r="F103" s="30">
        <f t="shared" si="26"/>
        <v>192</v>
      </c>
      <c r="G103" s="41">
        <f t="shared" si="26"/>
        <v>1</v>
      </c>
      <c r="H103" s="30">
        <f t="shared" si="26"/>
        <v>877</v>
      </c>
      <c r="I103" s="41">
        <f t="shared" si="26"/>
        <v>1</v>
      </c>
      <c r="J103" s="30">
        <f t="shared" si="26"/>
        <v>412</v>
      </c>
      <c r="K103" s="41">
        <f t="shared" si="26"/>
        <v>1</v>
      </c>
      <c r="L103" s="30">
        <f t="shared" si="26"/>
        <v>946</v>
      </c>
      <c r="M103" s="41">
        <f t="shared" si="26"/>
        <v>1</v>
      </c>
      <c r="N103" s="30">
        <f t="shared" si="26"/>
        <v>2935</v>
      </c>
      <c r="O103" s="41">
        <f t="shared" si="26"/>
        <v>0.99999999999999989</v>
      </c>
    </row>
    <row r="104" spans="1:19" x14ac:dyDescent="0.2">
      <c r="B104" s="3"/>
      <c r="C104" s="3"/>
      <c r="D104" s="3"/>
      <c r="G104" s="49"/>
      <c r="H104" s="46"/>
    </row>
    <row r="105" spans="1:19" ht="24" x14ac:dyDescent="0.2">
      <c r="A105" s="36" t="s">
        <v>34</v>
      </c>
      <c r="B105" s="149" t="s">
        <v>128</v>
      </c>
      <c r="C105" s="149"/>
      <c r="D105" s="149" t="s">
        <v>99</v>
      </c>
      <c r="E105" s="149"/>
      <c r="F105" s="152" t="s">
        <v>176</v>
      </c>
      <c r="G105" s="152"/>
      <c r="H105" s="149" t="s">
        <v>101</v>
      </c>
      <c r="I105" s="149"/>
      <c r="J105" s="149" t="s">
        <v>100</v>
      </c>
      <c r="K105" s="149"/>
      <c r="L105" s="149" t="s">
        <v>126</v>
      </c>
      <c r="M105" s="149"/>
      <c r="N105" s="148" t="s">
        <v>1</v>
      </c>
      <c r="O105" s="148"/>
    </row>
    <row r="106" spans="1:19" x14ac:dyDescent="0.2">
      <c r="A106" s="26" t="s">
        <v>111</v>
      </c>
      <c r="B106" s="38">
        <v>302</v>
      </c>
      <c r="C106" s="39">
        <f>B106/$D$4</f>
        <v>0.62012320328542092</v>
      </c>
      <c r="D106" s="38">
        <v>20</v>
      </c>
      <c r="E106" s="39">
        <f>D106/$D$5</f>
        <v>0.52631578947368418</v>
      </c>
      <c r="F106" s="38">
        <v>67</v>
      </c>
      <c r="G106" s="39">
        <f>F106/$D$6</f>
        <v>0.33333333333333331</v>
      </c>
      <c r="H106" s="38">
        <v>583</v>
      </c>
      <c r="I106" s="39">
        <f>H106/$D$7</f>
        <v>0.6484983314794216</v>
      </c>
      <c r="J106" s="38">
        <v>158</v>
      </c>
      <c r="K106" s="39">
        <f>J106/$D$8</f>
        <v>0.37264150943396224</v>
      </c>
      <c r="L106" s="38">
        <v>532</v>
      </c>
      <c r="M106" s="39">
        <f>L106/$D$9</f>
        <v>0.54341164453524005</v>
      </c>
      <c r="N106" s="29">
        <f>B106+D106+F106+H106+J106+L106</f>
        <v>1662</v>
      </c>
      <c r="O106" s="39">
        <f>N106/$D$10</f>
        <v>0.54887714663143994</v>
      </c>
    </row>
    <row r="107" spans="1:19" x14ac:dyDescent="0.2">
      <c r="A107" s="26" t="s">
        <v>112</v>
      </c>
      <c r="B107" s="38">
        <v>279</v>
      </c>
      <c r="C107" s="39">
        <f t="shared" ref="C107:C109" si="27">B107/$D$4</f>
        <v>0.5728952772073922</v>
      </c>
      <c r="D107" s="38">
        <v>20</v>
      </c>
      <c r="E107" s="39">
        <f t="shared" ref="E107:E109" si="28">D107/$D$5</f>
        <v>0.52631578947368418</v>
      </c>
      <c r="F107" s="38">
        <v>71</v>
      </c>
      <c r="G107" s="39">
        <f t="shared" ref="G107:G109" si="29">F107/$D$6</f>
        <v>0.35323383084577115</v>
      </c>
      <c r="H107" s="38">
        <v>559</v>
      </c>
      <c r="I107" s="39">
        <f t="shared" ref="I107:I109" si="30">H107/$D$7</f>
        <v>0.62180200222469406</v>
      </c>
      <c r="J107" s="38">
        <v>147</v>
      </c>
      <c r="K107" s="39">
        <f t="shared" ref="K107:K109" si="31">J107/$D$8</f>
        <v>0.34669811320754718</v>
      </c>
      <c r="L107" s="38">
        <v>528</v>
      </c>
      <c r="M107" s="39">
        <f t="shared" ref="M107:M108" si="32">L107/$D$9</f>
        <v>0.5393258426966292</v>
      </c>
      <c r="N107" s="29">
        <f t="shared" ref="N107:N109" si="33">B107+D107+F107+H107+J107+L107</f>
        <v>1604</v>
      </c>
      <c r="O107" s="39">
        <f t="shared" ref="O107:O109" si="34">N107/$D$10</f>
        <v>0.52972258916776749</v>
      </c>
    </row>
    <row r="108" spans="1:19" x14ac:dyDescent="0.2">
      <c r="A108" s="26" t="s">
        <v>113</v>
      </c>
      <c r="B108" s="38">
        <v>183</v>
      </c>
      <c r="C108" s="39">
        <f t="shared" si="27"/>
        <v>0.37577002053388092</v>
      </c>
      <c r="D108" s="38">
        <v>16</v>
      </c>
      <c r="E108" s="39">
        <f t="shared" si="28"/>
        <v>0.42105263157894735</v>
      </c>
      <c r="F108" s="38">
        <v>129</v>
      </c>
      <c r="G108" s="39">
        <f t="shared" si="29"/>
        <v>0.64179104477611937</v>
      </c>
      <c r="H108" s="38">
        <v>293</v>
      </c>
      <c r="I108" s="39">
        <f t="shared" si="30"/>
        <v>0.32591768631813128</v>
      </c>
      <c r="J108" s="38">
        <v>263</v>
      </c>
      <c r="K108" s="39">
        <f t="shared" si="31"/>
        <v>0.62028301886792447</v>
      </c>
      <c r="L108" s="38">
        <v>420</v>
      </c>
      <c r="M108" s="39">
        <f t="shared" si="32"/>
        <v>0.42900919305413687</v>
      </c>
      <c r="N108" s="29">
        <f t="shared" si="33"/>
        <v>1304</v>
      </c>
      <c r="O108" s="39">
        <f t="shared" si="34"/>
        <v>0.43064729194187584</v>
      </c>
    </row>
    <row r="109" spans="1:19" x14ac:dyDescent="0.2">
      <c r="A109" s="26" t="s">
        <v>114</v>
      </c>
      <c r="B109" s="38">
        <v>54</v>
      </c>
      <c r="C109" s="39">
        <f t="shared" si="27"/>
        <v>0.11088295687885011</v>
      </c>
      <c r="D109" s="38">
        <v>4</v>
      </c>
      <c r="E109" s="39">
        <f t="shared" si="28"/>
        <v>0.10526315789473684</v>
      </c>
      <c r="F109" s="38">
        <v>72</v>
      </c>
      <c r="G109" s="39">
        <f t="shared" si="29"/>
        <v>0.35820895522388058</v>
      </c>
      <c r="H109" s="38">
        <v>60</v>
      </c>
      <c r="I109" s="39">
        <f t="shared" si="30"/>
        <v>6.6740823136818686E-2</v>
      </c>
      <c r="J109" s="38">
        <v>146</v>
      </c>
      <c r="K109" s="39">
        <f t="shared" si="31"/>
        <v>0.34433962264150941</v>
      </c>
      <c r="L109" s="38">
        <v>128</v>
      </c>
      <c r="M109" s="39">
        <f>L109/$D$9</f>
        <v>0.13074565883554648</v>
      </c>
      <c r="N109" s="29">
        <f t="shared" si="33"/>
        <v>464</v>
      </c>
      <c r="O109" s="39">
        <f t="shared" si="34"/>
        <v>0.15323645970937913</v>
      </c>
    </row>
    <row r="110" spans="1:19" x14ac:dyDescent="0.2">
      <c r="A110" s="20"/>
      <c r="B110" s="1"/>
      <c r="C110" s="2"/>
      <c r="D110" s="1"/>
      <c r="E110" s="2"/>
      <c r="F110" s="1"/>
      <c r="G110" s="2"/>
      <c r="H110" s="1"/>
      <c r="I110" s="2"/>
      <c r="J110" s="1"/>
      <c r="K110" s="2"/>
      <c r="L110" s="1"/>
      <c r="M110" s="2"/>
      <c r="N110" s="61"/>
      <c r="P110" s="46" t="s">
        <v>0</v>
      </c>
    </row>
    <row r="111" spans="1:19" ht="24" x14ac:dyDescent="0.2">
      <c r="A111" s="36" t="s">
        <v>24</v>
      </c>
      <c r="B111" s="151" t="s">
        <v>128</v>
      </c>
      <c r="C111" s="151"/>
      <c r="D111" s="151" t="s">
        <v>99</v>
      </c>
      <c r="E111" s="151"/>
      <c r="F111" s="150" t="s">
        <v>176</v>
      </c>
      <c r="G111" s="150"/>
      <c r="H111" s="151" t="s">
        <v>101</v>
      </c>
      <c r="I111" s="151"/>
      <c r="J111" s="151" t="s">
        <v>100</v>
      </c>
      <c r="K111" s="151"/>
      <c r="L111" s="151" t="s">
        <v>126</v>
      </c>
      <c r="M111" s="151"/>
      <c r="N111" s="148" t="s">
        <v>1</v>
      </c>
      <c r="O111" s="148"/>
    </row>
    <row r="112" spans="1:19" x14ac:dyDescent="0.2">
      <c r="A112" s="26" t="s">
        <v>173</v>
      </c>
      <c r="B112" s="38">
        <v>232</v>
      </c>
      <c r="C112" s="39">
        <f>B112/B116</f>
        <v>0.48132780082987553</v>
      </c>
      <c r="D112" s="38">
        <v>16</v>
      </c>
      <c r="E112" s="39">
        <f>D112/D116</f>
        <v>0.43243243243243246</v>
      </c>
      <c r="F112" s="38">
        <v>64</v>
      </c>
      <c r="G112" s="39">
        <f>F112/F116</f>
        <v>0.32323232323232326</v>
      </c>
      <c r="H112" s="38">
        <v>397</v>
      </c>
      <c r="I112" s="39">
        <f>H112/H116</f>
        <v>0.44808126410835214</v>
      </c>
      <c r="J112" s="38">
        <v>136</v>
      </c>
      <c r="K112" s="39">
        <f>J112/J116</f>
        <v>0.32458233890214799</v>
      </c>
      <c r="L112" s="38">
        <v>404</v>
      </c>
      <c r="M112" s="39">
        <f>L112/L116</f>
        <v>0.42127215849843586</v>
      </c>
      <c r="N112" s="29">
        <f>B112+D112+F112+H112+J112+L112</f>
        <v>1249</v>
      </c>
      <c r="O112" s="39">
        <f>N112/N116</f>
        <v>0.41898691714189867</v>
      </c>
    </row>
    <row r="113" spans="1:19" x14ac:dyDescent="0.2">
      <c r="A113" s="26" t="s">
        <v>27</v>
      </c>
      <c r="B113" s="38">
        <v>231</v>
      </c>
      <c r="C113" s="39">
        <f>B113/B116</f>
        <v>0.47925311203319504</v>
      </c>
      <c r="D113" s="38">
        <v>20</v>
      </c>
      <c r="E113" s="39">
        <f>D113/D116</f>
        <v>0.54054054054054057</v>
      </c>
      <c r="F113" s="38">
        <v>114</v>
      </c>
      <c r="G113" s="39">
        <f>F113/F116</f>
        <v>0.5757575757575758</v>
      </c>
      <c r="H113" s="38">
        <v>447</v>
      </c>
      <c r="I113" s="39">
        <f>H113/H116</f>
        <v>0.50451467268623029</v>
      </c>
      <c r="J113" s="38">
        <v>249</v>
      </c>
      <c r="K113" s="39">
        <f>J113/J116</f>
        <v>0.59427207637231505</v>
      </c>
      <c r="L113" s="38">
        <v>503</v>
      </c>
      <c r="M113" s="39">
        <f>L113/L116</f>
        <v>0.52450469238790409</v>
      </c>
      <c r="N113" s="29">
        <f>B113+D113+F113+H113+J113+L113</f>
        <v>1564</v>
      </c>
      <c r="O113" s="39">
        <f>N113/N116</f>
        <v>0.52465615565246559</v>
      </c>
    </row>
    <row r="114" spans="1:19" x14ac:dyDescent="0.2">
      <c r="A114" s="26" t="s">
        <v>26</v>
      </c>
      <c r="B114" s="38">
        <v>16</v>
      </c>
      <c r="C114" s="39">
        <f>B114/B116</f>
        <v>3.3195020746887967E-2</v>
      </c>
      <c r="D114" s="38">
        <v>1</v>
      </c>
      <c r="E114" s="39">
        <f>D114/D116</f>
        <v>2.7027027027027029E-2</v>
      </c>
      <c r="F114" s="38">
        <v>15</v>
      </c>
      <c r="G114" s="39">
        <f>F114/F116</f>
        <v>7.575757575757576E-2</v>
      </c>
      <c r="H114" s="38">
        <v>35</v>
      </c>
      <c r="I114" s="39">
        <f>H114/H116</f>
        <v>3.9503386004514675E-2</v>
      </c>
      <c r="J114" s="38">
        <v>25</v>
      </c>
      <c r="K114" s="39">
        <f>J114/J116</f>
        <v>5.9665871121718374E-2</v>
      </c>
      <c r="L114" s="38">
        <v>42</v>
      </c>
      <c r="M114" s="39">
        <f>L114/L116</f>
        <v>4.3795620437956206E-2</v>
      </c>
      <c r="N114" s="29">
        <f>B114+D114+F114+H114+J114+L114</f>
        <v>134</v>
      </c>
      <c r="O114" s="39">
        <f>N114/N116</f>
        <v>4.4951358604495138E-2</v>
      </c>
    </row>
    <row r="115" spans="1:19" x14ac:dyDescent="0.2">
      <c r="A115" s="26" t="s">
        <v>174</v>
      </c>
      <c r="B115" s="38">
        <v>3</v>
      </c>
      <c r="C115" s="39">
        <f>B115/B116</f>
        <v>6.2240663900414933E-3</v>
      </c>
      <c r="D115" s="38"/>
      <c r="E115" s="39">
        <f>D115/D116</f>
        <v>0</v>
      </c>
      <c r="F115" s="38">
        <v>5</v>
      </c>
      <c r="G115" s="39">
        <f>F115/F116</f>
        <v>2.5252525252525252E-2</v>
      </c>
      <c r="H115" s="38">
        <v>7</v>
      </c>
      <c r="I115" s="39">
        <f>H115/H116</f>
        <v>7.900677200902935E-3</v>
      </c>
      <c r="J115" s="38">
        <v>9</v>
      </c>
      <c r="K115" s="39">
        <f>J115/J116</f>
        <v>2.1479713603818614E-2</v>
      </c>
      <c r="L115" s="38">
        <v>10</v>
      </c>
      <c r="M115" s="39">
        <f>L115/L116</f>
        <v>1.0427528675703858E-2</v>
      </c>
      <c r="N115" s="29">
        <f>B115+D115+F115+H115+J115+L115</f>
        <v>34</v>
      </c>
      <c r="O115" s="39">
        <f>N115/N116</f>
        <v>1.1405568601140557E-2</v>
      </c>
    </row>
    <row r="116" spans="1:19" s="43" customFormat="1" x14ac:dyDescent="0.2">
      <c r="A116" s="36" t="s">
        <v>1</v>
      </c>
      <c r="B116" s="25">
        <f t="shared" ref="B116:O116" si="35">SUM(B112:B115)</f>
        <v>482</v>
      </c>
      <c r="C116" s="41">
        <f t="shared" si="35"/>
        <v>1</v>
      </c>
      <c r="D116" s="25">
        <f t="shared" si="35"/>
        <v>37</v>
      </c>
      <c r="E116" s="41">
        <f t="shared" si="35"/>
        <v>1</v>
      </c>
      <c r="F116" s="25">
        <f t="shared" si="35"/>
        <v>198</v>
      </c>
      <c r="G116" s="41">
        <f t="shared" si="35"/>
        <v>1</v>
      </c>
      <c r="H116" s="25">
        <f t="shared" si="35"/>
        <v>886</v>
      </c>
      <c r="I116" s="41">
        <f t="shared" si="35"/>
        <v>1</v>
      </c>
      <c r="J116" s="25">
        <f t="shared" si="35"/>
        <v>419</v>
      </c>
      <c r="K116" s="41">
        <f t="shared" si="35"/>
        <v>1</v>
      </c>
      <c r="L116" s="25">
        <f t="shared" si="35"/>
        <v>959</v>
      </c>
      <c r="M116" s="41">
        <f t="shared" si="35"/>
        <v>1</v>
      </c>
      <c r="N116" s="25">
        <f t="shared" si="35"/>
        <v>2981</v>
      </c>
      <c r="O116" s="41">
        <f t="shared" si="35"/>
        <v>1</v>
      </c>
      <c r="P116" s="46"/>
      <c r="Q116" s="51"/>
      <c r="R116" s="51"/>
      <c r="S116" s="51"/>
    </row>
    <row r="117" spans="1:19" s="43" customFormat="1" x14ac:dyDescent="0.2">
      <c r="A117" s="36" t="s">
        <v>115</v>
      </c>
      <c r="B117" s="25"/>
      <c r="C117" s="65">
        <f>SUM(C112:C113)</f>
        <v>0.96058091286307057</v>
      </c>
      <c r="D117" s="25"/>
      <c r="E117" s="65">
        <f>SUM(E112:E113)</f>
        <v>0.97297297297297303</v>
      </c>
      <c r="F117" s="25"/>
      <c r="G117" s="65">
        <f>SUM(G112:G113)</f>
        <v>0.89898989898989901</v>
      </c>
      <c r="H117" s="25"/>
      <c r="I117" s="65">
        <f>SUM(I112:I113)</f>
        <v>0.95259593679458243</v>
      </c>
      <c r="J117" s="25"/>
      <c r="K117" s="65">
        <f>SUM(K112:K113)</f>
        <v>0.9188544152744631</v>
      </c>
      <c r="L117" s="25"/>
      <c r="M117" s="65">
        <f>SUM(M112:M113)</f>
        <v>0.94577685088634</v>
      </c>
      <c r="N117" s="30"/>
      <c r="O117" s="65">
        <f>SUM(O112:O113)</f>
        <v>0.94364307279436432</v>
      </c>
      <c r="P117" s="46" t="s">
        <v>0</v>
      </c>
      <c r="Q117" s="51"/>
      <c r="R117" s="51"/>
      <c r="S117" s="51"/>
    </row>
    <row r="118" spans="1:19" x14ac:dyDescent="0.2">
      <c r="C118" s="66"/>
      <c r="E118" s="66"/>
      <c r="G118" s="66"/>
      <c r="H118" s="46"/>
      <c r="I118" s="66"/>
      <c r="K118" s="66"/>
      <c r="M118" s="66"/>
      <c r="O118" s="66"/>
      <c r="Q118" s="46" t="s">
        <v>0</v>
      </c>
    </row>
    <row r="119" spans="1:19" x14ac:dyDescent="0.2">
      <c r="A119" s="19"/>
      <c r="B119" s="4"/>
      <c r="G119" s="49"/>
      <c r="H119" s="46"/>
    </row>
    <row r="120" spans="1:19" ht="15.75" x14ac:dyDescent="0.2">
      <c r="A120" s="120" t="s">
        <v>52</v>
      </c>
      <c r="B120" s="124"/>
      <c r="C120" s="124"/>
      <c r="G120" s="49"/>
      <c r="H120" s="46" t="s">
        <v>0</v>
      </c>
    </row>
    <row r="121" spans="1:19" x14ac:dyDescent="0.2">
      <c r="A121" s="36" t="s">
        <v>40</v>
      </c>
      <c r="B121" s="151" t="s">
        <v>128</v>
      </c>
      <c r="C121" s="151"/>
      <c r="D121" s="151" t="s">
        <v>99</v>
      </c>
      <c r="E121" s="151"/>
      <c r="F121" s="150" t="s">
        <v>176</v>
      </c>
      <c r="G121" s="150"/>
      <c r="H121" s="151" t="s">
        <v>101</v>
      </c>
      <c r="I121" s="151"/>
      <c r="J121" s="151" t="s">
        <v>100</v>
      </c>
      <c r="K121" s="151"/>
      <c r="L121" s="151" t="s">
        <v>126</v>
      </c>
      <c r="M121" s="151"/>
      <c r="N121" s="148" t="s">
        <v>1</v>
      </c>
      <c r="O121" s="148"/>
    </row>
    <row r="122" spans="1:19" x14ac:dyDescent="0.2">
      <c r="A122" s="26" t="s">
        <v>28</v>
      </c>
      <c r="B122" s="38">
        <v>234</v>
      </c>
      <c r="C122" s="39">
        <f>B122/B126</f>
        <v>0.48749999999999999</v>
      </c>
      <c r="D122" s="38">
        <v>19</v>
      </c>
      <c r="E122" s="39">
        <f>D122/D126</f>
        <v>0.52777777777777779</v>
      </c>
      <c r="F122" s="38">
        <v>55</v>
      </c>
      <c r="G122" s="39">
        <f>F122/F126</f>
        <v>0.28497409326424872</v>
      </c>
      <c r="H122" s="38">
        <v>406</v>
      </c>
      <c r="I122" s="39">
        <f>H122/H126</f>
        <v>0.45823927765237021</v>
      </c>
      <c r="J122" s="38">
        <v>160</v>
      </c>
      <c r="K122" s="39">
        <f>J122/J126</f>
        <v>0.38740920096852299</v>
      </c>
      <c r="L122" s="38">
        <v>428</v>
      </c>
      <c r="M122" s="39">
        <f>L122/L126</f>
        <v>0.44816753926701569</v>
      </c>
      <c r="N122" s="29">
        <f>B122+D122+F122+H122+J122+L122</f>
        <v>1302</v>
      </c>
      <c r="O122" s="39">
        <f>N122/N126</f>
        <v>0.4394195072561593</v>
      </c>
    </row>
    <row r="123" spans="1:19" x14ac:dyDescent="0.2">
      <c r="A123" s="26" t="s">
        <v>27</v>
      </c>
      <c r="B123" s="38">
        <v>220</v>
      </c>
      <c r="C123" s="39">
        <f>B123/B126</f>
        <v>0.45833333333333331</v>
      </c>
      <c r="D123" s="38">
        <v>14</v>
      </c>
      <c r="E123" s="39">
        <f>D123/D126</f>
        <v>0.3888888888888889</v>
      </c>
      <c r="F123" s="38">
        <v>114</v>
      </c>
      <c r="G123" s="39">
        <f>F123/F126</f>
        <v>0.59067357512953367</v>
      </c>
      <c r="H123" s="38">
        <v>436</v>
      </c>
      <c r="I123" s="39">
        <f>H123/H126</f>
        <v>0.49209932279909707</v>
      </c>
      <c r="J123" s="38">
        <v>221</v>
      </c>
      <c r="K123" s="39">
        <f>J123/J126</f>
        <v>0.53510895883777243</v>
      </c>
      <c r="L123" s="38">
        <v>470</v>
      </c>
      <c r="M123" s="39">
        <f>L123/L126</f>
        <v>0.49214659685863876</v>
      </c>
      <c r="N123" s="29">
        <f>B123+D123+F123+H123+J123+L123</f>
        <v>1475</v>
      </c>
      <c r="O123" s="39">
        <f>N123/N126</f>
        <v>0.49780627742153222</v>
      </c>
    </row>
    <row r="124" spans="1:19" x14ac:dyDescent="0.2">
      <c r="A124" s="26" t="s">
        <v>26</v>
      </c>
      <c r="B124" s="38">
        <v>23</v>
      </c>
      <c r="C124" s="39">
        <f>B124/B126</f>
        <v>4.791666666666667E-2</v>
      </c>
      <c r="D124" s="38">
        <v>3</v>
      </c>
      <c r="E124" s="39">
        <f>D124/D126</f>
        <v>8.3333333333333329E-2</v>
      </c>
      <c r="F124" s="38">
        <v>16</v>
      </c>
      <c r="G124" s="39">
        <f>F124/F126</f>
        <v>8.2901554404145081E-2</v>
      </c>
      <c r="H124" s="38">
        <v>32</v>
      </c>
      <c r="I124" s="39">
        <f>H124/H126</f>
        <v>3.6117381489841983E-2</v>
      </c>
      <c r="J124" s="38">
        <v>25</v>
      </c>
      <c r="K124" s="39">
        <f>J124/J126</f>
        <v>6.0532687651331719E-2</v>
      </c>
      <c r="L124" s="38">
        <v>41</v>
      </c>
      <c r="M124" s="39">
        <f>L124/L126</f>
        <v>4.2931937172774867E-2</v>
      </c>
      <c r="N124" s="29">
        <f>B124+D124+F124+H124+J124+L124</f>
        <v>140</v>
      </c>
      <c r="O124" s="39">
        <f>N124/N126</f>
        <v>4.7249409382382722E-2</v>
      </c>
    </row>
    <row r="125" spans="1:19" x14ac:dyDescent="0.2">
      <c r="A125" s="26" t="s">
        <v>25</v>
      </c>
      <c r="B125" s="38">
        <v>3</v>
      </c>
      <c r="C125" s="39">
        <f>B125/B126</f>
        <v>6.2500000000000003E-3</v>
      </c>
      <c r="D125" s="38"/>
      <c r="E125" s="39">
        <f>D125/D126</f>
        <v>0</v>
      </c>
      <c r="F125" s="38">
        <v>8</v>
      </c>
      <c r="G125" s="39">
        <f>F125/F126</f>
        <v>4.145077720207254E-2</v>
      </c>
      <c r="H125" s="38">
        <v>12</v>
      </c>
      <c r="I125" s="39">
        <f>H125/H126</f>
        <v>1.3544018058690745E-2</v>
      </c>
      <c r="J125" s="38">
        <v>7</v>
      </c>
      <c r="K125" s="39">
        <f>J125/J126</f>
        <v>1.6949152542372881E-2</v>
      </c>
      <c r="L125" s="38">
        <v>16</v>
      </c>
      <c r="M125" s="39">
        <f>L125/L126</f>
        <v>1.6753926701570682E-2</v>
      </c>
      <c r="N125" s="29">
        <f>B125+D125+F125+H125+J125+L125</f>
        <v>46</v>
      </c>
      <c r="O125" s="39">
        <f>N125/N126</f>
        <v>1.5524805939925751E-2</v>
      </c>
    </row>
    <row r="126" spans="1:19" s="43" customFormat="1" x14ac:dyDescent="0.2">
      <c r="A126" s="36" t="s">
        <v>1</v>
      </c>
      <c r="B126" s="30">
        <f t="shared" ref="B126:L126" si="36">SUM(B122:B125)</f>
        <v>480</v>
      </c>
      <c r="C126" s="41">
        <f>SUM(C122:C125)</f>
        <v>1</v>
      </c>
      <c r="D126" s="30">
        <f t="shared" si="36"/>
        <v>36</v>
      </c>
      <c r="E126" s="41">
        <f>SUM(E122:E125)</f>
        <v>1</v>
      </c>
      <c r="F126" s="30">
        <f t="shared" si="36"/>
        <v>193</v>
      </c>
      <c r="G126" s="41">
        <f>SUM(G122:G125)</f>
        <v>1</v>
      </c>
      <c r="H126" s="30">
        <f t="shared" si="36"/>
        <v>886</v>
      </c>
      <c r="I126" s="41">
        <f>SUM(I122:I125)</f>
        <v>1</v>
      </c>
      <c r="J126" s="30">
        <f t="shared" si="36"/>
        <v>413</v>
      </c>
      <c r="K126" s="41">
        <f>SUM(K122:K125)</f>
        <v>1</v>
      </c>
      <c r="L126" s="30">
        <f t="shared" si="36"/>
        <v>955</v>
      </c>
      <c r="M126" s="41">
        <f>SUM(M122:M125)</f>
        <v>1</v>
      </c>
      <c r="N126" s="30">
        <f>SUM(N120:N125)</f>
        <v>2963</v>
      </c>
      <c r="O126" s="41">
        <f>SUM(O120:O125)</f>
        <v>1</v>
      </c>
      <c r="P126" s="46"/>
      <c r="Q126" s="51"/>
      <c r="R126" s="51"/>
      <c r="S126" s="51"/>
    </row>
    <row r="127" spans="1:19" x14ac:dyDescent="0.2">
      <c r="A127" s="36" t="s">
        <v>115</v>
      </c>
      <c r="B127" s="25"/>
      <c r="C127" s="65">
        <f>SUM(C122:C123)</f>
        <v>0.9458333333333333</v>
      </c>
      <c r="D127" s="25"/>
      <c r="E127" s="65">
        <f>SUM(E122:E123)</f>
        <v>0.91666666666666674</v>
      </c>
      <c r="F127" s="25"/>
      <c r="G127" s="65">
        <f>SUM(G122:G123)</f>
        <v>0.87564766839378239</v>
      </c>
      <c r="H127" s="25"/>
      <c r="I127" s="65">
        <f>SUM(I122:I123)</f>
        <v>0.95033860045146734</v>
      </c>
      <c r="J127" s="25"/>
      <c r="K127" s="65">
        <f>SUM(K122:K123)</f>
        <v>0.92251815980629548</v>
      </c>
      <c r="L127" s="25"/>
      <c r="M127" s="65">
        <f>SUM(M122:M123)</f>
        <v>0.9403141361256544</v>
      </c>
      <c r="N127" s="30"/>
      <c r="O127" s="65">
        <f>SUM(O122:O123)</f>
        <v>0.93722578467769146</v>
      </c>
    </row>
    <row r="128" spans="1:19" x14ac:dyDescent="0.2">
      <c r="A128" s="19"/>
      <c r="B128" s="4"/>
      <c r="G128" s="49"/>
      <c r="H128" s="46"/>
    </row>
    <row r="129" spans="1:19" ht="24" x14ac:dyDescent="0.2">
      <c r="A129" s="36" t="s">
        <v>53</v>
      </c>
      <c r="B129" s="151" t="s">
        <v>128</v>
      </c>
      <c r="C129" s="151"/>
      <c r="D129" s="151" t="s">
        <v>99</v>
      </c>
      <c r="E129" s="151"/>
      <c r="F129" s="150" t="s">
        <v>176</v>
      </c>
      <c r="G129" s="150"/>
      <c r="H129" s="151" t="s">
        <v>101</v>
      </c>
      <c r="I129" s="151"/>
      <c r="J129" s="151" t="s">
        <v>100</v>
      </c>
      <c r="K129" s="151"/>
      <c r="L129" s="151" t="s">
        <v>126</v>
      </c>
      <c r="M129" s="151"/>
      <c r="N129" s="148" t="s">
        <v>1</v>
      </c>
      <c r="O129" s="148"/>
    </row>
    <row r="130" spans="1:19" x14ac:dyDescent="0.2">
      <c r="A130" s="26" t="s">
        <v>28</v>
      </c>
      <c r="B130" s="38">
        <v>323</v>
      </c>
      <c r="C130" s="39">
        <f>B130/B134</f>
        <v>0.67432150313152406</v>
      </c>
      <c r="D130" s="38">
        <v>25</v>
      </c>
      <c r="E130" s="39">
        <f>D130/D134</f>
        <v>0.69444444444444442</v>
      </c>
      <c r="F130" s="38">
        <v>97</v>
      </c>
      <c r="G130" s="39">
        <f>F130/F134</f>
        <v>0.50785340314136129</v>
      </c>
      <c r="H130" s="38">
        <v>552</v>
      </c>
      <c r="I130" s="39">
        <f>H130/H134</f>
        <v>0.62372881355932208</v>
      </c>
      <c r="J130" s="38">
        <v>221</v>
      </c>
      <c r="K130" s="39">
        <f>J130/J134</f>
        <v>0.53510895883777243</v>
      </c>
      <c r="L130" s="38">
        <v>602</v>
      </c>
      <c r="M130" s="39">
        <f>L130/L134</f>
        <v>0.62904911180773249</v>
      </c>
      <c r="N130" s="29">
        <f>B130+D130+F130+H130+J130+L130</f>
        <v>1820</v>
      </c>
      <c r="O130" s="39">
        <f>N130/N134</f>
        <v>0.61465721040189125</v>
      </c>
    </row>
    <row r="131" spans="1:19" x14ac:dyDescent="0.2">
      <c r="A131" s="26" t="s">
        <v>27</v>
      </c>
      <c r="B131" s="38">
        <v>147</v>
      </c>
      <c r="C131" s="39">
        <f>B131/B134</f>
        <v>0.3068893528183716</v>
      </c>
      <c r="D131" s="38">
        <v>11</v>
      </c>
      <c r="E131" s="39">
        <f>D131/D134</f>
        <v>0.30555555555555558</v>
      </c>
      <c r="F131" s="38">
        <v>86</v>
      </c>
      <c r="G131" s="39">
        <f>F131/F134</f>
        <v>0.45026178010471202</v>
      </c>
      <c r="H131" s="38">
        <v>308</v>
      </c>
      <c r="I131" s="39">
        <f>H131/H134</f>
        <v>0.34802259887005649</v>
      </c>
      <c r="J131" s="38">
        <v>184</v>
      </c>
      <c r="K131" s="39">
        <f>J131/J134</f>
        <v>0.44552058111380144</v>
      </c>
      <c r="L131" s="38">
        <v>327</v>
      </c>
      <c r="M131" s="39">
        <f>L131/L134</f>
        <v>0.34169278996865204</v>
      </c>
      <c r="N131" s="29">
        <f>B131+D131+F131+H131+J131+L131</f>
        <v>1063</v>
      </c>
      <c r="O131" s="39">
        <f>N131/N134</f>
        <v>0.35900033772374196</v>
      </c>
    </row>
    <row r="132" spans="1:19" x14ac:dyDescent="0.2">
      <c r="A132" s="26" t="s">
        <v>26</v>
      </c>
      <c r="B132" s="38">
        <v>8</v>
      </c>
      <c r="C132" s="39">
        <f>B132/B134</f>
        <v>1.6701461377870562E-2</v>
      </c>
      <c r="D132" s="38"/>
      <c r="E132" s="39">
        <f>D132/D134</f>
        <v>0</v>
      </c>
      <c r="F132" s="38">
        <v>8</v>
      </c>
      <c r="G132" s="39">
        <f>F132/F134</f>
        <v>4.1884816753926704E-2</v>
      </c>
      <c r="H132" s="38">
        <v>20</v>
      </c>
      <c r="I132" s="39">
        <f>H132/H134</f>
        <v>2.2598870056497175E-2</v>
      </c>
      <c r="J132" s="38">
        <v>5</v>
      </c>
      <c r="K132" s="39">
        <f>J132/J134</f>
        <v>1.2106537530266344E-2</v>
      </c>
      <c r="L132" s="38">
        <v>24</v>
      </c>
      <c r="M132" s="39">
        <f>L132/L134</f>
        <v>2.5078369905956112E-2</v>
      </c>
      <c r="N132" s="29">
        <f>B132+D132+F132+H132+J132+L132</f>
        <v>65</v>
      </c>
      <c r="O132" s="39">
        <f>N132/N134</f>
        <v>2.1952043228638973E-2</v>
      </c>
    </row>
    <row r="133" spans="1:19" x14ac:dyDescent="0.2">
      <c r="A133" s="26" t="s">
        <v>25</v>
      </c>
      <c r="B133" s="38">
        <v>1</v>
      </c>
      <c r="C133" s="39">
        <f>B133/B134</f>
        <v>2.0876826722338203E-3</v>
      </c>
      <c r="D133" s="38"/>
      <c r="E133" s="39">
        <f>D133/D134</f>
        <v>0</v>
      </c>
      <c r="F133" s="38"/>
      <c r="G133" s="39">
        <f>F133/F134</f>
        <v>0</v>
      </c>
      <c r="H133" s="38">
        <v>5</v>
      </c>
      <c r="I133" s="39">
        <f>H133/H134</f>
        <v>5.6497175141242938E-3</v>
      </c>
      <c r="J133" s="38">
        <v>3</v>
      </c>
      <c r="K133" s="39">
        <f>J133/J134</f>
        <v>7.2639225181598066E-3</v>
      </c>
      <c r="L133" s="38">
        <v>4</v>
      </c>
      <c r="M133" s="39">
        <f>L133/L134</f>
        <v>4.1797283176593526E-3</v>
      </c>
      <c r="N133" s="29">
        <f>B133+D133+F133+H133+J133+L133</f>
        <v>13</v>
      </c>
      <c r="O133" s="39">
        <f>N133/N134</f>
        <v>4.3904086457277943E-3</v>
      </c>
    </row>
    <row r="134" spans="1:19" s="43" customFormat="1" x14ac:dyDescent="0.2">
      <c r="A134" s="36" t="s">
        <v>1</v>
      </c>
      <c r="B134" s="30">
        <f t="shared" ref="B134" si="37">SUM(B130:B133)</f>
        <v>479</v>
      </c>
      <c r="C134" s="41">
        <f>SUM(C130:C133)</f>
        <v>1</v>
      </c>
      <c r="D134" s="30">
        <f t="shared" ref="D134" si="38">SUM(D130:D133)</f>
        <v>36</v>
      </c>
      <c r="E134" s="41">
        <f>SUM(E130:E133)</f>
        <v>1</v>
      </c>
      <c r="F134" s="30">
        <f t="shared" ref="F134" si="39">SUM(F130:F133)</f>
        <v>191</v>
      </c>
      <c r="G134" s="41">
        <f>SUM(G130:G133)</f>
        <v>1</v>
      </c>
      <c r="H134" s="30">
        <f t="shared" ref="H134" si="40">SUM(H130:H133)</f>
        <v>885</v>
      </c>
      <c r="I134" s="41">
        <f>SUM(I130:I133)</f>
        <v>1</v>
      </c>
      <c r="J134" s="30">
        <f t="shared" ref="J134" si="41">SUM(J130:J133)</f>
        <v>413</v>
      </c>
      <c r="K134" s="41">
        <f>SUM(K130:K133)</f>
        <v>1</v>
      </c>
      <c r="L134" s="30">
        <f t="shared" ref="L134" si="42">SUM(L130:L133)</f>
        <v>957</v>
      </c>
      <c r="M134" s="41">
        <f>SUM(M130:M133)</f>
        <v>1</v>
      </c>
      <c r="N134" s="30">
        <f>SUM(N129:N133)</f>
        <v>2961</v>
      </c>
      <c r="O134" s="41">
        <f>SUM(O129:O133)</f>
        <v>1</v>
      </c>
      <c r="P134" s="46"/>
      <c r="Q134" s="51"/>
      <c r="R134" s="51"/>
      <c r="S134" s="51"/>
    </row>
    <row r="135" spans="1:19" x14ac:dyDescent="0.2">
      <c r="A135" s="36" t="s">
        <v>115</v>
      </c>
      <c r="B135" s="25"/>
      <c r="C135" s="65">
        <f>SUM(C130:C131)</f>
        <v>0.98121085594989566</v>
      </c>
      <c r="D135" s="25"/>
      <c r="E135" s="65">
        <f>SUM(E130:E131)</f>
        <v>1</v>
      </c>
      <c r="F135" s="25"/>
      <c r="G135" s="65">
        <f>SUM(G130:G131)</f>
        <v>0.95811518324607325</v>
      </c>
      <c r="H135" s="25"/>
      <c r="I135" s="65">
        <f>SUM(I130:I131)</f>
        <v>0.97175141242937857</v>
      </c>
      <c r="J135" s="25"/>
      <c r="K135" s="65">
        <f>SUM(K130:K131)</f>
        <v>0.98062953995157387</v>
      </c>
      <c r="L135" s="25"/>
      <c r="M135" s="65">
        <f>SUM(M130:M131)</f>
        <v>0.97074190177638453</v>
      </c>
      <c r="N135" s="30"/>
      <c r="O135" s="65">
        <f>SUM(O130:O131)</f>
        <v>0.97365754812563321</v>
      </c>
    </row>
    <row r="136" spans="1:19" x14ac:dyDescent="0.2">
      <c r="A136" s="19"/>
      <c r="B136" s="4"/>
      <c r="G136" s="49"/>
      <c r="H136" s="46"/>
    </row>
    <row r="137" spans="1:19" ht="24" x14ac:dyDescent="0.2">
      <c r="A137" s="36" t="s">
        <v>54</v>
      </c>
      <c r="B137" s="151" t="s">
        <v>128</v>
      </c>
      <c r="C137" s="151"/>
      <c r="D137" s="151" t="s">
        <v>99</v>
      </c>
      <c r="E137" s="151"/>
      <c r="F137" s="150" t="s">
        <v>176</v>
      </c>
      <c r="G137" s="150"/>
      <c r="H137" s="151" t="s">
        <v>101</v>
      </c>
      <c r="I137" s="151"/>
      <c r="J137" s="151" t="s">
        <v>100</v>
      </c>
      <c r="K137" s="151"/>
      <c r="L137" s="151" t="s">
        <v>126</v>
      </c>
      <c r="M137" s="151"/>
      <c r="N137" s="148" t="s">
        <v>1</v>
      </c>
      <c r="O137" s="148"/>
    </row>
    <row r="138" spans="1:19" x14ac:dyDescent="0.2">
      <c r="A138" s="26" t="s">
        <v>28</v>
      </c>
      <c r="B138" s="38">
        <v>254</v>
      </c>
      <c r="C138" s="39">
        <f>B138/B142</f>
        <v>0.53138075313807531</v>
      </c>
      <c r="D138" s="38">
        <v>18</v>
      </c>
      <c r="E138" s="39">
        <f>D138/D142</f>
        <v>0.48648648648648651</v>
      </c>
      <c r="F138" s="38">
        <v>76</v>
      </c>
      <c r="G138" s="39">
        <f>F138/F142</f>
        <v>0.39378238341968913</v>
      </c>
      <c r="H138" s="38">
        <v>443</v>
      </c>
      <c r="I138" s="39">
        <f>H138/H142</f>
        <v>0.50226757369614516</v>
      </c>
      <c r="J138" s="38">
        <v>180</v>
      </c>
      <c r="K138" s="39">
        <f>J138/J142</f>
        <v>0.43373493975903615</v>
      </c>
      <c r="L138" s="38">
        <v>451</v>
      </c>
      <c r="M138" s="39">
        <f>L138/L142</f>
        <v>0.47175732217573224</v>
      </c>
      <c r="N138" s="29">
        <f>B138+D138+F138+H138+J138+L138</f>
        <v>1422</v>
      </c>
      <c r="O138" s="39">
        <f>N138/N142</f>
        <v>0.48024316109422494</v>
      </c>
    </row>
    <row r="139" spans="1:19" x14ac:dyDescent="0.2">
      <c r="A139" s="26" t="s">
        <v>27</v>
      </c>
      <c r="B139" s="38">
        <v>202</v>
      </c>
      <c r="C139" s="39">
        <f>B139/B142</f>
        <v>0.42259414225941422</v>
      </c>
      <c r="D139" s="38">
        <v>18</v>
      </c>
      <c r="E139" s="39">
        <f>D139/D142</f>
        <v>0.48648648648648651</v>
      </c>
      <c r="F139" s="38">
        <v>84</v>
      </c>
      <c r="G139" s="39">
        <f>F139/F142</f>
        <v>0.43523316062176165</v>
      </c>
      <c r="H139" s="38">
        <v>386</v>
      </c>
      <c r="I139" s="39">
        <f>H139/H142</f>
        <v>0.43764172335600909</v>
      </c>
      <c r="J139" s="38">
        <v>192</v>
      </c>
      <c r="K139" s="39">
        <f>J139/J142</f>
        <v>0.46265060240963857</v>
      </c>
      <c r="L139" s="38">
        <v>429</v>
      </c>
      <c r="M139" s="39">
        <f>L139/L142</f>
        <v>0.44874476987447698</v>
      </c>
      <c r="N139" s="29">
        <f>B139+D139+F139+H139+J139+L139</f>
        <v>1311</v>
      </c>
      <c r="O139" s="39">
        <f>N139/N142</f>
        <v>0.44275582573454914</v>
      </c>
    </row>
    <row r="140" spans="1:19" x14ac:dyDescent="0.2">
      <c r="A140" s="26" t="s">
        <v>26</v>
      </c>
      <c r="B140" s="38">
        <v>20</v>
      </c>
      <c r="C140" s="39">
        <f>B140/B142</f>
        <v>4.1841004184100417E-2</v>
      </c>
      <c r="D140" s="38">
        <v>1</v>
      </c>
      <c r="E140" s="39">
        <f>D140/D142</f>
        <v>2.7027027027027029E-2</v>
      </c>
      <c r="F140" s="38">
        <v>25</v>
      </c>
      <c r="G140" s="39">
        <f>F140/F142</f>
        <v>0.12953367875647667</v>
      </c>
      <c r="H140" s="38">
        <v>46</v>
      </c>
      <c r="I140" s="39">
        <f>H140/H142</f>
        <v>5.2154195011337869E-2</v>
      </c>
      <c r="J140" s="38">
        <v>35</v>
      </c>
      <c r="K140" s="39">
        <f>J140/J142</f>
        <v>8.4337349397590355E-2</v>
      </c>
      <c r="L140" s="38">
        <v>67</v>
      </c>
      <c r="M140" s="39">
        <f>L140/L142</f>
        <v>7.0083682008368203E-2</v>
      </c>
      <c r="N140" s="29">
        <f>B140+D140+F140+H140+J140+L140</f>
        <v>194</v>
      </c>
      <c r="O140" s="39">
        <f>N140/N142</f>
        <v>6.551840594393786E-2</v>
      </c>
    </row>
    <row r="141" spans="1:19" x14ac:dyDescent="0.2">
      <c r="A141" s="26" t="s">
        <v>25</v>
      </c>
      <c r="B141" s="38">
        <v>2</v>
      </c>
      <c r="C141" s="39">
        <f>B141/B142</f>
        <v>4.1841004184100415E-3</v>
      </c>
      <c r="D141" s="38"/>
      <c r="E141" s="39">
        <f>D141/D142</f>
        <v>0</v>
      </c>
      <c r="F141" s="38">
        <v>8</v>
      </c>
      <c r="G141" s="39">
        <f>F141/F142</f>
        <v>4.145077720207254E-2</v>
      </c>
      <c r="H141" s="38">
        <v>7</v>
      </c>
      <c r="I141" s="39">
        <f>H141/H142</f>
        <v>7.9365079365079361E-3</v>
      </c>
      <c r="J141" s="38">
        <v>8</v>
      </c>
      <c r="K141" s="39">
        <f>J141/J142</f>
        <v>1.9277108433734941E-2</v>
      </c>
      <c r="L141" s="38">
        <v>9</v>
      </c>
      <c r="M141" s="39">
        <f>L141/L142</f>
        <v>9.4142259414225944E-3</v>
      </c>
      <c r="N141" s="29">
        <f>B141+D141+F141+H141+J141+L141</f>
        <v>34</v>
      </c>
      <c r="O141" s="39">
        <f>N141/N142</f>
        <v>1.1482607227288078E-2</v>
      </c>
    </row>
    <row r="142" spans="1:19" s="43" customFormat="1" x14ac:dyDescent="0.2">
      <c r="A142" s="36" t="s">
        <v>1</v>
      </c>
      <c r="B142" s="30">
        <f t="shared" ref="B142" si="43">SUM(B138:B141)</f>
        <v>478</v>
      </c>
      <c r="C142" s="41">
        <f>SUM(C138:C141)</f>
        <v>1</v>
      </c>
      <c r="D142" s="30">
        <f t="shared" ref="D142" si="44">SUM(D138:D141)</f>
        <v>37</v>
      </c>
      <c r="E142" s="41">
        <f>SUM(E138:E141)</f>
        <v>1</v>
      </c>
      <c r="F142" s="30">
        <f t="shared" ref="F142" si="45">SUM(F138:F141)</f>
        <v>193</v>
      </c>
      <c r="G142" s="41">
        <f>SUM(G138:G141)</f>
        <v>1</v>
      </c>
      <c r="H142" s="30">
        <f t="shared" ref="H142" si="46">SUM(H138:H141)</f>
        <v>882</v>
      </c>
      <c r="I142" s="41">
        <f>SUM(I138:I141)</f>
        <v>1.0000000000000002</v>
      </c>
      <c r="J142" s="30">
        <f t="shared" ref="J142" si="47">SUM(J138:J141)</f>
        <v>415</v>
      </c>
      <c r="K142" s="41">
        <f>SUM(K138:K141)</f>
        <v>1</v>
      </c>
      <c r="L142" s="30">
        <f t="shared" ref="L142" si="48">SUM(L138:L141)</f>
        <v>956</v>
      </c>
      <c r="M142" s="41">
        <f>SUM(M138:M141)</f>
        <v>1</v>
      </c>
      <c r="N142" s="30">
        <f>SUM(N136:N141)</f>
        <v>2961</v>
      </c>
      <c r="O142" s="41">
        <f>SUM(O136:O141)</f>
        <v>1</v>
      </c>
      <c r="P142" s="46"/>
      <c r="Q142" s="51"/>
      <c r="R142" s="51"/>
      <c r="S142" s="51"/>
    </row>
    <row r="143" spans="1:19" x14ac:dyDescent="0.2">
      <c r="A143" s="36" t="s">
        <v>115</v>
      </c>
      <c r="B143" s="25"/>
      <c r="C143" s="65">
        <f>SUM(C138:C139)</f>
        <v>0.95397489539748959</v>
      </c>
      <c r="D143" s="25"/>
      <c r="E143" s="65">
        <f>SUM(E138:E139)</f>
        <v>0.97297297297297303</v>
      </c>
      <c r="F143" s="25"/>
      <c r="G143" s="65">
        <f>SUM(G138:G139)</f>
        <v>0.82901554404145084</v>
      </c>
      <c r="H143" s="25"/>
      <c r="I143" s="65">
        <f>SUM(I138:I139)</f>
        <v>0.93990929705215431</v>
      </c>
      <c r="J143" s="25"/>
      <c r="K143" s="65">
        <f>SUM(K138:K139)</f>
        <v>0.89638554216867472</v>
      </c>
      <c r="L143" s="25"/>
      <c r="M143" s="65">
        <f>SUM(M138:M139)</f>
        <v>0.92050209205020916</v>
      </c>
      <c r="N143" s="30"/>
      <c r="O143" s="65">
        <f>SUM(O138:O139)</f>
        <v>0.92299898682877402</v>
      </c>
    </row>
    <row r="144" spans="1:19" x14ac:dyDescent="0.2">
      <c r="A144" s="19"/>
      <c r="B144" s="4"/>
      <c r="G144" s="49"/>
      <c r="H144" s="46"/>
    </row>
    <row r="145" spans="1:19" x14ac:dyDescent="0.2">
      <c r="A145" s="36" t="s">
        <v>55</v>
      </c>
      <c r="B145" s="151" t="s">
        <v>128</v>
      </c>
      <c r="C145" s="151"/>
      <c r="D145" s="151" t="s">
        <v>99</v>
      </c>
      <c r="E145" s="151"/>
      <c r="F145" s="150" t="s">
        <v>176</v>
      </c>
      <c r="G145" s="150"/>
      <c r="H145" s="151" t="s">
        <v>101</v>
      </c>
      <c r="I145" s="151"/>
      <c r="J145" s="151" t="s">
        <v>100</v>
      </c>
      <c r="K145" s="151"/>
      <c r="L145" s="151" t="s">
        <v>126</v>
      </c>
      <c r="M145" s="151"/>
      <c r="N145" s="148" t="s">
        <v>1</v>
      </c>
      <c r="O145" s="148"/>
    </row>
    <row r="146" spans="1:19" x14ac:dyDescent="0.2">
      <c r="A146" s="26" t="s">
        <v>28</v>
      </c>
      <c r="B146" s="38">
        <v>240</v>
      </c>
      <c r="C146" s="39">
        <f>B146/B150</f>
        <v>0.502092050209205</v>
      </c>
      <c r="D146" s="38">
        <v>19</v>
      </c>
      <c r="E146" s="39">
        <f>D146/D150</f>
        <v>0.54285714285714282</v>
      </c>
      <c r="F146" s="38">
        <v>71</v>
      </c>
      <c r="G146" s="39">
        <f>F146/F150</f>
        <v>0.36787564766839376</v>
      </c>
      <c r="H146" s="38">
        <v>393</v>
      </c>
      <c r="I146" s="39">
        <f>H146/H150</f>
        <v>0.44457013574660631</v>
      </c>
      <c r="J146" s="38">
        <v>160</v>
      </c>
      <c r="K146" s="39">
        <f>J146/J150</f>
        <v>0.38554216867469882</v>
      </c>
      <c r="L146" s="38">
        <v>433</v>
      </c>
      <c r="M146" s="39">
        <f>L146/L150</f>
        <v>0.45387840670859536</v>
      </c>
      <c r="N146" s="29">
        <f>B146+D146+F146+H146+J146+L146</f>
        <v>1316</v>
      </c>
      <c r="O146" s="39">
        <f>N146/N150</f>
        <v>0.44474484623183508</v>
      </c>
    </row>
    <row r="147" spans="1:19" x14ac:dyDescent="0.2">
      <c r="A147" s="26" t="s">
        <v>27</v>
      </c>
      <c r="B147" s="38">
        <v>223</v>
      </c>
      <c r="C147" s="39">
        <f>B147/B150</f>
        <v>0.46652719665271969</v>
      </c>
      <c r="D147" s="38">
        <v>15</v>
      </c>
      <c r="E147" s="39">
        <f>D147/D150</f>
        <v>0.42857142857142855</v>
      </c>
      <c r="F147" s="38">
        <v>103</v>
      </c>
      <c r="G147" s="39">
        <f>F147/F150</f>
        <v>0.53367875647668395</v>
      </c>
      <c r="H147" s="38">
        <v>460</v>
      </c>
      <c r="I147" s="39">
        <f>H147/H150</f>
        <v>0.52036199095022628</v>
      </c>
      <c r="J147" s="38">
        <v>233</v>
      </c>
      <c r="K147" s="39">
        <f>J147/J150</f>
        <v>0.56144578313253013</v>
      </c>
      <c r="L147" s="38">
        <v>480</v>
      </c>
      <c r="M147" s="39">
        <f>L147/L150</f>
        <v>0.50314465408805031</v>
      </c>
      <c r="N147" s="29">
        <f>B147+D147+F147+H147+J147+L147</f>
        <v>1514</v>
      </c>
      <c r="O147" s="39">
        <f>N147/N150</f>
        <v>0.51165934437309901</v>
      </c>
    </row>
    <row r="148" spans="1:19" x14ac:dyDescent="0.2">
      <c r="A148" s="26" t="s">
        <v>26</v>
      </c>
      <c r="B148" s="38">
        <v>12</v>
      </c>
      <c r="C148" s="39">
        <f>B148/B150</f>
        <v>2.5104602510460251E-2</v>
      </c>
      <c r="D148" s="38">
        <v>1</v>
      </c>
      <c r="E148" s="39">
        <f>D148/D150</f>
        <v>2.8571428571428571E-2</v>
      </c>
      <c r="F148" s="38">
        <v>15</v>
      </c>
      <c r="G148" s="39">
        <f>F148/F150</f>
        <v>7.7720207253886009E-2</v>
      </c>
      <c r="H148" s="38">
        <v>27</v>
      </c>
      <c r="I148" s="39">
        <f>H148/H150</f>
        <v>3.0542986425339366E-2</v>
      </c>
      <c r="J148" s="38">
        <v>15</v>
      </c>
      <c r="K148" s="39">
        <f>J148/J150</f>
        <v>3.614457831325301E-2</v>
      </c>
      <c r="L148" s="38">
        <v>34</v>
      </c>
      <c r="M148" s="39">
        <f>L148/L150</f>
        <v>3.5639412997903561E-2</v>
      </c>
      <c r="N148" s="29">
        <f>B148+D148+F148+H148+J148+L148</f>
        <v>104</v>
      </c>
      <c r="O148" s="39">
        <f>N148/N150</f>
        <v>3.5147009124704295E-2</v>
      </c>
    </row>
    <row r="149" spans="1:19" x14ac:dyDescent="0.2">
      <c r="A149" s="26" t="s">
        <v>25</v>
      </c>
      <c r="B149" s="38">
        <v>3</v>
      </c>
      <c r="C149" s="39">
        <f>B149/B150</f>
        <v>6.2761506276150627E-3</v>
      </c>
      <c r="D149" s="38"/>
      <c r="E149" s="39">
        <f>D149/D150</f>
        <v>0</v>
      </c>
      <c r="F149" s="38">
        <v>4</v>
      </c>
      <c r="G149" s="39">
        <f>F149/F150</f>
        <v>2.072538860103627E-2</v>
      </c>
      <c r="H149" s="38">
        <v>4</v>
      </c>
      <c r="I149" s="39">
        <f>H149/H150</f>
        <v>4.5248868778280547E-3</v>
      </c>
      <c r="J149" s="38">
        <v>7</v>
      </c>
      <c r="K149" s="39">
        <f>J149/J150</f>
        <v>1.6867469879518072E-2</v>
      </c>
      <c r="L149" s="38">
        <v>7</v>
      </c>
      <c r="M149" s="39">
        <f>L149/L150</f>
        <v>7.3375262054507341E-3</v>
      </c>
      <c r="N149" s="29">
        <f>B149+D149+F149+H149+J149+L149</f>
        <v>25</v>
      </c>
      <c r="O149" s="39">
        <f>N149/N150</f>
        <v>8.4488002703616092E-3</v>
      </c>
    </row>
    <row r="150" spans="1:19" s="43" customFormat="1" x14ac:dyDescent="0.2">
      <c r="A150" s="36" t="s">
        <v>1</v>
      </c>
      <c r="B150" s="30">
        <f t="shared" ref="B150" si="49">SUM(B146:B149)</f>
        <v>478</v>
      </c>
      <c r="C150" s="41">
        <f>SUM(C146:C149)</f>
        <v>1</v>
      </c>
      <c r="D150" s="30">
        <f t="shared" ref="D150" si="50">SUM(D146:D149)</f>
        <v>35</v>
      </c>
      <c r="E150" s="41">
        <f>SUM(E146:E149)</f>
        <v>0.99999999999999989</v>
      </c>
      <c r="F150" s="30">
        <f t="shared" ref="F150" si="51">SUM(F146:F149)</f>
        <v>193</v>
      </c>
      <c r="G150" s="41">
        <f>SUM(G146:G149)</f>
        <v>0.99999999999999989</v>
      </c>
      <c r="H150" s="30">
        <f t="shared" ref="H150" si="52">SUM(H146:H149)</f>
        <v>884</v>
      </c>
      <c r="I150" s="41">
        <f>SUM(I146:I149)</f>
        <v>1</v>
      </c>
      <c r="J150" s="30">
        <f t="shared" ref="J150" si="53">SUM(J146:J149)</f>
        <v>415</v>
      </c>
      <c r="K150" s="41">
        <f>SUM(K146:K149)</f>
        <v>1</v>
      </c>
      <c r="L150" s="30">
        <f t="shared" ref="L150" si="54">SUM(L146:L149)</f>
        <v>954</v>
      </c>
      <c r="M150" s="41">
        <f>SUM(M146:M149)</f>
        <v>0.99999999999999989</v>
      </c>
      <c r="N150" s="30">
        <f>SUM(N144:N149)</f>
        <v>2959</v>
      </c>
      <c r="O150" s="41">
        <f>SUM(O144:O149)</f>
        <v>1</v>
      </c>
      <c r="P150" s="46"/>
      <c r="Q150" s="51"/>
      <c r="R150" s="51"/>
      <c r="S150" s="51"/>
    </row>
    <row r="151" spans="1:19" x14ac:dyDescent="0.2">
      <c r="A151" s="36" t="s">
        <v>115</v>
      </c>
      <c r="B151" s="25"/>
      <c r="C151" s="65">
        <f>SUM(C146:C147)</f>
        <v>0.96861924686192469</v>
      </c>
      <c r="D151" s="25"/>
      <c r="E151" s="65">
        <f>SUM(E146:E147)</f>
        <v>0.97142857142857131</v>
      </c>
      <c r="F151" s="25"/>
      <c r="G151" s="65">
        <f>SUM(G146:G147)</f>
        <v>0.9015544041450777</v>
      </c>
      <c r="H151" s="25"/>
      <c r="I151" s="65">
        <f>SUM(I146:I147)</f>
        <v>0.96493212669683259</v>
      </c>
      <c r="J151" s="25"/>
      <c r="K151" s="65">
        <f>SUM(K146:K147)</f>
        <v>0.94698795180722894</v>
      </c>
      <c r="L151" s="25"/>
      <c r="M151" s="65">
        <f>SUM(M146:M147)</f>
        <v>0.95702306079664567</v>
      </c>
      <c r="N151" s="30"/>
      <c r="O151" s="65">
        <f>SUM(O146:O147)</f>
        <v>0.95640419060493409</v>
      </c>
    </row>
    <row r="152" spans="1:19" x14ac:dyDescent="0.2">
      <c r="A152" s="19"/>
      <c r="B152" s="4"/>
      <c r="G152" s="49"/>
      <c r="H152" s="46"/>
    </row>
    <row r="153" spans="1:19" x14ac:dyDescent="0.2">
      <c r="A153" s="36" t="s">
        <v>56</v>
      </c>
      <c r="B153" s="151" t="s">
        <v>128</v>
      </c>
      <c r="C153" s="151"/>
      <c r="D153" s="151" t="s">
        <v>99</v>
      </c>
      <c r="E153" s="151"/>
      <c r="F153" s="150" t="s">
        <v>176</v>
      </c>
      <c r="G153" s="150"/>
      <c r="H153" s="151" t="s">
        <v>101</v>
      </c>
      <c r="I153" s="151"/>
      <c r="J153" s="151" t="s">
        <v>100</v>
      </c>
      <c r="K153" s="151"/>
      <c r="L153" s="151" t="s">
        <v>126</v>
      </c>
      <c r="M153" s="151"/>
      <c r="N153" s="148" t="s">
        <v>1</v>
      </c>
      <c r="O153" s="148"/>
    </row>
    <row r="154" spans="1:19" x14ac:dyDescent="0.2">
      <c r="A154" s="26" t="s">
        <v>28</v>
      </c>
      <c r="B154" s="38">
        <v>198</v>
      </c>
      <c r="C154" s="39">
        <f>B154/B158</f>
        <v>0.41422594142259417</v>
      </c>
      <c r="D154" s="38">
        <v>14</v>
      </c>
      <c r="E154" s="39">
        <f>D154/D158</f>
        <v>0.3888888888888889</v>
      </c>
      <c r="F154" s="38">
        <v>56</v>
      </c>
      <c r="G154" s="39">
        <f>F154/F158</f>
        <v>0.29015544041450775</v>
      </c>
      <c r="H154" s="38">
        <v>340</v>
      </c>
      <c r="I154" s="39">
        <f>H154/H158</f>
        <v>0.3854875283446712</v>
      </c>
      <c r="J154" s="38">
        <v>136</v>
      </c>
      <c r="K154" s="39">
        <f>J154/J158</f>
        <v>0.32929782082324455</v>
      </c>
      <c r="L154" s="38">
        <v>376</v>
      </c>
      <c r="M154" s="39">
        <f>L154/L158</f>
        <v>0.39371727748691099</v>
      </c>
      <c r="N154" s="29">
        <f>B154+D154+F154+H154+J154+L154</f>
        <v>1120</v>
      </c>
      <c r="O154" s="39">
        <f>N154/N158</f>
        <v>0.37876225904633076</v>
      </c>
    </row>
    <row r="155" spans="1:19" x14ac:dyDescent="0.2">
      <c r="A155" s="26" t="s">
        <v>27</v>
      </c>
      <c r="B155" s="38">
        <v>241</v>
      </c>
      <c r="C155" s="39">
        <f>B155/B158</f>
        <v>0.50418410041841</v>
      </c>
      <c r="D155" s="38">
        <v>19</v>
      </c>
      <c r="E155" s="39">
        <f>D155/D158</f>
        <v>0.52777777777777779</v>
      </c>
      <c r="F155" s="38">
        <v>105</v>
      </c>
      <c r="G155" s="39">
        <f>F155/F158</f>
        <v>0.54404145077720212</v>
      </c>
      <c r="H155" s="38">
        <v>465</v>
      </c>
      <c r="I155" s="39">
        <f>H155/H158</f>
        <v>0.52721088435374153</v>
      </c>
      <c r="J155" s="38">
        <v>226</v>
      </c>
      <c r="K155" s="39">
        <f>J155/J158</f>
        <v>0.54721549636803879</v>
      </c>
      <c r="L155" s="38">
        <v>467</v>
      </c>
      <c r="M155" s="39">
        <f>L155/L158</f>
        <v>0.48900523560209425</v>
      </c>
      <c r="N155" s="29">
        <f>B155+D155+F155+H155+J155+L155</f>
        <v>1523</v>
      </c>
      <c r="O155" s="39">
        <f>N155/N158</f>
        <v>0.51504903618532294</v>
      </c>
    </row>
    <row r="156" spans="1:19" x14ac:dyDescent="0.2">
      <c r="A156" s="26" t="s">
        <v>26</v>
      </c>
      <c r="B156" s="38">
        <v>36</v>
      </c>
      <c r="C156" s="39">
        <f>B156/B158</f>
        <v>7.5313807531380755E-2</v>
      </c>
      <c r="D156" s="38">
        <v>2</v>
      </c>
      <c r="E156" s="39">
        <f>D156/D158</f>
        <v>5.5555555555555552E-2</v>
      </c>
      <c r="F156" s="38">
        <v>23</v>
      </c>
      <c r="G156" s="39">
        <f>F156/F158</f>
        <v>0.11917098445595854</v>
      </c>
      <c r="H156" s="38">
        <v>68</v>
      </c>
      <c r="I156" s="39">
        <f>H156/H158</f>
        <v>7.7097505668934238E-2</v>
      </c>
      <c r="J156" s="38">
        <v>38</v>
      </c>
      <c r="K156" s="39">
        <f>J156/J158</f>
        <v>9.2009685230024216E-2</v>
      </c>
      <c r="L156" s="38">
        <v>89</v>
      </c>
      <c r="M156" s="39">
        <f>L156/L158</f>
        <v>9.3193717277486918E-2</v>
      </c>
      <c r="N156" s="29">
        <f>B156+D156+F156+H156+J156+L156</f>
        <v>256</v>
      </c>
      <c r="O156" s="39">
        <f>N156/N158</f>
        <v>8.6574230639161309E-2</v>
      </c>
    </row>
    <row r="157" spans="1:19" x14ac:dyDescent="0.2">
      <c r="A157" s="26" t="s">
        <v>25</v>
      </c>
      <c r="B157" s="38">
        <v>3</v>
      </c>
      <c r="C157" s="39">
        <f>B157/B158</f>
        <v>6.2761506276150627E-3</v>
      </c>
      <c r="D157" s="38">
        <v>1</v>
      </c>
      <c r="E157" s="39">
        <f>D157/D158</f>
        <v>2.7777777777777776E-2</v>
      </c>
      <c r="F157" s="38">
        <v>9</v>
      </c>
      <c r="G157" s="39">
        <f>F157/F158</f>
        <v>4.6632124352331605E-2</v>
      </c>
      <c r="H157" s="38">
        <v>9</v>
      </c>
      <c r="I157" s="39">
        <f>H157/H158</f>
        <v>1.020408163265306E-2</v>
      </c>
      <c r="J157" s="38">
        <v>13</v>
      </c>
      <c r="K157" s="39">
        <f>J157/J158</f>
        <v>3.1476997578692496E-2</v>
      </c>
      <c r="L157" s="38">
        <v>23</v>
      </c>
      <c r="M157" s="39">
        <f>L157/L158</f>
        <v>2.4083769633507852E-2</v>
      </c>
      <c r="N157" s="29">
        <f>B157+D157+F157+H157+J157+L157</f>
        <v>58</v>
      </c>
      <c r="O157" s="39">
        <f>N157/N158</f>
        <v>1.9614474129184985E-2</v>
      </c>
    </row>
    <row r="158" spans="1:19" s="43" customFormat="1" x14ac:dyDescent="0.2">
      <c r="A158" s="36" t="s">
        <v>1</v>
      </c>
      <c r="B158" s="30">
        <f t="shared" ref="B158" si="55">SUM(B154:B157)</f>
        <v>478</v>
      </c>
      <c r="C158" s="41">
        <f>SUM(C154:C157)</f>
        <v>1</v>
      </c>
      <c r="D158" s="30">
        <f t="shared" ref="D158" si="56">SUM(D154:D157)</f>
        <v>36</v>
      </c>
      <c r="E158" s="41">
        <f>SUM(E154:E157)</f>
        <v>1</v>
      </c>
      <c r="F158" s="30">
        <f t="shared" ref="F158" si="57">SUM(F154:F157)</f>
        <v>193</v>
      </c>
      <c r="G158" s="41">
        <f>SUM(G154:G157)</f>
        <v>1</v>
      </c>
      <c r="H158" s="30">
        <f t="shared" ref="H158" si="58">SUM(H154:H157)</f>
        <v>882</v>
      </c>
      <c r="I158" s="41">
        <f>SUM(I154:I157)</f>
        <v>1</v>
      </c>
      <c r="J158" s="30">
        <f t="shared" ref="J158" si="59">SUM(J154:J157)</f>
        <v>413</v>
      </c>
      <c r="K158" s="41">
        <f>SUM(K154:K157)</f>
        <v>1</v>
      </c>
      <c r="L158" s="30">
        <f t="shared" ref="L158" si="60">SUM(L154:L157)</f>
        <v>955</v>
      </c>
      <c r="M158" s="41">
        <f>SUM(M154:M157)</f>
        <v>1</v>
      </c>
      <c r="N158" s="30">
        <f>SUM(N152:N157)</f>
        <v>2957</v>
      </c>
      <c r="O158" s="41">
        <f>SUM(O152:O157)</f>
        <v>0.99999999999999989</v>
      </c>
      <c r="P158" s="46"/>
      <c r="Q158" s="51"/>
      <c r="R158" s="51"/>
      <c r="S158" s="51"/>
    </row>
    <row r="159" spans="1:19" x14ac:dyDescent="0.2">
      <c r="A159" s="36" t="s">
        <v>115</v>
      </c>
      <c r="B159" s="25"/>
      <c r="C159" s="65">
        <f>SUM(C154:C155)</f>
        <v>0.91841004184100417</v>
      </c>
      <c r="D159" s="25"/>
      <c r="E159" s="65">
        <f>SUM(E154:E155)</f>
        <v>0.91666666666666674</v>
      </c>
      <c r="F159" s="25"/>
      <c r="G159" s="65">
        <f>SUM(G154:G155)</f>
        <v>0.83419689119170992</v>
      </c>
      <c r="H159" s="25"/>
      <c r="I159" s="65">
        <f>SUM(I154:I155)</f>
        <v>0.91269841269841279</v>
      </c>
      <c r="J159" s="25"/>
      <c r="K159" s="65">
        <f>SUM(K154:K155)</f>
        <v>0.87651331719128334</v>
      </c>
      <c r="L159" s="25"/>
      <c r="M159" s="65">
        <f>SUM(M154:M155)</f>
        <v>0.88272251308900529</v>
      </c>
      <c r="N159" s="30"/>
      <c r="O159" s="65">
        <f>SUM(O154:O155)</f>
        <v>0.8938112952316537</v>
      </c>
    </row>
    <row r="160" spans="1:19" x14ac:dyDescent="0.2">
      <c r="A160" s="19"/>
      <c r="B160" s="4"/>
      <c r="G160" s="49"/>
      <c r="H160" s="46"/>
    </row>
    <row r="161" spans="1:19" x14ac:dyDescent="0.2">
      <c r="A161" s="36" t="s">
        <v>57</v>
      </c>
      <c r="B161" s="151" t="s">
        <v>128</v>
      </c>
      <c r="C161" s="151"/>
      <c r="D161" s="151" t="s">
        <v>99</v>
      </c>
      <c r="E161" s="151"/>
      <c r="F161" s="150" t="s">
        <v>176</v>
      </c>
      <c r="G161" s="150"/>
      <c r="H161" s="151" t="s">
        <v>101</v>
      </c>
      <c r="I161" s="151"/>
      <c r="J161" s="151" t="s">
        <v>100</v>
      </c>
      <c r="K161" s="151"/>
      <c r="L161" s="151" t="s">
        <v>126</v>
      </c>
      <c r="M161" s="151"/>
      <c r="N161" s="148" t="s">
        <v>1</v>
      </c>
      <c r="O161" s="148"/>
    </row>
    <row r="162" spans="1:19" x14ac:dyDescent="0.2">
      <c r="A162" s="26" t="s">
        <v>28</v>
      </c>
      <c r="B162" s="38">
        <v>197</v>
      </c>
      <c r="C162" s="39">
        <f>B162/B166</f>
        <v>0.41213389121338911</v>
      </c>
      <c r="D162" s="38">
        <v>16</v>
      </c>
      <c r="E162" s="39">
        <f>D162/D166</f>
        <v>0.43243243243243246</v>
      </c>
      <c r="F162" s="38">
        <v>59</v>
      </c>
      <c r="G162" s="39">
        <f>F162/F166</f>
        <v>0.30729166666666669</v>
      </c>
      <c r="H162" s="38">
        <v>320</v>
      </c>
      <c r="I162" s="39">
        <f>H162/H166</f>
        <v>0.36281179138321995</v>
      </c>
      <c r="J162" s="38">
        <v>133</v>
      </c>
      <c r="K162" s="39">
        <f>J162/J166</f>
        <v>0.32048192771084338</v>
      </c>
      <c r="L162" s="38">
        <v>370</v>
      </c>
      <c r="M162" s="39">
        <f>L162/L166</f>
        <v>0.38702928870292885</v>
      </c>
      <c r="N162" s="29">
        <f>B162+D162+F162+H162+J162+L162</f>
        <v>1095</v>
      </c>
      <c r="O162" s="39">
        <f>N162/N166</f>
        <v>0.36993243243243246</v>
      </c>
    </row>
    <row r="163" spans="1:19" x14ac:dyDescent="0.2">
      <c r="A163" s="26" t="s">
        <v>27</v>
      </c>
      <c r="B163" s="38">
        <v>248</v>
      </c>
      <c r="C163" s="39">
        <f>B163/B166</f>
        <v>0.51882845188284521</v>
      </c>
      <c r="D163" s="38">
        <v>18</v>
      </c>
      <c r="E163" s="39">
        <f>D163/D166</f>
        <v>0.48648648648648651</v>
      </c>
      <c r="F163" s="38">
        <v>105</v>
      </c>
      <c r="G163" s="39">
        <f>F163/F166</f>
        <v>0.546875</v>
      </c>
      <c r="H163" s="38">
        <v>480</v>
      </c>
      <c r="I163" s="39">
        <f>H163/H166</f>
        <v>0.54421768707482998</v>
      </c>
      <c r="J163" s="38">
        <v>231</v>
      </c>
      <c r="K163" s="39">
        <f>J163/J166</f>
        <v>0.55662650602409636</v>
      </c>
      <c r="L163" s="38">
        <v>491</v>
      </c>
      <c r="M163" s="39">
        <f>L163/L166</f>
        <v>0.5135983263598326</v>
      </c>
      <c r="N163" s="29">
        <f>B163+D163+F163+H163+J163+L163</f>
        <v>1573</v>
      </c>
      <c r="O163" s="39">
        <f>N163/N166</f>
        <v>0.5314189189189189</v>
      </c>
    </row>
    <row r="164" spans="1:19" x14ac:dyDescent="0.2">
      <c r="A164" s="26" t="s">
        <v>26</v>
      </c>
      <c r="B164" s="38">
        <v>28</v>
      </c>
      <c r="C164" s="39">
        <f>B164/B166</f>
        <v>5.8577405857740586E-2</v>
      </c>
      <c r="D164" s="38">
        <v>3</v>
      </c>
      <c r="E164" s="39">
        <f>D164/D166</f>
        <v>8.1081081081081086E-2</v>
      </c>
      <c r="F164" s="38">
        <v>20</v>
      </c>
      <c r="G164" s="39">
        <f>F164/F166</f>
        <v>0.10416666666666667</v>
      </c>
      <c r="H164" s="38">
        <v>69</v>
      </c>
      <c r="I164" s="39">
        <f>H164/H166</f>
        <v>7.8231292517006806E-2</v>
      </c>
      <c r="J164" s="38">
        <v>42</v>
      </c>
      <c r="K164" s="39">
        <f>J164/J166</f>
        <v>0.10120481927710843</v>
      </c>
      <c r="L164" s="38">
        <v>79</v>
      </c>
      <c r="M164" s="39">
        <f>L164/L166</f>
        <v>8.263598326359832E-2</v>
      </c>
      <c r="N164" s="29">
        <f>B164+D164+F164+H164+J164+L164</f>
        <v>241</v>
      </c>
      <c r="O164" s="39">
        <f>N164/N166</f>
        <v>8.141891891891892E-2</v>
      </c>
    </row>
    <row r="165" spans="1:19" x14ac:dyDescent="0.2">
      <c r="A165" s="26" t="s">
        <v>25</v>
      </c>
      <c r="B165" s="38">
        <v>5</v>
      </c>
      <c r="C165" s="39">
        <f>B165/B166</f>
        <v>1.0460251046025104E-2</v>
      </c>
      <c r="D165" s="38"/>
      <c r="E165" s="39">
        <f>D165/D166</f>
        <v>0</v>
      </c>
      <c r="F165" s="38">
        <v>8</v>
      </c>
      <c r="G165" s="39">
        <f>F165/F166</f>
        <v>4.1666666666666664E-2</v>
      </c>
      <c r="H165" s="38">
        <v>13</v>
      </c>
      <c r="I165" s="39">
        <f>H165/H166</f>
        <v>1.4739229024943311E-2</v>
      </c>
      <c r="J165" s="38">
        <v>9</v>
      </c>
      <c r="K165" s="39">
        <f>J165/J166</f>
        <v>2.1686746987951807E-2</v>
      </c>
      <c r="L165" s="38">
        <v>16</v>
      </c>
      <c r="M165" s="39">
        <f>L165/L166</f>
        <v>1.6736401673640166E-2</v>
      </c>
      <c r="N165" s="29">
        <f>B165+D165+F165+H165+J165+L165</f>
        <v>51</v>
      </c>
      <c r="O165" s="39">
        <f>N165/N166</f>
        <v>1.7229729729729731E-2</v>
      </c>
    </row>
    <row r="166" spans="1:19" s="43" customFormat="1" x14ac:dyDescent="0.2">
      <c r="A166" s="36" t="s">
        <v>1</v>
      </c>
      <c r="B166" s="30">
        <f t="shared" ref="B166" si="61">SUM(B162:B165)</f>
        <v>478</v>
      </c>
      <c r="C166" s="41">
        <f>SUM(C162:C165)</f>
        <v>1</v>
      </c>
      <c r="D166" s="30">
        <f t="shared" ref="D166" si="62">SUM(D162:D165)</f>
        <v>37</v>
      </c>
      <c r="E166" s="41">
        <f>SUM(E162:E165)</f>
        <v>1</v>
      </c>
      <c r="F166" s="30">
        <f t="shared" ref="F166" si="63">SUM(F162:F165)</f>
        <v>192</v>
      </c>
      <c r="G166" s="41">
        <f>SUM(G162:G165)</f>
        <v>1</v>
      </c>
      <c r="H166" s="30">
        <f t="shared" ref="H166" si="64">SUM(H162:H165)</f>
        <v>882</v>
      </c>
      <c r="I166" s="41">
        <f>SUM(I162:I165)</f>
        <v>1</v>
      </c>
      <c r="J166" s="30">
        <f t="shared" ref="J166" si="65">SUM(J162:J165)</f>
        <v>415</v>
      </c>
      <c r="K166" s="41">
        <f>SUM(K162:K165)</f>
        <v>1</v>
      </c>
      <c r="L166" s="30">
        <f t="shared" ref="L166" si="66">SUM(L162:L165)</f>
        <v>956</v>
      </c>
      <c r="M166" s="41">
        <f>SUM(M162:M165)</f>
        <v>1</v>
      </c>
      <c r="N166" s="30">
        <f>SUM(N160:N165)</f>
        <v>2960</v>
      </c>
      <c r="O166" s="41">
        <f>SUM(O160:O165)</f>
        <v>1</v>
      </c>
      <c r="P166" s="46"/>
      <c r="Q166" s="51"/>
      <c r="R166" s="51"/>
      <c r="S166" s="51"/>
    </row>
    <row r="167" spans="1:19" x14ac:dyDescent="0.2">
      <c r="A167" s="36" t="s">
        <v>115</v>
      </c>
      <c r="B167" s="25"/>
      <c r="C167" s="65">
        <f>SUM(C162:C163)</f>
        <v>0.93096234309623438</v>
      </c>
      <c r="D167" s="25"/>
      <c r="E167" s="65">
        <f>SUM(E162:E163)</f>
        <v>0.91891891891891897</v>
      </c>
      <c r="F167" s="25"/>
      <c r="G167" s="65">
        <f>SUM(G162:G163)</f>
        <v>0.85416666666666674</v>
      </c>
      <c r="H167" s="25"/>
      <c r="I167" s="65">
        <f>SUM(I162:I163)</f>
        <v>0.90702947845804993</v>
      </c>
      <c r="J167" s="25"/>
      <c r="K167" s="65">
        <f>SUM(K162:K163)</f>
        <v>0.87710843373493974</v>
      </c>
      <c r="L167" s="25"/>
      <c r="M167" s="65">
        <f>SUM(M162:M163)</f>
        <v>0.90062761506276146</v>
      </c>
      <c r="N167" s="30"/>
      <c r="O167" s="65">
        <f>SUM(O162:O163)</f>
        <v>0.90135135135135136</v>
      </c>
    </row>
    <row r="168" spans="1:19" x14ac:dyDescent="0.2">
      <c r="A168" s="19"/>
      <c r="B168" s="4"/>
      <c r="G168" s="49"/>
      <c r="H168" s="46"/>
    </row>
    <row r="169" spans="1:19" x14ac:dyDescent="0.2">
      <c r="A169" s="36" t="s">
        <v>58</v>
      </c>
      <c r="B169" s="151" t="s">
        <v>128</v>
      </c>
      <c r="C169" s="151"/>
      <c r="D169" s="151" t="s">
        <v>99</v>
      </c>
      <c r="E169" s="151"/>
      <c r="F169" s="150" t="s">
        <v>176</v>
      </c>
      <c r="G169" s="150"/>
      <c r="H169" s="151" t="s">
        <v>101</v>
      </c>
      <c r="I169" s="151"/>
      <c r="J169" s="151" t="s">
        <v>100</v>
      </c>
      <c r="K169" s="151"/>
      <c r="L169" s="151" t="s">
        <v>126</v>
      </c>
      <c r="M169" s="151"/>
      <c r="N169" s="148" t="s">
        <v>1</v>
      </c>
      <c r="O169" s="148"/>
    </row>
    <row r="170" spans="1:19" x14ac:dyDescent="0.2">
      <c r="A170" s="26" t="s">
        <v>28</v>
      </c>
      <c r="B170" s="38">
        <v>305</v>
      </c>
      <c r="C170" s="39">
        <f>B170/B174</f>
        <v>0.63807531380753135</v>
      </c>
      <c r="D170" s="38">
        <v>26</v>
      </c>
      <c r="E170" s="39">
        <f>D170/D174</f>
        <v>0.70270270270270274</v>
      </c>
      <c r="F170" s="38">
        <v>81</v>
      </c>
      <c r="G170" s="39">
        <f>F170/F174</f>
        <v>0.43085106382978722</v>
      </c>
      <c r="H170" s="38">
        <v>526</v>
      </c>
      <c r="I170" s="39">
        <f>H170/H174</f>
        <v>0.59772727272727277</v>
      </c>
      <c r="J170" s="38">
        <v>173</v>
      </c>
      <c r="K170" s="39">
        <f>J170/J174</f>
        <v>0.4199029126213592</v>
      </c>
      <c r="L170" s="38">
        <v>555</v>
      </c>
      <c r="M170" s="39">
        <f>L170/L174</f>
        <v>0.58115183246073299</v>
      </c>
      <c r="N170" s="29">
        <f>B170+D170+F170+H170+J170+L170</f>
        <v>1666</v>
      </c>
      <c r="O170" s="39">
        <f>N170/N174</f>
        <v>0.56474576271186439</v>
      </c>
    </row>
    <row r="171" spans="1:19" x14ac:dyDescent="0.2">
      <c r="A171" s="26" t="s">
        <v>27</v>
      </c>
      <c r="B171" s="38">
        <v>168</v>
      </c>
      <c r="C171" s="39">
        <f>B171/B174</f>
        <v>0.35146443514644349</v>
      </c>
      <c r="D171" s="38">
        <v>10</v>
      </c>
      <c r="E171" s="39">
        <f>D171/D174</f>
        <v>0.27027027027027029</v>
      </c>
      <c r="F171" s="38">
        <v>105</v>
      </c>
      <c r="G171" s="39">
        <f>F171/F174</f>
        <v>0.55851063829787229</v>
      </c>
      <c r="H171" s="38">
        <v>336</v>
      </c>
      <c r="I171" s="39">
        <f>H171/H174</f>
        <v>0.38181818181818183</v>
      </c>
      <c r="J171" s="38">
        <v>232</v>
      </c>
      <c r="K171" s="39">
        <f>J171/J174</f>
        <v>0.56310679611650483</v>
      </c>
      <c r="L171" s="38">
        <v>373</v>
      </c>
      <c r="M171" s="39">
        <f>L171/L174</f>
        <v>0.39057591623036647</v>
      </c>
      <c r="N171" s="29">
        <f>B171+D171+F171+H171+J171+L171</f>
        <v>1224</v>
      </c>
      <c r="O171" s="39">
        <f>N171/N174</f>
        <v>0.41491525423728814</v>
      </c>
    </row>
    <row r="172" spans="1:19" x14ac:dyDescent="0.2">
      <c r="A172" s="26" t="s">
        <v>26</v>
      </c>
      <c r="B172" s="38">
        <v>5</v>
      </c>
      <c r="C172" s="39">
        <f>B172/B174</f>
        <v>1.0460251046025104E-2</v>
      </c>
      <c r="D172" s="38"/>
      <c r="E172" s="39">
        <f>D172/D174</f>
        <v>0</v>
      </c>
      <c r="F172" s="38">
        <v>1</v>
      </c>
      <c r="G172" s="39">
        <f>F172/F174</f>
        <v>5.3191489361702126E-3</v>
      </c>
      <c r="H172" s="38">
        <v>13</v>
      </c>
      <c r="I172" s="39">
        <f>H172/H174</f>
        <v>1.4772727272727272E-2</v>
      </c>
      <c r="J172" s="38">
        <v>5</v>
      </c>
      <c r="K172" s="39">
        <f>J172/J174</f>
        <v>1.2135922330097087E-2</v>
      </c>
      <c r="L172" s="38">
        <v>23</v>
      </c>
      <c r="M172" s="39">
        <f>L172/L174</f>
        <v>2.4083769633507852E-2</v>
      </c>
      <c r="N172" s="29">
        <f>B172+D172+F172+H172+J172+L172</f>
        <v>47</v>
      </c>
      <c r="O172" s="39">
        <f>N172/N174</f>
        <v>1.5932203389830507E-2</v>
      </c>
    </row>
    <row r="173" spans="1:19" x14ac:dyDescent="0.2">
      <c r="A173" s="26" t="s">
        <v>25</v>
      </c>
      <c r="B173" s="38"/>
      <c r="C173" s="39">
        <f>B173/B174</f>
        <v>0</v>
      </c>
      <c r="D173" s="38">
        <v>1</v>
      </c>
      <c r="E173" s="39">
        <f>D173/D174</f>
        <v>2.7027027027027029E-2</v>
      </c>
      <c r="F173" s="38">
        <v>1</v>
      </c>
      <c r="G173" s="39">
        <f>F173/F174</f>
        <v>5.3191489361702126E-3</v>
      </c>
      <c r="H173" s="38">
        <v>5</v>
      </c>
      <c r="I173" s="39">
        <f>H173/H174</f>
        <v>5.681818181818182E-3</v>
      </c>
      <c r="J173" s="38">
        <v>2</v>
      </c>
      <c r="K173" s="39">
        <f>J173/J174</f>
        <v>4.8543689320388345E-3</v>
      </c>
      <c r="L173" s="38">
        <v>4</v>
      </c>
      <c r="M173" s="39">
        <f>L173/L174</f>
        <v>4.1884816753926706E-3</v>
      </c>
      <c r="N173" s="29">
        <f>B173+D173+F173+H173+J173+L173</f>
        <v>13</v>
      </c>
      <c r="O173" s="39">
        <f>N173/N174</f>
        <v>4.4067796610169491E-3</v>
      </c>
    </row>
    <row r="174" spans="1:19" s="43" customFormat="1" x14ac:dyDescent="0.2">
      <c r="A174" s="36" t="s">
        <v>1</v>
      </c>
      <c r="B174" s="30">
        <f t="shared" ref="B174" si="67">SUM(B170:B173)</f>
        <v>478</v>
      </c>
      <c r="C174" s="41">
        <f>SUM(C170:C173)</f>
        <v>0.99999999999999989</v>
      </c>
      <c r="D174" s="30">
        <f t="shared" ref="D174" si="68">SUM(D170:D173)</f>
        <v>37</v>
      </c>
      <c r="E174" s="41">
        <f>SUM(E170:E173)</f>
        <v>1</v>
      </c>
      <c r="F174" s="30">
        <f t="shared" ref="F174" si="69">SUM(F170:F173)</f>
        <v>188</v>
      </c>
      <c r="G174" s="41">
        <f>SUM(G170:G173)</f>
        <v>1</v>
      </c>
      <c r="H174" s="30">
        <f t="shared" ref="H174" si="70">SUM(H170:H173)</f>
        <v>880</v>
      </c>
      <c r="I174" s="41">
        <f>SUM(I170:I173)</f>
        <v>1</v>
      </c>
      <c r="J174" s="30">
        <f t="shared" ref="J174" si="71">SUM(J170:J173)</f>
        <v>412</v>
      </c>
      <c r="K174" s="41">
        <f>SUM(K170:K173)</f>
        <v>0.99999999999999989</v>
      </c>
      <c r="L174" s="30">
        <f t="shared" ref="L174" si="72">SUM(L170:L173)</f>
        <v>955</v>
      </c>
      <c r="M174" s="41">
        <f>SUM(M170:M173)</f>
        <v>1</v>
      </c>
      <c r="N174" s="30">
        <f>SUM(N168:N173)</f>
        <v>2950</v>
      </c>
      <c r="O174" s="41">
        <f>SUM(O168:O173)</f>
        <v>1</v>
      </c>
      <c r="P174" s="46"/>
      <c r="Q174" s="51"/>
      <c r="R174" s="51"/>
      <c r="S174" s="51"/>
    </row>
    <row r="175" spans="1:19" x14ac:dyDescent="0.2">
      <c r="A175" s="36" t="s">
        <v>115</v>
      </c>
      <c r="B175" s="25"/>
      <c r="C175" s="65">
        <f>SUM(C170:C171)</f>
        <v>0.98953974895397478</v>
      </c>
      <c r="D175" s="25"/>
      <c r="E175" s="65">
        <f>SUM(E170:E171)</f>
        <v>0.97297297297297303</v>
      </c>
      <c r="F175" s="25"/>
      <c r="G175" s="65">
        <f>SUM(G170:G171)</f>
        <v>0.9893617021276595</v>
      </c>
      <c r="H175" s="25"/>
      <c r="I175" s="65">
        <f>SUM(I170:I171)</f>
        <v>0.97954545454545461</v>
      </c>
      <c r="J175" s="25"/>
      <c r="K175" s="65">
        <f>SUM(K170:K171)</f>
        <v>0.98300970873786397</v>
      </c>
      <c r="L175" s="25"/>
      <c r="M175" s="65">
        <f>SUM(M170:M171)</f>
        <v>0.97172774869109946</v>
      </c>
      <c r="N175" s="30"/>
      <c r="O175" s="65">
        <f>SUM(O170:O171)</f>
        <v>0.97966101694915253</v>
      </c>
    </row>
    <row r="176" spans="1:19" x14ac:dyDescent="0.2">
      <c r="A176" s="19"/>
      <c r="B176" s="4"/>
      <c r="G176" s="49"/>
      <c r="H176" s="46"/>
    </row>
    <row r="177" spans="1:19" x14ac:dyDescent="0.2">
      <c r="A177" s="36" t="s">
        <v>59</v>
      </c>
      <c r="B177" s="151" t="s">
        <v>128</v>
      </c>
      <c r="C177" s="151"/>
      <c r="D177" s="151" t="s">
        <v>99</v>
      </c>
      <c r="E177" s="151"/>
      <c r="F177" s="150" t="s">
        <v>176</v>
      </c>
      <c r="G177" s="150"/>
      <c r="H177" s="151" t="s">
        <v>101</v>
      </c>
      <c r="I177" s="151"/>
      <c r="J177" s="151" t="s">
        <v>100</v>
      </c>
      <c r="K177" s="151"/>
      <c r="L177" s="151" t="s">
        <v>126</v>
      </c>
      <c r="M177" s="151"/>
      <c r="N177" s="148" t="s">
        <v>1</v>
      </c>
      <c r="O177" s="148"/>
    </row>
    <row r="178" spans="1:19" x14ac:dyDescent="0.2">
      <c r="A178" s="26" t="s">
        <v>28</v>
      </c>
      <c r="B178" s="38">
        <v>172</v>
      </c>
      <c r="C178" s="39">
        <f>B178/B182</f>
        <v>0.35983263598326359</v>
      </c>
      <c r="D178" s="38">
        <v>14</v>
      </c>
      <c r="E178" s="39">
        <f>D178/D182</f>
        <v>0.3888888888888889</v>
      </c>
      <c r="F178" s="38">
        <v>64</v>
      </c>
      <c r="G178" s="39">
        <f>F178/F182</f>
        <v>0.33507853403141363</v>
      </c>
      <c r="H178" s="38">
        <v>253</v>
      </c>
      <c r="I178" s="39">
        <f>H178/H182</f>
        <v>0.28749999999999998</v>
      </c>
      <c r="J178" s="38">
        <v>132</v>
      </c>
      <c r="K178" s="39">
        <f>J178/J182</f>
        <v>0.31961259079903148</v>
      </c>
      <c r="L178" s="38">
        <v>272</v>
      </c>
      <c r="M178" s="39">
        <f>L178/L182</f>
        <v>0.28541448058761804</v>
      </c>
      <c r="N178" s="29">
        <f>B178+D178+F178+H178+J178+L178</f>
        <v>907</v>
      </c>
      <c r="O178" s="39">
        <f>N178/N182</f>
        <v>0.30735343951202981</v>
      </c>
    </row>
    <row r="179" spans="1:19" x14ac:dyDescent="0.2">
      <c r="A179" s="26" t="s">
        <v>27</v>
      </c>
      <c r="B179" s="38">
        <v>228</v>
      </c>
      <c r="C179" s="39">
        <f>B179/B182</f>
        <v>0.47698744769874479</v>
      </c>
      <c r="D179" s="38">
        <v>16</v>
      </c>
      <c r="E179" s="39">
        <f>D179/D182</f>
        <v>0.44444444444444442</v>
      </c>
      <c r="F179" s="38">
        <v>108</v>
      </c>
      <c r="G179" s="39">
        <f>F179/F182</f>
        <v>0.56544502617801051</v>
      </c>
      <c r="H179" s="38">
        <v>446</v>
      </c>
      <c r="I179" s="39">
        <f>H179/H182</f>
        <v>0.50681818181818183</v>
      </c>
      <c r="J179" s="38">
        <v>216</v>
      </c>
      <c r="K179" s="39">
        <f>J179/J182</f>
        <v>0.52300242130750607</v>
      </c>
      <c r="L179" s="38">
        <v>469</v>
      </c>
      <c r="M179" s="39">
        <f>L179/L182</f>
        <v>0.49213011542497376</v>
      </c>
      <c r="N179" s="29">
        <f>B179+D179+F179+H179+J179+L179</f>
        <v>1483</v>
      </c>
      <c r="O179" s="39">
        <f>N179/N182</f>
        <v>0.50254151135208402</v>
      </c>
    </row>
    <row r="180" spans="1:19" x14ac:dyDescent="0.2">
      <c r="A180" s="26" t="s">
        <v>26</v>
      </c>
      <c r="B180" s="38">
        <v>67</v>
      </c>
      <c r="C180" s="39">
        <f>B180/B182</f>
        <v>0.14016736401673641</v>
      </c>
      <c r="D180" s="38">
        <v>5</v>
      </c>
      <c r="E180" s="39">
        <f>D180/D182</f>
        <v>0.1388888888888889</v>
      </c>
      <c r="F180" s="38">
        <v>13</v>
      </c>
      <c r="G180" s="39">
        <f>F180/F182</f>
        <v>6.8062827225130892E-2</v>
      </c>
      <c r="H180" s="38">
        <v>150</v>
      </c>
      <c r="I180" s="39">
        <f>H180/H182</f>
        <v>0.17045454545454544</v>
      </c>
      <c r="J180" s="38">
        <v>58</v>
      </c>
      <c r="K180" s="39">
        <f>J180/J182</f>
        <v>0.14043583535108958</v>
      </c>
      <c r="L180" s="38">
        <v>184</v>
      </c>
      <c r="M180" s="39">
        <f>L180/L182</f>
        <v>0.1930745015739769</v>
      </c>
      <c r="N180" s="29">
        <f>B180+D180+F180+H180+J180+L180</f>
        <v>477</v>
      </c>
      <c r="O180" s="39">
        <f>N180/N182</f>
        <v>0.16164012199254491</v>
      </c>
    </row>
    <row r="181" spans="1:19" x14ac:dyDescent="0.2">
      <c r="A181" s="26" t="s">
        <v>25</v>
      </c>
      <c r="B181" s="38">
        <v>11</v>
      </c>
      <c r="C181" s="39">
        <f>B181/B182</f>
        <v>2.3012552301255231E-2</v>
      </c>
      <c r="D181" s="38">
        <v>1</v>
      </c>
      <c r="E181" s="39">
        <f>D181/D182</f>
        <v>2.7777777777777776E-2</v>
      </c>
      <c r="F181" s="38">
        <v>6</v>
      </c>
      <c r="G181" s="39">
        <f>F181/F182</f>
        <v>3.1413612565445025E-2</v>
      </c>
      <c r="H181" s="38">
        <v>31</v>
      </c>
      <c r="I181" s="39">
        <f>H181/H182</f>
        <v>3.5227272727272725E-2</v>
      </c>
      <c r="J181" s="38">
        <v>7</v>
      </c>
      <c r="K181" s="39">
        <f>J181/J182</f>
        <v>1.6949152542372881E-2</v>
      </c>
      <c r="L181" s="38">
        <v>28</v>
      </c>
      <c r="M181" s="39">
        <f>L181/L182</f>
        <v>2.9380902413431269E-2</v>
      </c>
      <c r="N181" s="29">
        <f>B181+D181+F181+H181+J181+L181</f>
        <v>84</v>
      </c>
      <c r="O181" s="39">
        <f>N181/N182</f>
        <v>2.8464927143341239E-2</v>
      </c>
    </row>
    <row r="182" spans="1:19" s="43" customFormat="1" x14ac:dyDescent="0.2">
      <c r="A182" s="36" t="s">
        <v>1</v>
      </c>
      <c r="B182" s="30">
        <f t="shared" ref="B182" si="73">SUM(B178:B181)</f>
        <v>478</v>
      </c>
      <c r="C182" s="41">
        <f>SUM(C178:C181)</f>
        <v>1</v>
      </c>
      <c r="D182" s="30">
        <f t="shared" ref="D182" si="74">SUM(D178:D181)</f>
        <v>36</v>
      </c>
      <c r="E182" s="41">
        <f>SUM(E178:E181)</f>
        <v>0.99999999999999989</v>
      </c>
      <c r="F182" s="30">
        <f t="shared" ref="F182" si="75">SUM(F178:F181)</f>
        <v>191</v>
      </c>
      <c r="G182" s="41">
        <f>SUM(G178:G181)</f>
        <v>1</v>
      </c>
      <c r="H182" s="30">
        <f t="shared" ref="H182" si="76">SUM(H178:H181)</f>
        <v>880</v>
      </c>
      <c r="I182" s="41">
        <f>SUM(I178:I181)</f>
        <v>1</v>
      </c>
      <c r="J182" s="30">
        <f t="shared" ref="J182" si="77">SUM(J178:J181)</f>
        <v>413</v>
      </c>
      <c r="K182" s="41">
        <f>SUM(K178:K181)</f>
        <v>1</v>
      </c>
      <c r="L182" s="30">
        <f t="shared" ref="L182" si="78">SUM(L178:L181)</f>
        <v>953</v>
      </c>
      <c r="M182" s="41">
        <f>SUM(M178:M181)</f>
        <v>0.99999999999999989</v>
      </c>
      <c r="N182" s="30">
        <f>SUM(N176:N181)</f>
        <v>2951</v>
      </c>
      <c r="O182" s="41">
        <f>SUM(O176:O181)</f>
        <v>1</v>
      </c>
      <c r="P182" s="46"/>
      <c r="Q182" s="51"/>
      <c r="R182" s="51"/>
      <c r="S182" s="51"/>
    </row>
    <row r="183" spans="1:19" x14ac:dyDescent="0.2">
      <c r="A183" s="36" t="s">
        <v>115</v>
      </c>
      <c r="B183" s="25"/>
      <c r="C183" s="65">
        <f>SUM(C178:C179)</f>
        <v>0.83682008368200833</v>
      </c>
      <c r="D183" s="25"/>
      <c r="E183" s="65">
        <f>SUM(E178:E179)</f>
        <v>0.83333333333333326</v>
      </c>
      <c r="F183" s="25"/>
      <c r="G183" s="65">
        <f>SUM(G178:G179)</f>
        <v>0.90052356020942415</v>
      </c>
      <c r="H183" s="25"/>
      <c r="I183" s="65">
        <f>SUM(I178:I179)</f>
        <v>0.79431818181818181</v>
      </c>
      <c r="J183" s="25"/>
      <c r="K183" s="65">
        <f>SUM(K178:K179)</f>
        <v>0.84261501210653755</v>
      </c>
      <c r="L183" s="25"/>
      <c r="M183" s="65">
        <f>SUM(M178:M179)</f>
        <v>0.77754459601259174</v>
      </c>
      <c r="N183" s="30"/>
      <c r="O183" s="65">
        <f>SUM(O178:O179)</f>
        <v>0.80989495086411378</v>
      </c>
    </row>
    <row r="184" spans="1:19" x14ac:dyDescent="0.2">
      <c r="A184" s="19"/>
      <c r="B184" s="4"/>
      <c r="G184" s="49"/>
      <c r="H184" s="46"/>
    </row>
    <row r="185" spans="1:19" ht="24" x14ac:dyDescent="0.2">
      <c r="A185" s="36" t="s">
        <v>60</v>
      </c>
      <c r="B185" s="151" t="s">
        <v>128</v>
      </c>
      <c r="C185" s="151"/>
      <c r="D185" s="151" t="s">
        <v>99</v>
      </c>
      <c r="E185" s="151"/>
      <c r="F185" s="150" t="s">
        <v>176</v>
      </c>
      <c r="G185" s="150"/>
      <c r="H185" s="151" t="s">
        <v>101</v>
      </c>
      <c r="I185" s="151"/>
      <c r="J185" s="151" t="s">
        <v>100</v>
      </c>
      <c r="K185" s="151"/>
      <c r="L185" s="151" t="s">
        <v>126</v>
      </c>
      <c r="M185" s="151"/>
      <c r="N185" s="148" t="s">
        <v>1</v>
      </c>
      <c r="O185" s="148"/>
    </row>
    <row r="186" spans="1:19" x14ac:dyDescent="0.2">
      <c r="A186" s="26" t="s">
        <v>28</v>
      </c>
      <c r="B186" s="38">
        <v>238</v>
      </c>
      <c r="C186" s="39">
        <f>B186/B190</f>
        <v>0.49583333333333335</v>
      </c>
      <c r="D186" s="38">
        <v>18</v>
      </c>
      <c r="E186" s="39">
        <f>D186/D190</f>
        <v>0.48648648648648651</v>
      </c>
      <c r="F186" s="38">
        <v>59</v>
      </c>
      <c r="G186" s="39">
        <f>F186/F190</f>
        <v>0.31052631578947371</v>
      </c>
      <c r="H186" s="38">
        <v>403</v>
      </c>
      <c r="I186" s="39">
        <f>H186/H190</f>
        <v>0.45691609977324266</v>
      </c>
      <c r="J186" s="38">
        <v>154</v>
      </c>
      <c r="K186" s="39">
        <f>J186/J190</f>
        <v>0.3728813559322034</v>
      </c>
      <c r="L186" s="38">
        <v>414</v>
      </c>
      <c r="M186" s="39">
        <f>L186/L190</f>
        <v>0.43396226415094341</v>
      </c>
      <c r="N186" s="29">
        <f>B186+D186+F186+H186+J186+L186</f>
        <v>1286</v>
      </c>
      <c r="O186" s="39">
        <f>N186/N190</f>
        <v>0.43504736129905275</v>
      </c>
    </row>
    <row r="187" spans="1:19" x14ac:dyDescent="0.2">
      <c r="A187" s="26" t="s">
        <v>27</v>
      </c>
      <c r="B187" s="38">
        <v>226</v>
      </c>
      <c r="C187" s="39">
        <f>B187/B190</f>
        <v>0.47083333333333333</v>
      </c>
      <c r="D187" s="38">
        <v>15</v>
      </c>
      <c r="E187" s="39">
        <f>D187/D190</f>
        <v>0.40540540540540543</v>
      </c>
      <c r="F187" s="38">
        <v>111</v>
      </c>
      <c r="G187" s="39">
        <f>F187/F190</f>
        <v>0.58421052631578951</v>
      </c>
      <c r="H187" s="38">
        <v>439</v>
      </c>
      <c r="I187" s="39">
        <f>H187/H190</f>
        <v>0.49773242630385489</v>
      </c>
      <c r="J187" s="38">
        <v>234</v>
      </c>
      <c r="K187" s="39">
        <f>J187/J190</f>
        <v>0.56658595641646492</v>
      </c>
      <c r="L187" s="38">
        <v>488</v>
      </c>
      <c r="M187" s="39">
        <f>L187/L190</f>
        <v>0.51153039832285119</v>
      </c>
      <c r="N187" s="29">
        <f>B187+D187+F187+H187+J187+L187</f>
        <v>1513</v>
      </c>
      <c r="O187" s="39">
        <f>N187/N190</f>
        <v>0.51184032476319352</v>
      </c>
    </row>
    <row r="188" spans="1:19" x14ac:dyDescent="0.2">
      <c r="A188" s="26" t="s">
        <v>26</v>
      </c>
      <c r="B188" s="38">
        <v>12</v>
      </c>
      <c r="C188" s="39">
        <f>B188/B190</f>
        <v>2.5000000000000001E-2</v>
      </c>
      <c r="D188" s="38">
        <v>4</v>
      </c>
      <c r="E188" s="39">
        <f>D188/D190</f>
        <v>0.10810810810810811</v>
      </c>
      <c r="F188" s="38">
        <v>13</v>
      </c>
      <c r="G188" s="39">
        <f>F188/F190</f>
        <v>6.8421052631578952E-2</v>
      </c>
      <c r="H188" s="38">
        <v>29</v>
      </c>
      <c r="I188" s="39">
        <f>H188/H190</f>
        <v>3.2879818594104306E-2</v>
      </c>
      <c r="J188" s="38">
        <v>20</v>
      </c>
      <c r="K188" s="39">
        <f>J188/J190</f>
        <v>4.8426150121065374E-2</v>
      </c>
      <c r="L188" s="38">
        <v>40</v>
      </c>
      <c r="M188" s="39">
        <f>L188/L190</f>
        <v>4.1928721174004195E-2</v>
      </c>
      <c r="N188" s="29">
        <f>B188+D188+F188+H188+J188+L188</f>
        <v>118</v>
      </c>
      <c r="O188" s="39">
        <f>N188/N190</f>
        <v>3.9918809201623814E-2</v>
      </c>
    </row>
    <row r="189" spans="1:19" x14ac:dyDescent="0.2">
      <c r="A189" s="26" t="s">
        <v>25</v>
      </c>
      <c r="B189" s="38">
        <v>4</v>
      </c>
      <c r="C189" s="39">
        <f>B189/B190</f>
        <v>8.3333333333333332E-3</v>
      </c>
      <c r="D189" s="38"/>
      <c r="E189" s="39">
        <f>D189/D190</f>
        <v>0</v>
      </c>
      <c r="F189" s="38">
        <v>7</v>
      </c>
      <c r="G189" s="39">
        <f>F189/F190</f>
        <v>3.6842105263157891E-2</v>
      </c>
      <c r="H189" s="38">
        <v>11</v>
      </c>
      <c r="I189" s="39">
        <f>H189/H190</f>
        <v>1.2471655328798186E-2</v>
      </c>
      <c r="J189" s="38">
        <v>5</v>
      </c>
      <c r="K189" s="39">
        <f>J189/J190</f>
        <v>1.2106537530266344E-2</v>
      </c>
      <c r="L189" s="38">
        <v>12</v>
      </c>
      <c r="M189" s="39">
        <f>L189/L190</f>
        <v>1.2578616352201259E-2</v>
      </c>
      <c r="N189" s="29">
        <f>B189+D189+F189+H189+J189+L189</f>
        <v>39</v>
      </c>
      <c r="O189" s="39">
        <f>N189/N190</f>
        <v>1.3193504736129905E-2</v>
      </c>
    </row>
    <row r="190" spans="1:19" s="43" customFormat="1" x14ac:dyDescent="0.2">
      <c r="A190" s="36" t="s">
        <v>1</v>
      </c>
      <c r="B190" s="30">
        <f t="shared" ref="B190" si="79">SUM(B186:B189)</f>
        <v>480</v>
      </c>
      <c r="C190" s="41">
        <f>SUM(C186:C189)</f>
        <v>1</v>
      </c>
      <c r="D190" s="30">
        <f t="shared" ref="D190" si="80">SUM(D186:D189)</f>
        <v>37</v>
      </c>
      <c r="E190" s="41">
        <f>SUM(E186:E189)</f>
        <v>1</v>
      </c>
      <c r="F190" s="30">
        <f t="shared" ref="F190" si="81">SUM(F186:F189)</f>
        <v>190</v>
      </c>
      <c r="G190" s="41">
        <f>SUM(G186:G189)</f>
        <v>1</v>
      </c>
      <c r="H190" s="30">
        <f t="shared" ref="H190" si="82">SUM(H186:H189)</f>
        <v>882</v>
      </c>
      <c r="I190" s="41">
        <f>SUM(I186:I189)</f>
        <v>1</v>
      </c>
      <c r="J190" s="30">
        <f t="shared" ref="J190" si="83">SUM(J186:J189)</f>
        <v>413</v>
      </c>
      <c r="K190" s="41">
        <f>SUM(K186:K189)</f>
        <v>1</v>
      </c>
      <c r="L190" s="30">
        <f t="shared" ref="L190" si="84">SUM(L186:L189)</f>
        <v>954</v>
      </c>
      <c r="M190" s="41">
        <f>SUM(M186:M189)</f>
        <v>1</v>
      </c>
      <c r="N190" s="30">
        <f>SUM(N184:N189)</f>
        <v>2956</v>
      </c>
      <c r="O190" s="41">
        <f>SUM(O184:O189)</f>
        <v>1</v>
      </c>
      <c r="P190" s="46"/>
      <c r="Q190" s="51"/>
      <c r="R190" s="51"/>
      <c r="S190" s="51"/>
    </row>
    <row r="191" spans="1:19" x14ac:dyDescent="0.2">
      <c r="A191" s="36" t="s">
        <v>115</v>
      </c>
      <c r="B191" s="25"/>
      <c r="C191" s="65">
        <f>SUM(C186:C187)</f>
        <v>0.96666666666666667</v>
      </c>
      <c r="D191" s="25"/>
      <c r="E191" s="65">
        <f>SUM(E186:E187)</f>
        <v>0.89189189189189189</v>
      </c>
      <c r="F191" s="25"/>
      <c r="G191" s="65">
        <f>SUM(G186:G187)</f>
        <v>0.89473684210526327</v>
      </c>
      <c r="H191" s="25"/>
      <c r="I191" s="65">
        <f>SUM(I186:I187)</f>
        <v>0.9546485260770976</v>
      </c>
      <c r="J191" s="25"/>
      <c r="K191" s="65">
        <f>SUM(K186:K187)</f>
        <v>0.93946731234866832</v>
      </c>
      <c r="L191" s="25"/>
      <c r="M191" s="65">
        <f>SUM(M186:M187)</f>
        <v>0.9454926624737946</v>
      </c>
      <c r="N191" s="30"/>
      <c r="O191" s="65">
        <f>SUM(O186:O187)</f>
        <v>0.94688768606224627</v>
      </c>
    </row>
    <row r="192" spans="1:19" x14ac:dyDescent="0.2">
      <c r="A192" s="19"/>
      <c r="B192" s="4"/>
      <c r="G192" s="49"/>
      <c r="H192" s="46"/>
    </row>
    <row r="193" spans="1:19" ht="15" x14ac:dyDescent="0.2">
      <c r="A193" s="122" t="s">
        <v>61</v>
      </c>
      <c r="B193" s="125"/>
      <c r="C193" s="124"/>
      <c r="H193" s="46"/>
    </row>
    <row r="194" spans="1:19" x14ac:dyDescent="0.2">
      <c r="A194" s="36" t="s">
        <v>66</v>
      </c>
      <c r="B194" s="151" t="s">
        <v>128</v>
      </c>
      <c r="C194" s="151"/>
      <c r="D194" s="151" t="s">
        <v>99</v>
      </c>
      <c r="E194" s="151"/>
      <c r="F194" s="150" t="s">
        <v>176</v>
      </c>
      <c r="G194" s="150"/>
      <c r="H194" s="151" t="s">
        <v>101</v>
      </c>
      <c r="I194" s="151"/>
      <c r="J194" s="151" t="s">
        <v>100</v>
      </c>
      <c r="K194" s="151"/>
      <c r="L194" s="151" t="s">
        <v>126</v>
      </c>
      <c r="M194" s="151"/>
      <c r="N194" s="148" t="s">
        <v>1</v>
      </c>
      <c r="O194" s="148"/>
    </row>
    <row r="195" spans="1:19" x14ac:dyDescent="0.2">
      <c r="A195" s="26" t="s">
        <v>65</v>
      </c>
      <c r="B195" s="38">
        <v>107</v>
      </c>
      <c r="C195" s="39">
        <f>B195/B199</f>
        <v>0.30571428571428572</v>
      </c>
      <c r="D195" s="38">
        <v>8</v>
      </c>
      <c r="E195" s="39">
        <f>D195/D199</f>
        <v>0.25806451612903225</v>
      </c>
      <c r="F195" s="38">
        <v>42</v>
      </c>
      <c r="G195" s="39">
        <f>F195/F199</f>
        <v>0.30215827338129497</v>
      </c>
      <c r="H195" s="38">
        <v>230</v>
      </c>
      <c r="I195" s="39">
        <f>H195/H199</f>
        <v>0.34690799396681749</v>
      </c>
      <c r="J195" s="38">
        <v>101</v>
      </c>
      <c r="K195" s="39">
        <f>J195/J199</f>
        <v>0.3289902280130293</v>
      </c>
      <c r="L195" s="38">
        <v>265</v>
      </c>
      <c r="M195" s="39">
        <f>L195/L199</f>
        <v>0.37062937062937062</v>
      </c>
      <c r="N195" s="29">
        <f>B195+D195+F195+H195+J195+L195</f>
        <v>753</v>
      </c>
      <c r="O195" s="39">
        <f>N195/N199</f>
        <v>0.34149659863945581</v>
      </c>
    </row>
    <row r="196" spans="1:19" x14ac:dyDescent="0.2">
      <c r="A196" s="26" t="s">
        <v>64</v>
      </c>
      <c r="B196" s="38">
        <v>223</v>
      </c>
      <c r="C196" s="39">
        <f>B196/B199</f>
        <v>0.63714285714285712</v>
      </c>
      <c r="D196" s="38">
        <v>22</v>
      </c>
      <c r="E196" s="39">
        <f>D196/D199</f>
        <v>0.70967741935483875</v>
      </c>
      <c r="F196" s="38">
        <v>91</v>
      </c>
      <c r="G196" s="39">
        <f>F196/F199</f>
        <v>0.65467625899280579</v>
      </c>
      <c r="H196" s="38">
        <v>405</v>
      </c>
      <c r="I196" s="39">
        <f>H196/H199</f>
        <v>0.61085972850678738</v>
      </c>
      <c r="J196" s="38">
        <v>197</v>
      </c>
      <c r="K196" s="39">
        <f>J196/J199</f>
        <v>0.64169381107491852</v>
      </c>
      <c r="L196" s="38">
        <v>416</v>
      </c>
      <c r="M196" s="39">
        <f>L196/L199</f>
        <v>0.58181818181818179</v>
      </c>
      <c r="N196" s="29">
        <f>B196+D196+F196+H196+J196+L196</f>
        <v>1354</v>
      </c>
      <c r="O196" s="39">
        <f>N196/N199</f>
        <v>0.6140589569160998</v>
      </c>
    </row>
    <row r="197" spans="1:19" x14ac:dyDescent="0.2">
      <c r="A197" s="26" t="s">
        <v>63</v>
      </c>
      <c r="B197" s="38">
        <v>20</v>
      </c>
      <c r="C197" s="39">
        <f>B197/B199</f>
        <v>5.7142857142857141E-2</v>
      </c>
      <c r="D197" s="38">
        <v>1</v>
      </c>
      <c r="E197" s="39">
        <f>D197/D199</f>
        <v>3.2258064516129031E-2</v>
      </c>
      <c r="F197" s="38">
        <v>6</v>
      </c>
      <c r="G197" s="39">
        <f>F197/F199</f>
        <v>4.3165467625899283E-2</v>
      </c>
      <c r="H197" s="38">
        <v>25</v>
      </c>
      <c r="I197" s="39">
        <f>H197/H199</f>
        <v>3.7707390648567117E-2</v>
      </c>
      <c r="J197" s="38">
        <v>7</v>
      </c>
      <c r="K197" s="39">
        <f>J197/J199</f>
        <v>2.2801302931596091E-2</v>
      </c>
      <c r="L197" s="38">
        <v>33</v>
      </c>
      <c r="M197" s="39">
        <f>L197/L199</f>
        <v>4.6153846153846156E-2</v>
      </c>
      <c r="N197" s="29">
        <f>B197+D197+F197+H197+J197+L197</f>
        <v>92</v>
      </c>
      <c r="O197" s="39">
        <f>N197/N199</f>
        <v>4.1723356009070296E-2</v>
      </c>
    </row>
    <row r="198" spans="1:19" x14ac:dyDescent="0.2">
      <c r="A198" s="26" t="s">
        <v>62</v>
      </c>
      <c r="B198" s="38"/>
      <c r="C198" s="39">
        <f>B198/B199</f>
        <v>0</v>
      </c>
      <c r="D198" s="38"/>
      <c r="E198" s="39">
        <f>D198/D199</f>
        <v>0</v>
      </c>
      <c r="F198" s="38"/>
      <c r="G198" s="39">
        <f>F198/F199</f>
        <v>0</v>
      </c>
      <c r="H198" s="38">
        <v>3</v>
      </c>
      <c r="I198" s="39">
        <f>H198/H199</f>
        <v>4.5248868778280547E-3</v>
      </c>
      <c r="J198" s="38">
        <v>2</v>
      </c>
      <c r="K198" s="39">
        <f>J198/J199</f>
        <v>6.5146579804560263E-3</v>
      </c>
      <c r="L198" s="38">
        <v>1</v>
      </c>
      <c r="M198" s="39">
        <f>L198/L199</f>
        <v>1.3986013986013986E-3</v>
      </c>
      <c r="N198" s="29">
        <f>B198+D198+F198+H198+J198+L198</f>
        <v>6</v>
      </c>
      <c r="O198" s="39">
        <f>N198/N199</f>
        <v>2.7210884353741495E-3</v>
      </c>
    </row>
    <row r="199" spans="1:19" s="43" customFormat="1" x14ac:dyDescent="0.2">
      <c r="A199" s="36" t="s">
        <v>1</v>
      </c>
      <c r="B199" s="30">
        <f t="shared" ref="B199:L199" si="85">SUM(B195:B198)</f>
        <v>350</v>
      </c>
      <c r="C199" s="41">
        <f>SUM(C195:C198)</f>
        <v>1</v>
      </c>
      <c r="D199" s="30">
        <f t="shared" si="85"/>
        <v>31</v>
      </c>
      <c r="E199" s="41">
        <f>SUM(E195:E198)</f>
        <v>1</v>
      </c>
      <c r="F199" s="30">
        <f t="shared" si="85"/>
        <v>139</v>
      </c>
      <c r="G199" s="41">
        <f>SUM(G195:G198)</f>
        <v>1</v>
      </c>
      <c r="H199" s="30">
        <f t="shared" si="85"/>
        <v>663</v>
      </c>
      <c r="I199" s="41">
        <f>SUM(I195:I198)</f>
        <v>1</v>
      </c>
      <c r="J199" s="30">
        <f t="shared" si="85"/>
        <v>307</v>
      </c>
      <c r="K199" s="41">
        <f>SUM(K195:K198)</f>
        <v>1</v>
      </c>
      <c r="L199" s="30">
        <f t="shared" si="85"/>
        <v>715</v>
      </c>
      <c r="M199" s="41">
        <f>SUM(M195:M198)</f>
        <v>1</v>
      </c>
      <c r="N199" s="30">
        <f>SUM(N193:N198)</f>
        <v>2205</v>
      </c>
      <c r="O199" s="41">
        <f>SUM(O193:O198)</f>
        <v>1</v>
      </c>
      <c r="P199" s="46"/>
      <c r="Q199" s="51"/>
      <c r="R199" s="51"/>
      <c r="S199" s="51"/>
    </row>
    <row r="200" spans="1:19" ht="24" x14ac:dyDescent="0.2">
      <c r="A200" s="36" t="s">
        <v>117</v>
      </c>
      <c r="B200" s="25"/>
      <c r="C200" s="65">
        <f>SUM(C195:C196)</f>
        <v>0.94285714285714284</v>
      </c>
      <c r="D200" s="25"/>
      <c r="E200" s="65">
        <f>SUM(E195:E196)</f>
        <v>0.967741935483871</v>
      </c>
      <c r="F200" s="25"/>
      <c r="G200" s="65">
        <f>SUM(G195:G196)</f>
        <v>0.95683453237410077</v>
      </c>
      <c r="H200" s="25"/>
      <c r="I200" s="65">
        <f>SUM(I195:I196)</f>
        <v>0.95776772247360487</v>
      </c>
      <c r="J200" s="25"/>
      <c r="K200" s="65">
        <f>SUM(K195:K196)</f>
        <v>0.97068403908794787</v>
      </c>
      <c r="L200" s="25"/>
      <c r="M200" s="65">
        <f>SUM(M195:M196)</f>
        <v>0.95244755244755241</v>
      </c>
      <c r="N200" s="30"/>
      <c r="O200" s="65">
        <f>SUM(O195:O196)</f>
        <v>0.9555555555555556</v>
      </c>
    </row>
    <row r="201" spans="1:19" x14ac:dyDescent="0.2">
      <c r="A201" s="19"/>
      <c r="B201" s="1"/>
      <c r="H201" s="46"/>
      <c r="O201" s="46" t="s">
        <v>0</v>
      </c>
    </row>
    <row r="202" spans="1:19" x14ac:dyDescent="0.2">
      <c r="A202" s="36" t="s">
        <v>67</v>
      </c>
      <c r="B202" s="151" t="s">
        <v>128</v>
      </c>
      <c r="C202" s="151"/>
      <c r="D202" s="151" t="s">
        <v>99</v>
      </c>
      <c r="E202" s="151"/>
      <c r="F202" s="150" t="s">
        <v>176</v>
      </c>
      <c r="G202" s="150"/>
      <c r="H202" s="151" t="s">
        <v>101</v>
      </c>
      <c r="I202" s="151"/>
      <c r="J202" s="151" t="s">
        <v>100</v>
      </c>
      <c r="K202" s="151"/>
      <c r="L202" s="151" t="s">
        <v>126</v>
      </c>
      <c r="M202" s="151"/>
      <c r="N202" s="148" t="s">
        <v>1</v>
      </c>
      <c r="O202" s="148"/>
    </row>
    <row r="203" spans="1:19" x14ac:dyDescent="0.2">
      <c r="A203" s="26" t="s">
        <v>65</v>
      </c>
      <c r="B203" s="38">
        <v>118</v>
      </c>
      <c r="C203" s="39">
        <f>B203/B207</f>
        <v>0.34302325581395349</v>
      </c>
      <c r="D203" s="38">
        <v>6</v>
      </c>
      <c r="E203" s="39">
        <f>D203/D207</f>
        <v>0.2</v>
      </c>
      <c r="F203" s="38">
        <v>49</v>
      </c>
      <c r="G203" s="39">
        <f>F203/F207</f>
        <v>0.36296296296296299</v>
      </c>
      <c r="H203" s="38">
        <v>259</v>
      </c>
      <c r="I203" s="39">
        <f>H203/H207</f>
        <v>0.3888888888888889</v>
      </c>
      <c r="J203" s="38">
        <v>102</v>
      </c>
      <c r="K203" s="39">
        <f>J203/J207</f>
        <v>0.32380952380952382</v>
      </c>
      <c r="L203" s="38">
        <v>290</v>
      </c>
      <c r="M203" s="39">
        <f>L203/L207</f>
        <v>0.40559440559440557</v>
      </c>
      <c r="N203" s="29">
        <f>B203+D203+F203+H203+J203+L203</f>
        <v>824</v>
      </c>
      <c r="O203" s="39">
        <f>N203/N207</f>
        <v>0.37369614512471655</v>
      </c>
    </row>
    <row r="204" spans="1:19" x14ac:dyDescent="0.2">
      <c r="A204" s="26" t="s">
        <v>64</v>
      </c>
      <c r="B204" s="38">
        <v>211</v>
      </c>
      <c r="C204" s="39">
        <f>B204/B207</f>
        <v>0.61337209302325579</v>
      </c>
      <c r="D204" s="38">
        <v>23</v>
      </c>
      <c r="E204" s="39">
        <f>D204/D207</f>
        <v>0.76666666666666672</v>
      </c>
      <c r="F204" s="38">
        <v>80</v>
      </c>
      <c r="G204" s="39">
        <f>F204/F207</f>
        <v>0.59259259259259256</v>
      </c>
      <c r="H204" s="38">
        <v>380</v>
      </c>
      <c r="I204" s="39">
        <f>H204/H207</f>
        <v>0.57057057057057059</v>
      </c>
      <c r="J204" s="38">
        <v>203</v>
      </c>
      <c r="K204" s="39">
        <f>J204/J207</f>
        <v>0.64444444444444449</v>
      </c>
      <c r="L204" s="38">
        <v>393</v>
      </c>
      <c r="M204" s="39">
        <f>L204/L207</f>
        <v>0.54965034965034965</v>
      </c>
      <c r="N204" s="29">
        <f>B204+D204+F204+H204+J204+L204</f>
        <v>1290</v>
      </c>
      <c r="O204" s="39">
        <f>N204/N207</f>
        <v>0.58503401360544216</v>
      </c>
    </row>
    <row r="205" spans="1:19" x14ac:dyDescent="0.2">
      <c r="A205" s="26" t="s">
        <v>63</v>
      </c>
      <c r="B205" s="38">
        <v>15</v>
      </c>
      <c r="C205" s="39">
        <f>B205/B207</f>
        <v>4.3604651162790699E-2</v>
      </c>
      <c r="D205" s="38">
        <v>1</v>
      </c>
      <c r="E205" s="39">
        <f>D205/D207</f>
        <v>3.3333333333333333E-2</v>
      </c>
      <c r="F205" s="38">
        <v>6</v>
      </c>
      <c r="G205" s="39">
        <f>F205/F207</f>
        <v>4.4444444444444446E-2</v>
      </c>
      <c r="H205" s="38">
        <v>22</v>
      </c>
      <c r="I205" s="39">
        <f>H205/H207</f>
        <v>3.3033033033033031E-2</v>
      </c>
      <c r="J205" s="38">
        <v>8</v>
      </c>
      <c r="K205" s="39">
        <f>J205/J207</f>
        <v>2.5396825396825397E-2</v>
      </c>
      <c r="L205" s="38">
        <v>28</v>
      </c>
      <c r="M205" s="39">
        <f>L205/L207</f>
        <v>3.9160839160839164E-2</v>
      </c>
      <c r="N205" s="29">
        <f>B205+D205+F205+H205+J205+L205</f>
        <v>80</v>
      </c>
      <c r="O205" s="39">
        <f>N205/N207</f>
        <v>3.6281179138321996E-2</v>
      </c>
    </row>
    <row r="206" spans="1:19" ht="12.75" x14ac:dyDescent="0.2">
      <c r="A206" s="26" t="s">
        <v>62</v>
      </c>
      <c r="B206" s="117"/>
      <c r="C206" s="39">
        <f>B206/B207</f>
        <v>0</v>
      </c>
      <c r="D206" s="117"/>
      <c r="E206" s="39">
        <f>D206/D207</f>
        <v>0</v>
      </c>
      <c r="F206" s="117"/>
      <c r="G206" s="39">
        <f>F206/F207</f>
        <v>0</v>
      </c>
      <c r="H206" s="38">
        <v>5</v>
      </c>
      <c r="I206" s="39">
        <f>H206/H207</f>
        <v>7.5075075075075074E-3</v>
      </c>
      <c r="J206" s="38">
        <v>2</v>
      </c>
      <c r="K206" s="39">
        <f>J206/J207</f>
        <v>6.3492063492063492E-3</v>
      </c>
      <c r="L206" s="117">
        <v>4</v>
      </c>
      <c r="M206" s="39">
        <f>L206/L207</f>
        <v>5.5944055944055944E-3</v>
      </c>
      <c r="N206" s="29">
        <f>B206+D206+F206+H206+J206+L206</f>
        <v>11</v>
      </c>
      <c r="O206" s="39">
        <f>N206/N207</f>
        <v>4.9886621315192742E-3</v>
      </c>
    </row>
    <row r="207" spans="1:19" s="43" customFormat="1" x14ac:dyDescent="0.2">
      <c r="A207" s="36" t="s">
        <v>1</v>
      </c>
      <c r="B207" s="30">
        <f t="shared" ref="B207:L207" si="86">SUM(B203:B206)</f>
        <v>344</v>
      </c>
      <c r="C207" s="41">
        <f>SUM(C203:C206)</f>
        <v>0.99999999999999989</v>
      </c>
      <c r="D207" s="30">
        <f t="shared" si="86"/>
        <v>30</v>
      </c>
      <c r="E207" s="41">
        <f>SUM(E203:E206)</f>
        <v>1.0000000000000002</v>
      </c>
      <c r="F207" s="30">
        <f t="shared" si="86"/>
        <v>135</v>
      </c>
      <c r="G207" s="41">
        <f>SUM(G203:G206)</f>
        <v>0.99999999999999989</v>
      </c>
      <c r="H207" s="30">
        <f t="shared" si="86"/>
        <v>666</v>
      </c>
      <c r="I207" s="41">
        <f>SUM(I203:I206)</f>
        <v>1</v>
      </c>
      <c r="J207" s="30">
        <f t="shared" si="86"/>
        <v>315</v>
      </c>
      <c r="K207" s="41">
        <f>SUM(K203:K206)</f>
        <v>1.0000000000000002</v>
      </c>
      <c r="L207" s="30">
        <f t="shared" si="86"/>
        <v>715</v>
      </c>
      <c r="M207" s="41">
        <f>SUM(M203:M206)</f>
        <v>0.99999999999999989</v>
      </c>
      <c r="N207" s="30">
        <f>SUM(N201:N206)</f>
        <v>2205</v>
      </c>
      <c r="O207" s="41">
        <f>SUM(O201:O206)</f>
        <v>0.99999999999999989</v>
      </c>
      <c r="P207" s="46"/>
      <c r="Q207" s="51"/>
      <c r="R207" s="51"/>
      <c r="S207" s="51"/>
    </row>
    <row r="208" spans="1:19" ht="24" x14ac:dyDescent="0.2">
      <c r="A208" s="36" t="s">
        <v>117</v>
      </c>
      <c r="B208" s="25"/>
      <c r="C208" s="65">
        <f>SUM(C203:C204)</f>
        <v>0.95639534883720922</v>
      </c>
      <c r="D208" s="25"/>
      <c r="E208" s="65">
        <f>SUM(E203:E204)</f>
        <v>0.96666666666666679</v>
      </c>
      <c r="F208" s="25"/>
      <c r="G208" s="65">
        <f>SUM(G203:G204)</f>
        <v>0.95555555555555549</v>
      </c>
      <c r="H208" s="25"/>
      <c r="I208" s="65">
        <f>SUM(I203:I204)</f>
        <v>0.95945945945945943</v>
      </c>
      <c r="J208" s="25"/>
      <c r="K208" s="65">
        <f>SUM(K203:K204)</f>
        <v>0.96825396825396837</v>
      </c>
      <c r="L208" s="25"/>
      <c r="M208" s="65">
        <f>SUM(M203:M204)</f>
        <v>0.95524475524475516</v>
      </c>
      <c r="N208" s="30"/>
      <c r="O208" s="65">
        <f>SUM(O203:O204)</f>
        <v>0.95873015873015865</v>
      </c>
    </row>
    <row r="209" spans="1:19" x14ac:dyDescent="0.2">
      <c r="H209" s="46"/>
    </row>
    <row r="210" spans="1:19" x14ac:dyDescent="0.2">
      <c r="A210" s="36" t="s">
        <v>68</v>
      </c>
      <c r="B210" s="151" t="s">
        <v>128</v>
      </c>
      <c r="C210" s="151"/>
      <c r="D210" s="151" t="s">
        <v>99</v>
      </c>
      <c r="E210" s="151"/>
      <c r="F210" s="150" t="s">
        <v>176</v>
      </c>
      <c r="G210" s="150"/>
      <c r="H210" s="151" t="s">
        <v>101</v>
      </c>
      <c r="I210" s="151"/>
      <c r="J210" s="151" t="s">
        <v>100</v>
      </c>
      <c r="K210" s="151"/>
      <c r="L210" s="151" t="s">
        <v>126</v>
      </c>
      <c r="M210" s="151"/>
      <c r="N210" s="148" t="s">
        <v>1</v>
      </c>
      <c r="O210" s="148"/>
    </row>
    <row r="211" spans="1:19" x14ac:dyDescent="0.2">
      <c r="A211" s="26" t="s">
        <v>65</v>
      </c>
      <c r="B211" s="38">
        <v>118</v>
      </c>
      <c r="C211" s="39">
        <f>B211/B215</f>
        <v>0.34808259587020651</v>
      </c>
      <c r="D211" s="38">
        <v>9</v>
      </c>
      <c r="E211" s="39">
        <f>D211/D215</f>
        <v>0.28125</v>
      </c>
      <c r="F211" s="38">
        <v>45</v>
      </c>
      <c r="G211" s="39">
        <f>F211/F215</f>
        <v>0.32142857142857145</v>
      </c>
      <c r="H211" s="38">
        <v>240</v>
      </c>
      <c r="I211" s="39">
        <f>H211/H215</f>
        <v>0.35450516986706054</v>
      </c>
      <c r="J211" s="38">
        <v>109</v>
      </c>
      <c r="K211" s="39">
        <f>J211/J215</f>
        <v>0.34603174603174602</v>
      </c>
      <c r="L211" s="38">
        <v>282</v>
      </c>
      <c r="M211" s="39">
        <f>L211/L215</f>
        <v>0.38736263736263737</v>
      </c>
      <c r="N211" s="29">
        <f>B211+D211+F211+H211+J211+L211</f>
        <v>803</v>
      </c>
      <c r="O211" s="39">
        <f>N211/N215</f>
        <v>0.35992828328103987</v>
      </c>
    </row>
    <row r="212" spans="1:19" x14ac:dyDescent="0.2">
      <c r="A212" s="26" t="s">
        <v>64</v>
      </c>
      <c r="B212" s="38">
        <v>198</v>
      </c>
      <c r="C212" s="39">
        <f>B212/B215</f>
        <v>0.58407079646017701</v>
      </c>
      <c r="D212" s="38">
        <v>19</v>
      </c>
      <c r="E212" s="39">
        <f>D212/D215</f>
        <v>0.59375</v>
      </c>
      <c r="F212" s="38">
        <v>86</v>
      </c>
      <c r="G212" s="39">
        <f>F212/F215</f>
        <v>0.61428571428571432</v>
      </c>
      <c r="H212" s="38">
        <v>393</v>
      </c>
      <c r="I212" s="39">
        <f>H212/H215</f>
        <v>0.58050221565731164</v>
      </c>
      <c r="J212" s="38">
        <v>189</v>
      </c>
      <c r="K212" s="39">
        <f>J212/J215</f>
        <v>0.6</v>
      </c>
      <c r="L212" s="38">
        <v>400</v>
      </c>
      <c r="M212" s="39">
        <f>L212/L215</f>
        <v>0.5494505494505495</v>
      </c>
      <c r="N212" s="29">
        <f>B212+D212+F212+H212+J212+L212</f>
        <v>1285</v>
      </c>
      <c r="O212" s="39">
        <f>N212/N215</f>
        <v>0.57597489914836397</v>
      </c>
    </row>
    <row r="213" spans="1:19" x14ac:dyDescent="0.2">
      <c r="A213" s="26" t="s">
        <v>63</v>
      </c>
      <c r="B213" s="38">
        <v>22</v>
      </c>
      <c r="C213" s="39">
        <f>B213/B215</f>
        <v>6.4896755162241887E-2</v>
      </c>
      <c r="D213" s="38">
        <v>3</v>
      </c>
      <c r="E213" s="39">
        <f>D213/D215</f>
        <v>9.375E-2</v>
      </c>
      <c r="F213" s="38">
        <v>8</v>
      </c>
      <c r="G213" s="39">
        <f>F213/F215</f>
        <v>5.7142857142857141E-2</v>
      </c>
      <c r="H213" s="38">
        <v>39</v>
      </c>
      <c r="I213" s="39">
        <f>H213/H215</f>
        <v>5.7607090103397339E-2</v>
      </c>
      <c r="J213" s="38">
        <v>15</v>
      </c>
      <c r="K213" s="39">
        <f>J213/J215</f>
        <v>4.7619047619047616E-2</v>
      </c>
      <c r="L213" s="38">
        <v>40</v>
      </c>
      <c r="M213" s="39">
        <f>L213/L215</f>
        <v>5.4945054945054944E-2</v>
      </c>
      <c r="N213" s="29">
        <f>B213+D213+F213+H213+J213+L213</f>
        <v>127</v>
      </c>
      <c r="O213" s="39">
        <f>N213/N215</f>
        <v>5.6925145674585391E-2</v>
      </c>
    </row>
    <row r="214" spans="1:19" x14ac:dyDescent="0.2">
      <c r="A214" s="26" t="s">
        <v>62</v>
      </c>
      <c r="B214" s="38">
        <v>1</v>
      </c>
      <c r="C214" s="39">
        <f>B214/B215</f>
        <v>2.9498525073746312E-3</v>
      </c>
      <c r="D214" s="38">
        <v>1</v>
      </c>
      <c r="E214" s="39">
        <f>D214/D215</f>
        <v>3.125E-2</v>
      </c>
      <c r="F214" s="38">
        <v>1</v>
      </c>
      <c r="G214" s="39">
        <f>F214/F215</f>
        <v>7.1428571428571426E-3</v>
      </c>
      <c r="H214" s="38">
        <v>5</v>
      </c>
      <c r="I214" s="39">
        <f>H214/H215</f>
        <v>7.385524372230428E-3</v>
      </c>
      <c r="J214" s="38">
        <v>2</v>
      </c>
      <c r="K214" s="39">
        <f>J214/J215</f>
        <v>6.3492063492063492E-3</v>
      </c>
      <c r="L214" s="38">
        <v>6</v>
      </c>
      <c r="M214" s="39">
        <f>L214/L215</f>
        <v>8.241758241758242E-3</v>
      </c>
      <c r="N214" s="29">
        <f>B214+D214+F214+H214+J214+L214</f>
        <v>16</v>
      </c>
      <c r="O214" s="39">
        <f>N214/N215</f>
        <v>7.1716718960107579E-3</v>
      </c>
    </row>
    <row r="215" spans="1:19" s="43" customFormat="1" x14ac:dyDescent="0.2">
      <c r="A215" s="36" t="s">
        <v>1</v>
      </c>
      <c r="B215" s="30">
        <f t="shared" ref="B215:L215" si="87">SUM(B211:B214)</f>
        <v>339</v>
      </c>
      <c r="C215" s="41">
        <f>SUM(C211:C214)</f>
        <v>1</v>
      </c>
      <c r="D215" s="30">
        <f t="shared" si="87"/>
        <v>32</v>
      </c>
      <c r="E215" s="41">
        <f>SUM(E211:E214)</f>
        <v>1</v>
      </c>
      <c r="F215" s="30">
        <f t="shared" si="87"/>
        <v>140</v>
      </c>
      <c r="G215" s="41">
        <f>SUM(G211:G214)</f>
        <v>1</v>
      </c>
      <c r="H215" s="30">
        <f t="shared" si="87"/>
        <v>677</v>
      </c>
      <c r="I215" s="41">
        <f>SUM(I211:I214)</f>
        <v>0.99999999999999989</v>
      </c>
      <c r="J215" s="30">
        <f t="shared" si="87"/>
        <v>315</v>
      </c>
      <c r="K215" s="41">
        <f>SUM(K211:K214)</f>
        <v>1</v>
      </c>
      <c r="L215" s="30">
        <f t="shared" si="87"/>
        <v>728</v>
      </c>
      <c r="M215" s="41">
        <f>SUM(M211:M214)</f>
        <v>1</v>
      </c>
      <c r="N215" s="30">
        <f>SUM(N209:N214)</f>
        <v>2231</v>
      </c>
      <c r="O215" s="41">
        <f>SUM(O209:O214)</f>
        <v>1</v>
      </c>
      <c r="P215" s="46"/>
      <c r="Q215" s="51"/>
      <c r="R215" s="51"/>
      <c r="S215" s="51"/>
    </row>
    <row r="216" spans="1:19" ht="24" x14ac:dyDescent="0.2">
      <c r="A216" s="36" t="s">
        <v>117</v>
      </c>
      <c r="B216" s="25"/>
      <c r="C216" s="65">
        <f>SUM(C211:C212)</f>
        <v>0.93215339233038352</v>
      </c>
      <c r="D216" s="25"/>
      <c r="E216" s="65">
        <f>SUM(E211:E212)</f>
        <v>0.875</v>
      </c>
      <c r="F216" s="25"/>
      <c r="G216" s="65">
        <f>SUM(G211:G212)</f>
        <v>0.93571428571428572</v>
      </c>
      <c r="H216" s="25"/>
      <c r="I216" s="65">
        <f>SUM(I211:I212)</f>
        <v>0.93500738552437213</v>
      </c>
      <c r="J216" s="25"/>
      <c r="K216" s="65">
        <f>SUM(K211:K212)</f>
        <v>0.946031746031746</v>
      </c>
      <c r="L216" s="25"/>
      <c r="M216" s="65">
        <f>SUM(M211:M212)</f>
        <v>0.93681318681318682</v>
      </c>
      <c r="N216" s="30"/>
      <c r="O216" s="65">
        <f>SUM(O211:O212)</f>
        <v>0.93590318242940385</v>
      </c>
    </row>
    <row r="217" spans="1:19" x14ac:dyDescent="0.2">
      <c r="H217" s="46"/>
    </row>
    <row r="218" spans="1:19" x14ac:dyDescent="0.2">
      <c r="A218" s="36" t="s">
        <v>69</v>
      </c>
      <c r="B218" s="151" t="s">
        <v>128</v>
      </c>
      <c r="C218" s="151"/>
      <c r="D218" s="151" t="s">
        <v>99</v>
      </c>
      <c r="E218" s="151"/>
      <c r="F218" s="150" t="s">
        <v>176</v>
      </c>
      <c r="G218" s="150"/>
      <c r="H218" s="151" t="s">
        <v>101</v>
      </c>
      <c r="I218" s="151"/>
      <c r="J218" s="151" t="s">
        <v>100</v>
      </c>
      <c r="K218" s="151"/>
      <c r="L218" s="151" t="s">
        <v>126</v>
      </c>
      <c r="M218" s="151"/>
      <c r="N218" s="148" t="s">
        <v>1</v>
      </c>
      <c r="O218" s="148"/>
    </row>
    <row r="219" spans="1:19" x14ac:dyDescent="0.2">
      <c r="A219" s="26" t="s">
        <v>65</v>
      </c>
      <c r="B219" s="38">
        <v>103</v>
      </c>
      <c r="C219" s="39">
        <f>B219/B223</f>
        <v>0.30294117647058821</v>
      </c>
      <c r="D219" s="38">
        <v>7</v>
      </c>
      <c r="E219" s="39">
        <f>D219/D223</f>
        <v>0.22580645161290322</v>
      </c>
      <c r="F219" s="38">
        <v>39</v>
      </c>
      <c r="G219" s="39">
        <f>F219/F223</f>
        <v>0.28467153284671531</v>
      </c>
      <c r="H219" s="38">
        <v>231</v>
      </c>
      <c r="I219" s="39">
        <f>H219/H223</f>
        <v>0.35106382978723405</v>
      </c>
      <c r="J219" s="38">
        <v>100</v>
      </c>
      <c r="K219" s="39">
        <f>J219/J223</f>
        <v>0.32051282051282054</v>
      </c>
      <c r="L219" s="38">
        <v>267</v>
      </c>
      <c r="M219" s="39">
        <f>L219/L223</f>
        <v>0.3723849372384937</v>
      </c>
      <c r="N219" s="29">
        <f>B219+D219+F219+H219+J219+L219</f>
        <v>747</v>
      </c>
      <c r="O219" s="39">
        <f>N219/N223</f>
        <v>0.34031890660592257</v>
      </c>
    </row>
    <row r="220" spans="1:19" x14ac:dyDescent="0.2">
      <c r="A220" s="26" t="s">
        <v>64</v>
      </c>
      <c r="B220" s="38">
        <v>214</v>
      </c>
      <c r="C220" s="39">
        <f>B220/B223</f>
        <v>0.62941176470588234</v>
      </c>
      <c r="D220" s="38">
        <v>21</v>
      </c>
      <c r="E220" s="39">
        <f>D220/D223</f>
        <v>0.67741935483870963</v>
      </c>
      <c r="F220" s="38">
        <v>89</v>
      </c>
      <c r="G220" s="39">
        <f>F220/F223</f>
        <v>0.64963503649635035</v>
      </c>
      <c r="H220" s="38">
        <v>392</v>
      </c>
      <c r="I220" s="39">
        <f>H220/H223</f>
        <v>0.5957446808510638</v>
      </c>
      <c r="J220" s="38">
        <v>197</v>
      </c>
      <c r="K220" s="39">
        <f>J220/J223</f>
        <v>0.63141025641025639</v>
      </c>
      <c r="L220" s="38">
        <v>396</v>
      </c>
      <c r="M220" s="39">
        <f>L220/L223</f>
        <v>0.55230125523012552</v>
      </c>
      <c r="N220" s="29">
        <f>B220+D220+F220+H220+J220+L220</f>
        <v>1309</v>
      </c>
      <c r="O220" s="39">
        <f>N220/N223</f>
        <v>0.59635535307517085</v>
      </c>
    </row>
    <row r="221" spans="1:19" x14ac:dyDescent="0.2">
      <c r="A221" s="26" t="s">
        <v>63</v>
      </c>
      <c r="B221" s="38">
        <v>23</v>
      </c>
      <c r="C221" s="39">
        <f>B221/B223</f>
        <v>6.7647058823529407E-2</v>
      </c>
      <c r="D221" s="38">
        <v>3</v>
      </c>
      <c r="E221" s="39">
        <f>D221/D223</f>
        <v>9.6774193548387094E-2</v>
      </c>
      <c r="F221" s="38">
        <v>8</v>
      </c>
      <c r="G221" s="39">
        <f>F221/F223</f>
        <v>5.8394160583941604E-2</v>
      </c>
      <c r="H221" s="38">
        <v>32</v>
      </c>
      <c r="I221" s="39">
        <f>H221/H223</f>
        <v>4.8632218844984802E-2</v>
      </c>
      <c r="J221" s="38">
        <v>11</v>
      </c>
      <c r="K221" s="39">
        <f>J221/J223</f>
        <v>3.5256410256410256E-2</v>
      </c>
      <c r="L221" s="38">
        <v>47</v>
      </c>
      <c r="M221" s="39">
        <f>L221/L223</f>
        <v>6.555090655509066E-2</v>
      </c>
      <c r="N221" s="29">
        <f>B221+D221+F221+H221+J221+L221</f>
        <v>124</v>
      </c>
      <c r="O221" s="39">
        <f>N221/N223</f>
        <v>5.6492027334851938E-2</v>
      </c>
    </row>
    <row r="222" spans="1:19" x14ac:dyDescent="0.2">
      <c r="A222" s="26" t="s">
        <v>62</v>
      </c>
      <c r="B222" s="38"/>
      <c r="C222" s="39">
        <f>B222/B223</f>
        <v>0</v>
      </c>
      <c r="D222" s="38"/>
      <c r="E222" s="39">
        <f>D222/D223</f>
        <v>0</v>
      </c>
      <c r="F222" s="38">
        <v>1</v>
      </c>
      <c r="G222" s="39">
        <f>F222/F223</f>
        <v>7.2992700729927005E-3</v>
      </c>
      <c r="H222" s="38">
        <v>3</v>
      </c>
      <c r="I222" s="39">
        <f>H222/H223</f>
        <v>4.559270516717325E-3</v>
      </c>
      <c r="J222" s="38">
        <v>4</v>
      </c>
      <c r="K222" s="39">
        <f>J222/J223</f>
        <v>1.282051282051282E-2</v>
      </c>
      <c r="L222" s="38">
        <v>7</v>
      </c>
      <c r="M222" s="39">
        <f>L222/L223</f>
        <v>9.7629009762900971E-3</v>
      </c>
      <c r="N222" s="29">
        <f>B222+D222+F222+H222+J222+L222</f>
        <v>15</v>
      </c>
      <c r="O222" s="39">
        <f>N222/N223</f>
        <v>6.8337129840546698E-3</v>
      </c>
    </row>
    <row r="223" spans="1:19" s="43" customFormat="1" x14ac:dyDescent="0.2">
      <c r="A223" s="36" t="s">
        <v>1</v>
      </c>
      <c r="B223" s="30">
        <f t="shared" ref="B223:L223" si="88">SUM(B219:B222)</f>
        <v>340</v>
      </c>
      <c r="C223" s="41">
        <f>SUM(C219:C222)</f>
        <v>1</v>
      </c>
      <c r="D223" s="30">
        <f t="shared" si="88"/>
        <v>31</v>
      </c>
      <c r="E223" s="41">
        <f>SUM(E219:E222)</f>
        <v>1</v>
      </c>
      <c r="F223" s="30">
        <f t="shared" si="88"/>
        <v>137</v>
      </c>
      <c r="G223" s="41">
        <f>SUM(G219:G222)</f>
        <v>1</v>
      </c>
      <c r="H223" s="30">
        <f t="shared" si="88"/>
        <v>658</v>
      </c>
      <c r="I223" s="41">
        <f>SUM(I219:I222)</f>
        <v>1</v>
      </c>
      <c r="J223" s="30">
        <f t="shared" si="88"/>
        <v>312</v>
      </c>
      <c r="K223" s="41">
        <f>SUM(K219:K222)</f>
        <v>0.99999999999999989</v>
      </c>
      <c r="L223" s="30">
        <f t="shared" si="88"/>
        <v>717</v>
      </c>
      <c r="M223" s="41">
        <f>SUM(M219:M222)</f>
        <v>0.99999999999999989</v>
      </c>
      <c r="N223" s="30">
        <f>SUM(N217:N222)</f>
        <v>2195</v>
      </c>
      <c r="O223" s="41">
        <f>SUM(O217:O222)</f>
        <v>1</v>
      </c>
      <c r="P223" s="46"/>
      <c r="Q223" s="51"/>
      <c r="R223" s="51"/>
      <c r="S223" s="51"/>
    </row>
    <row r="224" spans="1:19" ht="24" x14ac:dyDescent="0.2">
      <c r="A224" s="36" t="s">
        <v>117</v>
      </c>
      <c r="B224" s="25"/>
      <c r="C224" s="65">
        <f>SUM(C219:C220)</f>
        <v>0.93235294117647061</v>
      </c>
      <c r="D224" s="25"/>
      <c r="E224" s="65">
        <f>SUM(E219:E220)</f>
        <v>0.90322580645161288</v>
      </c>
      <c r="F224" s="25"/>
      <c r="G224" s="65">
        <f>SUM(G219:G220)</f>
        <v>0.93430656934306566</v>
      </c>
      <c r="H224" s="25"/>
      <c r="I224" s="65">
        <f>SUM(I219:I220)</f>
        <v>0.94680851063829785</v>
      </c>
      <c r="J224" s="25"/>
      <c r="K224" s="65">
        <f>SUM(K219:K220)</f>
        <v>0.95192307692307687</v>
      </c>
      <c r="L224" s="25"/>
      <c r="M224" s="65">
        <f>SUM(M219:M220)</f>
        <v>0.92468619246861916</v>
      </c>
      <c r="N224" s="30"/>
      <c r="O224" s="65">
        <f>SUM(O219:O220)</f>
        <v>0.93667425968109341</v>
      </c>
    </row>
    <row r="225" spans="1:19" x14ac:dyDescent="0.2">
      <c r="H225" s="46"/>
    </row>
    <row r="226" spans="1:19" ht="24" x14ac:dyDescent="0.2">
      <c r="A226" s="36" t="s">
        <v>70</v>
      </c>
      <c r="B226" s="151" t="s">
        <v>128</v>
      </c>
      <c r="C226" s="151"/>
      <c r="D226" s="151" t="s">
        <v>99</v>
      </c>
      <c r="E226" s="151"/>
      <c r="F226" s="150" t="s">
        <v>176</v>
      </c>
      <c r="G226" s="150"/>
      <c r="H226" s="151" t="s">
        <v>101</v>
      </c>
      <c r="I226" s="151"/>
      <c r="J226" s="151" t="s">
        <v>100</v>
      </c>
      <c r="K226" s="151"/>
      <c r="L226" s="151" t="s">
        <v>126</v>
      </c>
      <c r="M226" s="151"/>
      <c r="N226" s="148" t="s">
        <v>1</v>
      </c>
      <c r="O226" s="148"/>
    </row>
    <row r="227" spans="1:19" x14ac:dyDescent="0.2">
      <c r="A227" s="26" t="s">
        <v>65</v>
      </c>
      <c r="B227" s="38">
        <v>104</v>
      </c>
      <c r="C227" s="39">
        <f>B227/B231</f>
        <v>0.30498533724340177</v>
      </c>
      <c r="D227" s="38">
        <v>6</v>
      </c>
      <c r="E227" s="39">
        <f>D227/D231</f>
        <v>0.19354838709677419</v>
      </c>
      <c r="F227" s="38">
        <v>44</v>
      </c>
      <c r="G227" s="39">
        <f>F227/F231</f>
        <v>0.33587786259541985</v>
      </c>
      <c r="H227" s="38">
        <v>246</v>
      </c>
      <c r="I227" s="39">
        <f>H227/H231</f>
        <v>0.36607142857142855</v>
      </c>
      <c r="J227" s="38">
        <v>100</v>
      </c>
      <c r="K227" s="39">
        <f>J227/J231</f>
        <v>0.32362459546925565</v>
      </c>
      <c r="L227" s="38">
        <v>284</v>
      </c>
      <c r="M227" s="39">
        <f>L227/L231</f>
        <v>0.39335180055401664</v>
      </c>
      <c r="N227" s="29">
        <f>B227+D227+F227+H227+J227+L227</f>
        <v>784</v>
      </c>
      <c r="O227" s="39">
        <f>N227/N231</f>
        <v>0.35539437896645515</v>
      </c>
    </row>
    <row r="228" spans="1:19" x14ac:dyDescent="0.2">
      <c r="A228" s="26" t="s">
        <v>64</v>
      </c>
      <c r="B228" s="38">
        <v>218</v>
      </c>
      <c r="C228" s="39">
        <f>B228/B231</f>
        <v>0.63929618768328444</v>
      </c>
      <c r="D228" s="38">
        <v>22</v>
      </c>
      <c r="E228" s="39">
        <f>D228/D231</f>
        <v>0.70967741935483875</v>
      </c>
      <c r="F228" s="38">
        <v>83</v>
      </c>
      <c r="G228" s="39">
        <f>F228/F231</f>
        <v>0.63358778625954193</v>
      </c>
      <c r="H228" s="38">
        <v>397</v>
      </c>
      <c r="I228" s="39">
        <f>H228/H231</f>
        <v>0.59077380952380953</v>
      </c>
      <c r="J228" s="38">
        <v>194</v>
      </c>
      <c r="K228" s="39">
        <f>J228/J231</f>
        <v>0.62783171521035597</v>
      </c>
      <c r="L228" s="38">
        <v>396</v>
      </c>
      <c r="M228" s="39">
        <f>L228/L231</f>
        <v>0.54847645429362879</v>
      </c>
      <c r="N228" s="29">
        <f>B228+D228+F228+H228+J228+L228</f>
        <v>1310</v>
      </c>
      <c r="O228" s="39">
        <f>N228/N231</f>
        <v>0.59383499546690843</v>
      </c>
    </row>
    <row r="229" spans="1:19" x14ac:dyDescent="0.2">
      <c r="A229" s="26" t="s">
        <v>63</v>
      </c>
      <c r="B229" s="38">
        <v>18</v>
      </c>
      <c r="C229" s="39">
        <f>B229/B231</f>
        <v>5.2785923753665691E-2</v>
      </c>
      <c r="D229" s="38">
        <v>2</v>
      </c>
      <c r="E229" s="39">
        <f>D229/D231</f>
        <v>6.4516129032258063E-2</v>
      </c>
      <c r="F229" s="38">
        <v>4</v>
      </c>
      <c r="G229" s="39">
        <f>F229/F231</f>
        <v>3.0534351145038167E-2</v>
      </c>
      <c r="H229" s="38">
        <v>24</v>
      </c>
      <c r="I229" s="39">
        <f>H229/H231</f>
        <v>3.5714285714285712E-2</v>
      </c>
      <c r="J229" s="38">
        <v>11</v>
      </c>
      <c r="K229" s="39">
        <f>J229/J231</f>
        <v>3.5598705501618123E-2</v>
      </c>
      <c r="L229" s="38">
        <v>36</v>
      </c>
      <c r="M229" s="39">
        <f>L229/L231</f>
        <v>4.9861495844875349E-2</v>
      </c>
      <c r="N229" s="29">
        <f>B229+D229+F229+H229+J229+L229</f>
        <v>95</v>
      </c>
      <c r="O229" s="39">
        <f>N229/N231</f>
        <v>4.3064369900271987E-2</v>
      </c>
    </row>
    <row r="230" spans="1:19" ht="12.75" x14ac:dyDescent="0.2">
      <c r="A230" s="26" t="s">
        <v>62</v>
      </c>
      <c r="B230" s="38">
        <v>1</v>
      </c>
      <c r="C230" s="39">
        <f>B230/B231</f>
        <v>2.9325513196480938E-3</v>
      </c>
      <c r="D230" s="38">
        <v>1</v>
      </c>
      <c r="E230" s="39">
        <f>D230/D231</f>
        <v>3.2258064516129031E-2</v>
      </c>
      <c r="F230" s="117"/>
      <c r="G230" s="39">
        <f>F230/F231</f>
        <v>0</v>
      </c>
      <c r="H230" s="38">
        <v>5</v>
      </c>
      <c r="I230" s="39">
        <f>H230/H231</f>
        <v>7.4404761904761901E-3</v>
      </c>
      <c r="J230" s="38">
        <v>4</v>
      </c>
      <c r="K230" s="39">
        <f>J230/J231</f>
        <v>1.2944983818770227E-2</v>
      </c>
      <c r="L230" s="38">
        <v>6</v>
      </c>
      <c r="M230" s="39">
        <f>L230/L231</f>
        <v>8.3102493074792248E-3</v>
      </c>
      <c r="N230" s="29">
        <f>B230+D230+F230+H230+J230+L230</f>
        <v>17</v>
      </c>
      <c r="O230" s="39">
        <f>N230/N231</f>
        <v>7.7062556663644605E-3</v>
      </c>
    </row>
    <row r="231" spans="1:19" s="43" customFormat="1" x14ac:dyDescent="0.2">
      <c r="A231" s="36" t="s">
        <v>1</v>
      </c>
      <c r="B231" s="30">
        <f t="shared" ref="B231:L231" si="89">SUM(B227:B230)</f>
        <v>341</v>
      </c>
      <c r="C231" s="41">
        <f>SUM(C227:C230)</f>
        <v>1</v>
      </c>
      <c r="D231" s="30">
        <f t="shared" si="89"/>
        <v>31</v>
      </c>
      <c r="E231" s="41">
        <f>SUM(E227:E230)</f>
        <v>1</v>
      </c>
      <c r="F231" s="30">
        <f t="shared" si="89"/>
        <v>131</v>
      </c>
      <c r="G231" s="41">
        <f>SUM(G227:G230)</f>
        <v>1</v>
      </c>
      <c r="H231" s="30">
        <f t="shared" si="89"/>
        <v>672</v>
      </c>
      <c r="I231" s="41">
        <f>SUM(I227:I230)</f>
        <v>1</v>
      </c>
      <c r="J231" s="30">
        <f t="shared" si="89"/>
        <v>309</v>
      </c>
      <c r="K231" s="41">
        <f>SUM(K227:K230)</f>
        <v>1</v>
      </c>
      <c r="L231" s="30">
        <f t="shared" si="89"/>
        <v>722</v>
      </c>
      <c r="M231" s="41">
        <f>SUM(M227:M230)</f>
        <v>1</v>
      </c>
      <c r="N231" s="30">
        <f>SUM(N225:N230)</f>
        <v>2206</v>
      </c>
      <c r="O231" s="41">
        <f>SUM(O225:O230)</f>
        <v>1</v>
      </c>
      <c r="P231" s="46"/>
      <c r="Q231" s="51"/>
      <c r="R231" s="51"/>
      <c r="S231" s="51"/>
    </row>
    <row r="232" spans="1:19" ht="24" x14ac:dyDescent="0.2">
      <c r="A232" s="36" t="s">
        <v>117</v>
      </c>
      <c r="B232" s="25"/>
      <c r="C232" s="65">
        <f>SUM(C227:C228)</f>
        <v>0.94428152492668627</v>
      </c>
      <c r="D232" s="25"/>
      <c r="E232" s="65">
        <f>SUM(E227:E228)</f>
        <v>0.90322580645161299</v>
      </c>
      <c r="F232" s="25"/>
      <c r="G232" s="65">
        <f>SUM(G227:G228)</f>
        <v>0.96946564885496178</v>
      </c>
      <c r="H232" s="25"/>
      <c r="I232" s="65">
        <f>SUM(I227:I228)</f>
        <v>0.95684523809523814</v>
      </c>
      <c r="J232" s="25"/>
      <c r="K232" s="65">
        <f>SUM(K227:K228)</f>
        <v>0.95145631067961167</v>
      </c>
      <c r="L232" s="25"/>
      <c r="M232" s="65">
        <f>SUM(M227:M228)</f>
        <v>0.94182825484764543</v>
      </c>
      <c r="N232" s="30"/>
      <c r="O232" s="65">
        <f>SUM(O227:O228)</f>
        <v>0.94922937443336353</v>
      </c>
    </row>
    <row r="233" spans="1:19" x14ac:dyDescent="0.2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</row>
    <row r="234" spans="1:19" ht="36" x14ac:dyDescent="0.2">
      <c r="A234" s="108" t="s">
        <v>71</v>
      </c>
      <c r="B234" s="151" t="s">
        <v>128</v>
      </c>
      <c r="C234" s="151"/>
      <c r="D234" s="151" t="s">
        <v>99</v>
      </c>
      <c r="E234" s="151"/>
      <c r="F234" s="150" t="s">
        <v>176</v>
      </c>
      <c r="G234" s="150"/>
      <c r="H234" s="151" t="s">
        <v>101</v>
      </c>
      <c r="I234" s="151"/>
      <c r="J234" s="151" t="s">
        <v>100</v>
      </c>
      <c r="K234" s="151"/>
      <c r="L234" s="151" t="s">
        <v>126</v>
      </c>
      <c r="M234" s="151"/>
      <c r="N234" s="148" t="s">
        <v>1</v>
      </c>
      <c r="O234" s="148"/>
    </row>
    <row r="235" spans="1:19" x14ac:dyDescent="0.2">
      <c r="A235" s="26" t="s">
        <v>65</v>
      </c>
      <c r="B235" s="38">
        <v>103</v>
      </c>
      <c r="C235" s="39">
        <f>B235/B239</f>
        <v>0.28611111111111109</v>
      </c>
      <c r="D235" s="38">
        <v>8</v>
      </c>
      <c r="E235" s="39">
        <f>D235/D239</f>
        <v>0.25806451612903225</v>
      </c>
      <c r="F235" s="38">
        <v>40</v>
      </c>
      <c r="G235" s="39">
        <f>F235/F239</f>
        <v>0.29197080291970801</v>
      </c>
      <c r="H235" s="38">
        <v>226</v>
      </c>
      <c r="I235" s="39">
        <f>H235/H239</f>
        <v>0.31966053748231965</v>
      </c>
      <c r="J235" s="38">
        <v>90</v>
      </c>
      <c r="K235" s="39">
        <f>J235/J239</f>
        <v>0.26162790697674421</v>
      </c>
      <c r="L235" s="38">
        <v>231</v>
      </c>
      <c r="M235" s="39">
        <f>L235/L239</f>
        <v>0.30474934036939316</v>
      </c>
      <c r="N235" s="29">
        <f>B235+D235+F235+H235+J235+L235</f>
        <v>698</v>
      </c>
      <c r="O235" s="39">
        <f>N235/N239</f>
        <v>0.29867351305091999</v>
      </c>
    </row>
    <row r="236" spans="1:19" x14ac:dyDescent="0.2">
      <c r="A236" s="26" t="s">
        <v>64</v>
      </c>
      <c r="B236" s="38">
        <v>232</v>
      </c>
      <c r="C236" s="39">
        <f>B236/B239</f>
        <v>0.64444444444444449</v>
      </c>
      <c r="D236" s="38">
        <v>22</v>
      </c>
      <c r="E236" s="39">
        <f>D236/D239</f>
        <v>0.70967741935483875</v>
      </c>
      <c r="F236" s="38">
        <v>91</v>
      </c>
      <c r="G236" s="39">
        <f>F236/F239</f>
        <v>0.66423357664233573</v>
      </c>
      <c r="H236" s="38">
        <v>431</v>
      </c>
      <c r="I236" s="39">
        <f>H236/H239</f>
        <v>0.60961810466760957</v>
      </c>
      <c r="J236" s="38">
        <v>235</v>
      </c>
      <c r="K236" s="39">
        <f>J236/J239</f>
        <v>0.68313953488372092</v>
      </c>
      <c r="L236" s="38">
        <v>452</v>
      </c>
      <c r="M236" s="39">
        <f>L236/L239</f>
        <v>0.59630606860158308</v>
      </c>
      <c r="N236" s="29">
        <f>B236+D236+F236+H236+J236+L236</f>
        <v>1463</v>
      </c>
      <c r="O236" s="39">
        <f>N236/N239</f>
        <v>0.62601626016260159</v>
      </c>
    </row>
    <row r="237" spans="1:19" x14ac:dyDescent="0.2">
      <c r="A237" s="26" t="s">
        <v>63</v>
      </c>
      <c r="B237" s="38">
        <v>22</v>
      </c>
      <c r="C237" s="39">
        <f>B237/B239</f>
        <v>6.1111111111111109E-2</v>
      </c>
      <c r="D237" s="38">
        <v>1</v>
      </c>
      <c r="E237" s="39">
        <f>D237/D239</f>
        <v>3.2258064516129031E-2</v>
      </c>
      <c r="F237" s="38">
        <v>6</v>
      </c>
      <c r="G237" s="39">
        <f>F237/F239</f>
        <v>4.3795620437956206E-2</v>
      </c>
      <c r="H237" s="38">
        <v>40</v>
      </c>
      <c r="I237" s="39">
        <f>H237/H239</f>
        <v>5.6577086280056574E-2</v>
      </c>
      <c r="J237" s="38">
        <v>15</v>
      </c>
      <c r="K237" s="39">
        <f>J237/J239</f>
        <v>4.3604651162790699E-2</v>
      </c>
      <c r="L237" s="38">
        <v>68</v>
      </c>
      <c r="M237" s="39">
        <f>L237/L239</f>
        <v>8.9709762532981532E-2</v>
      </c>
      <c r="N237" s="29">
        <f>B237+D237+F237+H237+J237+L237</f>
        <v>152</v>
      </c>
      <c r="O237" s="39">
        <f>N237/N239</f>
        <v>6.5040650406504072E-2</v>
      </c>
    </row>
    <row r="238" spans="1:19" ht="12.75" x14ac:dyDescent="0.2">
      <c r="A238" s="26" t="s">
        <v>62</v>
      </c>
      <c r="B238" s="38">
        <v>3</v>
      </c>
      <c r="C238" s="39">
        <f>B238/B239</f>
        <v>8.3333333333333332E-3</v>
      </c>
      <c r="D238" s="117"/>
      <c r="E238" s="39">
        <f>D238/D239</f>
        <v>0</v>
      </c>
      <c r="F238" s="117"/>
      <c r="G238" s="39">
        <f>F238/F239</f>
        <v>0</v>
      </c>
      <c r="H238" s="38">
        <v>10</v>
      </c>
      <c r="I238" s="39">
        <f>H238/H239</f>
        <v>1.4144271570014143E-2</v>
      </c>
      <c r="J238" s="38">
        <v>4</v>
      </c>
      <c r="K238" s="39">
        <f>J238/J239</f>
        <v>1.1627906976744186E-2</v>
      </c>
      <c r="L238" s="38">
        <v>7</v>
      </c>
      <c r="M238" s="39">
        <f>L238/L239</f>
        <v>9.2348284960422165E-3</v>
      </c>
      <c r="N238" s="29">
        <f>B238+D238+F238+H238+J238+L238</f>
        <v>24</v>
      </c>
      <c r="O238" s="39">
        <f>N238/N239</f>
        <v>1.0269576379974325E-2</v>
      </c>
    </row>
    <row r="239" spans="1:19" s="43" customFormat="1" x14ac:dyDescent="0.2">
      <c r="A239" s="36" t="s">
        <v>1</v>
      </c>
      <c r="B239" s="30">
        <f t="shared" ref="B239:L239" si="90">SUM(B235:B238)</f>
        <v>360</v>
      </c>
      <c r="C239" s="41">
        <f>SUM(C235:C238)</f>
        <v>1</v>
      </c>
      <c r="D239" s="30">
        <f t="shared" si="90"/>
        <v>31</v>
      </c>
      <c r="E239" s="41">
        <f>SUM(E235:E238)</f>
        <v>1</v>
      </c>
      <c r="F239" s="30">
        <f t="shared" si="90"/>
        <v>137</v>
      </c>
      <c r="G239" s="41">
        <f>SUM(G235:G238)</f>
        <v>1</v>
      </c>
      <c r="H239" s="30">
        <f t="shared" si="90"/>
        <v>707</v>
      </c>
      <c r="I239" s="41">
        <f>SUM(I235:I238)</f>
        <v>1</v>
      </c>
      <c r="J239" s="30">
        <f t="shared" si="90"/>
        <v>344</v>
      </c>
      <c r="K239" s="41">
        <f>SUM(K235:K238)</f>
        <v>1</v>
      </c>
      <c r="L239" s="30">
        <f t="shared" si="90"/>
        <v>758</v>
      </c>
      <c r="M239" s="41">
        <f>SUM(M235:M238)</f>
        <v>1</v>
      </c>
      <c r="N239" s="30">
        <f>SUM(N233:N238)</f>
        <v>2337</v>
      </c>
      <c r="O239" s="41">
        <f>SUM(O233:O238)</f>
        <v>0.99999999999999989</v>
      </c>
      <c r="P239" s="46"/>
      <c r="Q239" s="51"/>
      <c r="R239" s="51"/>
      <c r="S239" s="51"/>
    </row>
    <row r="240" spans="1:19" ht="24" x14ac:dyDescent="0.2">
      <c r="A240" s="36" t="s">
        <v>117</v>
      </c>
      <c r="B240" s="25"/>
      <c r="C240" s="65">
        <f>SUM(C235:C236)</f>
        <v>0.93055555555555558</v>
      </c>
      <c r="D240" s="25"/>
      <c r="E240" s="65">
        <f>SUM(E235:E236)</f>
        <v>0.967741935483871</v>
      </c>
      <c r="F240" s="25"/>
      <c r="G240" s="65">
        <f>SUM(G235:G236)</f>
        <v>0.95620437956204374</v>
      </c>
      <c r="H240" s="25"/>
      <c r="I240" s="65">
        <f>SUM(I235:I236)</f>
        <v>0.92927864214992928</v>
      </c>
      <c r="J240" s="25"/>
      <c r="K240" s="65">
        <f>SUM(K235:K236)</f>
        <v>0.94476744186046513</v>
      </c>
      <c r="L240" s="25"/>
      <c r="M240" s="65">
        <f>SUM(M235:M236)</f>
        <v>0.90105540897097625</v>
      </c>
      <c r="N240" s="30"/>
      <c r="O240" s="65">
        <f>SUM(O235:O236)</f>
        <v>0.92468977321352153</v>
      </c>
    </row>
    <row r="241" spans="1:19" x14ac:dyDescent="0.2">
      <c r="H241" s="46"/>
    </row>
    <row r="242" spans="1:19" ht="24" x14ac:dyDescent="0.2">
      <c r="A242" s="108" t="s">
        <v>175</v>
      </c>
      <c r="B242" s="151" t="s">
        <v>128</v>
      </c>
      <c r="C242" s="151"/>
      <c r="D242" s="151" t="s">
        <v>99</v>
      </c>
      <c r="E242" s="151"/>
      <c r="F242" s="150" t="s">
        <v>176</v>
      </c>
      <c r="G242" s="150"/>
      <c r="H242" s="151" t="s">
        <v>101</v>
      </c>
      <c r="I242" s="151"/>
      <c r="J242" s="151" t="s">
        <v>100</v>
      </c>
      <c r="K242" s="151"/>
      <c r="L242" s="151" t="s">
        <v>126</v>
      </c>
      <c r="M242" s="151"/>
      <c r="N242" s="148" t="s">
        <v>1</v>
      </c>
      <c r="O242" s="148"/>
    </row>
    <row r="243" spans="1:19" x14ac:dyDescent="0.2">
      <c r="A243" s="26" t="s">
        <v>65</v>
      </c>
      <c r="B243" s="38">
        <v>94</v>
      </c>
      <c r="C243" s="39">
        <f>B243/B247</f>
        <v>0.25405405405405407</v>
      </c>
      <c r="D243" s="38">
        <v>5</v>
      </c>
      <c r="E243" s="39">
        <f>D243/D247</f>
        <v>0.17857142857142858</v>
      </c>
      <c r="F243" s="38">
        <v>36</v>
      </c>
      <c r="G243" s="39">
        <f>F243/F247</f>
        <v>0.25174825174825177</v>
      </c>
      <c r="H243" s="38">
        <v>216</v>
      </c>
      <c r="I243" s="39">
        <f>H243/H247</f>
        <v>0.2983425414364641</v>
      </c>
      <c r="J243" s="38">
        <v>76</v>
      </c>
      <c r="K243" s="39">
        <f>J243/J247</f>
        <v>0.22960725075528701</v>
      </c>
      <c r="L243" s="38">
        <v>215</v>
      </c>
      <c r="M243" s="39">
        <f>L243/L247</f>
        <v>0.27813712807244501</v>
      </c>
      <c r="N243" s="29">
        <f>B243+D243+F243+H243+J243+L243</f>
        <v>642</v>
      </c>
      <c r="O243" s="39">
        <f>N243/N247</f>
        <v>0.27100042211903758</v>
      </c>
    </row>
    <row r="244" spans="1:19" x14ac:dyDescent="0.2">
      <c r="A244" s="26" t="s">
        <v>64</v>
      </c>
      <c r="B244" s="38">
        <v>240</v>
      </c>
      <c r="C244" s="39">
        <f>B244/B247</f>
        <v>0.64864864864864868</v>
      </c>
      <c r="D244" s="38">
        <v>20</v>
      </c>
      <c r="E244" s="39">
        <f>D244/D247</f>
        <v>0.7142857142857143</v>
      </c>
      <c r="F244" s="38">
        <v>94</v>
      </c>
      <c r="G244" s="39">
        <f>F244/F247</f>
        <v>0.65734265734265729</v>
      </c>
      <c r="H244" s="38">
        <v>436</v>
      </c>
      <c r="I244" s="39">
        <f>H244/H247</f>
        <v>0.60220994475138123</v>
      </c>
      <c r="J244" s="38">
        <v>227</v>
      </c>
      <c r="K244" s="39">
        <f>J244/J247</f>
        <v>0.6858006042296072</v>
      </c>
      <c r="L244" s="38">
        <v>456</v>
      </c>
      <c r="M244" s="39">
        <f>L244/L247</f>
        <v>0.58990944372574383</v>
      </c>
      <c r="N244" s="29">
        <f>B244+D244+F244+H244+J244+L244</f>
        <v>1473</v>
      </c>
      <c r="O244" s="39">
        <f>N244/N247</f>
        <v>0.62178134233853943</v>
      </c>
    </row>
    <row r="245" spans="1:19" x14ac:dyDescent="0.2">
      <c r="A245" s="26" t="s">
        <v>63</v>
      </c>
      <c r="B245" s="38">
        <v>31</v>
      </c>
      <c r="C245" s="39">
        <f>B245/B247</f>
        <v>8.3783783783783788E-2</v>
      </c>
      <c r="D245" s="38">
        <v>3</v>
      </c>
      <c r="E245" s="39">
        <f>D245/D247</f>
        <v>0.10714285714285714</v>
      </c>
      <c r="F245" s="38">
        <v>13</v>
      </c>
      <c r="G245" s="39">
        <f>F245/F247</f>
        <v>9.0909090909090912E-2</v>
      </c>
      <c r="H245" s="38">
        <v>59</v>
      </c>
      <c r="I245" s="39">
        <f>H245/H247</f>
        <v>8.1491712707182321E-2</v>
      </c>
      <c r="J245" s="38">
        <v>23</v>
      </c>
      <c r="K245" s="39">
        <f>J245/J247</f>
        <v>6.9486404833836862E-2</v>
      </c>
      <c r="L245" s="38">
        <v>85</v>
      </c>
      <c r="M245" s="39">
        <f>L245/L247</f>
        <v>0.10996119016817593</v>
      </c>
      <c r="N245" s="29">
        <f>B245+D245+F245+H245+J245+L245</f>
        <v>214</v>
      </c>
      <c r="O245" s="39">
        <f>N245/N247</f>
        <v>9.0333474039679187E-2</v>
      </c>
    </row>
    <row r="246" spans="1:19" ht="12.75" x14ac:dyDescent="0.2">
      <c r="A246" s="26" t="s">
        <v>62</v>
      </c>
      <c r="B246" s="38">
        <v>5</v>
      </c>
      <c r="C246" s="39">
        <f>B246/B247</f>
        <v>1.3513513513513514E-2</v>
      </c>
      <c r="D246" s="117"/>
      <c r="E246" s="39">
        <f>D246/D247</f>
        <v>0</v>
      </c>
      <c r="F246" s="117"/>
      <c r="G246" s="39">
        <f>F246/F247</f>
        <v>0</v>
      </c>
      <c r="H246" s="38">
        <v>13</v>
      </c>
      <c r="I246" s="39">
        <f>H246/H247</f>
        <v>1.7955801104972375E-2</v>
      </c>
      <c r="J246" s="38">
        <v>5</v>
      </c>
      <c r="K246" s="39">
        <f>J246/J247</f>
        <v>1.5105740181268883E-2</v>
      </c>
      <c r="L246" s="38">
        <v>17</v>
      </c>
      <c r="M246" s="39">
        <f>L246/L247</f>
        <v>2.1992238033635189E-2</v>
      </c>
      <c r="N246" s="29">
        <f>B246+D246+F246+H246+J246+L246</f>
        <v>40</v>
      </c>
      <c r="O246" s="39">
        <f>N246/N247</f>
        <v>1.6884761502743775E-2</v>
      </c>
    </row>
    <row r="247" spans="1:19" s="43" customFormat="1" x14ac:dyDescent="0.2">
      <c r="A247" s="36" t="s">
        <v>1</v>
      </c>
      <c r="B247" s="30">
        <f t="shared" ref="B247:L247" si="91">SUM(B243:B246)</f>
        <v>370</v>
      </c>
      <c r="C247" s="41">
        <f>SUM(C243:C246)</f>
        <v>1.0000000000000002</v>
      </c>
      <c r="D247" s="30">
        <f t="shared" si="91"/>
        <v>28</v>
      </c>
      <c r="E247" s="41">
        <f>SUM(E243:E246)</f>
        <v>1</v>
      </c>
      <c r="F247" s="30">
        <f t="shared" si="91"/>
        <v>143</v>
      </c>
      <c r="G247" s="41">
        <f>SUM(G243:G246)</f>
        <v>1</v>
      </c>
      <c r="H247" s="30">
        <f t="shared" si="91"/>
        <v>724</v>
      </c>
      <c r="I247" s="41">
        <f>SUM(I243:I246)</f>
        <v>1</v>
      </c>
      <c r="J247" s="30">
        <f t="shared" si="91"/>
        <v>331</v>
      </c>
      <c r="K247" s="41">
        <f>SUM(K243:K246)</f>
        <v>0.99999999999999989</v>
      </c>
      <c r="L247" s="30">
        <f t="shared" si="91"/>
        <v>773</v>
      </c>
      <c r="M247" s="41">
        <f>SUM(M243:M246)</f>
        <v>1</v>
      </c>
      <c r="N247" s="30">
        <f>SUM(N241:N246)</f>
        <v>2369</v>
      </c>
      <c r="O247" s="41">
        <f>SUM(O241:O246)</f>
        <v>1</v>
      </c>
      <c r="P247" s="46"/>
      <c r="Q247" s="51"/>
      <c r="R247" s="51"/>
      <c r="S247" s="51"/>
    </row>
    <row r="248" spans="1:19" ht="24" x14ac:dyDescent="0.2">
      <c r="A248" s="36" t="s">
        <v>117</v>
      </c>
      <c r="B248" s="25"/>
      <c r="C248" s="65">
        <f>SUM(C243:C244)</f>
        <v>0.90270270270270281</v>
      </c>
      <c r="D248" s="25"/>
      <c r="E248" s="65">
        <f>SUM(E243:E244)</f>
        <v>0.8928571428571429</v>
      </c>
      <c r="F248" s="25"/>
      <c r="G248" s="65">
        <f>SUM(G243:G244)</f>
        <v>0.90909090909090906</v>
      </c>
      <c r="H248" s="25"/>
      <c r="I248" s="65">
        <f>SUM(I243:I244)</f>
        <v>0.90055248618784534</v>
      </c>
      <c r="J248" s="25"/>
      <c r="K248" s="65">
        <f>SUM(K243:K244)</f>
        <v>0.91540785498489419</v>
      </c>
      <c r="L248" s="25"/>
      <c r="M248" s="65">
        <f>SUM(M243:M244)</f>
        <v>0.86804657179818889</v>
      </c>
      <c r="N248" s="30"/>
      <c r="O248" s="65">
        <f>SUM(O243:O244)</f>
        <v>0.89278176445757707</v>
      </c>
    </row>
    <row r="249" spans="1:19" x14ac:dyDescent="0.2">
      <c r="H249" s="46"/>
    </row>
    <row r="250" spans="1:19" ht="24" x14ac:dyDescent="0.2">
      <c r="A250" s="36" t="s">
        <v>72</v>
      </c>
      <c r="B250" s="151" t="s">
        <v>128</v>
      </c>
      <c r="C250" s="151"/>
      <c r="D250" s="151" t="s">
        <v>99</v>
      </c>
      <c r="E250" s="151"/>
      <c r="F250" s="150" t="s">
        <v>176</v>
      </c>
      <c r="G250" s="150"/>
      <c r="H250" s="151" t="s">
        <v>101</v>
      </c>
      <c r="I250" s="151"/>
      <c r="J250" s="151" t="s">
        <v>100</v>
      </c>
      <c r="K250" s="151"/>
      <c r="L250" s="151" t="s">
        <v>126</v>
      </c>
      <c r="M250" s="151"/>
      <c r="N250" s="148" t="s">
        <v>1</v>
      </c>
      <c r="O250" s="148"/>
    </row>
    <row r="251" spans="1:19" x14ac:dyDescent="0.2">
      <c r="A251" s="26" t="s">
        <v>65</v>
      </c>
      <c r="B251" s="38">
        <v>101</v>
      </c>
      <c r="C251" s="39">
        <f>B251/B255</f>
        <v>0.27900552486187846</v>
      </c>
      <c r="D251" s="38">
        <v>8</v>
      </c>
      <c r="E251" s="39">
        <f>D251/D255</f>
        <v>0.25806451612903225</v>
      </c>
      <c r="F251" s="38">
        <v>30</v>
      </c>
      <c r="G251" s="39">
        <f>F251/F255</f>
        <v>0.2</v>
      </c>
      <c r="H251" s="38">
        <v>212</v>
      </c>
      <c r="I251" s="39">
        <f>H251/H255</f>
        <v>0.2965034965034965</v>
      </c>
      <c r="J251" s="38">
        <v>84</v>
      </c>
      <c r="K251" s="39">
        <f>J251/J255</f>
        <v>0.24852071005917159</v>
      </c>
      <c r="L251" s="38">
        <v>245</v>
      </c>
      <c r="M251" s="39">
        <f>L251/L255</f>
        <v>0.31572164948453607</v>
      </c>
      <c r="N251" s="29">
        <f>B251+D251+F251+H251+J251+L251</f>
        <v>680</v>
      </c>
      <c r="O251" s="39">
        <f>N251/N255</f>
        <v>0.28667790893760542</v>
      </c>
    </row>
    <row r="252" spans="1:19" x14ac:dyDescent="0.2">
      <c r="A252" s="26" t="s">
        <v>64</v>
      </c>
      <c r="B252" s="38">
        <v>207</v>
      </c>
      <c r="C252" s="39">
        <f>B252/B255</f>
        <v>0.57182320441988954</v>
      </c>
      <c r="D252" s="38">
        <v>19</v>
      </c>
      <c r="E252" s="39">
        <f>D252/D255</f>
        <v>0.61290322580645162</v>
      </c>
      <c r="F252" s="38">
        <v>104</v>
      </c>
      <c r="G252" s="39">
        <f>F252/F255</f>
        <v>0.69333333333333336</v>
      </c>
      <c r="H252" s="38">
        <v>390</v>
      </c>
      <c r="I252" s="39">
        <f>H252/H255</f>
        <v>0.54545454545454541</v>
      </c>
      <c r="J252" s="38">
        <v>213</v>
      </c>
      <c r="K252" s="39">
        <f>J252/J255</f>
        <v>0.63017751479289941</v>
      </c>
      <c r="L252" s="38">
        <v>400</v>
      </c>
      <c r="M252" s="39">
        <f>L252/L255</f>
        <v>0.51546391752577314</v>
      </c>
      <c r="N252" s="29">
        <f>B252+D252+F252+H252+J252+L252</f>
        <v>1333</v>
      </c>
      <c r="O252" s="39">
        <f>N252/N255</f>
        <v>0.56197301854974702</v>
      </c>
    </row>
    <row r="253" spans="1:19" x14ac:dyDescent="0.2">
      <c r="A253" s="26" t="s">
        <v>63</v>
      </c>
      <c r="B253" s="38">
        <v>45</v>
      </c>
      <c r="C253" s="39">
        <f>B253/B255</f>
        <v>0.12430939226519337</v>
      </c>
      <c r="D253" s="38">
        <v>4</v>
      </c>
      <c r="E253" s="39">
        <f>D253/D255</f>
        <v>0.12903225806451613</v>
      </c>
      <c r="F253" s="38">
        <v>14</v>
      </c>
      <c r="G253" s="39">
        <f>F253/F255</f>
        <v>9.3333333333333338E-2</v>
      </c>
      <c r="H253" s="38">
        <v>81</v>
      </c>
      <c r="I253" s="39">
        <f>H253/H255</f>
        <v>0.11328671328671329</v>
      </c>
      <c r="J253" s="38">
        <v>32</v>
      </c>
      <c r="K253" s="39">
        <f>J253/J255</f>
        <v>9.4674556213017749E-2</v>
      </c>
      <c r="L253" s="38">
        <v>97</v>
      </c>
      <c r="M253" s="39">
        <f>L253/L255</f>
        <v>0.125</v>
      </c>
      <c r="N253" s="29">
        <f>B253+D253+F253+H253+J253+L253</f>
        <v>273</v>
      </c>
      <c r="O253" s="39">
        <f>N253/N255</f>
        <v>0.11509274873524451</v>
      </c>
    </row>
    <row r="254" spans="1:19" ht="12.75" x14ac:dyDescent="0.2">
      <c r="A254" s="26" t="s">
        <v>62</v>
      </c>
      <c r="B254" s="38">
        <v>9</v>
      </c>
      <c r="C254" s="39">
        <f>B254/B255</f>
        <v>2.4861878453038673E-2</v>
      </c>
      <c r="D254" s="117"/>
      <c r="E254" s="39">
        <f>D254/D255</f>
        <v>0</v>
      </c>
      <c r="F254" s="38">
        <v>2</v>
      </c>
      <c r="G254" s="39">
        <f>F254/F255</f>
        <v>1.3333333333333334E-2</v>
      </c>
      <c r="H254" s="38">
        <v>32</v>
      </c>
      <c r="I254" s="39">
        <f>H254/H255</f>
        <v>4.4755244755244755E-2</v>
      </c>
      <c r="J254" s="38">
        <v>9</v>
      </c>
      <c r="K254" s="39">
        <f>J254/J255</f>
        <v>2.6627218934911243E-2</v>
      </c>
      <c r="L254" s="38">
        <v>34</v>
      </c>
      <c r="M254" s="39">
        <f>L254/L255</f>
        <v>4.3814432989690719E-2</v>
      </c>
      <c r="N254" s="29">
        <f>B254+D254+F254+H254+J254+L254</f>
        <v>86</v>
      </c>
      <c r="O254" s="39">
        <f>N254/N255</f>
        <v>3.6256323777403038E-2</v>
      </c>
    </row>
    <row r="255" spans="1:19" s="43" customFormat="1" x14ac:dyDescent="0.2">
      <c r="A255" s="36" t="s">
        <v>1</v>
      </c>
      <c r="B255" s="30">
        <f t="shared" ref="B255:L255" si="92">SUM(B251:B254)</f>
        <v>362</v>
      </c>
      <c r="C255" s="41">
        <f>SUM(C251:C254)</f>
        <v>1</v>
      </c>
      <c r="D255" s="30">
        <f t="shared" si="92"/>
        <v>31</v>
      </c>
      <c r="E255" s="41">
        <f>SUM(E251:E254)</f>
        <v>1</v>
      </c>
      <c r="F255" s="30">
        <f t="shared" si="92"/>
        <v>150</v>
      </c>
      <c r="G255" s="41">
        <f>SUM(G251:G254)</f>
        <v>1</v>
      </c>
      <c r="H255" s="30">
        <f t="shared" si="92"/>
        <v>715</v>
      </c>
      <c r="I255" s="41">
        <f>SUM(I251:I254)</f>
        <v>0.99999999999999989</v>
      </c>
      <c r="J255" s="30">
        <f t="shared" si="92"/>
        <v>338</v>
      </c>
      <c r="K255" s="41">
        <f>SUM(K251:K254)</f>
        <v>1</v>
      </c>
      <c r="L255" s="30">
        <f t="shared" si="92"/>
        <v>776</v>
      </c>
      <c r="M255" s="41">
        <f>SUM(M251:M254)</f>
        <v>0.99999999999999989</v>
      </c>
      <c r="N255" s="30">
        <f>SUM(N249:N254)</f>
        <v>2372</v>
      </c>
      <c r="O255" s="41">
        <f>SUM(O249:O254)</f>
        <v>1</v>
      </c>
      <c r="P255" s="46"/>
      <c r="Q255" s="51"/>
      <c r="R255" s="51"/>
      <c r="S255" s="51"/>
    </row>
    <row r="256" spans="1:19" ht="24" x14ac:dyDescent="0.2">
      <c r="A256" s="36" t="s">
        <v>117</v>
      </c>
      <c r="B256" s="25"/>
      <c r="C256" s="65">
        <f>SUM(C251:C252)</f>
        <v>0.850828729281768</v>
      </c>
      <c r="D256" s="25"/>
      <c r="E256" s="65">
        <f>SUM(E251:E252)</f>
        <v>0.87096774193548387</v>
      </c>
      <c r="F256" s="25"/>
      <c r="G256" s="65">
        <f>SUM(G251:G252)</f>
        <v>0.89333333333333331</v>
      </c>
      <c r="H256" s="25"/>
      <c r="I256" s="65">
        <f>SUM(I251:I252)</f>
        <v>0.84195804195804191</v>
      </c>
      <c r="J256" s="25"/>
      <c r="K256" s="65">
        <f>SUM(K251:K252)</f>
        <v>0.87869822485207094</v>
      </c>
      <c r="L256" s="25"/>
      <c r="M256" s="65">
        <f>SUM(M251:M252)</f>
        <v>0.83118556701030921</v>
      </c>
      <c r="N256" s="30"/>
      <c r="O256" s="65">
        <f>SUM(O251:O252)</f>
        <v>0.84865092748735238</v>
      </c>
    </row>
    <row r="257" spans="1:19" x14ac:dyDescent="0.2">
      <c r="H257" s="46"/>
    </row>
    <row r="258" spans="1:19" ht="24" x14ac:dyDescent="0.2">
      <c r="A258" s="36" t="s">
        <v>73</v>
      </c>
      <c r="B258" s="151" t="s">
        <v>128</v>
      </c>
      <c r="C258" s="151"/>
      <c r="D258" s="151" t="s">
        <v>99</v>
      </c>
      <c r="E258" s="151"/>
      <c r="F258" s="150" t="s">
        <v>176</v>
      </c>
      <c r="G258" s="150"/>
      <c r="H258" s="151" t="s">
        <v>101</v>
      </c>
      <c r="I258" s="151"/>
      <c r="J258" s="151" t="s">
        <v>100</v>
      </c>
      <c r="K258" s="151"/>
      <c r="L258" s="151" t="s">
        <v>126</v>
      </c>
      <c r="M258" s="151"/>
      <c r="N258" s="148" t="s">
        <v>1</v>
      </c>
      <c r="O258" s="148"/>
    </row>
    <row r="259" spans="1:19" x14ac:dyDescent="0.2">
      <c r="A259" s="26" t="s">
        <v>65</v>
      </c>
      <c r="B259" s="38">
        <v>115</v>
      </c>
      <c r="C259" s="39">
        <f>B259/B263</f>
        <v>0.32763532763532766</v>
      </c>
      <c r="D259" s="38">
        <v>8</v>
      </c>
      <c r="E259" s="39">
        <f>D259/D263</f>
        <v>0.26666666666666666</v>
      </c>
      <c r="F259" s="38">
        <v>38</v>
      </c>
      <c r="G259" s="39">
        <f>F259/F263</f>
        <v>0.27737226277372262</v>
      </c>
      <c r="H259" s="38">
        <v>219</v>
      </c>
      <c r="I259" s="39">
        <f>H259/H263</f>
        <v>0.31924198250728864</v>
      </c>
      <c r="J259" s="38">
        <v>91</v>
      </c>
      <c r="K259" s="39">
        <f>J259/J263</f>
        <v>0.28000000000000003</v>
      </c>
      <c r="L259" s="38">
        <v>242</v>
      </c>
      <c r="M259" s="39">
        <f>L259/L263</f>
        <v>0.32970027247956402</v>
      </c>
      <c r="N259" s="29">
        <f>B259+D259+F259+H259+J259+L259</f>
        <v>713</v>
      </c>
      <c r="O259" s="39">
        <f>N259/N263</f>
        <v>0.31506849315068491</v>
      </c>
    </row>
    <row r="260" spans="1:19" x14ac:dyDescent="0.2">
      <c r="A260" s="26" t="s">
        <v>64</v>
      </c>
      <c r="B260" s="38">
        <v>212</v>
      </c>
      <c r="C260" s="39">
        <f>B260/B263</f>
        <v>0.60398860398860399</v>
      </c>
      <c r="D260" s="38">
        <v>20</v>
      </c>
      <c r="E260" s="39">
        <f>D260/D263</f>
        <v>0.66666666666666663</v>
      </c>
      <c r="F260" s="38">
        <v>91</v>
      </c>
      <c r="G260" s="39">
        <f>F260/F263</f>
        <v>0.66423357664233573</v>
      </c>
      <c r="H260" s="38">
        <v>426</v>
      </c>
      <c r="I260" s="39">
        <f>H260/H263</f>
        <v>0.62099125364431484</v>
      </c>
      <c r="J260" s="38">
        <v>212</v>
      </c>
      <c r="K260" s="39">
        <f>J260/J263</f>
        <v>0.65230769230769226</v>
      </c>
      <c r="L260" s="38">
        <v>415</v>
      </c>
      <c r="M260" s="39">
        <f>L260/L263</f>
        <v>0.56539509536784738</v>
      </c>
      <c r="N260" s="29">
        <f>B260+D260+F260+H260+J260+L260</f>
        <v>1376</v>
      </c>
      <c r="O260" s="39">
        <f>N260/N263</f>
        <v>0.60804242156429522</v>
      </c>
    </row>
    <row r="261" spans="1:19" x14ac:dyDescent="0.2">
      <c r="A261" s="26" t="s">
        <v>63</v>
      </c>
      <c r="B261" s="38">
        <v>21</v>
      </c>
      <c r="C261" s="39">
        <f>B261/B263</f>
        <v>5.9829059829059832E-2</v>
      </c>
      <c r="D261" s="38">
        <v>2</v>
      </c>
      <c r="E261" s="39">
        <f>D261/D263</f>
        <v>6.6666666666666666E-2</v>
      </c>
      <c r="F261" s="38">
        <v>8</v>
      </c>
      <c r="G261" s="39">
        <f>F261/F263</f>
        <v>5.8394160583941604E-2</v>
      </c>
      <c r="H261" s="38">
        <v>31</v>
      </c>
      <c r="I261" s="39">
        <f>H261/H263</f>
        <v>4.5189504373177841E-2</v>
      </c>
      <c r="J261" s="38">
        <v>17</v>
      </c>
      <c r="K261" s="39">
        <f>J261/J263</f>
        <v>5.2307692307692305E-2</v>
      </c>
      <c r="L261" s="38">
        <v>67</v>
      </c>
      <c r="M261" s="39">
        <f>L261/L263</f>
        <v>9.128065395095368E-2</v>
      </c>
      <c r="N261" s="29">
        <f>B261+D261+F261+H261+J261+L261</f>
        <v>146</v>
      </c>
      <c r="O261" s="39">
        <f>N261/N263</f>
        <v>6.4516129032258063E-2</v>
      </c>
    </row>
    <row r="262" spans="1:19" ht="12.75" x14ac:dyDescent="0.2">
      <c r="A262" s="26" t="s">
        <v>62</v>
      </c>
      <c r="B262" s="38">
        <v>3</v>
      </c>
      <c r="C262" s="39">
        <f>B262/B263</f>
        <v>8.5470085470085479E-3</v>
      </c>
      <c r="D262" s="117"/>
      <c r="E262" s="39">
        <f>D262/D263</f>
        <v>0</v>
      </c>
      <c r="F262" s="117"/>
      <c r="G262" s="39">
        <f>F262/F263</f>
        <v>0</v>
      </c>
      <c r="H262" s="38">
        <v>10</v>
      </c>
      <c r="I262" s="39">
        <f>H262/H263</f>
        <v>1.4577259475218658E-2</v>
      </c>
      <c r="J262" s="38">
        <v>5</v>
      </c>
      <c r="K262" s="39">
        <f>J262/J263</f>
        <v>1.5384615384615385E-2</v>
      </c>
      <c r="L262" s="38">
        <v>10</v>
      </c>
      <c r="M262" s="39">
        <f>L262/L263</f>
        <v>1.3623978201634877E-2</v>
      </c>
      <c r="N262" s="29">
        <f>B262+D262+F262+H262+J262+L262</f>
        <v>28</v>
      </c>
      <c r="O262" s="39">
        <f>N262/N263</f>
        <v>1.2372956252761821E-2</v>
      </c>
    </row>
    <row r="263" spans="1:19" s="43" customFormat="1" x14ac:dyDescent="0.2">
      <c r="A263" s="36" t="s">
        <v>1</v>
      </c>
      <c r="B263" s="30">
        <f t="shared" ref="B263:L263" si="93">SUM(B259:B262)</f>
        <v>351</v>
      </c>
      <c r="C263" s="41">
        <f>SUM(C259:C262)</f>
        <v>1</v>
      </c>
      <c r="D263" s="30">
        <f t="shared" si="93"/>
        <v>30</v>
      </c>
      <c r="E263" s="41">
        <f>SUM(E259:E262)</f>
        <v>1</v>
      </c>
      <c r="F263" s="30">
        <f t="shared" si="93"/>
        <v>137</v>
      </c>
      <c r="G263" s="41">
        <f>SUM(G259:G262)</f>
        <v>1</v>
      </c>
      <c r="H263" s="30">
        <f t="shared" si="93"/>
        <v>686</v>
      </c>
      <c r="I263" s="41">
        <f>SUM(I259:I262)</f>
        <v>1</v>
      </c>
      <c r="J263" s="30">
        <f t="shared" si="93"/>
        <v>325</v>
      </c>
      <c r="K263" s="41">
        <f>SUM(K259:K262)</f>
        <v>1</v>
      </c>
      <c r="L263" s="30">
        <f t="shared" si="93"/>
        <v>734</v>
      </c>
      <c r="M263" s="41">
        <f>SUM(M259:M262)</f>
        <v>0.99999999999999989</v>
      </c>
      <c r="N263" s="30">
        <f>SUM(N257:N262)</f>
        <v>2263</v>
      </c>
      <c r="O263" s="41">
        <f>SUM(O257:O262)</f>
        <v>0.99999999999999989</v>
      </c>
      <c r="P263" s="46"/>
      <c r="Q263" s="51"/>
      <c r="R263" s="51"/>
      <c r="S263" s="51"/>
    </row>
    <row r="264" spans="1:19" ht="24" x14ac:dyDescent="0.2">
      <c r="A264" s="36" t="s">
        <v>117</v>
      </c>
      <c r="B264" s="25"/>
      <c r="C264" s="65">
        <f>SUM(C259:C260)</f>
        <v>0.93162393162393164</v>
      </c>
      <c r="D264" s="25"/>
      <c r="E264" s="65">
        <f>SUM(E259:E260)</f>
        <v>0.93333333333333335</v>
      </c>
      <c r="F264" s="25"/>
      <c r="G264" s="65">
        <f>SUM(G259:G260)</f>
        <v>0.94160583941605835</v>
      </c>
      <c r="H264" s="25"/>
      <c r="I264" s="65">
        <f>SUM(I259:I260)</f>
        <v>0.94023323615160348</v>
      </c>
      <c r="J264" s="25"/>
      <c r="K264" s="65">
        <f>SUM(K259:K260)</f>
        <v>0.93230769230769228</v>
      </c>
      <c r="L264" s="25"/>
      <c r="M264" s="65">
        <f>SUM(M259:M260)</f>
        <v>0.89509536784741139</v>
      </c>
      <c r="N264" s="30"/>
      <c r="O264" s="65">
        <f>SUM(O259:O260)</f>
        <v>0.92311091471498008</v>
      </c>
    </row>
    <row r="265" spans="1:19" x14ac:dyDescent="0.2">
      <c r="H265" s="46"/>
    </row>
    <row r="266" spans="1:19" ht="24" x14ac:dyDescent="0.2">
      <c r="A266" s="36" t="s">
        <v>74</v>
      </c>
      <c r="B266" s="151" t="s">
        <v>128</v>
      </c>
      <c r="C266" s="151"/>
      <c r="D266" s="151" t="s">
        <v>99</v>
      </c>
      <c r="E266" s="151"/>
      <c r="F266" s="150" t="s">
        <v>176</v>
      </c>
      <c r="G266" s="150"/>
      <c r="H266" s="151" t="s">
        <v>101</v>
      </c>
      <c r="I266" s="151"/>
      <c r="J266" s="151" t="s">
        <v>100</v>
      </c>
      <c r="K266" s="151"/>
      <c r="L266" s="151" t="s">
        <v>126</v>
      </c>
      <c r="M266" s="151"/>
      <c r="N266" s="148" t="s">
        <v>1</v>
      </c>
      <c r="O266" s="148"/>
    </row>
    <row r="267" spans="1:19" x14ac:dyDescent="0.2">
      <c r="A267" s="26" t="s">
        <v>65</v>
      </c>
      <c r="B267" s="38">
        <v>123</v>
      </c>
      <c r="C267" s="39">
        <f>B267/B271</f>
        <v>0.35344827586206895</v>
      </c>
      <c r="D267" s="38">
        <v>11</v>
      </c>
      <c r="E267" s="39">
        <f>D267/D271</f>
        <v>0.36666666666666664</v>
      </c>
      <c r="F267" s="38">
        <v>36</v>
      </c>
      <c r="G267" s="39">
        <f>F267/F271</f>
        <v>0.27692307692307694</v>
      </c>
      <c r="H267" s="38">
        <v>230</v>
      </c>
      <c r="I267" s="39">
        <f>H267/H271</f>
        <v>0.34795763993948564</v>
      </c>
      <c r="J267" s="38">
        <v>98</v>
      </c>
      <c r="K267" s="39">
        <f>J267/J271</f>
        <v>0.30529595015576322</v>
      </c>
      <c r="L267" s="38">
        <v>250</v>
      </c>
      <c r="M267" s="39">
        <f>L267/L271</f>
        <v>0.35063113604488078</v>
      </c>
      <c r="N267" s="29">
        <f>B267+D267+F267+H267+J267+L267</f>
        <v>748</v>
      </c>
      <c r="O267" s="39">
        <f>N267/N271</f>
        <v>0.33953699500680889</v>
      </c>
    </row>
    <row r="268" spans="1:19" x14ac:dyDescent="0.2">
      <c r="A268" s="26" t="s">
        <v>64</v>
      </c>
      <c r="B268" s="38">
        <v>203</v>
      </c>
      <c r="C268" s="39">
        <f>B268/B271</f>
        <v>0.58333333333333337</v>
      </c>
      <c r="D268" s="38">
        <v>17</v>
      </c>
      <c r="E268" s="39">
        <f>D268/D271</f>
        <v>0.56666666666666665</v>
      </c>
      <c r="F268" s="38">
        <v>87</v>
      </c>
      <c r="G268" s="39">
        <f>F268/F271</f>
        <v>0.66923076923076918</v>
      </c>
      <c r="H268" s="38">
        <v>389</v>
      </c>
      <c r="I268" s="39">
        <f>H268/H271</f>
        <v>0.5885022692889561</v>
      </c>
      <c r="J268" s="38">
        <v>207</v>
      </c>
      <c r="K268" s="39">
        <f>J268/J271</f>
        <v>0.64485981308411211</v>
      </c>
      <c r="L268" s="38">
        <v>404</v>
      </c>
      <c r="M268" s="39">
        <f>L268/L271</f>
        <v>0.56661991584852733</v>
      </c>
      <c r="N268" s="29">
        <f>B268+D268+F268+H268+J268+L268</f>
        <v>1307</v>
      </c>
      <c r="O268" s="39">
        <f>N268/N271</f>
        <v>0.5932818883340899</v>
      </c>
    </row>
    <row r="269" spans="1:19" x14ac:dyDescent="0.2">
      <c r="A269" s="26" t="s">
        <v>63</v>
      </c>
      <c r="B269" s="38">
        <v>19</v>
      </c>
      <c r="C269" s="39">
        <f>B269/B271</f>
        <v>5.459770114942529E-2</v>
      </c>
      <c r="D269" s="38">
        <v>2</v>
      </c>
      <c r="E269" s="39">
        <f>D269/D271</f>
        <v>6.6666666666666666E-2</v>
      </c>
      <c r="F269" s="38">
        <v>7</v>
      </c>
      <c r="G269" s="39">
        <f>F269/F271</f>
        <v>5.3846153846153849E-2</v>
      </c>
      <c r="H269" s="38">
        <v>34</v>
      </c>
      <c r="I269" s="39">
        <f>H269/H271</f>
        <v>5.1437216338880487E-2</v>
      </c>
      <c r="J269" s="38">
        <v>13</v>
      </c>
      <c r="K269" s="39">
        <f>J269/J271</f>
        <v>4.0498442367601244E-2</v>
      </c>
      <c r="L269" s="38">
        <v>51</v>
      </c>
      <c r="M269" s="39">
        <f>L269/L271</f>
        <v>7.1528751753155678E-2</v>
      </c>
      <c r="N269" s="29">
        <f>B269+D269+F269+H269+J269+L269</f>
        <v>126</v>
      </c>
      <c r="O269" s="39">
        <f>N269/N271</f>
        <v>5.7194734453018613E-2</v>
      </c>
    </row>
    <row r="270" spans="1:19" ht="12.75" x14ac:dyDescent="0.2">
      <c r="A270" s="26" t="s">
        <v>62</v>
      </c>
      <c r="B270" s="38">
        <v>3</v>
      </c>
      <c r="C270" s="39">
        <f>B270/B271</f>
        <v>8.6206896551724137E-3</v>
      </c>
      <c r="D270" s="117"/>
      <c r="E270" s="39">
        <f>D270/D271</f>
        <v>0</v>
      </c>
      <c r="F270" s="117"/>
      <c r="G270" s="39">
        <f>F270/F271</f>
        <v>0</v>
      </c>
      <c r="H270" s="38">
        <v>8</v>
      </c>
      <c r="I270" s="39">
        <f>H270/H271</f>
        <v>1.2102874432677761E-2</v>
      </c>
      <c r="J270" s="38">
        <v>3</v>
      </c>
      <c r="K270" s="39">
        <f>J270/J271</f>
        <v>9.3457943925233638E-3</v>
      </c>
      <c r="L270" s="38">
        <v>8</v>
      </c>
      <c r="M270" s="39">
        <f>L270/L271</f>
        <v>1.1220196353436185E-2</v>
      </c>
      <c r="N270" s="29">
        <f>B270+D270+F270+H270+J270+L270</f>
        <v>22</v>
      </c>
      <c r="O270" s="39">
        <f>N270/N271</f>
        <v>9.9863822060826148E-3</v>
      </c>
    </row>
    <row r="271" spans="1:19" s="43" customFormat="1" x14ac:dyDescent="0.2">
      <c r="A271" s="36" t="s">
        <v>1</v>
      </c>
      <c r="B271" s="30">
        <f t="shared" ref="B271:L271" si="94">SUM(B267:B270)</f>
        <v>348</v>
      </c>
      <c r="C271" s="41">
        <f>SUM(C267:C270)</f>
        <v>1</v>
      </c>
      <c r="D271" s="30">
        <f t="shared" si="94"/>
        <v>30</v>
      </c>
      <c r="E271" s="41">
        <f>SUM(E267:E270)</f>
        <v>1</v>
      </c>
      <c r="F271" s="30">
        <f t="shared" si="94"/>
        <v>130</v>
      </c>
      <c r="G271" s="41">
        <f>SUM(G267:G270)</f>
        <v>1</v>
      </c>
      <c r="H271" s="30">
        <f t="shared" si="94"/>
        <v>661</v>
      </c>
      <c r="I271" s="41">
        <f>SUM(I267:I270)</f>
        <v>1</v>
      </c>
      <c r="J271" s="30">
        <f t="shared" si="94"/>
        <v>321</v>
      </c>
      <c r="K271" s="41">
        <f>SUM(K267:K270)</f>
        <v>1</v>
      </c>
      <c r="L271" s="30">
        <f t="shared" si="94"/>
        <v>713</v>
      </c>
      <c r="M271" s="41">
        <f>SUM(M267:M270)</f>
        <v>0.99999999999999989</v>
      </c>
      <c r="N271" s="30">
        <f>SUM(N265:N270)</f>
        <v>2203</v>
      </c>
      <c r="O271" s="41">
        <f>SUM(O265:O270)</f>
        <v>1</v>
      </c>
      <c r="P271" s="46"/>
      <c r="Q271" s="51"/>
      <c r="R271" s="51"/>
      <c r="S271" s="51"/>
    </row>
    <row r="272" spans="1:19" ht="24" x14ac:dyDescent="0.2">
      <c r="A272" s="36" t="s">
        <v>117</v>
      </c>
      <c r="B272" s="25"/>
      <c r="C272" s="65">
        <f>SUM(C267:C268)</f>
        <v>0.93678160919540232</v>
      </c>
      <c r="D272" s="25"/>
      <c r="E272" s="65">
        <f>SUM(E267:E268)</f>
        <v>0.93333333333333335</v>
      </c>
      <c r="F272" s="25"/>
      <c r="G272" s="65">
        <f>SUM(G267:G268)</f>
        <v>0.94615384615384612</v>
      </c>
      <c r="H272" s="25"/>
      <c r="I272" s="65">
        <f>SUM(I267:I268)</f>
        <v>0.9364599092284418</v>
      </c>
      <c r="J272" s="25"/>
      <c r="K272" s="65">
        <f>SUM(K267:K268)</f>
        <v>0.95015576323987538</v>
      </c>
      <c r="L272" s="25"/>
      <c r="M272" s="65">
        <f>SUM(M267:M268)</f>
        <v>0.91725105189340805</v>
      </c>
      <c r="N272" s="30"/>
      <c r="O272" s="65">
        <f>SUM(O267:O268)</f>
        <v>0.9328188833408988</v>
      </c>
    </row>
    <row r="273" spans="1:19" x14ac:dyDescent="0.2">
      <c r="H273" s="46"/>
    </row>
    <row r="274" spans="1:19" ht="15" x14ac:dyDescent="0.2">
      <c r="A274" s="121" t="s">
        <v>76</v>
      </c>
      <c r="B274" s="124"/>
      <c r="C274" s="124"/>
      <c r="H274" s="46"/>
    </row>
    <row r="275" spans="1:19" ht="24" x14ac:dyDescent="0.2">
      <c r="A275" s="36" t="s">
        <v>75</v>
      </c>
      <c r="B275" s="151" t="s">
        <v>128</v>
      </c>
      <c r="C275" s="151"/>
      <c r="D275" s="151" t="s">
        <v>99</v>
      </c>
      <c r="E275" s="151"/>
      <c r="F275" s="150" t="s">
        <v>176</v>
      </c>
      <c r="G275" s="150"/>
      <c r="H275" s="151" t="s">
        <v>101</v>
      </c>
      <c r="I275" s="151"/>
      <c r="J275" s="151" t="s">
        <v>100</v>
      </c>
      <c r="K275" s="151"/>
      <c r="L275" s="151" t="s">
        <v>126</v>
      </c>
      <c r="M275" s="151"/>
      <c r="N275" s="148" t="s">
        <v>1</v>
      </c>
      <c r="O275" s="148"/>
    </row>
    <row r="276" spans="1:19" x14ac:dyDescent="0.2">
      <c r="A276" s="26" t="s">
        <v>28</v>
      </c>
      <c r="B276" s="38">
        <v>193</v>
      </c>
      <c r="C276" s="39">
        <f>B276/B280</f>
        <v>0.43370786516853932</v>
      </c>
      <c r="D276" s="38">
        <v>14</v>
      </c>
      <c r="E276" s="39">
        <f>D276/D280</f>
        <v>0.4</v>
      </c>
      <c r="F276" s="38">
        <v>69</v>
      </c>
      <c r="G276" s="39">
        <f>F276/F280</f>
        <v>0.39884393063583817</v>
      </c>
      <c r="H276" s="38">
        <v>301</v>
      </c>
      <c r="I276" s="39">
        <f>H276/H280</f>
        <v>0.37023370233702335</v>
      </c>
      <c r="J276" s="38">
        <v>153</v>
      </c>
      <c r="K276" s="39">
        <f>J276/J280</f>
        <v>0.39331619537275064</v>
      </c>
      <c r="L276" s="38">
        <v>381</v>
      </c>
      <c r="M276" s="39">
        <f>L276/L280</f>
        <v>0.42760942760942761</v>
      </c>
      <c r="N276" s="29">
        <f>B276+D276+F276+H276+J276+L276</f>
        <v>1111</v>
      </c>
      <c r="O276" s="39">
        <f>N276/N280</f>
        <v>0.40458849235251276</v>
      </c>
    </row>
    <row r="277" spans="1:19" x14ac:dyDescent="0.2">
      <c r="A277" s="26" t="s">
        <v>27</v>
      </c>
      <c r="B277" s="38">
        <v>227</v>
      </c>
      <c r="C277" s="39">
        <f>B277/B280</f>
        <v>0.51011235955056178</v>
      </c>
      <c r="D277" s="38">
        <v>18</v>
      </c>
      <c r="E277" s="39">
        <f>D277/D280</f>
        <v>0.51428571428571423</v>
      </c>
      <c r="F277" s="38">
        <v>89</v>
      </c>
      <c r="G277" s="39">
        <f>F277/F280</f>
        <v>0.51445086705202314</v>
      </c>
      <c r="H277" s="38">
        <v>443</v>
      </c>
      <c r="I277" s="39">
        <f>H277/H280</f>
        <v>0.54489544895448949</v>
      </c>
      <c r="J277" s="38">
        <v>208</v>
      </c>
      <c r="K277" s="39">
        <f>J277/J280</f>
        <v>0.53470437017994854</v>
      </c>
      <c r="L277" s="38">
        <v>430</v>
      </c>
      <c r="M277" s="39">
        <f>L277/L280</f>
        <v>0.48260381593714929</v>
      </c>
      <c r="N277" s="29">
        <f>B277+D277+F277+H277+J277+L277</f>
        <v>1415</v>
      </c>
      <c r="O277" s="39">
        <f>N277/N280</f>
        <v>0.5152949745083758</v>
      </c>
    </row>
    <row r="278" spans="1:19" x14ac:dyDescent="0.2">
      <c r="A278" s="26" t="s">
        <v>26</v>
      </c>
      <c r="B278" s="38">
        <v>19</v>
      </c>
      <c r="C278" s="39">
        <f>B278/B280</f>
        <v>4.2696629213483148E-2</v>
      </c>
      <c r="D278" s="38">
        <v>3</v>
      </c>
      <c r="E278" s="39">
        <f>D278/D280</f>
        <v>8.5714285714285715E-2</v>
      </c>
      <c r="F278" s="38">
        <v>8</v>
      </c>
      <c r="G278" s="39">
        <f>F278/F280</f>
        <v>4.6242774566473986E-2</v>
      </c>
      <c r="H278" s="38">
        <v>42</v>
      </c>
      <c r="I278" s="39">
        <f>H278/H280</f>
        <v>5.1660516605166053E-2</v>
      </c>
      <c r="J278" s="38">
        <v>22</v>
      </c>
      <c r="K278" s="39">
        <f>J278/J280</f>
        <v>5.6555269922879174E-2</v>
      </c>
      <c r="L278" s="38">
        <v>58</v>
      </c>
      <c r="M278" s="39">
        <f>L278/L280</f>
        <v>6.5095398428731757E-2</v>
      </c>
      <c r="N278" s="29">
        <f>B278+D278+F278+H278+J278+L278</f>
        <v>152</v>
      </c>
      <c r="O278" s="39">
        <f>N278/N280</f>
        <v>5.5353241077931534E-2</v>
      </c>
    </row>
    <row r="279" spans="1:19" ht="12.75" x14ac:dyDescent="0.2">
      <c r="A279" s="26" t="s">
        <v>25</v>
      </c>
      <c r="B279" s="38">
        <v>6</v>
      </c>
      <c r="C279" s="39">
        <f>B279/B280</f>
        <v>1.3483146067415731E-2</v>
      </c>
      <c r="D279" s="117"/>
      <c r="E279" s="39">
        <f>D279/D280</f>
        <v>0</v>
      </c>
      <c r="F279" s="38">
        <v>7</v>
      </c>
      <c r="G279" s="39">
        <f>F279/F280</f>
        <v>4.046242774566474E-2</v>
      </c>
      <c r="H279" s="38">
        <v>27</v>
      </c>
      <c r="I279" s="39">
        <f>H279/H280</f>
        <v>3.3210332103321034E-2</v>
      </c>
      <c r="J279" s="38">
        <v>6</v>
      </c>
      <c r="K279" s="39">
        <f>J279/J280</f>
        <v>1.5424164524421594E-2</v>
      </c>
      <c r="L279" s="38">
        <v>22</v>
      </c>
      <c r="M279" s="39">
        <f>L279/L280</f>
        <v>2.4691358024691357E-2</v>
      </c>
      <c r="N279" s="29">
        <f>B279+D279+F279+H279+J279+L279</f>
        <v>68</v>
      </c>
      <c r="O279" s="39">
        <f>N279/N280</f>
        <v>2.4763292061179897E-2</v>
      </c>
    </row>
    <row r="280" spans="1:19" s="43" customFormat="1" x14ac:dyDescent="0.2">
      <c r="A280" s="36" t="s">
        <v>1</v>
      </c>
      <c r="B280" s="30">
        <f t="shared" ref="B280:L280" si="95">SUM(B276:B279)</f>
        <v>445</v>
      </c>
      <c r="C280" s="41">
        <f>SUM(C276:C279)</f>
        <v>1</v>
      </c>
      <c r="D280" s="30">
        <f t="shared" si="95"/>
        <v>35</v>
      </c>
      <c r="E280" s="41">
        <f>SUM(E276:E279)</f>
        <v>1</v>
      </c>
      <c r="F280" s="30">
        <f t="shared" si="95"/>
        <v>173</v>
      </c>
      <c r="G280" s="41">
        <f>SUM(G276:G279)</f>
        <v>1</v>
      </c>
      <c r="H280" s="30">
        <f t="shared" si="95"/>
        <v>813</v>
      </c>
      <c r="I280" s="41">
        <f>SUM(I276:I279)</f>
        <v>0.99999999999999989</v>
      </c>
      <c r="J280" s="30">
        <f t="shared" si="95"/>
        <v>389</v>
      </c>
      <c r="K280" s="41">
        <f>SUM(K276:K279)</f>
        <v>1</v>
      </c>
      <c r="L280" s="30">
        <f t="shared" si="95"/>
        <v>891</v>
      </c>
      <c r="M280" s="41">
        <f>SUM(M276:M279)</f>
        <v>1</v>
      </c>
      <c r="N280" s="30">
        <f>SUM(N274:N279)</f>
        <v>2746</v>
      </c>
      <c r="O280" s="41">
        <f>SUM(O274:O279)</f>
        <v>1</v>
      </c>
      <c r="P280" s="46"/>
      <c r="Q280" s="51"/>
      <c r="R280" s="51"/>
      <c r="S280" s="51"/>
    </row>
    <row r="281" spans="1:19" x14ac:dyDescent="0.2">
      <c r="A281" s="36" t="s">
        <v>115</v>
      </c>
      <c r="B281" s="25"/>
      <c r="C281" s="65">
        <f>SUM(C276:C277)</f>
        <v>0.9438202247191011</v>
      </c>
      <c r="D281" s="25"/>
      <c r="E281" s="65">
        <f>SUM(E276:E277)</f>
        <v>0.91428571428571426</v>
      </c>
      <c r="F281" s="25"/>
      <c r="G281" s="65">
        <f>SUM(G276:G277)</f>
        <v>0.91329479768786137</v>
      </c>
      <c r="H281" s="25"/>
      <c r="I281" s="65">
        <f>SUM(I276:I277)</f>
        <v>0.91512915129151284</v>
      </c>
      <c r="J281" s="25"/>
      <c r="K281" s="65">
        <f>SUM(K276:K277)</f>
        <v>0.92802056555269918</v>
      </c>
      <c r="L281" s="25"/>
      <c r="M281" s="65">
        <f>SUM(M276:M277)</f>
        <v>0.91021324354657684</v>
      </c>
      <c r="N281" s="30"/>
      <c r="O281" s="65">
        <f>SUM(O276:O277)</f>
        <v>0.91988346686088862</v>
      </c>
    </row>
    <row r="282" spans="1:19" x14ac:dyDescent="0.2">
      <c r="A282" s="19"/>
      <c r="B282" s="4"/>
      <c r="D282" s="1"/>
      <c r="H282" s="46"/>
    </row>
    <row r="283" spans="1:19" x14ac:dyDescent="0.2">
      <c r="A283" s="36" t="s">
        <v>77</v>
      </c>
      <c r="B283" s="151" t="s">
        <v>128</v>
      </c>
      <c r="C283" s="151"/>
      <c r="D283" s="151" t="s">
        <v>99</v>
      </c>
      <c r="E283" s="151"/>
      <c r="F283" s="150" t="s">
        <v>176</v>
      </c>
      <c r="G283" s="150"/>
      <c r="H283" s="151" t="s">
        <v>101</v>
      </c>
      <c r="I283" s="151"/>
      <c r="J283" s="151" t="s">
        <v>100</v>
      </c>
      <c r="K283" s="151"/>
      <c r="L283" s="151" t="s">
        <v>126</v>
      </c>
      <c r="M283" s="151"/>
      <c r="N283" s="148" t="s">
        <v>1</v>
      </c>
      <c r="O283" s="148"/>
    </row>
    <row r="284" spans="1:19" x14ac:dyDescent="0.2">
      <c r="A284" s="26" t="s">
        <v>28</v>
      </c>
      <c r="B284" s="38">
        <v>92</v>
      </c>
      <c r="C284" s="39">
        <f>B284/B288</f>
        <v>0.32508833922261482</v>
      </c>
      <c r="D284" s="38">
        <v>14</v>
      </c>
      <c r="E284" s="39">
        <f>D284/D288</f>
        <v>0.46666666666666667</v>
      </c>
      <c r="F284" s="38">
        <v>33</v>
      </c>
      <c r="G284" s="39">
        <f>F284/F288</f>
        <v>0.33</v>
      </c>
      <c r="H284" s="38">
        <v>160</v>
      </c>
      <c r="I284" s="39">
        <f>H284/H288</f>
        <v>0.31128404669260701</v>
      </c>
      <c r="J284" s="38">
        <v>64</v>
      </c>
      <c r="K284" s="39">
        <f>J284/J288</f>
        <v>0.2723404255319149</v>
      </c>
      <c r="L284" s="38">
        <v>165</v>
      </c>
      <c r="M284" s="39">
        <f>L284/L288</f>
        <v>0.28156996587030719</v>
      </c>
      <c r="N284" s="29">
        <f>B284+D284+F284+H284+J284+L284</f>
        <v>528</v>
      </c>
      <c r="O284" s="39">
        <f>N284/N288</f>
        <v>0.30205949656750575</v>
      </c>
    </row>
    <row r="285" spans="1:19" x14ac:dyDescent="0.2">
      <c r="A285" s="26" t="s">
        <v>27</v>
      </c>
      <c r="B285" s="38">
        <v>149</v>
      </c>
      <c r="C285" s="39">
        <f>B285/B288</f>
        <v>0.52650176678445226</v>
      </c>
      <c r="D285" s="38">
        <v>14</v>
      </c>
      <c r="E285" s="39">
        <f>D285/D288</f>
        <v>0.46666666666666667</v>
      </c>
      <c r="F285" s="38">
        <v>49</v>
      </c>
      <c r="G285" s="39">
        <f>F285/F288</f>
        <v>0.49</v>
      </c>
      <c r="H285" s="38">
        <v>228</v>
      </c>
      <c r="I285" s="39">
        <f>H285/H288</f>
        <v>0.44357976653696496</v>
      </c>
      <c r="J285" s="38">
        <v>127</v>
      </c>
      <c r="K285" s="39">
        <f>J285/J288</f>
        <v>0.54042553191489362</v>
      </c>
      <c r="L285" s="38">
        <v>284</v>
      </c>
      <c r="M285" s="39">
        <f>L285/L288</f>
        <v>0.48464163822525597</v>
      </c>
      <c r="N285" s="29">
        <f>B285+D285+F285+H285+J285+L285</f>
        <v>851</v>
      </c>
      <c r="O285" s="39">
        <f>N285/N288</f>
        <v>0.48684210526315791</v>
      </c>
    </row>
    <row r="286" spans="1:19" x14ac:dyDescent="0.2">
      <c r="A286" s="26" t="s">
        <v>26</v>
      </c>
      <c r="B286" s="38">
        <v>36</v>
      </c>
      <c r="C286" s="39">
        <f>B286/B288</f>
        <v>0.12720848056537101</v>
      </c>
      <c r="D286" s="38">
        <v>1</v>
      </c>
      <c r="E286" s="39">
        <f>D286/D288</f>
        <v>3.3333333333333333E-2</v>
      </c>
      <c r="F286" s="38">
        <v>12</v>
      </c>
      <c r="G286" s="39">
        <f>F286/F288</f>
        <v>0.12</v>
      </c>
      <c r="H286" s="38">
        <v>94</v>
      </c>
      <c r="I286" s="39">
        <f>H286/H288</f>
        <v>0.1828793774319066</v>
      </c>
      <c r="J286" s="38">
        <v>33</v>
      </c>
      <c r="K286" s="39">
        <f>J286/J288</f>
        <v>0.14042553191489363</v>
      </c>
      <c r="L286" s="38">
        <v>108</v>
      </c>
      <c r="M286" s="39">
        <f>L286/L288</f>
        <v>0.18430034129692832</v>
      </c>
      <c r="N286" s="29">
        <f>B286+D286+F286+H286+J286+L286</f>
        <v>284</v>
      </c>
      <c r="O286" s="39">
        <f>N286/N288</f>
        <v>0.16247139588100687</v>
      </c>
    </row>
    <row r="287" spans="1:19" x14ac:dyDescent="0.2">
      <c r="A287" s="26" t="s">
        <v>25</v>
      </c>
      <c r="B287" s="38">
        <v>6</v>
      </c>
      <c r="C287" s="39">
        <f>B287/B288</f>
        <v>2.1201413427561839E-2</v>
      </c>
      <c r="D287" s="38">
        <v>1</v>
      </c>
      <c r="E287" s="39">
        <f>D287/D288</f>
        <v>3.3333333333333333E-2</v>
      </c>
      <c r="F287" s="38">
        <v>6</v>
      </c>
      <c r="G287" s="39">
        <f>F287/F288</f>
        <v>0.06</v>
      </c>
      <c r="H287" s="38">
        <v>32</v>
      </c>
      <c r="I287" s="39">
        <f>H287/H288</f>
        <v>6.2256809338521402E-2</v>
      </c>
      <c r="J287" s="38">
        <v>11</v>
      </c>
      <c r="K287" s="39">
        <f>J287/J288</f>
        <v>4.6808510638297871E-2</v>
      </c>
      <c r="L287" s="38">
        <v>29</v>
      </c>
      <c r="M287" s="39">
        <f>L287/L288</f>
        <v>4.9488054607508533E-2</v>
      </c>
      <c r="N287" s="29">
        <f>B287+D287+F287+H287+J287+L287</f>
        <v>85</v>
      </c>
      <c r="O287" s="39">
        <f>N287/N288</f>
        <v>4.8627002288329522E-2</v>
      </c>
    </row>
    <row r="288" spans="1:19" s="43" customFormat="1" x14ac:dyDescent="0.2">
      <c r="A288" s="36" t="s">
        <v>1</v>
      </c>
      <c r="B288" s="30">
        <f t="shared" ref="B288:L288" si="96">SUM(B284:B287)</f>
        <v>283</v>
      </c>
      <c r="C288" s="41">
        <f>SUM(C284:C287)</f>
        <v>1</v>
      </c>
      <c r="D288" s="30">
        <f t="shared" si="96"/>
        <v>30</v>
      </c>
      <c r="E288" s="41">
        <f>SUM(E284:E287)</f>
        <v>1</v>
      </c>
      <c r="F288" s="30">
        <f t="shared" si="96"/>
        <v>100</v>
      </c>
      <c r="G288" s="41">
        <f>SUM(G284:G287)</f>
        <v>1</v>
      </c>
      <c r="H288" s="30">
        <f t="shared" si="96"/>
        <v>514</v>
      </c>
      <c r="I288" s="41">
        <f>SUM(I284:I287)</f>
        <v>1</v>
      </c>
      <c r="J288" s="30">
        <f t="shared" si="96"/>
        <v>235</v>
      </c>
      <c r="K288" s="41">
        <f>SUM(K284:K287)</f>
        <v>0.99999999999999989</v>
      </c>
      <c r="L288" s="30">
        <f t="shared" si="96"/>
        <v>586</v>
      </c>
      <c r="M288" s="41">
        <f>SUM(M284:M287)</f>
        <v>0.99999999999999989</v>
      </c>
      <c r="N288" s="30">
        <f>SUM(N282:N287)</f>
        <v>1748</v>
      </c>
      <c r="O288" s="41">
        <f>SUM(O282:O287)</f>
        <v>1</v>
      </c>
      <c r="P288" s="46"/>
      <c r="Q288" s="51"/>
      <c r="R288" s="51"/>
      <c r="S288" s="51"/>
    </row>
    <row r="289" spans="1:19" x14ac:dyDescent="0.2">
      <c r="A289" s="36" t="s">
        <v>115</v>
      </c>
      <c r="B289" s="25"/>
      <c r="C289" s="65">
        <f>SUM(C284:C285)</f>
        <v>0.85159010600706708</v>
      </c>
      <c r="D289" s="25"/>
      <c r="E289" s="65">
        <f>SUM(E284:E285)</f>
        <v>0.93333333333333335</v>
      </c>
      <c r="F289" s="25"/>
      <c r="G289" s="65">
        <f>SUM(G284:G285)</f>
        <v>0.82000000000000006</v>
      </c>
      <c r="H289" s="25"/>
      <c r="I289" s="65">
        <f>SUM(I284:I285)</f>
        <v>0.75486381322957197</v>
      </c>
      <c r="J289" s="25"/>
      <c r="K289" s="65">
        <f>SUM(K284:K285)</f>
        <v>0.81276595744680846</v>
      </c>
      <c r="L289" s="25"/>
      <c r="M289" s="65">
        <f>SUM(M284:M285)</f>
        <v>0.7662116040955631</v>
      </c>
      <c r="N289" s="30"/>
      <c r="O289" s="65">
        <f>SUM(O284:O285)</f>
        <v>0.7889016018306636</v>
      </c>
    </row>
    <row r="290" spans="1:19" x14ac:dyDescent="0.2">
      <c r="H290" s="46"/>
    </row>
    <row r="291" spans="1:19" x14ac:dyDescent="0.2">
      <c r="A291" s="36" t="s">
        <v>78</v>
      </c>
      <c r="B291" s="151" t="s">
        <v>128</v>
      </c>
      <c r="C291" s="151"/>
      <c r="D291" s="151" t="s">
        <v>99</v>
      </c>
      <c r="E291" s="151"/>
      <c r="F291" s="150" t="s">
        <v>176</v>
      </c>
      <c r="G291" s="150"/>
      <c r="H291" s="151" t="s">
        <v>101</v>
      </c>
      <c r="I291" s="151"/>
      <c r="J291" s="151" t="s">
        <v>100</v>
      </c>
      <c r="K291" s="151"/>
      <c r="L291" s="151" t="s">
        <v>126</v>
      </c>
      <c r="M291" s="151"/>
      <c r="N291" s="148" t="s">
        <v>1</v>
      </c>
      <c r="O291" s="148"/>
    </row>
    <row r="292" spans="1:19" x14ac:dyDescent="0.2">
      <c r="A292" s="26" t="s">
        <v>28</v>
      </c>
      <c r="B292" s="38">
        <v>130</v>
      </c>
      <c r="C292" s="39">
        <f>B292/B296</f>
        <v>0.34482758620689657</v>
      </c>
      <c r="D292" s="38">
        <v>14</v>
      </c>
      <c r="E292" s="39">
        <f>D292/D296</f>
        <v>0.4375</v>
      </c>
      <c r="F292" s="38">
        <v>34</v>
      </c>
      <c r="G292" s="39">
        <f>F292/F296</f>
        <v>0.25757575757575757</v>
      </c>
      <c r="H292" s="38">
        <v>205</v>
      </c>
      <c r="I292" s="39">
        <f>H292/H296</f>
        <v>0.29496402877697842</v>
      </c>
      <c r="J292" s="38">
        <v>86</v>
      </c>
      <c r="K292" s="39">
        <f>J292/J296</f>
        <v>0.27044025157232704</v>
      </c>
      <c r="L292" s="38">
        <v>222</v>
      </c>
      <c r="M292" s="39">
        <f>L292/L296</f>
        <v>0.28943937418513688</v>
      </c>
      <c r="N292" s="29">
        <f>B292+D292+F292+H292+J292+L292</f>
        <v>691</v>
      </c>
      <c r="O292" s="39">
        <f>N292/N296</f>
        <v>0.29771650150797069</v>
      </c>
    </row>
    <row r="293" spans="1:19" x14ac:dyDescent="0.2">
      <c r="A293" s="26" t="s">
        <v>27</v>
      </c>
      <c r="B293" s="38">
        <v>190</v>
      </c>
      <c r="C293" s="39">
        <f>B293/B296</f>
        <v>0.50397877984084882</v>
      </c>
      <c r="D293" s="38">
        <v>14</v>
      </c>
      <c r="E293" s="39">
        <f>D293/D296</f>
        <v>0.4375</v>
      </c>
      <c r="F293" s="38">
        <v>70</v>
      </c>
      <c r="G293" s="39">
        <f>F293/F296</f>
        <v>0.53030303030303028</v>
      </c>
      <c r="H293" s="38">
        <v>320</v>
      </c>
      <c r="I293" s="39">
        <f>H293/H296</f>
        <v>0.46043165467625902</v>
      </c>
      <c r="J293" s="38">
        <v>170</v>
      </c>
      <c r="K293" s="39">
        <f>J293/J296</f>
        <v>0.53459119496855345</v>
      </c>
      <c r="L293" s="38">
        <v>352</v>
      </c>
      <c r="M293" s="39">
        <f>L293/L296</f>
        <v>0.45893089960886568</v>
      </c>
      <c r="N293" s="29">
        <f>B293+D293+F293+H293+J293+L293</f>
        <v>1116</v>
      </c>
      <c r="O293" s="39">
        <f>N293/N296</f>
        <v>0.48082722964239549</v>
      </c>
    </row>
    <row r="294" spans="1:19" x14ac:dyDescent="0.2">
      <c r="A294" s="26" t="s">
        <v>26</v>
      </c>
      <c r="B294" s="38">
        <v>49</v>
      </c>
      <c r="C294" s="39">
        <f>B294/B296</f>
        <v>0.129973474801061</v>
      </c>
      <c r="D294" s="38">
        <v>3</v>
      </c>
      <c r="E294" s="39">
        <f>D294/D296</f>
        <v>9.375E-2</v>
      </c>
      <c r="F294" s="38">
        <v>19</v>
      </c>
      <c r="G294" s="39">
        <f>F294/F296</f>
        <v>0.14393939393939395</v>
      </c>
      <c r="H294" s="38">
        <v>122</v>
      </c>
      <c r="I294" s="39">
        <f>H294/H296</f>
        <v>0.17553956834532375</v>
      </c>
      <c r="J294" s="38">
        <v>51</v>
      </c>
      <c r="K294" s="39">
        <f>J294/J296</f>
        <v>0.16037735849056603</v>
      </c>
      <c r="L294" s="38">
        <v>154</v>
      </c>
      <c r="M294" s="39">
        <f>L294/L296</f>
        <v>0.20078226857887874</v>
      </c>
      <c r="N294" s="29">
        <f>B294+D294+F294+H294+J294+L294</f>
        <v>398</v>
      </c>
      <c r="O294" s="39">
        <f>N294/N296</f>
        <v>0.17147781128823783</v>
      </c>
    </row>
    <row r="295" spans="1:19" x14ac:dyDescent="0.2">
      <c r="A295" s="26" t="s">
        <v>25</v>
      </c>
      <c r="B295" s="38">
        <v>8</v>
      </c>
      <c r="C295" s="39">
        <f>B295/B296</f>
        <v>2.1220159151193633E-2</v>
      </c>
      <c r="D295" s="38">
        <v>1</v>
      </c>
      <c r="E295" s="39">
        <f>D295/D296</f>
        <v>3.125E-2</v>
      </c>
      <c r="F295" s="38">
        <v>9</v>
      </c>
      <c r="G295" s="39">
        <f>F295/F296</f>
        <v>6.8181818181818177E-2</v>
      </c>
      <c r="H295" s="38">
        <v>48</v>
      </c>
      <c r="I295" s="39">
        <f>H295/H296</f>
        <v>6.9064748201438847E-2</v>
      </c>
      <c r="J295" s="38">
        <v>11</v>
      </c>
      <c r="K295" s="39">
        <f>J295/J296</f>
        <v>3.4591194968553458E-2</v>
      </c>
      <c r="L295" s="38">
        <v>39</v>
      </c>
      <c r="M295" s="39">
        <f>L295/L296</f>
        <v>5.0847457627118647E-2</v>
      </c>
      <c r="N295" s="29">
        <f>B295+D295+F295+H295+J295+L295</f>
        <v>116</v>
      </c>
      <c r="O295" s="39">
        <f>N295/N296</f>
        <v>4.9978457561395948E-2</v>
      </c>
    </row>
    <row r="296" spans="1:19" s="43" customFormat="1" x14ac:dyDescent="0.2">
      <c r="A296" s="36" t="s">
        <v>1</v>
      </c>
      <c r="B296" s="30">
        <f t="shared" ref="B296:L296" si="97">SUM(B292:B295)</f>
        <v>377</v>
      </c>
      <c r="C296" s="41">
        <f>SUM(C292:C295)</f>
        <v>1</v>
      </c>
      <c r="D296" s="30">
        <f t="shared" si="97"/>
        <v>32</v>
      </c>
      <c r="E296" s="41">
        <f>SUM(E292:E295)</f>
        <v>1</v>
      </c>
      <c r="F296" s="30">
        <f t="shared" si="97"/>
        <v>132</v>
      </c>
      <c r="G296" s="41">
        <f>SUM(G292:G295)</f>
        <v>1</v>
      </c>
      <c r="H296" s="30">
        <f t="shared" si="97"/>
        <v>695</v>
      </c>
      <c r="I296" s="41">
        <f>SUM(I292:I295)</f>
        <v>1</v>
      </c>
      <c r="J296" s="30">
        <f t="shared" si="97"/>
        <v>318</v>
      </c>
      <c r="K296" s="41">
        <f>SUM(K292:K295)</f>
        <v>1</v>
      </c>
      <c r="L296" s="30">
        <f t="shared" si="97"/>
        <v>767</v>
      </c>
      <c r="M296" s="41">
        <f>SUM(M292:M295)</f>
        <v>0.99999999999999989</v>
      </c>
      <c r="N296" s="30">
        <f>SUM(N290:N295)</f>
        <v>2321</v>
      </c>
      <c r="O296" s="41">
        <f>SUM(O290:O295)</f>
        <v>1</v>
      </c>
      <c r="P296" s="46"/>
      <c r="Q296" s="51"/>
      <c r="R296" s="51"/>
      <c r="S296" s="51"/>
    </row>
    <row r="297" spans="1:19" x14ac:dyDescent="0.2">
      <c r="A297" s="36" t="s">
        <v>115</v>
      </c>
      <c r="B297" s="25"/>
      <c r="C297" s="65">
        <f>SUM(C292:C293)</f>
        <v>0.8488063660477454</v>
      </c>
      <c r="D297" s="25"/>
      <c r="E297" s="65">
        <f>SUM(E292:E293)</f>
        <v>0.875</v>
      </c>
      <c r="F297" s="25"/>
      <c r="G297" s="65">
        <f>SUM(G292:G293)</f>
        <v>0.78787878787878785</v>
      </c>
      <c r="H297" s="25"/>
      <c r="I297" s="65">
        <f>SUM(I292:I293)</f>
        <v>0.75539568345323738</v>
      </c>
      <c r="J297" s="25"/>
      <c r="K297" s="65">
        <f>SUM(K292:K293)</f>
        <v>0.80503144654088055</v>
      </c>
      <c r="L297" s="25"/>
      <c r="M297" s="65">
        <f>SUM(M292:M293)</f>
        <v>0.74837027379400256</v>
      </c>
      <c r="N297" s="30"/>
      <c r="O297" s="65">
        <f>SUM(O292:O293)</f>
        <v>0.77854373115036624</v>
      </c>
    </row>
    <row r="298" spans="1:19" x14ac:dyDescent="0.2">
      <c r="H298" s="46"/>
    </row>
    <row r="299" spans="1:19" x14ac:dyDescent="0.2">
      <c r="A299" s="36" t="s">
        <v>79</v>
      </c>
      <c r="B299" s="151" t="s">
        <v>128</v>
      </c>
      <c r="C299" s="151"/>
      <c r="D299" s="151" t="s">
        <v>99</v>
      </c>
      <c r="E299" s="151"/>
      <c r="F299" s="150" t="s">
        <v>176</v>
      </c>
      <c r="G299" s="150"/>
      <c r="H299" s="151" t="s">
        <v>101</v>
      </c>
      <c r="I299" s="151"/>
      <c r="J299" s="151" t="s">
        <v>100</v>
      </c>
      <c r="K299" s="151"/>
      <c r="L299" s="151" t="s">
        <v>126</v>
      </c>
      <c r="M299" s="151"/>
      <c r="N299" s="148" t="s">
        <v>1</v>
      </c>
      <c r="O299" s="148"/>
    </row>
    <row r="300" spans="1:19" x14ac:dyDescent="0.2">
      <c r="A300" s="26" t="s">
        <v>28</v>
      </c>
      <c r="B300" s="38">
        <v>127</v>
      </c>
      <c r="C300" s="39">
        <f>B300/B304</f>
        <v>0.38253012048192769</v>
      </c>
      <c r="D300" s="38">
        <v>11</v>
      </c>
      <c r="E300" s="39">
        <f>D300/D304</f>
        <v>0.36666666666666664</v>
      </c>
      <c r="F300" s="38">
        <v>53</v>
      </c>
      <c r="G300" s="39">
        <f>F300/F304</f>
        <v>0.36805555555555558</v>
      </c>
      <c r="H300" s="38">
        <v>229</v>
      </c>
      <c r="I300" s="39">
        <f>H300/H304</f>
        <v>0.35503875968992249</v>
      </c>
      <c r="J300" s="38">
        <v>115</v>
      </c>
      <c r="K300" s="39">
        <f>J300/J304</f>
        <v>0.3745928338762215</v>
      </c>
      <c r="L300" s="38">
        <v>249</v>
      </c>
      <c r="M300" s="39">
        <f>L300/L304</f>
        <v>0.35571428571428571</v>
      </c>
      <c r="N300" s="29">
        <f>B300+D300+F300+H300+J300+L300</f>
        <v>784</v>
      </c>
      <c r="O300" s="39">
        <f>N300/N304</f>
        <v>0.36329935125115848</v>
      </c>
    </row>
    <row r="301" spans="1:19" x14ac:dyDescent="0.2">
      <c r="A301" s="26" t="s">
        <v>27</v>
      </c>
      <c r="B301" s="38">
        <v>160</v>
      </c>
      <c r="C301" s="39">
        <f>B301/B304</f>
        <v>0.48192771084337349</v>
      </c>
      <c r="D301" s="38">
        <v>15</v>
      </c>
      <c r="E301" s="39">
        <f>D301/D304</f>
        <v>0.5</v>
      </c>
      <c r="F301" s="38">
        <v>64</v>
      </c>
      <c r="G301" s="39">
        <f>F301/F304</f>
        <v>0.44444444444444442</v>
      </c>
      <c r="H301" s="38">
        <v>313</v>
      </c>
      <c r="I301" s="39">
        <f>H301/H304</f>
        <v>0.48527131782945737</v>
      </c>
      <c r="J301" s="38">
        <v>145</v>
      </c>
      <c r="K301" s="39">
        <f>J301/J304</f>
        <v>0.47231270358306188</v>
      </c>
      <c r="L301" s="38">
        <v>330</v>
      </c>
      <c r="M301" s="39">
        <f>L301/L304</f>
        <v>0.47142857142857142</v>
      </c>
      <c r="N301" s="29">
        <f>B301+D301+F301+H301+J301+L301</f>
        <v>1027</v>
      </c>
      <c r="O301" s="39">
        <f>N301/N304</f>
        <v>0.4759036144578313</v>
      </c>
    </row>
    <row r="302" spans="1:19" x14ac:dyDescent="0.2">
      <c r="A302" s="26" t="s">
        <v>26</v>
      </c>
      <c r="B302" s="38">
        <v>30</v>
      </c>
      <c r="C302" s="39">
        <f>B302/B304</f>
        <v>9.036144578313253E-2</v>
      </c>
      <c r="D302" s="38">
        <v>3</v>
      </c>
      <c r="E302" s="39">
        <f>D302/D304</f>
        <v>0.1</v>
      </c>
      <c r="F302" s="38">
        <v>15</v>
      </c>
      <c r="G302" s="39">
        <f>F302/F304</f>
        <v>0.10416666666666667</v>
      </c>
      <c r="H302" s="38">
        <v>61</v>
      </c>
      <c r="I302" s="39">
        <f>H302/H304</f>
        <v>9.4573643410852712E-2</v>
      </c>
      <c r="J302" s="38">
        <v>29</v>
      </c>
      <c r="K302" s="39">
        <f>J302/J304</f>
        <v>9.4462540716612378E-2</v>
      </c>
      <c r="L302" s="38">
        <v>81</v>
      </c>
      <c r="M302" s="39">
        <f>L302/L304</f>
        <v>0.11571428571428571</v>
      </c>
      <c r="N302" s="29">
        <f>B302+D302+F302+H302+J302+L302</f>
        <v>219</v>
      </c>
      <c r="O302" s="39">
        <f>N302/N304</f>
        <v>0.10148285449490269</v>
      </c>
    </row>
    <row r="303" spans="1:19" x14ac:dyDescent="0.2">
      <c r="A303" s="26" t="s">
        <v>25</v>
      </c>
      <c r="B303" s="38">
        <v>15</v>
      </c>
      <c r="C303" s="39">
        <f>B303/B304</f>
        <v>4.5180722891566265E-2</v>
      </c>
      <c r="D303" s="38">
        <v>1</v>
      </c>
      <c r="E303" s="39">
        <f>D303/D304</f>
        <v>3.3333333333333333E-2</v>
      </c>
      <c r="F303" s="38">
        <v>12</v>
      </c>
      <c r="G303" s="39">
        <f>F303/F304</f>
        <v>8.3333333333333329E-2</v>
      </c>
      <c r="H303" s="38">
        <v>42</v>
      </c>
      <c r="I303" s="39">
        <f>H303/H304</f>
        <v>6.5116279069767441E-2</v>
      </c>
      <c r="J303" s="38">
        <v>18</v>
      </c>
      <c r="K303" s="39">
        <f>J303/J304</f>
        <v>5.8631921824104233E-2</v>
      </c>
      <c r="L303" s="38">
        <v>40</v>
      </c>
      <c r="M303" s="39">
        <f>L303/L304</f>
        <v>5.7142857142857141E-2</v>
      </c>
      <c r="N303" s="29">
        <f>B303+D303+F303+H303+J303+L303</f>
        <v>128</v>
      </c>
      <c r="O303" s="39">
        <f>N303/N304</f>
        <v>5.9314179796107508E-2</v>
      </c>
    </row>
    <row r="304" spans="1:19" s="43" customFormat="1" x14ac:dyDescent="0.2">
      <c r="A304" s="36" t="s">
        <v>1</v>
      </c>
      <c r="B304" s="30">
        <f t="shared" ref="B304:L304" si="98">SUM(B300:B303)</f>
        <v>332</v>
      </c>
      <c r="C304" s="41">
        <f>SUM(C300:C303)</f>
        <v>1</v>
      </c>
      <c r="D304" s="30">
        <f t="shared" si="98"/>
        <v>30</v>
      </c>
      <c r="E304" s="41">
        <f>SUM(E300:E303)</f>
        <v>1</v>
      </c>
      <c r="F304" s="30">
        <f t="shared" si="98"/>
        <v>144</v>
      </c>
      <c r="G304" s="41">
        <f>SUM(G300:G303)</f>
        <v>1</v>
      </c>
      <c r="H304" s="30">
        <f t="shared" si="98"/>
        <v>645</v>
      </c>
      <c r="I304" s="41">
        <f>SUM(I300:I303)</f>
        <v>1</v>
      </c>
      <c r="J304" s="30">
        <f t="shared" si="98"/>
        <v>307</v>
      </c>
      <c r="K304" s="41">
        <f>SUM(K300:K303)</f>
        <v>1</v>
      </c>
      <c r="L304" s="30">
        <f t="shared" si="98"/>
        <v>700</v>
      </c>
      <c r="M304" s="41">
        <f>SUM(M300:M303)</f>
        <v>1</v>
      </c>
      <c r="N304" s="30">
        <f>SUM(N298:N303)</f>
        <v>2158</v>
      </c>
      <c r="O304" s="41">
        <f>SUM(O298:O303)</f>
        <v>1</v>
      </c>
      <c r="P304" s="46"/>
      <c r="Q304" s="51"/>
      <c r="R304" s="51"/>
      <c r="S304" s="51"/>
    </row>
    <row r="305" spans="1:19" x14ac:dyDescent="0.2">
      <c r="A305" s="36" t="s">
        <v>115</v>
      </c>
      <c r="B305" s="25"/>
      <c r="C305" s="65">
        <f>SUM(C300:C301)</f>
        <v>0.86445783132530118</v>
      </c>
      <c r="D305" s="25"/>
      <c r="E305" s="65">
        <f>SUM(E300:E301)</f>
        <v>0.8666666666666667</v>
      </c>
      <c r="F305" s="25"/>
      <c r="G305" s="65">
        <f>SUM(G300:G301)</f>
        <v>0.8125</v>
      </c>
      <c r="H305" s="25"/>
      <c r="I305" s="65">
        <f>SUM(I300:I301)</f>
        <v>0.84031007751937992</v>
      </c>
      <c r="J305" s="25"/>
      <c r="K305" s="65">
        <f>SUM(K300:K301)</f>
        <v>0.84690553745928332</v>
      </c>
      <c r="L305" s="25"/>
      <c r="M305" s="65">
        <f>SUM(M300:M301)</f>
        <v>0.82714285714285718</v>
      </c>
      <c r="N305" s="30"/>
      <c r="O305" s="65">
        <f>SUM(O300:O301)</f>
        <v>0.83920296570898978</v>
      </c>
    </row>
    <row r="306" spans="1:19" x14ac:dyDescent="0.2">
      <c r="H306" s="46"/>
    </row>
    <row r="307" spans="1:19" x14ac:dyDescent="0.2">
      <c r="A307" s="36" t="s">
        <v>80</v>
      </c>
      <c r="B307" s="151" t="s">
        <v>128</v>
      </c>
      <c r="C307" s="151"/>
      <c r="D307" s="151" t="s">
        <v>99</v>
      </c>
      <c r="E307" s="151"/>
      <c r="F307" s="150" t="s">
        <v>176</v>
      </c>
      <c r="G307" s="150"/>
      <c r="H307" s="151" t="s">
        <v>101</v>
      </c>
      <c r="I307" s="151"/>
      <c r="J307" s="151" t="s">
        <v>100</v>
      </c>
      <c r="K307" s="151"/>
      <c r="L307" s="151" t="s">
        <v>126</v>
      </c>
      <c r="M307" s="151"/>
      <c r="N307" s="148" t="s">
        <v>1</v>
      </c>
      <c r="O307" s="148"/>
    </row>
    <row r="308" spans="1:19" x14ac:dyDescent="0.2">
      <c r="A308" s="26" t="s">
        <v>28</v>
      </c>
      <c r="B308" s="38">
        <v>22</v>
      </c>
      <c r="C308" s="39">
        <f>B308/B312</f>
        <v>0.29333333333333333</v>
      </c>
      <c r="D308" s="38">
        <v>4</v>
      </c>
      <c r="E308" s="39">
        <f>D308/D312</f>
        <v>0.5</v>
      </c>
      <c r="F308" s="38">
        <v>9</v>
      </c>
      <c r="G308" s="39">
        <f>F308/F312</f>
        <v>0.375</v>
      </c>
      <c r="H308" s="38">
        <v>53</v>
      </c>
      <c r="I308" s="39">
        <f>H308/H312</f>
        <v>0.33757961783439489</v>
      </c>
      <c r="J308" s="38">
        <v>28</v>
      </c>
      <c r="K308" s="39">
        <f>J308/J312</f>
        <v>0.41176470588235292</v>
      </c>
      <c r="L308" s="38">
        <v>61</v>
      </c>
      <c r="M308" s="39">
        <f>L308/L312</f>
        <v>0.4206896551724138</v>
      </c>
      <c r="N308" s="29">
        <f>B308+D308+F308+H308+J308+L308</f>
        <v>177</v>
      </c>
      <c r="O308" s="39">
        <f>N308/N312</f>
        <v>0.37106918238993708</v>
      </c>
    </row>
    <row r="309" spans="1:19" x14ac:dyDescent="0.2">
      <c r="A309" s="26" t="s">
        <v>27</v>
      </c>
      <c r="B309" s="38">
        <v>50</v>
      </c>
      <c r="C309" s="39">
        <f>B309/B312</f>
        <v>0.66666666666666663</v>
      </c>
      <c r="D309" s="38">
        <v>3</v>
      </c>
      <c r="E309" s="39">
        <f>D309/D312</f>
        <v>0.375</v>
      </c>
      <c r="F309" s="38">
        <v>13</v>
      </c>
      <c r="G309" s="39">
        <f>F309/F312</f>
        <v>0.54166666666666663</v>
      </c>
      <c r="H309" s="38">
        <v>82</v>
      </c>
      <c r="I309" s="39">
        <f>H309/H312</f>
        <v>0.52229299363057324</v>
      </c>
      <c r="J309" s="38">
        <v>34</v>
      </c>
      <c r="K309" s="39">
        <f>J309/J312</f>
        <v>0.5</v>
      </c>
      <c r="L309" s="38">
        <v>76</v>
      </c>
      <c r="M309" s="39">
        <f>L309/L312</f>
        <v>0.52413793103448281</v>
      </c>
      <c r="N309" s="29">
        <f>B309+D309+F309+H309+J309+L309</f>
        <v>258</v>
      </c>
      <c r="O309" s="39">
        <f>N309/N312</f>
        <v>0.54088050314465408</v>
      </c>
    </row>
    <row r="310" spans="1:19" x14ac:dyDescent="0.2">
      <c r="A310" s="26" t="s">
        <v>26</v>
      </c>
      <c r="B310" s="38">
        <v>1</v>
      </c>
      <c r="C310" s="39">
        <f>B310/B312</f>
        <v>1.3333333333333334E-2</v>
      </c>
      <c r="D310" s="38">
        <v>1</v>
      </c>
      <c r="E310" s="39">
        <f>D310/D312</f>
        <v>0.125</v>
      </c>
      <c r="F310" s="38">
        <v>1</v>
      </c>
      <c r="G310" s="39">
        <f>F310/F312</f>
        <v>4.1666666666666664E-2</v>
      </c>
      <c r="H310" s="38">
        <v>14</v>
      </c>
      <c r="I310" s="39">
        <f>H310/H312</f>
        <v>8.9171974522292988E-2</v>
      </c>
      <c r="J310" s="38">
        <v>4</v>
      </c>
      <c r="K310" s="39">
        <f>J310/J312</f>
        <v>5.8823529411764705E-2</v>
      </c>
      <c r="L310" s="38">
        <v>4</v>
      </c>
      <c r="M310" s="39">
        <f>L310/L312</f>
        <v>2.7586206896551724E-2</v>
      </c>
      <c r="N310" s="29">
        <f>B310+D310+F310+H310+J310+L310</f>
        <v>25</v>
      </c>
      <c r="O310" s="39">
        <f>N310/N312</f>
        <v>5.2410901467505239E-2</v>
      </c>
    </row>
    <row r="311" spans="1:19" ht="12.75" x14ac:dyDescent="0.2">
      <c r="A311" s="26" t="s">
        <v>25</v>
      </c>
      <c r="B311" s="38">
        <v>2</v>
      </c>
      <c r="C311" s="39">
        <f>B311/B312</f>
        <v>2.6666666666666668E-2</v>
      </c>
      <c r="D311" s="117"/>
      <c r="E311" s="39">
        <f>D311/D312</f>
        <v>0</v>
      </c>
      <c r="F311" s="38">
        <v>1</v>
      </c>
      <c r="G311" s="39">
        <f>F311/F312</f>
        <v>4.1666666666666664E-2</v>
      </c>
      <c r="H311" s="38">
        <v>8</v>
      </c>
      <c r="I311" s="39">
        <f>H311/H312</f>
        <v>5.0955414012738856E-2</v>
      </c>
      <c r="J311" s="38">
        <v>2</v>
      </c>
      <c r="K311" s="39">
        <f>J311/J312</f>
        <v>2.9411764705882353E-2</v>
      </c>
      <c r="L311" s="38">
        <v>4</v>
      </c>
      <c r="M311" s="39">
        <f>L311/L312</f>
        <v>2.7586206896551724E-2</v>
      </c>
      <c r="N311" s="29">
        <f>B311+D311+F311+H311+J311+L311</f>
        <v>17</v>
      </c>
      <c r="O311" s="39">
        <f>N311/N312</f>
        <v>3.5639412997903561E-2</v>
      </c>
    </row>
    <row r="312" spans="1:19" s="43" customFormat="1" x14ac:dyDescent="0.2">
      <c r="A312" s="36" t="s">
        <v>1</v>
      </c>
      <c r="B312" s="30">
        <f t="shared" ref="B312:L312" si="99">SUM(B308:B311)</f>
        <v>75</v>
      </c>
      <c r="C312" s="41">
        <f>SUM(C308:C311)</f>
        <v>0.99999999999999989</v>
      </c>
      <c r="D312" s="30">
        <f t="shared" si="99"/>
        <v>8</v>
      </c>
      <c r="E312" s="41">
        <f>SUM(E308:E311)</f>
        <v>1</v>
      </c>
      <c r="F312" s="30">
        <f t="shared" si="99"/>
        <v>24</v>
      </c>
      <c r="G312" s="41">
        <f>SUM(G308:G311)</f>
        <v>0.99999999999999989</v>
      </c>
      <c r="H312" s="30">
        <f t="shared" si="99"/>
        <v>157</v>
      </c>
      <c r="I312" s="41">
        <f>SUM(I308:I311)</f>
        <v>1</v>
      </c>
      <c r="J312" s="30">
        <f t="shared" si="99"/>
        <v>68</v>
      </c>
      <c r="K312" s="41">
        <f>SUM(K308:K311)</f>
        <v>1</v>
      </c>
      <c r="L312" s="30">
        <f t="shared" si="99"/>
        <v>145</v>
      </c>
      <c r="M312" s="41">
        <f>SUM(M308:M311)</f>
        <v>1.0000000000000002</v>
      </c>
      <c r="N312" s="30">
        <f>SUM(N306:N311)</f>
        <v>477</v>
      </c>
      <c r="O312" s="41">
        <f>SUM(O306:O311)</f>
        <v>1</v>
      </c>
      <c r="P312" s="46"/>
      <c r="Q312" s="51"/>
      <c r="R312" s="51"/>
      <c r="S312" s="51"/>
    </row>
    <row r="313" spans="1:19" x14ac:dyDescent="0.2">
      <c r="A313" s="36" t="s">
        <v>115</v>
      </c>
      <c r="B313" s="25"/>
      <c r="C313" s="65">
        <f>SUM(C308:C309)</f>
        <v>0.96</v>
      </c>
      <c r="D313" s="25"/>
      <c r="E313" s="65">
        <f>SUM(E308:E309)</f>
        <v>0.875</v>
      </c>
      <c r="F313" s="25"/>
      <c r="G313" s="65">
        <f>SUM(G308:G309)</f>
        <v>0.91666666666666663</v>
      </c>
      <c r="H313" s="25"/>
      <c r="I313" s="65">
        <f>SUM(I308:I309)</f>
        <v>0.85987261146496818</v>
      </c>
      <c r="J313" s="25"/>
      <c r="K313" s="65">
        <f>SUM(K308:K309)</f>
        <v>0.91176470588235292</v>
      </c>
      <c r="L313" s="25"/>
      <c r="M313" s="65">
        <f>SUM(M308:M309)</f>
        <v>0.94482758620689666</v>
      </c>
      <c r="N313" s="30"/>
      <c r="O313" s="65">
        <f>SUM(O308:O309)</f>
        <v>0.91194968553459121</v>
      </c>
    </row>
    <row r="314" spans="1:19" x14ac:dyDescent="0.2">
      <c r="H314" s="46"/>
    </row>
    <row r="315" spans="1:19" x14ac:dyDescent="0.2">
      <c r="A315" s="36" t="s">
        <v>81</v>
      </c>
      <c r="B315" s="151" t="s">
        <v>128</v>
      </c>
      <c r="C315" s="151"/>
      <c r="D315" s="151" t="s">
        <v>99</v>
      </c>
      <c r="E315" s="151"/>
      <c r="F315" s="150" t="s">
        <v>176</v>
      </c>
      <c r="G315" s="150"/>
      <c r="H315" s="151" t="s">
        <v>101</v>
      </c>
      <c r="I315" s="151"/>
      <c r="J315" s="151" t="s">
        <v>100</v>
      </c>
      <c r="K315" s="151"/>
      <c r="L315" s="151" t="s">
        <v>126</v>
      </c>
      <c r="M315" s="151"/>
      <c r="N315" s="148" t="s">
        <v>1</v>
      </c>
      <c r="O315" s="148"/>
    </row>
    <row r="316" spans="1:19" x14ac:dyDescent="0.2">
      <c r="A316" s="26" t="s">
        <v>28</v>
      </c>
      <c r="B316" s="38">
        <v>56</v>
      </c>
      <c r="C316" s="39">
        <f>B316/B320</f>
        <v>0.30270270270270272</v>
      </c>
      <c r="D316" s="38">
        <v>4</v>
      </c>
      <c r="E316" s="39">
        <f>D316/D320</f>
        <v>0.36363636363636365</v>
      </c>
      <c r="F316" s="38">
        <v>17</v>
      </c>
      <c r="G316" s="39">
        <f>F316/F320</f>
        <v>0.39534883720930231</v>
      </c>
      <c r="H316" s="38">
        <v>125</v>
      </c>
      <c r="I316" s="39">
        <f>H316/H320</f>
        <v>0.33692722371967654</v>
      </c>
      <c r="J316" s="38">
        <v>41</v>
      </c>
      <c r="K316" s="39">
        <f>J316/J320</f>
        <v>0.33606557377049179</v>
      </c>
      <c r="L316" s="38">
        <v>142</v>
      </c>
      <c r="M316" s="39">
        <f>L316/L320</f>
        <v>0.34803921568627449</v>
      </c>
      <c r="N316" s="29">
        <f>B316+D316+F316+H316+J316+L316</f>
        <v>385</v>
      </c>
      <c r="O316" s="39">
        <f>N316/N320</f>
        <v>0.33771929824561403</v>
      </c>
    </row>
    <row r="317" spans="1:19" x14ac:dyDescent="0.2">
      <c r="A317" s="26" t="s">
        <v>27</v>
      </c>
      <c r="B317" s="38">
        <v>119</v>
      </c>
      <c r="C317" s="39">
        <f>B317/B320</f>
        <v>0.64324324324324322</v>
      </c>
      <c r="D317" s="38">
        <v>6</v>
      </c>
      <c r="E317" s="39">
        <f>D317/D320</f>
        <v>0.54545454545454541</v>
      </c>
      <c r="F317" s="38">
        <v>26</v>
      </c>
      <c r="G317" s="39">
        <f>F317/F320</f>
        <v>0.60465116279069764</v>
      </c>
      <c r="H317" s="38">
        <v>211</v>
      </c>
      <c r="I317" s="39">
        <f>H317/H320</f>
        <v>0.56873315363881405</v>
      </c>
      <c r="J317" s="38">
        <v>67</v>
      </c>
      <c r="K317" s="39">
        <f>J317/J320</f>
        <v>0.54918032786885251</v>
      </c>
      <c r="L317" s="38">
        <v>232</v>
      </c>
      <c r="M317" s="39">
        <f>L317/L320</f>
        <v>0.56862745098039214</v>
      </c>
      <c r="N317" s="29">
        <f>B317+D317+F317+H317+J317+L317</f>
        <v>661</v>
      </c>
      <c r="O317" s="39">
        <f>N317/N320</f>
        <v>0.5798245614035088</v>
      </c>
    </row>
    <row r="318" spans="1:19" ht="12.75" x14ac:dyDescent="0.2">
      <c r="A318" s="26" t="s">
        <v>26</v>
      </c>
      <c r="B318" s="38">
        <v>6</v>
      </c>
      <c r="C318" s="39">
        <f>B318/B320</f>
        <v>3.2432432432432434E-2</v>
      </c>
      <c r="D318" s="38">
        <v>1</v>
      </c>
      <c r="E318" s="39">
        <f>D318/D320</f>
        <v>9.0909090909090912E-2</v>
      </c>
      <c r="F318" s="117"/>
      <c r="G318" s="39">
        <f>F318/F320</f>
        <v>0</v>
      </c>
      <c r="H318" s="38">
        <v>28</v>
      </c>
      <c r="I318" s="39">
        <f>H318/H320</f>
        <v>7.5471698113207544E-2</v>
      </c>
      <c r="J318" s="38">
        <v>12</v>
      </c>
      <c r="K318" s="39">
        <f>J318/J320</f>
        <v>9.8360655737704916E-2</v>
      </c>
      <c r="L318" s="38">
        <v>26</v>
      </c>
      <c r="M318" s="39">
        <f>L318/L320</f>
        <v>6.3725490196078427E-2</v>
      </c>
      <c r="N318" s="29">
        <f>B318+D318+F318+H318+J318+L318</f>
        <v>73</v>
      </c>
      <c r="O318" s="39">
        <f>N318/N320</f>
        <v>6.403508771929825E-2</v>
      </c>
    </row>
    <row r="319" spans="1:19" ht="12.75" x14ac:dyDescent="0.2">
      <c r="A319" s="26" t="s">
        <v>25</v>
      </c>
      <c r="B319" s="38">
        <v>4</v>
      </c>
      <c r="C319" s="39">
        <f>B319/B320</f>
        <v>2.1621621621621623E-2</v>
      </c>
      <c r="D319" s="117"/>
      <c r="E319" s="39">
        <f>D319/D320</f>
        <v>0</v>
      </c>
      <c r="F319" s="117"/>
      <c r="G319" s="39">
        <f>F319/F320</f>
        <v>0</v>
      </c>
      <c r="H319" s="38">
        <v>7</v>
      </c>
      <c r="I319" s="39">
        <f>H319/H320</f>
        <v>1.8867924528301886E-2</v>
      </c>
      <c r="J319" s="38">
        <v>2</v>
      </c>
      <c r="K319" s="39">
        <f>J319/J320</f>
        <v>1.6393442622950821E-2</v>
      </c>
      <c r="L319" s="38">
        <v>8</v>
      </c>
      <c r="M319" s="39">
        <f>L319/L320</f>
        <v>1.9607843137254902E-2</v>
      </c>
      <c r="N319" s="29">
        <f>B319+D319+F319+H319+J319+L319</f>
        <v>21</v>
      </c>
      <c r="O319" s="39">
        <f>N319/N320</f>
        <v>1.8421052631578946E-2</v>
      </c>
    </row>
    <row r="320" spans="1:19" s="43" customFormat="1" x14ac:dyDescent="0.2">
      <c r="A320" s="36" t="s">
        <v>1</v>
      </c>
      <c r="B320" s="30">
        <f t="shared" ref="B320:L320" si="100">SUM(B316:B319)</f>
        <v>185</v>
      </c>
      <c r="C320" s="41">
        <f>SUM(C316:C319)</f>
        <v>1</v>
      </c>
      <c r="D320" s="30">
        <f t="shared" si="100"/>
        <v>11</v>
      </c>
      <c r="E320" s="41">
        <f>SUM(E316:E319)</f>
        <v>1</v>
      </c>
      <c r="F320" s="30">
        <f t="shared" si="100"/>
        <v>43</v>
      </c>
      <c r="G320" s="41">
        <f>SUM(G316:G319)</f>
        <v>1</v>
      </c>
      <c r="H320" s="30">
        <f t="shared" si="100"/>
        <v>371</v>
      </c>
      <c r="I320" s="41">
        <f>SUM(I316:I319)</f>
        <v>1</v>
      </c>
      <c r="J320" s="30">
        <f t="shared" si="100"/>
        <v>122</v>
      </c>
      <c r="K320" s="41">
        <f>SUM(K316:K319)</f>
        <v>1</v>
      </c>
      <c r="L320" s="30">
        <f t="shared" si="100"/>
        <v>408</v>
      </c>
      <c r="M320" s="41">
        <f>SUM(M316:M319)</f>
        <v>1</v>
      </c>
      <c r="N320" s="30">
        <f>SUM(N314:N319)</f>
        <v>1140</v>
      </c>
      <c r="O320" s="41">
        <f>SUM(O314:O319)</f>
        <v>0.99999999999999989</v>
      </c>
      <c r="P320" s="46"/>
      <c r="Q320" s="51"/>
      <c r="R320" s="51"/>
      <c r="S320" s="51"/>
    </row>
    <row r="321" spans="1:19" x14ac:dyDescent="0.2">
      <c r="A321" s="36" t="s">
        <v>115</v>
      </c>
      <c r="B321" s="25"/>
      <c r="C321" s="65">
        <f>SUM(C316:C317)</f>
        <v>0.94594594594594594</v>
      </c>
      <c r="D321" s="25"/>
      <c r="E321" s="65">
        <f>SUM(E316:E317)</f>
        <v>0.90909090909090906</v>
      </c>
      <c r="F321" s="25"/>
      <c r="G321" s="65">
        <f>SUM(G316:G317)</f>
        <v>1</v>
      </c>
      <c r="H321" s="25"/>
      <c r="I321" s="65">
        <f>SUM(I316:I317)</f>
        <v>0.90566037735849059</v>
      </c>
      <c r="J321" s="25"/>
      <c r="K321" s="65">
        <f>SUM(K316:K317)</f>
        <v>0.88524590163934436</v>
      </c>
      <c r="L321" s="25"/>
      <c r="M321" s="65">
        <f>SUM(M316:M317)</f>
        <v>0.91666666666666663</v>
      </c>
      <c r="N321" s="30"/>
      <c r="O321" s="65">
        <f>SUM(O316:O317)</f>
        <v>0.91754385964912277</v>
      </c>
    </row>
    <row r="322" spans="1:19" x14ac:dyDescent="0.2">
      <c r="H322" s="46"/>
    </row>
    <row r="323" spans="1:19" x14ac:dyDescent="0.2">
      <c r="A323" s="36" t="s">
        <v>82</v>
      </c>
      <c r="B323" s="151" t="s">
        <v>128</v>
      </c>
      <c r="C323" s="151"/>
      <c r="D323" s="151" t="s">
        <v>99</v>
      </c>
      <c r="E323" s="151"/>
      <c r="F323" s="150" t="s">
        <v>176</v>
      </c>
      <c r="G323" s="150"/>
      <c r="H323" s="151" t="s">
        <v>101</v>
      </c>
      <c r="I323" s="151"/>
      <c r="J323" s="151" t="s">
        <v>100</v>
      </c>
      <c r="K323" s="151"/>
      <c r="L323" s="151" t="s">
        <v>126</v>
      </c>
      <c r="M323" s="151"/>
      <c r="N323" s="148" t="s">
        <v>1</v>
      </c>
      <c r="O323" s="148"/>
    </row>
    <row r="324" spans="1:19" x14ac:dyDescent="0.2">
      <c r="A324" s="26" t="s">
        <v>28</v>
      </c>
      <c r="B324" s="38">
        <v>18</v>
      </c>
      <c r="C324" s="39">
        <f>B324/B328</f>
        <v>0.23376623376623376</v>
      </c>
      <c r="D324" s="38">
        <v>4</v>
      </c>
      <c r="E324" s="39">
        <f>D324/D328</f>
        <v>0.5714285714285714</v>
      </c>
      <c r="F324" s="38">
        <v>8</v>
      </c>
      <c r="G324" s="39">
        <f>F324/F328</f>
        <v>0.22222222222222221</v>
      </c>
      <c r="H324" s="38">
        <v>43</v>
      </c>
      <c r="I324" s="39">
        <f>H324/H328</f>
        <v>0.29655172413793102</v>
      </c>
      <c r="J324" s="38">
        <v>16</v>
      </c>
      <c r="K324" s="39">
        <f>J324/J328</f>
        <v>0.26229508196721313</v>
      </c>
      <c r="L324" s="38">
        <v>43</v>
      </c>
      <c r="M324" s="39">
        <f>L324/L328</f>
        <v>0.26708074534161491</v>
      </c>
      <c r="N324" s="29">
        <f>B324+D324+F324+H324+J324+L324</f>
        <v>132</v>
      </c>
      <c r="O324" s="39">
        <f>N324/N328</f>
        <v>0.27104722792607805</v>
      </c>
    </row>
    <row r="325" spans="1:19" x14ac:dyDescent="0.2">
      <c r="A325" s="26" t="s">
        <v>27</v>
      </c>
      <c r="B325" s="38">
        <v>46</v>
      </c>
      <c r="C325" s="39">
        <f>B325/B328</f>
        <v>0.59740259740259738</v>
      </c>
      <c r="D325" s="38">
        <v>2</v>
      </c>
      <c r="E325" s="39">
        <f>D325/D328</f>
        <v>0.2857142857142857</v>
      </c>
      <c r="F325" s="38">
        <v>20</v>
      </c>
      <c r="G325" s="39">
        <f>F325/F328</f>
        <v>0.55555555555555558</v>
      </c>
      <c r="H325" s="38">
        <v>81</v>
      </c>
      <c r="I325" s="39">
        <f>H325/H328</f>
        <v>0.55862068965517242</v>
      </c>
      <c r="J325" s="38">
        <v>29</v>
      </c>
      <c r="K325" s="39">
        <f>J325/J328</f>
        <v>0.47540983606557374</v>
      </c>
      <c r="L325" s="38">
        <v>80</v>
      </c>
      <c r="M325" s="39">
        <f>L325/L328</f>
        <v>0.49689440993788819</v>
      </c>
      <c r="N325" s="29">
        <f>B325+D325+F325+H325+J325+L325</f>
        <v>258</v>
      </c>
      <c r="O325" s="39">
        <f>N325/N328</f>
        <v>0.52977412731006157</v>
      </c>
    </row>
    <row r="326" spans="1:19" x14ac:dyDescent="0.2">
      <c r="A326" s="26" t="s">
        <v>26</v>
      </c>
      <c r="B326" s="38">
        <v>4</v>
      </c>
      <c r="C326" s="39">
        <f>B326/B328</f>
        <v>5.1948051948051951E-2</v>
      </c>
      <c r="D326" s="38">
        <v>1</v>
      </c>
      <c r="E326" s="39">
        <f>D326/D328</f>
        <v>0.14285714285714285</v>
      </c>
      <c r="F326" s="38">
        <v>3</v>
      </c>
      <c r="G326" s="39">
        <f>F326/F328</f>
        <v>8.3333333333333329E-2</v>
      </c>
      <c r="H326" s="38">
        <v>16</v>
      </c>
      <c r="I326" s="39">
        <f>H326/H328</f>
        <v>0.1103448275862069</v>
      </c>
      <c r="J326" s="38">
        <v>8</v>
      </c>
      <c r="K326" s="39">
        <f>J326/J328</f>
        <v>0.13114754098360656</v>
      </c>
      <c r="L326" s="38">
        <v>28</v>
      </c>
      <c r="M326" s="39">
        <f>L326/L328</f>
        <v>0.17391304347826086</v>
      </c>
      <c r="N326" s="29">
        <f>B326+D326+F326+H326+J326+L326</f>
        <v>60</v>
      </c>
      <c r="O326" s="39">
        <f>N326/N328</f>
        <v>0.12320328542094455</v>
      </c>
    </row>
    <row r="327" spans="1:19" ht="12.75" x14ac:dyDescent="0.2">
      <c r="A327" s="26" t="s">
        <v>25</v>
      </c>
      <c r="B327" s="38">
        <v>9</v>
      </c>
      <c r="C327" s="39">
        <f>B327/B328</f>
        <v>0.11688311688311688</v>
      </c>
      <c r="D327" s="117"/>
      <c r="E327" s="39">
        <f>D327/D328</f>
        <v>0</v>
      </c>
      <c r="F327" s="38">
        <v>5</v>
      </c>
      <c r="G327" s="39">
        <f>F327/F328</f>
        <v>0.1388888888888889</v>
      </c>
      <c r="H327" s="38">
        <v>5</v>
      </c>
      <c r="I327" s="39">
        <f>H327/H328</f>
        <v>3.4482758620689655E-2</v>
      </c>
      <c r="J327" s="38">
        <v>8</v>
      </c>
      <c r="K327" s="39">
        <f>J327/J328</f>
        <v>0.13114754098360656</v>
      </c>
      <c r="L327" s="38">
        <v>10</v>
      </c>
      <c r="M327" s="39">
        <f>L327/L328</f>
        <v>6.2111801242236024E-2</v>
      </c>
      <c r="N327" s="29">
        <f>B327+D327+F327+H327+J327+L327</f>
        <v>37</v>
      </c>
      <c r="O327" s="39">
        <f>N327/N328</f>
        <v>7.5975359342915813E-2</v>
      </c>
    </row>
    <row r="328" spans="1:19" s="43" customFormat="1" x14ac:dyDescent="0.2">
      <c r="A328" s="36" t="s">
        <v>1</v>
      </c>
      <c r="B328" s="30">
        <f t="shared" ref="B328:L328" si="101">SUM(B324:B327)</f>
        <v>77</v>
      </c>
      <c r="C328" s="41">
        <f>SUM(C324:C327)</f>
        <v>1</v>
      </c>
      <c r="D328" s="30">
        <f t="shared" si="101"/>
        <v>7</v>
      </c>
      <c r="E328" s="41">
        <f>SUM(E324:E327)</f>
        <v>1</v>
      </c>
      <c r="F328" s="30">
        <f t="shared" si="101"/>
        <v>36</v>
      </c>
      <c r="G328" s="41">
        <f>SUM(G324:G327)</f>
        <v>1</v>
      </c>
      <c r="H328" s="30">
        <f t="shared" si="101"/>
        <v>145</v>
      </c>
      <c r="I328" s="41">
        <f>SUM(I324:I327)</f>
        <v>0.99999999999999989</v>
      </c>
      <c r="J328" s="30">
        <f t="shared" si="101"/>
        <v>61</v>
      </c>
      <c r="K328" s="41">
        <f>SUM(K324:K327)</f>
        <v>1</v>
      </c>
      <c r="L328" s="30">
        <f t="shared" si="101"/>
        <v>161</v>
      </c>
      <c r="M328" s="41">
        <f>SUM(M324:M327)</f>
        <v>1</v>
      </c>
      <c r="N328" s="30">
        <f>SUM(N322:N327)</f>
        <v>487</v>
      </c>
      <c r="O328" s="41">
        <f>SUM(O322:O327)</f>
        <v>1</v>
      </c>
      <c r="P328" s="46"/>
      <c r="Q328" s="51"/>
      <c r="R328" s="51"/>
      <c r="S328" s="51"/>
    </row>
    <row r="329" spans="1:19" x14ac:dyDescent="0.2">
      <c r="A329" s="36" t="s">
        <v>115</v>
      </c>
      <c r="B329" s="25"/>
      <c r="C329" s="65">
        <f>SUM(C324:C325)</f>
        <v>0.83116883116883111</v>
      </c>
      <c r="D329" s="25"/>
      <c r="E329" s="65">
        <f>SUM(E324:E325)</f>
        <v>0.8571428571428571</v>
      </c>
      <c r="F329" s="25"/>
      <c r="G329" s="65">
        <f>SUM(G324:G325)</f>
        <v>0.77777777777777779</v>
      </c>
      <c r="H329" s="25"/>
      <c r="I329" s="65">
        <f>SUM(I324:I325)</f>
        <v>0.85517241379310338</v>
      </c>
      <c r="J329" s="25"/>
      <c r="K329" s="65">
        <f>SUM(K324:K325)</f>
        <v>0.73770491803278682</v>
      </c>
      <c r="L329" s="25"/>
      <c r="M329" s="65">
        <f>SUM(M324:M325)</f>
        <v>0.7639751552795031</v>
      </c>
      <c r="N329" s="30"/>
      <c r="O329" s="65">
        <f>SUM(O324:O325)</f>
        <v>0.80082135523613962</v>
      </c>
    </row>
    <row r="330" spans="1:19" x14ac:dyDescent="0.2">
      <c r="A330" s="19"/>
      <c r="B330" s="4"/>
      <c r="D330" s="1"/>
      <c r="H330" s="46"/>
    </row>
    <row r="331" spans="1:19" x14ac:dyDescent="0.2">
      <c r="A331" s="36" t="s">
        <v>83</v>
      </c>
      <c r="B331" s="151" t="s">
        <v>128</v>
      </c>
      <c r="C331" s="151"/>
      <c r="D331" s="151" t="s">
        <v>99</v>
      </c>
      <c r="E331" s="151"/>
      <c r="F331" s="150" t="s">
        <v>176</v>
      </c>
      <c r="G331" s="150"/>
      <c r="H331" s="151" t="s">
        <v>101</v>
      </c>
      <c r="I331" s="151"/>
      <c r="J331" s="151" t="s">
        <v>100</v>
      </c>
      <c r="K331" s="151"/>
      <c r="L331" s="151" t="s">
        <v>126</v>
      </c>
      <c r="M331" s="151"/>
      <c r="N331" s="148" t="s">
        <v>1</v>
      </c>
      <c r="O331" s="148"/>
    </row>
    <row r="332" spans="1:19" x14ac:dyDescent="0.2">
      <c r="A332" s="26" t="s">
        <v>28</v>
      </c>
      <c r="B332" s="38">
        <v>36</v>
      </c>
      <c r="C332" s="39">
        <f>B332/B336</f>
        <v>0.375</v>
      </c>
      <c r="D332" s="38">
        <v>3</v>
      </c>
      <c r="E332" s="39">
        <f>D332/D336</f>
        <v>0.3</v>
      </c>
      <c r="F332" s="38">
        <v>16</v>
      </c>
      <c r="G332" s="39">
        <f>F332/F336</f>
        <v>0.45714285714285713</v>
      </c>
      <c r="H332" s="38">
        <v>77</v>
      </c>
      <c r="I332" s="39">
        <f>H332/H336</f>
        <v>0.44</v>
      </c>
      <c r="J332" s="38">
        <v>19</v>
      </c>
      <c r="K332" s="39">
        <f>J332/J336</f>
        <v>0.31147540983606559</v>
      </c>
      <c r="L332" s="38">
        <v>73</v>
      </c>
      <c r="M332" s="39">
        <f>L332/L336</f>
        <v>0.37628865979381443</v>
      </c>
      <c r="N332" s="29">
        <f>B332+D332+F332+H332+J332+L332</f>
        <v>224</v>
      </c>
      <c r="O332" s="39">
        <f>N332/N336</f>
        <v>0.39229422066549913</v>
      </c>
    </row>
    <row r="333" spans="1:19" x14ac:dyDescent="0.2">
      <c r="A333" s="26" t="s">
        <v>27</v>
      </c>
      <c r="B333" s="38">
        <v>51</v>
      </c>
      <c r="C333" s="39">
        <f>B333/B336</f>
        <v>0.53125</v>
      </c>
      <c r="D333" s="38">
        <v>5</v>
      </c>
      <c r="E333" s="39">
        <f>D333/D336</f>
        <v>0.5</v>
      </c>
      <c r="F333" s="38">
        <v>17</v>
      </c>
      <c r="G333" s="39">
        <f>F333/F336</f>
        <v>0.48571428571428571</v>
      </c>
      <c r="H333" s="38">
        <v>82</v>
      </c>
      <c r="I333" s="39">
        <f>H333/H336</f>
        <v>0.46857142857142858</v>
      </c>
      <c r="J333" s="38">
        <v>33</v>
      </c>
      <c r="K333" s="39">
        <f>J333/J336</f>
        <v>0.54098360655737709</v>
      </c>
      <c r="L333" s="38">
        <v>100</v>
      </c>
      <c r="M333" s="39">
        <f>L333/L336</f>
        <v>0.51546391752577314</v>
      </c>
      <c r="N333" s="29">
        <f>B333+D333+F333+H333+J333+L333</f>
        <v>288</v>
      </c>
      <c r="O333" s="39">
        <f>N333/N336</f>
        <v>0.50437828371278459</v>
      </c>
    </row>
    <row r="334" spans="1:19" x14ac:dyDescent="0.2">
      <c r="A334" s="26" t="s">
        <v>26</v>
      </c>
      <c r="B334" s="38">
        <v>8</v>
      </c>
      <c r="C334" s="39">
        <f>B334/B336</f>
        <v>8.3333333333333329E-2</v>
      </c>
      <c r="D334" s="38">
        <v>1</v>
      </c>
      <c r="E334" s="39">
        <f>D334/D336</f>
        <v>0.1</v>
      </c>
      <c r="F334" s="38">
        <v>1</v>
      </c>
      <c r="G334" s="39">
        <f>F334/F336</f>
        <v>2.8571428571428571E-2</v>
      </c>
      <c r="H334" s="38">
        <v>7</v>
      </c>
      <c r="I334" s="39">
        <f>H334/H336</f>
        <v>0.04</v>
      </c>
      <c r="J334" s="38">
        <v>6</v>
      </c>
      <c r="K334" s="39">
        <f>J334/J336</f>
        <v>9.8360655737704916E-2</v>
      </c>
      <c r="L334" s="38">
        <v>14</v>
      </c>
      <c r="M334" s="39">
        <f>L334/L336</f>
        <v>7.2164948453608241E-2</v>
      </c>
      <c r="N334" s="29">
        <f>B334+D334+F334+H334+J334+L334</f>
        <v>37</v>
      </c>
      <c r="O334" s="39">
        <f>N334/N336</f>
        <v>6.4798598949211902E-2</v>
      </c>
    </row>
    <row r="335" spans="1:19" x14ac:dyDescent="0.2">
      <c r="A335" s="26" t="s">
        <v>25</v>
      </c>
      <c r="B335" s="38">
        <v>1</v>
      </c>
      <c r="C335" s="39">
        <f>B335/B336</f>
        <v>1.0416666666666666E-2</v>
      </c>
      <c r="D335" s="38">
        <v>1</v>
      </c>
      <c r="E335" s="39">
        <f>D335/D336</f>
        <v>0.1</v>
      </c>
      <c r="F335" s="38">
        <v>1</v>
      </c>
      <c r="G335" s="39">
        <f>F335/F336</f>
        <v>2.8571428571428571E-2</v>
      </c>
      <c r="H335" s="38">
        <v>9</v>
      </c>
      <c r="I335" s="39">
        <f>H335/H336</f>
        <v>5.1428571428571428E-2</v>
      </c>
      <c r="J335" s="38">
        <v>3</v>
      </c>
      <c r="K335" s="39">
        <f>J335/J336</f>
        <v>4.9180327868852458E-2</v>
      </c>
      <c r="L335" s="38">
        <v>7</v>
      </c>
      <c r="M335" s="39">
        <f>L335/L336</f>
        <v>3.608247422680412E-2</v>
      </c>
      <c r="N335" s="29">
        <f>B335+D335+F335+H335+J335+L335</f>
        <v>22</v>
      </c>
      <c r="O335" s="39">
        <f>N335/N336</f>
        <v>3.8528896672504379E-2</v>
      </c>
    </row>
    <row r="336" spans="1:19" s="43" customFormat="1" x14ac:dyDescent="0.2">
      <c r="A336" s="36" t="s">
        <v>1</v>
      </c>
      <c r="B336" s="30">
        <f t="shared" ref="B336:L336" si="102">SUM(B332:B335)</f>
        <v>96</v>
      </c>
      <c r="C336" s="41">
        <f>SUM(C332:C335)</f>
        <v>1</v>
      </c>
      <c r="D336" s="30">
        <f t="shared" si="102"/>
        <v>10</v>
      </c>
      <c r="E336" s="41">
        <f>SUM(E332:E335)</f>
        <v>1</v>
      </c>
      <c r="F336" s="30">
        <f t="shared" si="102"/>
        <v>35</v>
      </c>
      <c r="G336" s="41">
        <f>SUM(G332:G335)</f>
        <v>1</v>
      </c>
      <c r="H336" s="30">
        <f t="shared" si="102"/>
        <v>175</v>
      </c>
      <c r="I336" s="41">
        <f>SUM(I332:I335)</f>
        <v>1</v>
      </c>
      <c r="J336" s="30">
        <f t="shared" si="102"/>
        <v>61</v>
      </c>
      <c r="K336" s="41">
        <f>SUM(K332:K335)</f>
        <v>1</v>
      </c>
      <c r="L336" s="30">
        <f t="shared" si="102"/>
        <v>194</v>
      </c>
      <c r="M336" s="41">
        <f>SUM(M332:M335)</f>
        <v>0.99999999999999989</v>
      </c>
      <c r="N336" s="30">
        <f>SUM(N330:N335)</f>
        <v>571</v>
      </c>
      <c r="O336" s="41">
        <f>SUM(O330:O335)</f>
        <v>1</v>
      </c>
      <c r="P336" s="46"/>
      <c r="Q336" s="51"/>
      <c r="R336" s="51"/>
      <c r="S336" s="51"/>
    </row>
    <row r="337" spans="1:19" x14ac:dyDescent="0.2">
      <c r="A337" s="36" t="s">
        <v>115</v>
      </c>
      <c r="B337" s="25"/>
      <c r="C337" s="65">
        <f>SUM(C332:C333)</f>
        <v>0.90625</v>
      </c>
      <c r="D337" s="25"/>
      <c r="E337" s="65">
        <f>SUM(E332:E333)</f>
        <v>0.8</v>
      </c>
      <c r="F337" s="25"/>
      <c r="G337" s="65">
        <f>SUM(G332:G333)</f>
        <v>0.94285714285714284</v>
      </c>
      <c r="H337" s="25"/>
      <c r="I337" s="65">
        <f>SUM(I332:I333)</f>
        <v>0.90857142857142859</v>
      </c>
      <c r="J337" s="25"/>
      <c r="K337" s="65">
        <f>SUM(K332:K333)</f>
        <v>0.85245901639344268</v>
      </c>
      <c r="L337" s="25"/>
      <c r="M337" s="65">
        <f>SUM(M332:M333)</f>
        <v>0.89175257731958757</v>
      </c>
      <c r="N337" s="30"/>
      <c r="O337" s="65">
        <f>SUM(O332:O333)</f>
        <v>0.89667250437828372</v>
      </c>
    </row>
    <row r="338" spans="1:19" x14ac:dyDescent="0.2">
      <c r="A338" s="19"/>
      <c r="B338" s="4"/>
      <c r="D338" s="1"/>
      <c r="H338" s="46"/>
    </row>
    <row r="339" spans="1:19" x14ac:dyDescent="0.2">
      <c r="A339" s="36" t="s">
        <v>84</v>
      </c>
      <c r="B339" s="151" t="s">
        <v>128</v>
      </c>
      <c r="C339" s="151"/>
      <c r="D339" s="151" t="s">
        <v>99</v>
      </c>
      <c r="E339" s="151"/>
      <c r="F339" s="150" t="s">
        <v>176</v>
      </c>
      <c r="G339" s="150"/>
      <c r="H339" s="151" t="s">
        <v>101</v>
      </c>
      <c r="I339" s="151"/>
      <c r="J339" s="151" t="s">
        <v>100</v>
      </c>
      <c r="K339" s="151"/>
      <c r="L339" s="151" t="s">
        <v>126</v>
      </c>
      <c r="M339" s="151"/>
      <c r="N339" s="148" t="s">
        <v>1</v>
      </c>
      <c r="O339" s="148"/>
    </row>
    <row r="340" spans="1:19" x14ac:dyDescent="0.2">
      <c r="A340" s="26" t="s">
        <v>28</v>
      </c>
      <c r="B340" s="38">
        <v>118</v>
      </c>
      <c r="C340" s="39">
        <f>B340/B344</f>
        <v>0.41403508771929826</v>
      </c>
      <c r="D340" s="38">
        <v>12</v>
      </c>
      <c r="E340" s="39">
        <f>D340/D344</f>
        <v>0.52173913043478259</v>
      </c>
      <c r="F340" s="38">
        <v>37</v>
      </c>
      <c r="G340" s="39">
        <f>F340/F344</f>
        <v>0.45121951219512196</v>
      </c>
      <c r="H340" s="38">
        <v>314</v>
      </c>
      <c r="I340" s="39">
        <f>H340/H344</f>
        <v>0.4750378214826021</v>
      </c>
      <c r="J340" s="38">
        <v>75</v>
      </c>
      <c r="K340" s="39">
        <f>J340/J344</f>
        <v>0.35377358490566035</v>
      </c>
      <c r="L340" s="38">
        <v>312</v>
      </c>
      <c r="M340" s="39">
        <f>L340/L344</f>
        <v>0.44892086330935249</v>
      </c>
      <c r="N340" s="29">
        <f>B340+D340+F340+H340+J340+L340</f>
        <v>868</v>
      </c>
      <c r="O340" s="39">
        <f>N340/N344</f>
        <v>0.44330949948927478</v>
      </c>
    </row>
    <row r="341" spans="1:19" x14ac:dyDescent="0.2">
      <c r="A341" s="26" t="s">
        <v>27</v>
      </c>
      <c r="B341" s="38">
        <v>140</v>
      </c>
      <c r="C341" s="39">
        <f>B341/B344</f>
        <v>0.49122807017543857</v>
      </c>
      <c r="D341" s="38">
        <v>10</v>
      </c>
      <c r="E341" s="39">
        <f>D341/D344</f>
        <v>0.43478260869565216</v>
      </c>
      <c r="F341" s="38">
        <v>43</v>
      </c>
      <c r="G341" s="39">
        <f>F341/F344</f>
        <v>0.52439024390243905</v>
      </c>
      <c r="H341" s="38">
        <v>313</v>
      </c>
      <c r="I341" s="39">
        <f>H341/H344</f>
        <v>0.47352496217851742</v>
      </c>
      <c r="J341" s="38">
        <v>131</v>
      </c>
      <c r="K341" s="39">
        <f>J341/J344</f>
        <v>0.61792452830188682</v>
      </c>
      <c r="L341" s="38">
        <v>354</v>
      </c>
      <c r="M341" s="39">
        <f>L341/L344</f>
        <v>0.50935251798561154</v>
      </c>
      <c r="N341" s="29">
        <f>B341+D341+F341+H341+J341+L341</f>
        <v>991</v>
      </c>
      <c r="O341" s="39">
        <f>N341/N344</f>
        <v>0.50612870275791622</v>
      </c>
    </row>
    <row r="342" spans="1:19" x14ac:dyDescent="0.2">
      <c r="A342" s="26" t="s">
        <v>26</v>
      </c>
      <c r="B342" s="38">
        <v>22</v>
      </c>
      <c r="C342" s="39">
        <f>B342/B344</f>
        <v>7.7192982456140355E-2</v>
      </c>
      <c r="D342" s="38">
        <v>1</v>
      </c>
      <c r="E342" s="39">
        <f>D342/D344</f>
        <v>4.3478260869565216E-2</v>
      </c>
      <c r="F342" s="38">
        <v>1</v>
      </c>
      <c r="G342" s="39">
        <f>F342/F344</f>
        <v>1.2195121951219513E-2</v>
      </c>
      <c r="H342" s="38">
        <v>27</v>
      </c>
      <c r="I342" s="39">
        <f>H342/H344</f>
        <v>4.084720121028744E-2</v>
      </c>
      <c r="J342" s="38">
        <v>6</v>
      </c>
      <c r="K342" s="39">
        <f>J342/J344</f>
        <v>2.8301886792452831E-2</v>
      </c>
      <c r="L342" s="38">
        <v>24</v>
      </c>
      <c r="M342" s="39">
        <f>L342/L344</f>
        <v>3.4532374100719423E-2</v>
      </c>
      <c r="N342" s="29">
        <f>B342+D342+F342+H342+J342+L342</f>
        <v>81</v>
      </c>
      <c r="O342" s="39">
        <f>N342/N344</f>
        <v>4.1368743615934629E-2</v>
      </c>
    </row>
    <row r="343" spans="1:19" ht="12.75" x14ac:dyDescent="0.2">
      <c r="A343" s="26" t="s">
        <v>25</v>
      </c>
      <c r="B343" s="38">
        <v>5</v>
      </c>
      <c r="C343" s="39">
        <f>B343/B344</f>
        <v>1.7543859649122806E-2</v>
      </c>
      <c r="D343" s="117"/>
      <c r="E343" s="39">
        <f>D343/D344</f>
        <v>0</v>
      </c>
      <c r="F343" s="38">
        <v>1</v>
      </c>
      <c r="G343" s="39">
        <f>F343/F344</f>
        <v>1.2195121951219513E-2</v>
      </c>
      <c r="H343" s="38">
        <v>7</v>
      </c>
      <c r="I343" s="39">
        <f>H343/H344</f>
        <v>1.059001512859304E-2</v>
      </c>
      <c r="J343" s="117"/>
      <c r="K343" s="39">
        <f>J343/J344</f>
        <v>0</v>
      </c>
      <c r="L343" s="38">
        <v>5</v>
      </c>
      <c r="M343" s="39">
        <f>L343/L344</f>
        <v>7.1942446043165471E-3</v>
      </c>
      <c r="N343" s="29">
        <f>B343+D343+F343+H343+J343+L343</f>
        <v>18</v>
      </c>
      <c r="O343" s="39">
        <f>N343/N344</f>
        <v>9.1930541368743617E-3</v>
      </c>
    </row>
    <row r="344" spans="1:19" s="43" customFormat="1" x14ac:dyDescent="0.2">
      <c r="A344" s="36" t="s">
        <v>1</v>
      </c>
      <c r="B344" s="30">
        <f t="shared" ref="B344:L344" si="103">SUM(B340:B343)</f>
        <v>285</v>
      </c>
      <c r="C344" s="41">
        <f>SUM(C340:C343)</f>
        <v>1</v>
      </c>
      <c r="D344" s="30">
        <f t="shared" si="103"/>
        <v>23</v>
      </c>
      <c r="E344" s="41">
        <f>SUM(E340:E343)</f>
        <v>1</v>
      </c>
      <c r="F344" s="30">
        <f t="shared" si="103"/>
        <v>82</v>
      </c>
      <c r="G344" s="41">
        <f>SUM(G340:G343)</f>
        <v>1</v>
      </c>
      <c r="H344" s="30">
        <f t="shared" si="103"/>
        <v>661</v>
      </c>
      <c r="I344" s="41">
        <f>SUM(I340:I343)</f>
        <v>0.99999999999999989</v>
      </c>
      <c r="J344" s="30">
        <f t="shared" si="103"/>
        <v>212</v>
      </c>
      <c r="K344" s="41">
        <f>SUM(K340:K343)</f>
        <v>1</v>
      </c>
      <c r="L344" s="30">
        <f t="shared" si="103"/>
        <v>695</v>
      </c>
      <c r="M344" s="41">
        <f>SUM(M340:M343)</f>
        <v>0.99999999999999989</v>
      </c>
      <c r="N344" s="30">
        <f>SUM(N338:N343)</f>
        <v>1958</v>
      </c>
      <c r="O344" s="41">
        <f>SUM(O338:O343)</f>
        <v>1</v>
      </c>
      <c r="P344" s="46"/>
      <c r="Q344" s="51"/>
      <c r="R344" s="51"/>
      <c r="S344" s="51"/>
    </row>
    <row r="345" spans="1:19" x14ac:dyDescent="0.2">
      <c r="A345" s="36" t="s">
        <v>115</v>
      </c>
      <c r="B345" s="25"/>
      <c r="C345" s="65">
        <f>SUM(C340:C341)</f>
        <v>0.90526315789473677</v>
      </c>
      <c r="D345" s="25"/>
      <c r="E345" s="65">
        <f>SUM(E340:E341)</f>
        <v>0.95652173913043481</v>
      </c>
      <c r="F345" s="25"/>
      <c r="G345" s="65">
        <f>SUM(G340:G341)</f>
        <v>0.97560975609756095</v>
      </c>
      <c r="H345" s="25"/>
      <c r="I345" s="65">
        <f>SUM(I340:I341)</f>
        <v>0.94856278366111946</v>
      </c>
      <c r="J345" s="25"/>
      <c r="K345" s="65">
        <f>SUM(K340:K341)</f>
        <v>0.97169811320754718</v>
      </c>
      <c r="L345" s="25"/>
      <c r="M345" s="65">
        <f>SUM(M340:M341)</f>
        <v>0.95827338129496398</v>
      </c>
      <c r="N345" s="30"/>
      <c r="O345" s="65">
        <f>SUM(O340:O341)</f>
        <v>0.949438202247191</v>
      </c>
    </row>
    <row r="346" spans="1:19" x14ac:dyDescent="0.2">
      <c r="A346" s="19"/>
      <c r="B346" s="4"/>
      <c r="D346" s="1"/>
      <c r="H346" s="46"/>
    </row>
    <row r="347" spans="1:19" x14ac:dyDescent="0.2">
      <c r="A347" s="36" t="s">
        <v>85</v>
      </c>
      <c r="B347" s="151" t="s">
        <v>128</v>
      </c>
      <c r="C347" s="151"/>
      <c r="D347" s="151" t="s">
        <v>99</v>
      </c>
      <c r="E347" s="151"/>
      <c r="F347" s="150" t="s">
        <v>176</v>
      </c>
      <c r="G347" s="150"/>
      <c r="H347" s="151" t="s">
        <v>101</v>
      </c>
      <c r="I347" s="151"/>
      <c r="J347" s="151" t="s">
        <v>100</v>
      </c>
      <c r="K347" s="151"/>
      <c r="L347" s="151" t="s">
        <v>126</v>
      </c>
      <c r="M347" s="151"/>
      <c r="N347" s="148" t="s">
        <v>1</v>
      </c>
      <c r="O347" s="148"/>
    </row>
    <row r="348" spans="1:19" x14ac:dyDescent="0.2">
      <c r="A348" s="26" t="s">
        <v>28</v>
      </c>
      <c r="B348" s="38">
        <v>79</v>
      </c>
      <c r="C348" s="39">
        <f>B348/B352</f>
        <v>0.42021276595744683</v>
      </c>
      <c r="D348" s="38">
        <v>4</v>
      </c>
      <c r="E348" s="39">
        <f>D348/D352</f>
        <v>0.2857142857142857</v>
      </c>
      <c r="F348" s="38">
        <v>14</v>
      </c>
      <c r="G348" s="39">
        <f>F348/F352</f>
        <v>0.31111111111111112</v>
      </c>
      <c r="H348" s="38">
        <v>123</v>
      </c>
      <c r="I348" s="39">
        <f>H348/H352</f>
        <v>0.3773006134969325</v>
      </c>
      <c r="J348" s="38">
        <v>38</v>
      </c>
      <c r="K348" s="39">
        <f>J348/J352</f>
        <v>0.32758620689655171</v>
      </c>
      <c r="L348" s="38">
        <v>134</v>
      </c>
      <c r="M348" s="39">
        <f>L348/L352</f>
        <v>0.3861671469740634</v>
      </c>
      <c r="N348" s="29">
        <f>B348+D348+F348+H348+J348+L348</f>
        <v>392</v>
      </c>
      <c r="O348" s="39">
        <f>N348/N352</f>
        <v>0.3783783783783784</v>
      </c>
    </row>
    <row r="349" spans="1:19" x14ac:dyDescent="0.2">
      <c r="A349" s="26" t="s">
        <v>27</v>
      </c>
      <c r="B349" s="38">
        <v>93</v>
      </c>
      <c r="C349" s="39">
        <f>B349/B352</f>
        <v>0.49468085106382981</v>
      </c>
      <c r="D349" s="38">
        <v>10</v>
      </c>
      <c r="E349" s="39">
        <f>D349/D352</f>
        <v>0.7142857142857143</v>
      </c>
      <c r="F349" s="38">
        <v>26</v>
      </c>
      <c r="G349" s="39">
        <f>F349/F352</f>
        <v>0.57777777777777772</v>
      </c>
      <c r="H349" s="38">
        <v>163</v>
      </c>
      <c r="I349" s="39">
        <f>H349/H352</f>
        <v>0.5</v>
      </c>
      <c r="J349" s="38">
        <v>63</v>
      </c>
      <c r="K349" s="39">
        <f>J349/J352</f>
        <v>0.5431034482758621</v>
      </c>
      <c r="L349" s="38">
        <v>173</v>
      </c>
      <c r="M349" s="39">
        <f>L349/L352</f>
        <v>0.49855907780979825</v>
      </c>
      <c r="N349" s="29">
        <f>B349+D349+F349+H349+J349+L349</f>
        <v>528</v>
      </c>
      <c r="O349" s="39">
        <f>N349/N352</f>
        <v>0.50965250965250963</v>
      </c>
    </row>
    <row r="350" spans="1:19" ht="12.75" x14ac:dyDescent="0.2">
      <c r="A350" s="26" t="s">
        <v>26</v>
      </c>
      <c r="B350" s="38">
        <v>11</v>
      </c>
      <c r="C350" s="39">
        <f>B350/B352</f>
        <v>5.8510638297872342E-2</v>
      </c>
      <c r="D350" s="117"/>
      <c r="E350" s="39">
        <f>D350/D352</f>
        <v>0</v>
      </c>
      <c r="F350" s="38">
        <v>3</v>
      </c>
      <c r="G350" s="39">
        <f>F350/F352</f>
        <v>6.6666666666666666E-2</v>
      </c>
      <c r="H350" s="38">
        <v>30</v>
      </c>
      <c r="I350" s="39">
        <f>H350/H352</f>
        <v>9.202453987730061E-2</v>
      </c>
      <c r="J350" s="38">
        <v>14</v>
      </c>
      <c r="K350" s="39">
        <f>J350/J352</f>
        <v>0.1206896551724138</v>
      </c>
      <c r="L350" s="38">
        <v>32</v>
      </c>
      <c r="M350" s="39">
        <f>L350/L352</f>
        <v>9.2219020172910657E-2</v>
      </c>
      <c r="N350" s="29">
        <f>B350+D350+F350+H350+J350+L350</f>
        <v>90</v>
      </c>
      <c r="O350" s="39">
        <f>N350/N352</f>
        <v>8.6872586872586879E-2</v>
      </c>
    </row>
    <row r="351" spans="1:19" ht="12.75" x14ac:dyDescent="0.2">
      <c r="A351" s="26" t="s">
        <v>25</v>
      </c>
      <c r="B351" s="38">
        <v>5</v>
      </c>
      <c r="C351" s="39">
        <f>B351/B352</f>
        <v>2.6595744680851064E-2</v>
      </c>
      <c r="D351" s="117"/>
      <c r="E351" s="39">
        <f>D351/D352</f>
        <v>0</v>
      </c>
      <c r="F351" s="38">
        <v>2</v>
      </c>
      <c r="G351" s="39">
        <f>F351/F352</f>
        <v>4.4444444444444446E-2</v>
      </c>
      <c r="H351" s="38">
        <v>10</v>
      </c>
      <c r="I351" s="39">
        <f>H351/H352</f>
        <v>3.0674846625766871E-2</v>
      </c>
      <c r="J351" s="38">
        <v>1</v>
      </c>
      <c r="K351" s="39">
        <f>J351/J352</f>
        <v>8.6206896551724137E-3</v>
      </c>
      <c r="L351" s="38">
        <v>8</v>
      </c>
      <c r="M351" s="39">
        <f>L351/L352</f>
        <v>2.3054755043227664E-2</v>
      </c>
      <c r="N351" s="29">
        <f>B351+D351+F351+H351+J351+L351</f>
        <v>26</v>
      </c>
      <c r="O351" s="39">
        <f>N351/N352</f>
        <v>2.5096525096525095E-2</v>
      </c>
    </row>
    <row r="352" spans="1:19" s="43" customFormat="1" x14ac:dyDescent="0.2">
      <c r="A352" s="36" t="s">
        <v>1</v>
      </c>
      <c r="B352" s="30">
        <f t="shared" ref="B352:L352" si="104">SUM(B348:B351)</f>
        <v>188</v>
      </c>
      <c r="C352" s="41">
        <f>SUM(C348:C351)</f>
        <v>1.0000000000000002</v>
      </c>
      <c r="D352" s="30">
        <f t="shared" si="104"/>
        <v>14</v>
      </c>
      <c r="E352" s="41">
        <f>SUM(E348:E351)</f>
        <v>1</v>
      </c>
      <c r="F352" s="30">
        <f t="shared" si="104"/>
        <v>45</v>
      </c>
      <c r="G352" s="41">
        <f>SUM(G348:G351)</f>
        <v>0.99999999999999989</v>
      </c>
      <c r="H352" s="30">
        <f t="shared" si="104"/>
        <v>326</v>
      </c>
      <c r="I352" s="41">
        <f>SUM(I348:I351)</f>
        <v>1</v>
      </c>
      <c r="J352" s="30">
        <f t="shared" si="104"/>
        <v>116</v>
      </c>
      <c r="K352" s="41">
        <f>SUM(K348:K351)</f>
        <v>1</v>
      </c>
      <c r="L352" s="30">
        <f t="shared" si="104"/>
        <v>347</v>
      </c>
      <c r="M352" s="41">
        <f>SUM(M348:M351)</f>
        <v>0.99999999999999989</v>
      </c>
      <c r="N352" s="30">
        <f>SUM(N346:N351)</f>
        <v>1036</v>
      </c>
      <c r="O352" s="41">
        <f>SUM(O346:O351)</f>
        <v>1</v>
      </c>
      <c r="P352" s="46"/>
      <c r="Q352" s="51"/>
      <c r="R352" s="51"/>
      <c r="S352" s="51"/>
    </row>
    <row r="353" spans="1:19" x14ac:dyDescent="0.2">
      <c r="A353" s="36" t="s">
        <v>115</v>
      </c>
      <c r="B353" s="25"/>
      <c r="C353" s="65">
        <f>SUM(C348:C349)</f>
        <v>0.91489361702127669</v>
      </c>
      <c r="D353" s="25"/>
      <c r="E353" s="65">
        <f>SUM(E348:E349)</f>
        <v>1</v>
      </c>
      <c r="F353" s="25"/>
      <c r="G353" s="65">
        <f>SUM(G348:G349)</f>
        <v>0.88888888888888884</v>
      </c>
      <c r="H353" s="25"/>
      <c r="I353" s="65">
        <f>SUM(I348:I349)</f>
        <v>0.87730061349693256</v>
      </c>
      <c r="J353" s="25"/>
      <c r="K353" s="65">
        <f>SUM(K348:K349)</f>
        <v>0.87068965517241381</v>
      </c>
      <c r="L353" s="25"/>
      <c r="M353" s="65">
        <f>SUM(M348:M349)</f>
        <v>0.88472622478386165</v>
      </c>
      <c r="N353" s="30"/>
      <c r="O353" s="65">
        <f>SUM(O348:O349)</f>
        <v>0.88803088803088803</v>
      </c>
    </row>
    <row r="354" spans="1:19" x14ac:dyDescent="0.2">
      <c r="A354" s="19"/>
      <c r="B354" s="4"/>
      <c r="D354" s="1"/>
      <c r="H354" s="46"/>
    </row>
    <row r="355" spans="1:19" ht="24" x14ac:dyDescent="0.2">
      <c r="A355" s="36" t="s">
        <v>86</v>
      </c>
      <c r="B355" s="151" t="s">
        <v>128</v>
      </c>
      <c r="C355" s="151"/>
      <c r="D355" s="151" t="s">
        <v>99</v>
      </c>
      <c r="E355" s="151"/>
      <c r="F355" s="150" t="s">
        <v>176</v>
      </c>
      <c r="G355" s="150"/>
      <c r="H355" s="151" t="s">
        <v>101</v>
      </c>
      <c r="I355" s="151"/>
      <c r="J355" s="151" t="s">
        <v>100</v>
      </c>
      <c r="K355" s="151"/>
      <c r="L355" s="151" t="s">
        <v>126</v>
      </c>
      <c r="M355" s="151"/>
      <c r="N355" s="148" t="s">
        <v>1</v>
      </c>
      <c r="O355" s="148"/>
    </row>
    <row r="356" spans="1:19" x14ac:dyDescent="0.2">
      <c r="A356" s="26" t="s">
        <v>28</v>
      </c>
      <c r="B356" s="38">
        <v>47</v>
      </c>
      <c r="C356" s="39">
        <f>B356/B360</f>
        <v>0.37903225806451613</v>
      </c>
      <c r="D356" s="38">
        <v>4</v>
      </c>
      <c r="E356" s="39">
        <f>D356/D360</f>
        <v>0.30769230769230771</v>
      </c>
      <c r="F356" s="38">
        <v>11</v>
      </c>
      <c r="G356" s="39">
        <f>F356/F360</f>
        <v>0.28947368421052633</v>
      </c>
      <c r="H356" s="38">
        <v>93</v>
      </c>
      <c r="I356" s="39">
        <f>H356/H360</f>
        <v>0.36614173228346458</v>
      </c>
      <c r="J356" s="38">
        <v>26</v>
      </c>
      <c r="K356" s="39">
        <f>J356/J360</f>
        <v>0.30232558139534882</v>
      </c>
      <c r="L356" s="38">
        <v>116</v>
      </c>
      <c r="M356" s="39">
        <f>L356/L360</f>
        <v>0.40845070422535212</v>
      </c>
      <c r="N356" s="29">
        <f>B356+D356+F356+H356+J356+L356</f>
        <v>297</v>
      </c>
      <c r="O356" s="39">
        <f>N356/N360</f>
        <v>0.37171464330413018</v>
      </c>
    </row>
    <row r="357" spans="1:19" x14ac:dyDescent="0.2">
      <c r="A357" s="26" t="s">
        <v>27</v>
      </c>
      <c r="B357" s="38">
        <v>71</v>
      </c>
      <c r="C357" s="39">
        <f>B357/B360</f>
        <v>0.57258064516129037</v>
      </c>
      <c r="D357" s="38">
        <v>8</v>
      </c>
      <c r="E357" s="39">
        <f>D357/D360</f>
        <v>0.61538461538461542</v>
      </c>
      <c r="F357" s="38">
        <v>26</v>
      </c>
      <c r="G357" s="39">
        <f>F357/F360</f>
        <v>0.68421052631578949</v>
      </c>
      <c r="H357" s="38">
        <v>142</v>
      </c>
      <c r="I357" s="39">
        <f>H357/H360</f>
        <v>0.55905511811023623</v>
      </c>
      <c r="J357" s="38">
        <v>54</v>
      </c>
      <c r="K357" s="39">
        <f>J357/J360</f>
        <v>0.62790697674418605</v>
      </c>
      <c r="L357" s="38">
        <v>154</v>
      </c>
      <c r="M357" s="39">
        <f>L357/L360</f>
        <v>0.54225352112676062</v>
      </c>
      <c r="N357" s="29">
        <f>B357+D357+F357+H357+J357+L357</f>
        <v>455</v>
      </c>
      <c r="O357" s="39">
        <f>N357/N360</f>
        <v>0.5694618272841051</v>
      </c>
    </row>
    <row r="358" spans="1:19" ht="12.75" x14ac:dyDescent="0.2">
      <c r="A358" s="26" t="s">
        <v>26</v>
      </c>
      <c r="B358" s="38">
        <v>5</v>
      </c>
      <c r="C358" s="39">
        <f>B358/B360</f>
        <v>4.0322580645161289E-2</v>
      </c>
      <c r="D358" s="38">
        <v>1</v>
      </c>
      <c r="E358" s="39">
        <f>D358/D360</f>
        <v>7.6923076923076927E-2</v>
      </c>
      <c r="F358" s="117"/>
      <c r="G358" s="39">
        <f>F358/F360</f>
        <v>0</v>
      </c>
      <c r="H358" s="38">
        <v>14</v>
      </c>
      <c r="I358" s="39">
        <f>H358/H360</f>
        <v>5.5118110236220472E-2</v>
      </c>
      <c r="J358" s="38">
        <v>5</v>
      </c>
      <c r="K358" s="39">
        <f>J358/J360</f>
        <v>5.8139534883720929E-2</v>
      </c>
      <c r="L358" s="38">
        <v>12</v>
      </c>
      <c r="M358" s="39">
        <f>L358/L360</f>
        <v>4.2253521126760563E-2</v>
      </c>
      <c r="N358" s="29">
        <f>B358+D358+F358+H358+J358+L358</f>
        <v>37</v>
      </c>
      <c r="O358" s="39">
        <f>N358/N360</f>
        <v>4.630788485607009E-2</v>
      </c>
    </row>
    <row r="359" spans="1:19" ht="12.75" x14ac:dyDescent="0.2">
      <c r="A359" s="26" t="s">
        <v>25</v>
      </c>
      <c r="B359" s="38">
        <v>1</v>
      </c>
      <c r="C359" s="39">
        <f>B359/B360</f>
        <v>8.0645161290322578E-3</v>
      </c>
      <c r="D359" s="117"/>
      <c r="E359" s="39">
        <f>D359/D360</f>
        <v>0</v>
      </c>
      <c r="F359" s="38">
        <v>1</v>
      </c>
      <c r="G359" s="39">
        <f>F359/F360</f>
        <v>2.6315789473684209E-2</v>
      </c>
      <c r="H359" s="38">
        <v>5</v>
      </c>
      <c r="I359" s="39">
        <f>H359/H360</f>
        <v>1.968503937007874E-2</v>
      </c>
      <c r="J359" s="38">
        <v>1</v>
      </c>
      <c r="K359" s="39">
        <f>J359/J360</f>
        <v>1.1627906976744186E-2</v>
      </c>
      <c r="L359" s="38">
        <v>2</v>
      </c>
      <c r="M359" s="39">
        <f>L359/L360</f>
        <v>7.0422535211267607E-3</v>
      </c>
      <c r="N359" s="29">
        <f>B359+D359+F359+H359+J359+L359</f>
        <v>10</v>
      </c>
      <c r="O359" s="39">
        <f>N359/N360</f>
        <v>1.2515644555694618E-2</v>
      </c>
    </row>
    <row r="360" spans="1:19" s="43" customFormat="1" x14ac:dyDescent="0.2">
      <c r="A360" s="36" t="s">
        <v>1</v>
      </c>
      <c r="B360" s="30">
        <f>SUM(B356:B359)</f>
        <v>124</v>
      </c>
      <c r="C360" s="41">
        <f>SUM(C356:C359)</f>
        <v>1</v>
      </c>
      <c r="D360" s="30">
        <f t="shared" ref="D360:L360" si="105">SUM(D356:D359)</f>
        <v>13</v>
      </c>
      <c r="E360" s="41">
        <f>SUM(E356:E359)</f>
        <v>1</v>
      </c>
      <c r="F360" s="30">
        <f t="shared" si="105"/>
        <v>38</v>
      </c>
      <c r="G360" s="41">
        <f>SUM(G356:G359)</f>
        <v>1</v>
      </c>
      <c r="H360" s="30">
        <f t="shared" si="105"/>
        <v>254</v>
      </c>
      <c r="I360" s="41">
        <f>SUM(I356:I359)</f>
        <v>1</v>
      </c>
      <c r="J360" s="30">
        <f t="shared" si="105"/>
        <v>86</v>
      </c>
      <c r="K360" s="41">
        <f>SUM(K356:K359)</f>
        <v>1</v>
      </c>
      <c r="L360" s="30">
        <f t="shared" si="105"/>
        <v>284</v>
      </c>
      <c r="M360" s="41">
        <f>SUM(M356:M359)</f>
        <v>1</v>
      </c>
      <c r="N360" s="30">
        <f>SUM(N354:N359)</f>
        <v>799</v>
      </c>
      <c r="O360" s="41">
        <f>SUM(O354:O359)</f>
        <v>1</v>
      </c>
      <c r="P360" s="46"/>
      <c r="Q360" s="51"/>
      <c r="R360" s="51"/>
      <c r="S360" s="51"/>
    </row>
    <row r="361" spans="1:19" x14ac:dyDescent="0.2">
      <c r="A361" s="36" t="s">
        <v>115</v>
      </c>
      <c r="B361" s="25"/>
      <c r="C361" s="65">
        <f>SUM(C356:C357)</f>
        <v>0.95161290322580649</v>
      </c>
      <c r="D361" s="25"/>
      <c r="E361" s="65">
        <f>SUM(E356:E357)</f>
        <v>0.92307692307692313</v>
      </c>
      <c r="F361" s="25"/>
      <c r="G361" s="65">
        <f>SUM(G356:G357)</f>
        <v>0.97368421052631582</v>
      </c>
      <c r="H361" s="25"/>
      <c r="I361" s="65">
        <f>SUM(I356:I357)</f>
        <v>0.92519685039370081</v>
      </c>
      <c r="J361" s="25"/>
      <c r="K361" s="65">
        <f>SUM(K356:K357)</f>
        <v>0.93023255813953487</v>
      </c>
      <c r="L361" s="25"/>
      <c r="M361" s="65">
        <f>SUM(M356:M357)</f>
        <v>0.95070422535211274</v>
      </c>
      <c r="N361" s="30"/>
      <c r="O361" s="65">
        <f>SUM(O356:O357)</f>
        <v>0.94117647058823528</v>
      </c>
    </row>
    <row r="362" spans="1:19" x14ac:dyDescent="0.2">
      <c r="A362" s="19"/>
      <c r="B362" s="4"/>
      <c r="D362" s="1"/>
      <c r="H362" s="46"/>
    </row>
    <row r="363" spans="1:19" ht="24" x14ac:dyDescent="0.2">
      <c r="A363" s="36" t="s">
        <v>87</v>
      </c>
      <c r="B363" s="151" t="s">
        <v>128</v>
      </c>
      <c r="C363" s="151"/>
      <c r="D363" s="151" t="s">
        <v>99</v>
      </c>
      <c r="E363" s="151"/>
      <c r="F363" s="150" t="s">
        <v>176</v>
      </c>
      <c r="G363" s="150"/>
      <c r="H363" s="151" t="s">
        <v>101</v>
      </c>
      <c r="I363" s="151"/>
      <c r="J363" s="151" t="s">
        <v>100</v>
      </c>
      <c r="K363" s="151"/>
      <c r="L363" s="151" t="s">
        <v>126</v>
      </c>
      <c r="M363" s="151"/>
      <c r="N363" s="148" t="s">
        <v>1</v>
      </c>
      <c r="O363" s="148"/>
    </row>
    <row r="364" spans="1:19" x14ac:dyDescent="0.2">
      <c r="A364" s="26" t="s">
        <v>28</v>
      </c>
      <c r="B364" s="38">
        <v>105</v>
      </c>
      <c r="C364" s="39">
        <f>B364/B368</f>
        <v>0.26854219948849106</v>
      </c>
      <c r="D364" s="38">
        <v>10</v>
      </c>
      <c r="E364" s="39">
        <f>D364/D368</f>
        <v>0.32258064516129031</v>
      </c>
      <c r="F364" s="38">
        <v>35</v>
      </c>
      <c r="G364" s="39">
        <f>F364/F368</f>
        <v>0.2348993288590604</v>
      </c>
      <c r="H364" s="38">
        <v>225</v>
      </c>
      <c r="I364" s="39">
        <f>H364/H368</f>
        <v>0.29683377308707126</v>
      </c>
      <c r="J364" s="38">
        <v>83</v>
      </c>
      <c r="K364" s="39">
        <f>J364/J368</f>
        <v>0.2455621301775148</v>
      </c>
      <c r="L364" s="38">
        <v>252</v>
      </c>
      <c r="M364" s="39">
        <f>L364/L368</f>
        <v>0.31072749691738594</v>
      </c>
      <c r="N364" s="29">
        <f>B364+D364+F364+H364+J364+L364</f>
        <v>710</v>
      </c>
      <c r="O364" s="39">
        <f>N364/N368</f>
        <v>0.28652138821630346</v>
      </c>
    </row>
    <row r="365" spans="1:19" x14ac:dyDescent="0.2">
      <c r="A365" s="26" t="s">
        <v>27</v>
      </c>
      <c r="B365" s="38">
        <v>265</v>
      </c>
      <c r="C365" s="39">
        <f>B365/B368</f>
        <v>0.67774936061381075</v>
      </c>
      <c r="D365" s="38">
        <v>17</v>
      </c>
      <c r="E365" s="39">
        <f>D365/D368</f>
        <v>0.54838709677419351</v>
      </c>
      <c r="F365" s="38">
        <v>97</v>
      </c>
      <c r="G365" s="39">
        <f>F365/F368</f>
        <v>0.65100671140939592</v>
      </c>
      <c r="H365" s="38">
        <v>468</v>
      </c>
      <c r="I365" s="39">
        <f>H365/H368</f>
        <v>0.61741424802110823</v>
      </c>
      <c r="J365" s="38">
        <v>223</v>
      </c>
      <c r="K365" s="39">
        <f>J365/J368</f>
        <v>0.65976331360946749</v>
      </c>
      <c r="L365" s="38">
        <v>483</v>
      </c>
      <c r="M365" s="39">
        <f>L365/L368</f>
        <v>0.59556103575832309</v>
      </c>
      <c r="N365" s="29">
        <f>B365+D365+F365+H365+J365+L365</f>
        <v>1553</v>
      </c>
      <c r="O365" s="39">
        <f>N365/N368</f>
        <v>0.62671509281678772</v>
      </c>
    </row>
    <row r="366" spans="1:19" x14ac:dyDescent="0.2">
      <c r="A366" s="26" t="s">
        <v>26</v>
      </c>
      <c r="B366" s="38">
        <v>18</v>
      </c>
      <c r="C366" s="39">
        <f>B366/B368</f>
        <v>4.6035805626598467E-2</v>
      </c>
      <c r="D366" s="38">
        <v>4</v>
      </c>
      <c r="E366" s="39">
        <f>D366/D368</f>
        <v>0.12903225806451613</v>
      </c>
      <c r="F366" s="38">
        <v>13</v>
      </c>
      <c r="G366" s="39">
        <f>F366/F368</f>
        <v>8.7248322147651006E-2</v>
      </c>
      <c r="H366" s="38">
        <v>54</v>
      </c>
      <c r="I366" s="39">
        <f>H366/H368</f>
        <v>7.1240105540897103E-2</v>
      </c>
      <c r="J366" s="38">
        <v>29</v>
      </c>
      <c r="K366" s="39">
        <f>J366/J368</f>
        <v>8.5798816568047331E-2</v>
      </c>
      <c r="L366" s="38">
        <v>62</v>
      </c>
      <c r="M366" s="39">
        <f>L366/L368</f>
        <v>7.6448828606658442E-2</v>
      </c>
      <c r="N366" s="29">
        <f>B366+D366+F366+H366+J366+L366</f>
        <v>180</v>
      </c>
      <c r="O366" s="39">
        <f>N366/N368</f>
        <v>7.2639225181598058E-2</v>
      </c>
    </row>
    <row r="367" spans="1:19" ht="12.75" x14ac:dyDescent="0.2">
      <c r="A367" s="26" t="s">
        <v>25</v>
      </c>
      <c r="B367" s="38">
        <v>3</v>
      </c>
      <c r="C367" s="39">
        <f>B367/B368</f>
        <v>7.6726342710997444E-3</v>
      </c>
      <c r="D367" s="117"/>
      <c r="E367" s="39">
        <f>D367/D368</f>
        <v>0</v>
      </c>
      <c r="F367" s="38">
        <v>4</v>
      </c>
      <c r="G367" s="39">
        <f>F367/F368</f>
        <v>2.6845637583892617E-2</v>
      </c>
      <c r="H367" s="38">
        <v>11</v>
      </c>
      <c r="I367" s="39">
        <f>H367/H368</f>
        <v>1.4511873350923483E-2</v>
      </c>
      <c r="J367" s="38">
        <v>3</v>
      </c>
      <c r="K367" s="39">
        <f>J367/J368</f>
        <v>8.8757396449704144E-3</v>
      </c>
      <c r="L367" s="38">
        <v>14</v>
      </c>
      <c r="M367" s="39">
        <f>L367/L368</f>
        <v>1.7262638717632551E-2</v>
      </c>
      <c r="N367" s="29">
        <f>B367+D367+F367+H367+J367+L367</f>
        <v>35</v>
      </c>
      <c r="O367" s="39">
        <f>N367/N368</f>
        <v>1.4124293785310734E-2</v>
      </c>
    </row>
    <row r="368" spans="1:19" s="43" customFormat="1" x14ac:dyDescent="0.2">
      <c r="A368" s="36" t="s">
        <v>1</v>
      </c>
      <c r="B368" s="30">
        <f t="shared" ref="B368:L368" si="106">SUM(B364:B367)</f>
        <v>391</v>
      </c>
      <c r="C368" s="41">
        <f>SUM(C364:C367)</f>
        <v>1</v>
      </c>
      <c r="D368" s="30">
        <f t="shared" si="106"/>
        <v>31</v>
      </c>
      <c r="E368" s="41">
        <f>SUM(E364:E367)</f>
        <v>0.99999999999999989</v>
      </c>
      <c r="F368" s="30">
        <f t="shared" si="106"/>
        <v>149</v>
      </c>
      <c r="G368" s="41">
        <f>SUM(G364:G367)</f>
        <v>0.99999999999999989</v>
      </c>
      <c r="H368" s="30">
        <f t="shared" si="106"/>
        <v>758</v>
      </c>
      <c r="I368" s="41">
        <f>SUM(I364:I367)</f>
        <v>1</v>
      </c>
      <c r="J368" s="30">
        <f t="shared" si="106"/>
        <v>338</v>
      </c>
      <c r="K368" s="41">
        <f>SUM(K364:K367)</f>
        <v>1</v>
      </c>
      <c r="L368" s="30">
        <f t="shared" si="106"/>
        <v>811</v>
      </c>
      <c r="M368" s="41">
        <f>SUM(M364:M367)</f>
        <v>1</v>
      </c>
      <c r="N368" s="30">
        <f>SUM(N362:N367)</f>
        <v>2478</v>
      </c>
      <c r="O368" s="41">
        <f>SUM(O362:O367)</f>
        <v>1</v>
      </c>
      <c r="P368" s="46"/>
      <c r="Q368" s="51"/>
      <c r="R368" s="51"/>
      <c r="S368" s="51"/>
    </row>
    <row r="369" spans="1:19" x14ac:dyDescent="0.2">
      <c r="A369" s="36" t="s">
        <v>115</v>
      </c>
      <c r="B369" s="25"/>
      <c r="C369" s="65">
        <f>SUM(C364:C365)</f>
        <v>0.94629156010230187</v>
      </c>
      <c r="D369" s="25"/>
      <c r="E369" s="65">
        <f>SUM(E364:E365)</f>
        <v>0.87096774193548376</v>
      </c>
      <c r="F369" s="25"/>
      <c r="G369" s="65">
        <f>SUM(G364:G365)</f>
        <v>0.88590604026845632</v>
      </c>
      <c r="H369" s="25"/>
      <c r="I369" s="65">
        <f>SUM(I364:I365)</f>
        <v>0.91424802110817949</v>
      </c>
      <c r="J369" s="25"/>
      <c r="K369" s="65">
        <f>SUM(K364:K365)</f>
        <v>0.90532544378698232</v>
      </c>
      <c r="L369" s="25"/>
      <c r="M369" s="65">
        <f>SUM(M364:M365)</f>
        <v>0.90628853267570908</v>
      </c>
      <c r="N369" s="30"/>
      <c r="O369" s="65">
        <f>SUM(O364:O365)</f>
        <v>0.91323648103309119</v>
      </c>
    </row>
    <row r="370" spans="1:19" x14ac:dyDescent="0.2">
      <c r="A370" s="19"/>
      <c r="B370" s="4"/>
      <c r="D370" s="1"/>
      <c r="H370" s="46"/>
    </row>
    <row r="371" spans="1:19" ht="15" x14ac:dyDescent="0.2">
      <c r="A371" s="121" t="s">
        <v>92</v>
      </c>
      <c r="B371" s="124"/>
      <c r="C371" s="124"/>
      <c r="H371" s="46"/>
    </row>
    <row r="372" spans="1:19" x14ac:dyDescent="0.2">
      <c r="A372" s="36" t="s">
        <v>88</v>
      </c>
      <c r="B372" s="151" t="s">
        <v>128</v>
      </c>
      <c r="C372" s="151"/>
      <c r="D372" s="151" t="s">
        <v>99</v>
      </c>
      <c r="E372" s="151"/>
      <c r="F372" s="150" t="s">
        <v>176</v>
      </c>
      <c r="G372" s="150"/>
      <c r="H372" s="151" t="s">
        <v>101</v>
      </c>
      <c r="I372" s="151"/>
      <c r="J372" s="151" t="s">
        <v>100</v>
      </c>
      <c r="K372" s="151"/>
      <c r="L372" s="151" t="s">
        <v>126</v>
      </c>
      <c r="M372" s="151"/>
      <c r="N372" s="148" t="s">
        <v>1</v>
      </c>
      <c r="O372" s="148"/>
    </row>
    <row r="373" spans="1:19" x14ac:dyDescent="0.2">
      <c r="A373" s="26" t="s">
        <v>28</v>
      </c>
      <c r="B373" s="38">
        <v>109</v>
      </c>
      <c r="C373" s="39">
        <f>B373/B377</f>
        <v>0.26265060240963856</v>
      </c>
      <c r="D373" s="38">
        <v>11</v>
      </c>
      <c r="E373" s="39">
        <f>D373/D377</f>
        <v>0.35483870967741937</v>
      </c>
      <c r="F373" s="38">
        <v>38</v>
      </c>
      <c r="G373" s="39">
        <f>F373/F377</f>
        <v>0.2733812949640288</v>
      </c>
      <c r="H373" s="38">
        <v>242</v>
      </c>
      <c r="I373" s="39">
        <f>H373/H377</f>
        <v>0.30555555555555558</v>
      </c>
      <c r="J373" s="38">
        <v>97</v>
      </c>
      <c r="K373" s="39">
        <f>J373/J377</f>
        <v>0.27556818181818182</v>
      </c>
      <c r="L373" s="38">
        <v>268</v>
      </c>
      <c r="M373" s="39">
        <f>L373/L377</f>
        <v>0.30523917995444189</v>
      </c>
      <c r="N373" s="29">
        <f>B373+D373+F373+H373+J373+L373</f>
        <v>765</v>
      </c>
      <c r="O373" s="39">
        <f>N373/N377</f>
        <v>0.29344073647871116</v>
      </c>
    </row>
    <row r="374" spans="1:19" x14ac:dyDescent="0.2">
      <c r="A374" s="26" t="s">
        <v>27</v>
      </c>
      <c r="B374" s="38">
        <v>249</v>
      </c>
      <c r="C374" s="39">
        <f>B374/B377</f>
        <v>0.6</v>
      </c>
      <c r="D374" s="38">
        <v>14</v>
      </c>
      <c r="E374" s="39">
        <f>D374/D377</f>
        <v>0.45161290322580644</v>
      </c>
      <c r="F374" s="38">
        <v>82</v>
      </c>
      <c r="G374" s="39">
        <f>F374/F377</f>
        <v>0.58992805755395683</v>
      </c>
      <c r="H374" s="38">
        <v>435</v>
      </c>
      <c r="I374" s="39">
        <f>H374/H377</f>
        <v>0.5492424242424242</v>
      </c>
      <c r="J374" s="38">
        <v>209</v>
      </c>
      <c r="K374" s="39">
        <f>J374/J377</f>
        <v>0.59375</v>
      </c>
      <c r="L374" s="38">
        <v>483</v>
      </c>
      <c r="M374" s="39">
        <f>L374/L377</f>
        <v>0.55011389521640086</v>
      </c>
      <c r="N374" s="29">
        <f>B374+D374+F374+H374+J374+L374</f>
        <v>1472</v>
      </c>
      <c r="O374" s="39">
        <f>N374/N377</f>
        <v>0.56463367855772917</v>
      </c>
    </row>
    <row r="375" spans="1:19" x14ac:dyDescent="0.2">
      <c r="A375" s="26" t="s">
        <v>26</v>
      </c>
      <c r="B375" s="38">
        <v>45</v>
      </c>
      <c r="C375" s="39">
        <f>B375/B377</f>
        <v>0.10843373493975904</v>
      </c>
      <c r="D375" s="38">
        <v>6</v>
      </c>
      <c r="E375" s="39">
        <f>D375/D377</f>
        <v>0.19354838709677419</v>
      </c>
      <c r="F375" s="38">
        <v>13</v>
      </c>
      <c r="G375" s="39">
        <f>F375/F377</f>
        <v>9.3525179856115109E-2</v>
      </c>
      <c r="H375" s="38">
        <v>87</v>
      </c>
      <c r="I375" s="39">
        <f>H375/H377</f>
        <v>0.10984848484848485</v>
      </c>
      <c r="J375" s="38">
        <v>34</v>
      </c>
      <c r="K375" s="39">
        <f>J375/J377</f>
        <v>9.6590909090909088E-2</v>
      </c>
      <c r="L375" s="38">
        <v>96</v>
      </c>
      <c r="M375" s="39">
        <f>L375/L377</f>
        <v>0.10933940774487472</v>
      </c>
      <c r="N375" s="29">
        <f>B375+D375+F375+H375+J375+L375</f>
        <v>281</v>
      </c>
      <c r="O375" s="39">
        <f>N375/N377</f>
        <v>0.1077867280398926</v>
      </c>
    </row>
    <row r="376" spans="1:19" ht="12.75" x14ac:dyDescent="0.2">
      <c r="A376" s="26" t="s">
        <v>25</v>
      </c>
      <c r="B376" s="38">
        <v>12</v>
      </c>
      <c r="C376" s="39">
        <f>B376/B377</f>
        <v>2.891566265060241E-2</v>
      </c>
      <c r="D376" s="117"/>
      <c r="E376" s="39">
        <f>D376/D377</f>
        <v>0</v>
      </c>
      <c r="F376" s="38">
        <v>6</v>
      </c>
      <c r="G376" s="39">
        <f>F376/F377</f>
        <v>4.3165467625899283E-2</v>
      </c>
      <c r="H376" s="38">
        <v>28</v>
      </c>
      <c r="I376" s="39">
        <f>H376/H377</f>
        <v>3.5353535353535352E-2</v>
      </c>
      <c r="J376" s="38">
        <v>12</v>
      </c>
      <c r="K376" s="39">
        <f>J376/J377</f>
        <v>3.4090909090909088E-2</v>
      </c>
      <c r="L376" s="38">
        <v>31</v>
      </c>
      <c r="M376" s="39">
        <f>L376/L377</f>
        <v>3.530751708428246E-2</v>
      </c>
      <c r="N376" s="29">
        <f>B376+D376+F376+H376+J376+L376</f>
        <v>89</v>
      </c>
      <c r="O376" s="39">
        <f>N376/N377</f>
        <v>3.4138856923667048E-2</v>
      </c>
    </row>
    <row r="377" spans="1:19" s="43" customFormat="1" x14ac:dyDescent="0.2">
      <c r="A377" s="36" t="s">
        <v>1</v>
      </c>
      <c r="B377" s="30">
        <f t="shared" ref="B377:L377" si="107">SUM(B373:B376)</f>
        <v>415</v>
      </c>
      <c r="C377" s="41">
        <f>SUM(C373:C376)</f>
        <v>1</v>
      </c>
      <c r="D377" s="30">
        <f t="shared" si="107"/>
        <v>31</v>
      </c>
      <c r="E377" s="41">
        <f>SUM(E373:E376)</f>
        <v>1</v>
      </c>
      <c r="F377" s="30">
        <f t="shared" si="107"/>
        <v>139</v>
      </c>
      <c r="G377" s="41">
        <f>SUM(G373:G376)</f>
        <v>0.99999999999999989</v>
      </c>
      <c r="H377" s="30">
        <f t="shared" si="107"/>
        <v>792</v>
      </c>
      <c r="I377" s="41">
        <f>SUM(I373:I376)</f>
        <v>1</v>
      </c>
      <c r="J377" s="30">
        <f t="shared" si="107"/>
        <v>352</v>
      </c>
      <c r="K377" s="41">
        <f>SUM(K373:K376)</f>
        <v>1</v>
      </c>
      <c r="L377" s="30">
        <f t="shared" si="107"/>
        <v>878</v>
      </c>
      <c r="M377" s="41">
        <f>SUM(M373:M376)</f>
        <v>0.99999999999999989</v>
      </c>
      <c r="N377" s="30">
        <f>SUM(N371:N376)</f>
        <v>2607</v>
      </c>
      <c r="O377" s="41">
        <f>SUM(O371:O376)</f>
        <v>1</v>
      </c>
      <c r="P377" s="46"/>
      <c r="Q377" s="51"/>
      <c r="R377" s="51"/>
      <c r="S377" s="51"/>
    </row>
    <row r="378" spans="1:19" x14ac:dyDescent="0.2">
      <c r="A378" s="36" t="s">
        <v>115</v>
      </c>
      <c r="B378" s="25"/>
      <c r="C378" s="65">
        <f>SUM(C373:C374)</f>
        <v>0.86265060240963853</v>
      </c>
      <c r="D378" s="25"/>
      <c r="E378" s="65">
        <f>SUM(E373:E374)</f>
        <v>0.80645161290322576</v>
      </c>
      <c r="F378" s="25"/>
      <c r="G378" s="65">
        <f>SUM(G373:G374)</f>
        <v>0.86330935251798557</v>
      </c>
      <c r="H378" s="25"/>
      <c r="I378" s="65">
        <f>SUM(I373:I374)</f>
        <v>0.85479797979797978</v>
      </c>
      <c r="J378" s="25"/>
      <c r="K378" s="65">
        <f>SUM(K373:K374)</f>
        <v>0.86931818181818188</v>
      </c>
      <c r="L378" s="25"/>
      <c r="M378" s="65">
        <f>SUM(M373:M374)</f>
        <v>0.85535307517084269</v>
      </c>
      <c r="N378" s="30"/>
      <c r="O378" s="65">
        <f>SUM(O373:O374)</f>
        <v>0.85807441503644033</v>
      </c>
    </row>
    <row r="379" spans="1:19" x14ac:dyDescent="0.2">
      <c r="A379" s="19"/>
      <c r="B379" s="4"/>
      <c r="D379" s="1"/>
      <c r="H379" s="46"/>
    </row>
    <row r="380" spans="1:19" x14ac:dyDescent="0.2">
      <c r="A380" s="36" t="s">
        <v>89</v>
      </c>
      <c r="B380" s="151" t="s">
        <v>128</v>
      </c>
      <c r="C380" s="151"/>
      <c r="D380" s="151" t="s">
        <v>99</v>
      </c>
      <c r="E380" s="151"/>
      <c r="F380" s="150" t="s">
        <v>176</v>
      </c>
      <c r="G380" s="150"/>
      <c r="H380" s="151" t="s">
        <v>101</v>
      </c>
      <c r="I380" s="151"/>
      <c r="J380" s="151" t="s">
        <v>100</v>
      </c>
      <c r="K380" s="151"/>
      <c r="L380" s="151" t="s">
        <v>126</v>
      </c>
      <c r="M380" s="151"/>
      <c r="N380" s="148" t="s">
        <v>1</v>
      </c>
      <c r="O380" s="148"/>
    </row>
    <row r="381" spans="1:19" x14ac:dyDescent="0.2">
      <c r="A381" s="26" t="s">
        <v>28</v>
      </c>
      <c r="B381" s="38">
        <v>90</v>
      </c>
      <c r="C381" s="39">
        <f>B381/B385</f>
        <v>0.29220779220779219</v>
      </c>
      <c r="D381" s="38">
        <v>5</v>
      </c>
      <c r="E381" s="39">
        <f>D381/D385</f>
        <v>0.22727272727272727</v>
      </c>
      <c r="F381" s="38">
        <v>34</v>
      </c>
      <c r="G381" s="39">
        <f>F381/F385</f>
        <v>0.30088495575221241</v>
      </c>
      <c r="H381" s="38">
        <v>203</v>
      </c>
      <c r="I381" s="39">
        <f>H381/H385</f>
        <v>0.31570762052877138</v>
      </c>
      <c r="J381" s="38">
        <v>81</v>
      </c>
      <c r="K381" s="39">
        <f>J381/J385</f>
        <v>0.31153846153846154</v>
      </c>
      <c r="L381" s="38">
        <v>206</v>
      </c>
      <c r="M381" s="39">
        <f>L381/L385</f>
        <v>0.32907348242811502</v>
      </c>
      <c r="N381" s="29">
        <f>B381+D381+F381+H381+J381+L381</f>
        <v>619</v>
      </c>
      <c r="O381" s="39">
        <f>N381/N385</f>
        <v>0.31389452332657203</v>
      </c>
    </row>
    <row r="382" spans="1:19" x14ac:dyDescent="0.2">
      <c r="A382" s="26" t="s">
        <v>27</v>
      </c>
      <c r="B382" s="38">
        <v>204</v>
      </c>
      <c r="C382" s="39">
        <f>B382/B385</f>
        <v>0.66233766233766234</v>
      </c>
      <c r="D382" s="38">
        <v>14</v>
      </c>
      <c r="E382" s="39">
        <f>D382/D385</f>
        <v>0.63636363636363635</v>
      </c>
      <c r="F382" s="38">
        <v>72</v>
      </c>
      <c r="G382" s="39">
        <f>F382/F385</f>
        <v>0.63716814159292035</v>
      </c>
      <c r="H382" s="38">
        <v>399</v>
      </c>
      <c r="I382" s="39">
        <f>H382/H385</f>
        <v>0.62052877138413687</v>
      </c>
      <c r="J382" s="38">
        <v>155</v>
      </c>
      <c r="K382" s="39">
        <f>J382/J385</f>
        <v>0.59615384615384615</v>
      </c>
      <c r="L382" s="38">
        <v>390</v>
      </c>
      <c r="M382" s="39">
        <f>L382/L385</f>
        <v>0.6230031948881789</v>
      </c>
      <c r="N382" s="29">
        <f>B382+D382+F382+H382+J382+L382</f>
        <v>1234</v>
      </c>
      <c r="O382" s="39">
        <f>N382/N385</f>
        <v>0.62576064908722107</v>
      </c>
    </row>
    <row r="383" spans="1:19" x14ac:dyDescent="0.2">
      <c r="A383" s="26" t="s">
        <v>26</v>
      </c>
      <c r="B383" s="38">
        <v>10</v>
      </c>
      <c r="C383" s="39">
        <f>B383/B385</f>
        <v>3.2467532467532464E-2</v>
      </c>
      <c r="D383" s="38">
        <v>3</v>
      </c>
      <c r="E383" s="39">
        <f>D383/D385</f>
        <v>0.13636363636363635</v>
      </c>
      <c r="F383" s="38">
        <v>4</v>
      </c>
      <c r="G383" s="39">
        <f>F383/F385</f>
        <v>3.5398230088495575E-2</v>
      </c>
      <c r="H383" s="38">
        <v>28</v>
      </c>
      <c r="I383" s="39">
        <f>H383/H385</f>
        <v>4.3545878693623641E-2</v>
      </c>
      <c r="J383" s="38">
        <v>20</v>
      </c>
      <c r="K383" s="39">
        <f>J383/J385</f>
        <v>7.6923076923076927E-2</v>
      </c>
      <c r="L383" s="38">
        <v>20</v>
      </c>
      <c r="M383" s="39">
        <f>L383/L385</f>
        <v>3.1948881789137379E-2</v>
      </c>
      <c r="N383" s="29">
        <f>B383+D383+F383+H383+J383+L383</f>
        <v>85</v>
      </c>
      <c r="O383" s="39">
        <f>N383/N385</f>
        <v>4.3103448275862072E-2</v>
      </c>
    </row>
    <row r="384" spans="1:19" ht="12.75" x14ac:dyDescent="0.2">
      <c r="A384" s="26" t="s">
        <v>25</v>
      </c>
      <c r="B384" s="38">
        <v>4</v>
      </c>
      <c r="C384" s="39">
        <f>B384/B385</f>
        <v>1.2987012987012988E-2</v>
      </c>
      <c r="D384" s="117"/>
      <c r="E384" s="39">
        <f>D384/D385</f>
        <v>0</v>
      </c>
      <c r="F384" s="38">
        <v>3</v>
      </c>
      <c r="G384" s="39">
        <f>F384/F385</f>
        <v>2.6548672566371681E-2</v>
      </c>
      <c r="H384" s="38">
        <v>13</v>
      </c>
      <c r="I384" s="39">
        <f>H384/H385</f>
        <v>2.0217729393468119E-2</v>
      </c>
      <c r="J384" s="38">
        <v>4</v>
      </c>
      <c r="K384" s="39">
        <f>J384/J385</f>
        <v>1.5384615384615385E-2</v>
      </c>
      <c r="L384" s="38">
        <v>10</v>
      </c>
      <c r="M384" s="39">
        <f>L384/L385</f>
        <v>1.5974440894568689E-2</v>
      </c>
      <c r="N384" s="29">
        <f>B384+D384+F384+H384+J384+L384</f>
        <v>34</v>
      </c>
      <c r="O384" s="39">
        <f>N384/N385</f>
        <v>1.7241379310344827E-2</v>
      </c>
    </row>
    <row r="385" spans="1:19" s="43" customFormat="1" x14ac:dyDescent="0.2">
      <c r="A385" s="36" t="s">
        <v>1</v>
      </c>
      <c r="B385" s="30">
        <f t="shared" ref="B385:L385" si="108">SUM(B381:B384)</f>
        <v>308</v>
      </c>
      <c r="C385" s="41">
        <f>SUM(C381:C384)</f>
        <v>1</v>
      </c>
      <c r="D385" s="30">
        <f t="shared" si="108"/>
        <v>22</v>
      </c>
      <c r="E385" s="41">
        <f>SUM(E381:E384)</f>
        <v>1</v>
      </c>
      <c r="F385" s="30">
        <f t="shared" si="108"/>
        <v>113</v>
      </c>
      <c r="G385" s="41">
        <f>SUM(G381:G384)</f>
        <v>1</v>
      </c>
      <c r="H385" s="30">
        <f t="shared" si="108"/>
        <v>643</v>
      </c>
      <c r="I385" s="41">
        <f>SUM(I381:I384)</f>
        <v>0.99999999999999989</v>
      </c>
      <c r="J385" s="30">
        <f t="shared" si="108"/>
        <v>260</v>
      </c>
      <c r="K385" s="41">
        <f>SUM(K381:K384)</f>
        <v>1</v>
      </c>
      <c r="L385" s="30">
        <f t="shared" si="108"/>
        <v>626</v>
      </c>
      <c r="M385" s="41">
        <f>SUM(M381:M384)</f>
        <v>0.99999999999999989</v>
      </c>
      <c r="N385" s="30">
        <f>SUM(N379:N384)</f>
        <v>1972</v>
      </c>
      <c r="O385" s="41">
        <f>SUM(O379:O384)</f>
        <v>1</v>
      </c>
      <c r="P385" s="46"/>
      <c r="Q385" s="51"/>
      <c r="R385" s="51"/>
      <c r="S385" s="51"/>
    </row>
    <row r="386" spans="1:19" x14ac:dyDescent="0.2">
      <c r="A386" s="36" t="s">
        <v>115</v>
      </c>
      <c r="B386" s="25"/>
      <c r="C386" s="65">
        <f>SUM(C381:C382)</f>
        <v>0.95454545454545459</v>
      </c>
      <c r="D386" s="25"/>
      <c r="E386" s="65">
        <f>SUM(E381:E382)</f>
        <v>0.86363636363636365</v>
      </c>
      <c r="F386" s="25"/>
      <c r="G386" s="65">
        <f>SUM(G381:G382)</f>
        <v>0.93805309734513276</v>
      </c>
      <c r="H386" s="25"/>
      <c r="I386" s="65">
        <f>SUM(I381:I382)</f>
        <v>0.93623639191290819</v>
      </c>
      <c r="J386" s="25"/>
      <c r="K386" s="65">
        <f>SUM(K381:K382)</f>
        <v>0.90769230769230769</v>
      </c>
      <c r="L386" s="25"/>
      <c r="M386" s="65">
        <f>SUM(M381:M382)</f>
        <v>0.95207667731629386</v>
      </c>
      <c r="N386" s="30"/>
      <c r="O386" s="65">
        <f>SUM(O381:O382)</f>
        <v>0.93965517241379315</v>
      </c>
    </row>
    <row r="387" spans="1:19" x14ac:dyDescent="0.2">
      <c r="A387" s="19"/>
      <c r="B387" s="4"/>
      <c r="D387" s="1"/>
      <c r="H387" s="46"/>
    </row>
    <row r="388" spans="1:19" x14ac:dyDescent="0.2">
      <c r="A388" s="36" t="s">
        <v>90</v>
      </c>
      <c r="B388" s="151" t="s">
        <v>128</v>
      </c>
      <c r="C388" s="151"/>
      <c r="D388" s="151" t="s">
        <v>99</v>
      </c>
      <c r="E388" s="151"/>
      <c r="F388" s="150" t="s">
        <v>176</v>
      </c>
      <c r="G388" s="150"/>
      <c r="H388" s="151" t="s">
        <v>101</v>
      </c>
      <c r="I388" s="151"/>
      <c r="J388" s="151" t="s">
        <v>100</v>
      </c>
      <c r="K388" s="151"/>
      <c r="L388" s="151" t="s">
        <v>126</v>
      </c>
      <c r="M388" s="151"/>
      <c r="N388" s="148" t="s">
        <v>1</v>
      </c>
      <c r="O388" s="148"/>
    </row>
    <row r="389" spans="1:19" x14ac:dyDescent="0.2">
      <c r="A389" s="26" t="s">
        <v>28</v>
      </c>
      <c r="B389" s="38">
        <v>65</v>
      </c>
      <c r="C389" s="39">
        <f>B389/B393</f>
        <v>0.27542372881355931</v>
      </c>
      <c r="D389" s="38">
        <v>3</v>
      </c>
      <c r="E389" s="39">
        <f>D389/D393</f>
        <v>0.3</v>
      </c>
      <c r="F389" s="38">
        <v>15</v>
      </c>
      <c r="G389" s="39">
        <f>F389/F393</f>
        <v>0.26785714285714285</v>
      </c>
      <c r="H389" s="38">
        <v>146</v>
      </c>
      <c r="I389" s="39">
        <f>H389/H393</f>
        <v>0.25749559082892415</v>
      </c>
      <c r="J389" s="38">
        <v>37</v>
      </c>
      <c r="K389" s="39">
        <f>J389/J393</f>
        <v>0.30327868852459017</v>
      </c>
      <c r="L389" s="38">
        <v>152</v>
      </c>
      <c r="M389" s="39">
        <f>L389/L393</f>
        <v>0.28252788104089221</v>
      </c>
      <c r="N389" s="29">
        <f>B389+D389+F389+H389+J389+L389</f>
        <v>418</v>
      </c>
      <c r="O389" s="39">
        <f>N389/N393</f>
        <v>0.2733812949640288</v>
      </c>
    </row>
    <row r="390" spans="1:19" x14ac:dyDescent="0.2">
      <c r="A390" s="26" t="s">
        <v>27</v>
      </c>
      <c r="B390" s="38">
        <v>118</v>
      </c>
      <c r="C390" s="39">
        <f>B390/B393</f>
        <v>0.5</v>
      </c>
      <c r="D390" s="38">
        <v>3</v>
      </c>
      <c r="E390" s="39">
        <f>D390/D393</f>
        <v>0.3</v>
      </c>
      <c r="F390" s="38">
        <v>31</v>
      </c>
      <c r="G390" s="39">
        <f>F390/F393</f>
        <v>0.5535714285714286</v>
      </c>
      <c r="H390" s="38">
        <v>316</v>
      </c>
      <c r="I390" s="39">
        <f>H390/H393</f>
        <v>0.55731922398589062</v>
      </c>
      <c r="J390" s="38">
        <v>66</v>
      </c>
      <c r="K390" s="39">
        <f>J390/J393</f>
        <v>0.54098360655737709</v>
      </c>
      <c r="L390" s="38">
        <v>281</v>
      </c>
      <c r="M390" s="39">
        <f>L390/L393</f>
        <v>0.52230483271375461</v>
      </c>
      <c r="N390" s="29">
        <f>B390+D390+F390+H390+J390+L390</f>
        <v>815</v>
      </c>
      <c r="O390" s="39">
        <f>N390/N393</f>
        <v>0.53302812295618052</v>
      </c>
    </row>
    <row r="391" spans="1:19" x14ac:dyDescent="0.2">
      <c r="A391" s="26" t="s">
        <v>26</v>
      </c>
      <c r="B391" s="38">
        <v>34</v>
      </c>
      <c r="C391" s="39">
        <f>B391/B393</f>
        <v>0.1440677966101695</v>
      </c>
      <c r="D391" s="38">
        <v>3</v>
      </c>
      <c r="E391" s="39">
        <f>D391/D393</f>
        <v>0.3</v>
      </c>
      <c r="F391" s="38">
        <v>7</v>
      </c>
      <c r="G391" s="39">
        <f>F391/F393</f>
        <v>0.125</v>
      </c>
      <c r="H391" s="38">
        <v>76</v>
      </c>
      <c r="I391" s="39">
        <f>H391/H393</f>
        <v>0.13403880070546736</v>
      </c>
      <c r="J391" s="38">
        <v>17</v>
      </c>
      <c r="K391" s="39">
        <f>J391/J393</f>
        <v>0.13934426229508196</v>
      </c>
      <c r="L391" s="38">
        <v>74</v>
      </c>
      <c r="M391" s="39">
        <f>L391/L393</f>
        <v>0.13754646840148699</v>
      </c>
      <c r="N391" s="29">
        <f>B391+D391+F391+H391+J391+L391</f>
        <v>211</v>
      </c>
      <c r="O391" s="39">
        <f>N391/N393</f>
        <v>0.1379986919555265</v>
      </c>
    </row>
    <row r="392" spans="1:19" x14ac:dyDescent="0.2">
      <c r="A392" s="26" t="s">
        <v>25</v>
      </c>
      <c r="B392" s="38">
        <v>19</v>
      </c>
      <c r="C392" s="39">
        <f>B392/B393</f>
        <v>8.050847457627118E-2</v>
      </c>
      <c r="D392" s="38">
        <v>1</v>
      </c>
      <c r="E392" s="39">
        <f>D392/D393</f>
        <v>0.1</v>
      </c>
      <c r="F392" s="38">
        <v>3</v>
      </c>
      <c r="G392" s="39">
        <f>F392/F393</f>
        <v>5.3571428571428568E-2</v>
      </c>
      <c r="H392" s="38">
        <v>29</v>
      </c>
      <c r="I392" s="39">
        <f>H392/H393</f>
        <v>5.114638447971781E-2</v>
      </c>
      <c r="J392" s="38">
        <v>2</v>
      </c>
      <c r="K392" s="39">
        <f>J392/J393</f>
        <v>1.6393442622950821E-2</v>
      </c>
      <c r="L392" s="38">
        <v>31</v>
      </c>
      <c r="M392" s="39">
        <f>L392/L393</f>
        <v>5.7620817843866169E-2</v>
      </c>
      <c r="N392" s="29">
        <f>B392+D392+F392+H392+J392+L392</f>
        <v>85</v>
      </c>
      <c r="O392" s="39">
        <f>N392/N393</f>
        <v>5.5591890124264222E-2</v>
      </c>
    </row>
    <row r="393" spans="1:19" s="43" customFormat="1" x14ac:dyDescent="0.2">
      <c r="A393" s="36" t="s">
        <v>1</v>
      </c>
      <c r="B393" s="30">
        <f t="shared" ref="B393:L393" si="109">SUM(B389:B392)</f>
        <v>236</v>
      </c>
      <c r="C393" s="41">
        <f>SUM(C389:C392)</f>
        <v>1</v>
      </c>
      <c r="D393" s="30">
        <f t="shared" si="109"/>
        <v>10</v>
      </c>
      <c r="E393" s="41">
        <f>SUM(E389:E392)</f>
        <v>0.99999999999999989</v>
      </c>
      <c r="F393" s="30">
        <f t="shared" si="109"/>
        <v>56</v>
      </c>
      <c r="G393" s="41">
        <f>SUM(G389:G392)</f>
        <v>1</v>
      </c>
      <c r="H393" s="30">
        <f t="shared" si="109"/>
        <v>567</v>
      </c>
      <c r="I393" s="41">
        <f>SUM(I389:I392)</f>
        <v>1</v>
      </c>
      <c r="J393" s="30">
        <f t="shared" si="109"/>
        <v>122</v>
      </c>
      <c r="K393" s="41">
        <f>SUM(K389:K392)</f>
        <v>1</v>
      </c>
      <c r="L393" s="30">
        <f t="shared" si="109"/>
        <v>538</v>
      </c>
      <c r="M393" s="41">
        <f>SUM(M389:M392)</f>
        <v>1</v>
      </c>
      <c r="N393" s="30">
        <f>SUM(N387:N392)</f>
        <v>1529</v>
      </c>
      <c r="O393" s="41">
        <f>SUM(O387:O392)</f>
        <v>1</v>
      </c>
      <c r="P393" s="46"/>
      <c r="Q393" s="51"/>
      <c r="R393" s="51"/>
      <c r="S393" s="51"/>
    </row>
    <row r="394" spans="1:19" x14ac:dyDescent="0.2">
      <c r="A394" s="36" t="s">
        <v>115</v>
      </c>
      <c r="B394" s="25"/>
      <c r="C394" s="65">
        <f>SUM(C389:C390)</f>
        <v>0.77542372881355925</v>
      </c>
      <c r="D394" s="25"/>
      <c r="E394" s="65">
        <f>SUM(E389:E390)</f>
        <v>0.6</v>
      </c>
      <c r="F394" s="25"/>
      <c r="G394" s="65">
        <f>SUM(G389:G390)</f>
        <v>0.8214285714285714</v>
      </c>
      <c r="H394" s="25"/>
      <c r="I394" s="65">
        <f>SUM(I389:I390)</f>
        <v>0.81481481481481477</v>
      </c>
      <c r="J394" s="25"/>
      <c r="K394" s="65">
        <f>SUM(K389:K390)</f>
        <v>0.84426229508196726</v>
      </c>
      <c r="L394" s="25"/>
      <c r="M394" s="65">
        <f>SUM(M389:M390)</f>
        <v>0.80483271375464682</v>
      </c>
      <c r="N394" s="30"/>
      <c r="O394" s="65">
        <f>SUM(O389:O390)</f>
        <v>0.80640941792020926</v>
      </c>
    </row>
    <row r="395" spans="1:19" x14ac:dyDescent="0.2">
      <c r="A395" s="19"/>
      <c r="B395" s="4"/>
      <c r="D395" s="1"/>
      <c r="H395" s="46"/>
    </row>
    <row r="396" spans="1:19" ht="24" x14ac:dyDescent="0.2">
      <c r="A396" s="36" t="s">
        <v>91</v>
      </c>
      <c r="B396" s="151" t="s">
        <v>128</v>
      </c>
      <c r="C396" s="151"/>
      <c r="D396" s="151" t="s">
        <v>99</v>
      </c>
      <c r="E396" s="151"/>
      <c r="F396" s="150" t="s">
        <v>176</v>
      </c>
      <c r="G396" s="150"/>
      <c r="H396" s="151" t="s">
        <v>101</v>
      </c>
      <c r="I396" s="151"/>
      <c r="J396" s="151" t="s">
        <v>100</v>
      </c>
      <c r="K396" s="151"/>
      <c r="L396" s="151" t="s">
        <v>126</v>
      </c>
      <c r="M396" s="151"/>
      <c r="N396" s="148" t="s">
        <v>1</v>
      </c>
      <c r="O396" s="148"/>
    </row>
    <row r="397" spans="1:19" x14ac:dyDescent="0.2">
      <c r="A397" s="26" t="s">
        <v>28</v>
      </c>
      <c r="B397" s="38">
        <v>94</v>
      </c>
      <c r="C397" s="39">
        <f>B397/B401</f>
        <v>0.24607329842931938</v>
      </c>
      <c r="D397" s="38">
        <v>6</v>
      </c>
      <c r="E397" s="39">
        <f>D397/D401</f>
        <v>0.23076923076923078</v>
      </c>
      <c r="F397" s="38">
        <v>29</v>
      </c>
      <c r="G397" s="39">
        <f>F397/F401</f>
        <v>0.22480620155038761</v>
      </c>
      <c r="H397" s="38">
        <v>195</v>
      </c>
      <c r="I397" s="39">
        <f>H397/H401</f>
        <v>0.26034712950600802</v>
      </c>
      <c r="J397" s="38">
        <v>77</v>
      </c>
      <c r="K397" s="39">
        <f>J397/J401</f>
        <v>0.23404255319148937</v>
      </c>
      <c r="L397" s="38">
        <v>206</v>
      </c>
      <c r="M397" s="39">
        <f>L397/L401</f>
        <v>0.26108998732572875</v>
      </c>
      <c r="N397" s="29">
        <f>B397+D397+F397+H397+J397+L397</f>
        <v>607</v>
      </c>
      <c r="O397" s="39">
        <f>N397/N401</f>
        <v>0.25249584026622296</v>
      </c>
    </row>
    <row r="398" spans="1:19" x14ac:dyDescent="0.2">
      <c r="A398" s="26" t="s">
        <v>27</v>
      </c>
      <c r="B398" s="38">
        <v>269</v>
      </c>
      <c r="C398" s="39">
        <f>B398/B401</f>
        <v>0.70418848167539272</v>
      </c>
      <c r="D398" s="38">
        <v>17</v>
      </c>
      <c r="E398" s="39">
        <f>D398/D401</f>
        <v>0.65384615384615385</v>
      </c>
      <c r="F398" s="38">
        <v>86</v>
      </c>
      <c r="G398" s="39">
        <f>F398/F401</f>
        <v>0.66666666666666663</v>
      </c>
      <c r="H398" s="38">
        <v>489</v>
      </c>
      <c r="I398" s="39">
        <f>H398/H401</f>
        <v>0.65287049399198926</v>
      </c>
      <c r="J398" s="38">
        <v>219</v>
      </c>
      <c r="K398" s="39">
        <f>J398/J401</f>
        <v>0.66565349544072949</v>
      </c>
      <c r="L398" s="38">
        <v>515</v>
      </c>
      <c r="M398" s="39">
        <f>L398/L401</f>
        <v>0.65272496831432192</v>
      </c>
      <c r="N398" s="29">
        <f>B398+D398+F398+H398+J398+L398</f>
        <v>1595</v>
      </c>
      <c r="O398" s="39">
        <f>N398/N401</f>
        <v>0.66347753743760396</v>
      </c>
    </row>
    <row r="399" spans="1:19" x14ac:dyDescent="0.2">
      <c r="A399" s="26" t="s">
        <v>26</v>
      </c>
      <c r="B399" s="38">
        <v>17</v>
      </c>
      <c r="C399" s="39">
        <f>B399/B401</f>
        <v>4.4502617801047119E-2</v>
      </c>
      <c r="D399" s="38">
        <v>3</v>
      </c>
      <c r="E399" s="39">
        <f>D399/D401</f>
        <v>0.11538461538461539</v>
      </c>
      <c r="F399" s="38">
        <v>12</v>
      </c>
      <c r="G399" s="39">
        <f>F399/F401</f>
        <v>9.3023255813953487E-2</v>
      </c>
      <c r="H399" s="38">
        <v>54</v>
      </c>
      <c r="I399" s="39">
        <f>H399/H401</f>
        <v>7.209612817089453E-2</v>
      </c>
      <c r="J399" s="38">
        <v>27</v>
      </c>
      <c r="K399" s="39">
        <f>J399/J401</f>
        <v>8.2066869300911852E-2</v>
      </c>
      <c r="L399" s="38">
        <v>56</v>
      </c>
      <c r="M399" s="39">
        <f>L399/L401</f>
        <v>7.0975918884664133E-2</v>
      </c>
      <c r="N399" s="29">
        <f>B399+D399+F399+H399+J399+L399</f>
        <v>169</v>
      </c>
      <c r="O399" s="39">
        <f>N399/N401</f>
        <v>7.0299500831946748E-2</v>
      </c>
    </row>
    <row r="400" spans="1:19" ht="12.75" x14ac:dyDescent="0.2">
      <c r="A400" s="26" t="s">
        <v>25</v>
      </c>
      <c r="B400" s="38">
        <v>2</v>
      </c>
      <c r="C400" s="39">
        <f>B400/B401</f>
        <v>5.235602094240838E-3</v>
      </c>
      <c r="D400" s="117"/>
      <c r="E400" s="39">
        <f>D400/D401</f>
        <v>0</v>
      </c>
      <c r="F400" s="38">
        <v>2</v>
      </c>
      <c r="G400" s="39">
        <f>F400/F401</f>
        <v>1.5503875968992248E-2</v>
      </c>
      <c r="H400" s="38">
        <v>11</v>
      </c>
      <c r="I400" s="39">
        <f>H400/H401</f>
        <v>1.4686248331108143E-2</v>
      </c>
      <c r="J400" s="38">
        <v>6</v>
      </c>
      <c r="K400" s="39">
        <f>J400/J401</f>
        <v>1.82370820668693E-2</v>
      </c>
      <c r="L400" s="38">
        <v>12</v>
      </c>
      <c r="M400" s="39">
        <f>L400/L401</f>
        <v>1.5209125475285171E-2</v>
      </c>
      <c r="N400" s="29">
        <f>B400+D400+F400+H400+J400+L400</f>
        <v>33</v>
      </c>
      <c r="O400" s="39">
        <f>N400/N401</f>
        <v>1.3727121464226289E-2</v>
      </c>
    </row>
    <row r="401" spans="1:19" s="43" customFormat="1" x14ac:dyDescent="0.2">
      <c r="A401" s="36" t="s">
        <v>1</v>
      </c>
      <c r="B401" s="30">
        <f t="shared" ref="B401:J401" si="110">SUM(B397:B400)</f>
        <v>382</v>
      </c>
      <c r="C401" s="41">
        <f>SUM(C397:C400)</f>
        <v>1</v>
      </c>
      <c r="D401" s="30">
        <f t="shared" si="110"/>
        <v>26</v>
      </c>
      <c r="E401" s="41">
        <f>SUM(E397:E400)</f>
        <v>1</v>
      </c>
      <c r="F401" s="30">
        <f t="shared" si="110"/>
        <v>129</v>
      </c>
      <c r="G401" s="41">
        <f>SUM(G397:G400)</f>
        <v>1</v>
      </c>
      <c r="H401" s="30">
        <f t="shared" si="110"/>
        <v>749</v>
      </c>
      <c r="I401" s="41">
        <f>SUM(I397:I400)</f>
        <v>0.99999999999999989</v>
      </c>
      <c r="J401" s="30">
        <f t="shared" si="110"/>
        <v>329</v>
      </c>
      <c r="K401" s="41">
        <f>SUM(K397:K400)</f>
        <v>1</v>
      </c>
      <c r="L401" s="30">
        <f t="shared" ref="L401" si="111">SUM(L397:L400)</f>
        <v>789</v>
      </c>
      <c r="M401" s="41">
        <f>SUM(M397:M400)</f>
        <v>1</v>
      </c>
      <c r="N401" s="30">
        <f>SUM(N395:N400)</f>
        <v>2404</v>
      </c>
      <c r="O401" s="41">
        <f>SUM(O395:O400)</f>
        <v>1</v>
      </c>
      <c r="P401" s="46"/>
      <c r="Q401" s="51"/>
      <c r="R401" s="51"/>
      <c r="S401" s="51"/>
    </row>
    <row r="402" spans="1:19" x14ac:dyDescent="0.2">
      <c r="A402" s="36" t="s">
        <v>115</v>
      </c>
      <c r="B402" s="25"/>
      <c r="C402" s="65">
        <f>SUM(C397:C398)</f>
        <v>0.95026178010471207</v>
      </c>
      <c r="D402" s="25"/>
      <c r="E402" s="65">
        <f>SUM(E397:E398)</f>
        <v>0.88461538461538458</v>
      </c>
      <c r="F402" s="25"/>
      <c r="G402" s="65">
        <f>SUM(G397:G398)</f>
        <v>0.89147286821705429</v>
      </c>
      <c r="H402" s="25"/>
      <c r="I402" s="65">
        <f>SUM(I397:I398)</f>
        <v>0.91321762349799729</v>
      </c>
      <c r="J402" s="25"/>
      <c r="K402" s="65">
        <f>SUM(K397:K398)</f>
        <v>0.89969604863221886</v>
      </c>
      <c r="L402" s="25"/>
      <c r="M402" s="65">
        <f>SUM(M397:M398)</f>
        <v>0.91381495564005066</v>
      </c>
      <c r="N402" s="30"/>
      <c r="O402" s="65">
        <f>SUM(O397:O398)</f>
        <v>0.91597337770382692</v>
      </c>
    </row>
    <row r="403" spans="1:19" x14ac:dyDescent="0.2">
      <c r="H403" s="46"/>
    </row>
    <row r="406" spans="1:19" ht="15" x14ac:dyDescent="0.2">
      <c r="A406" s="121" t="s">
        <v>177</v>
      </c>
      <c r="B406" s="124"/>
      <c r="C406" s="124"/>
    </row>
    <row r="407" spans="1:19" ht="24" x14ac:dyDescent="0.2">
      <c r="A407" s="36" t="s">
        <v>29</v>
      </c>
      <c r="B407" s="151" t="s">
        <v>128</v>
      </c>
      <c r="C407" s="151"/>
      <c r="D407" s="151" t="s">
        <v>99</v>
      </c>
      <c r="E407" s="151"/>
      <c r="F407" s="150" t="s">
        <v>176</v>
      </c>
      <c r="G407" s="150"/>
      <c r="H407" s="151" t="s">
        <v>101</v>
      </c>
      <c r="I407" s="151"/>
      <c r="J407" s="151" t="s">
        <v>100</v>
      </c>
      <c r="K407" s="151"/>
      <c r="L407" s="151" t="s">
        <v>126</v>
      </c>
      <c r="M407" s="151"/>
      <c r="N407" s="148" t="s">
        <v>1</v>
      </c>
      <c r="O407" s="148"/>
      <c r="Q407" s="51"/>
      <c r="R407" s="51"/>
      <c r="S407" s="51"/>
    </row>
    <row r="408" spans="1:19" ht="24" x14ac:dyDescent="0.2">
      <c r="A408" s="26" t="s">
        <v>116</v>
      </c>
      <c r="B408" s="38">
        <v>28</v>
      </c>
      <c r="C408" s="39">
        <f>B408/$D$4</f>
        <v>5.7494866529774126E-2</v>
      </c>
      <c r="D408" s="38">
        <v>2</v>
      </c>
      <c r="E408" s="39">
        <f>D408/$D$5</f>
        <v>5.2631578947368418E-2</v>
      </c>
      <c r="F408" s="38">
        <v>12</v>
      </c>
      <c r="G408" s="39">
        <f>F408/$D$6</f>
        <v>5.9701492537313432E-2</v>
      </c>
      <c r="H408" s="38">
        <v>21</v>
      </c>
      <c r="I408" s="39">
        <f>H408/$D$7</f>
        <v>2.3359288097886542E-2</v>
      </c>
      <c r="J408" s="38">
        <v>32</v>
      </c>
      <c r="K408" s="39">
        <f>J408/$D$8</f>
        <v>7.5471698113207544E-2</v>
      </c>
      <c r="L408" s="38">
        <v>53</v>
      </c>
      <c r="M408" s="39">
        <f>L408/$D$9</f>
        <v>5.4136874361593465E-2</v>
      </c>
      <c r="N408" s="29">
        <f>B408+D408+F408+H408+J408+L408</f>
        <v>148</v>
      </c>
      <c r="O408" s="39">
        <f>N408/$D$10</f>
        <v>4.8877146631439897E-2</v>
      </c>
      <c r="Q408" s="46" t="s">
        <v>0</v>
      </c>
    </row>
    <row r="409" spans="1:19" ht="24" x14ac:dyDescent="0.2">
      <c r="A409" s="26" t="s">
        <v>30</v>
      </c>
      <c r="B409" s="38">
        <v>20</v>
      </c>
      <c r="C409" s="39">
        <f t="shared" ref="C409:C417" si="112">B409/$D$4</f>
        <v>4.1067761806981518E-2</v>
      </c>
      <c r="D409" s="38">
        <v>1</v>
      </c>
      <c r="E409" s="39">
        <f t="shared" ref="E409:E417" si="113">D409/$D$5</f>
        <v>2.6315789473684209E-2</v>
      </c>
      <c r="F409" s="38">
        <v>14</v>
      </c>
      <c r="G409" s="39">
        <f t="shared" ref="G409:G417" si="114">F409/$D$6</f>
        <v>6.965174129353234E-2</v>
      </c>
      <c r="H409" s="38">
        <v>38</v>
      </c>
      <c r="I409" s="39">
        <f t="shared" ref="I409:I417" si="115">H409/$D$7</f>
        <v>4.2269187986651836E-2</v>
      </c>
      <c r="J409" s="38">
        <v>18</v>
      </c>
      <c r="K409" s="39">
        <f t="shared" ref="K409:K417" si="116">J409/$D$8</f>
        <v>4.2452830188679243E-2</v>
      </c>
      <c r="L409" s="38">
        <v>27</v>
      </c>
      <c r="M409" s="39">
        <f t="shared" ref="M409:M417" si="117">L409/$D$9</f>
        <v>2.7579162410623085E-2</v>
      </c>
      <c r="N409" s="29">
        <f t="shared" ref="N409:N417" si="118">B409+D409+F409+H409+J409+L409</f>
        <v>118</v>
      </c>
      <c r="O409" s="39">
        <f t="shared" ref="O409:O417" si="119">N409/$D$10</f>
        <v>3.8969616908850729E-2</v>
      </c>
      <c r="Q409" s="51"/>
      <c r="R409" s="51"/>
      <c r="S409" s="51"/>
    </row>
    <row r="410" spans="1:19" ht="24" x14ac:dyDescent="0.2">
      <c r="A410" s="26" t="s">
        <v>31</v>
      </c>
      <c r="B410" s="38">
        <v>24</v>
      </c>
      <c r="C410" s="39">
        <f t="shared" si="112"/>
        <v>4.9281314168377825E-2</v>
      </c>
      <c r="D410" s="38">
        <v>1</v>
      </c>
      <c r="E410" s="39">
        <f t="shared" si="113"/>
        <v>2.6315789473684209E-2</v>
      </c>
      <c r="F410" s="38">
        <v>6</v>
      </c>
      <c r="G410" s="39">
        <f t="shared" si="114"/>
        <v>2.9850746268656716E-2</v>
      </c>
      <c r="H410" s="38">
        <v>22</v>
      </c>
      <c r="I410" s="39">
        <f t="shared" si="115"/>
        <v>2.4471635150166853E-2</v>
      </c>
      <c r="J410" s="38">
        <v>9</v>
      </c>
      <c r="K410" s="39">
        <f t="shared" si="116"/>
        <v>2.1226415094339621E-2</v>
      </c>
      <c r="L410" s="38">
        <v>38</v>
      </c>
      <c r="M410" s="39">
        <f t="shared" si="117"/>
        <v>3.8815117466802863E-2</v>
      </c>
      <c r="N410" s="29">
        <f t="shared" si="118"/>
        <v>100</v>
      </c>
      <c r="O410" s="39">
        <f t="shared" si="119"/>
        <v>3.3025099075297229E-2</v>
      </c>
      <c r="Q410" s="46" t="s">
        <v>0</v>
      </c>
    </row>
    <row r="411" spans="1:19" ht="24" x14ac:dyDescent="0.2">
      <c r="A411" s="26" t="s">
        <v>32</v>
      </c>
      <c r="B411" s="38">
        <v>36</v>
      </c>
      <c r="C411" s="39">
        <f t="shared" si="112"/>
        <v>7.3921971252566734E-2</v>
      </c>
      <c r="D411" s="38">
        <v>1</v>
      </c>
      <c r="E411" s="39">
        <f t="shared" si="113"/>
        <v>2.6315789473684209E-2</v>
      </c>
      <c r="F411" s="38">
        <v>18</v>
      </c>
      <c r="G411" s="39">
        <f t="shared" si="114"/>
        <v>8.9552238805970144E-2</v>
      </c>
      <c r="H411" s="38">
        <v>59</v>
      </c>
      <c r="I411" s="39">
        <f t="shared" si="115"/>
        <v>6.5628476084538381E-2</v>
      </c>
      <c r="J411" s="38">
        <v>29</v>
      </c>
      <c r="K411" s="39">
        <f t="shared" si="116"/>
        <v>6.8396226415094338E-2</v>
      </c>
      <c r="L411" s="38">
        <v>81</v>
      </c>
      <c r="M411" s="39">
        <f t="shared" si="117"/>
        <v>8.2737487231869258E-2</v>
      </c>
      <c r="N411" s="29">
        <f t="shared" si="118"/>
        <v>224</v>
      </c>
      <c r="O411" s="39">
        <f t="shared" si="119"/>
        <v>7.3976221928665792E-2</v>
      </c>
      <c r="Q411" s="51"/>
      <c r="R411" s="51"/>
      <c r="S411" s="51"/>
    </row>
    <row r="412" spans="1:19" x14ac:dyDescent="0.2">
      <c r="A412" s="26" t="s">
        <v>33</v>
      </c>
      <c r="B412" s="38">
        <v>60</v>
      </c>
      <c r="C412" s="39">
        <f t="shared" si="112"/>
        <v>0.12320328542094455</v>
      </c>
      <c r="D412" s="38"/>
      <c r="E412" s="39">
        <f t="shared" si="113"/>
        <v>0</v>
      </c>
      <c r="F412" s="38">
        <v>15</v>
      </c>
      <c r="G412" s="39">
        <f t="shared" si="114"/>
        <v>7.4626865671641784E-2</v>
      </c>
      <c r="H412" s="38">
        <v>122</v>
      </c>
      <c r="I412" s="39">
        <f t="shared" si="115"/>
        <v>0.13570634037819801</v>
      </c>
      <c r="J412" s="38">
        <v>37</v>
      </c>
      <c r="K412" s="39">
        <f t="shared" si="116"/>
        <v>8.7264150943396221E-2</v>
      </c>
      <c r="L412" s="38">
        <v>125</v>
      </c>
      <c r="M412" s="39">
        <f t="shared" si="117"/>
        <v>0.12768130745658834</v>
      </c>
      <c r="N412" s="29">
        <f t="shared" si="118"/>
        <v>359</v>
      </c>
      <c r="O412" s="39">
        <f t="shared" si="119"/>
        <v>0.11856010568031704</v>
      </c>
      <c r="Q412" s="46" t="s">
        <v>0</v>
      </c>
    </row>
    <row r="413" spans="1:19" ht="24" x14ac:dyDescent="0.2">
      <c r="A413" s="67" t="s">
        <v>35</v>
      </c>
      <c r="B413" s="38">
        <v>65</v>
      </c>
      <c r="C413" s="39">
        <f t="shared" si="112"/>
        <v>0.13347022587268995</v>
      </c>
      <c r="D413" s="38">
        <v>5</v>
      </c>
      <c r="E413" s="39">
        <f t="shared" si="113"/>
        <v>0.13157894736842105</v>
      </c>
      <c r="F413" s="38">
        <v>14</v>
      </c>
      <c r="G413" s="39">
        <f t="shared" si="114"/>
        <v>6.965174129353234E-2</v>
      </c>
      <c r="H413" s="38">
        <v>163</v>
      </c>
      <c r="I413" s="39">
        <f t="shared" si="115"/>
        <v>0.18131256952169078</v>
      </c>
      <c r="J413" s="38">
        <v>37</v>
      </c>
      <c r="K413" s="39">
        <f t="shared" si="116"/>
        <v>8.7264150943396221E-2</v>
      </c>
      <c r="L413" s="38">
        <v>152</v>
      </c>
      <c r="M413" s="39">
        <f t="shared" si="117"/>
        <v>0.15526046986721145</v>
      </c>
      <c r="N413" s="29">
        <f t="shared" si="118"/>
        <v>436</v>
      </c>
      <c r="O413" s="39">
        <f t="shared" si="119"/>
        <v>0.14398943196829592</v>
      </c>
      <c r="Q413" s="51"/>
      <c r="R413" s="51"/>
      <c r="S413" s="51"/>
    </row>
    <row r="414" spans="1:19" ht="24" x14ac:dyDescent="0.2">
      <c r="A414" s="67" t="s">
        <v>36</v>
      </c>
      <c r="B414" s="38">
        <v>160</v>
      </c>
      <c r="C414" s="39">
        <f t="shared" si="112"/>
        <v>0.32854209445585214</v>
      </c>
      <c r="D414" s="38">
        <v>13</v>
      </c>
      <c r="E414" s="39">
        <f t="shared" si="113"/>
        <v>0.34210526315789475</v>
      </c>
      <c r="F414" s="38">
        <v>62</v>
      </c>
      <c r="G414" s="39">
        <f t="shared" si="114"/>
        <v>0.30845771144278605</v>
      </c>
      <c r="H414" s="38">
        <v>286</v>
      </c>
      <c r="I414" s="39">
        <f t="shared" si="115"/>
        <v>0.31813125695216909</v>
      </c>
      <c r="J414" s="38">
        <v>131</v>
      </c>
      <c r="K414" s="39">
        <f t="shared" si="116"/>
        <v>0.30896226415094341</v>
      </c>
      <c r="L414" s="38">
        <v>306</v>
      </c>
      <c r="M414" s="39">
        <f t="shared" si="117"/>
        <v>0.31256384065372828</v>
      </c>
      <c r="N414" s="29">
        <f t="shared" si="118"/>
        <v>958</v>
      </c>
      <c r="O414" s="39">
        <f t="shared" si="119"/>
        <v>0.31638044914134744</v>
      </c>
      <c r="Q414" s="46" t="s">
        <v>0</v>
      </c>
    </row>
    <row r="415" spans="1:19" ht="24" x14ac:dyDescent="0.2">
      <c r="A415" s="67" t="s">
        <v>37</v>
      </c>
      <c r="B415" s="38">
        <v>13</v>
      </c>
      <c r="C415" s="39">
        <f t="shared" si="112"/>
        <v>2.6694045174537988E-2</v>
      </c>
      <c r="D415" s="38">
        <v>2</v>
      </c>
      <c r="E415" s="39">
        <f t="shared" si="113"/>
        <v>5.2631578947368418E-2</v>
      </c>
      <c r="F415" s="38">
        <v>3</v>
      </c>
      <c r="G415" s="39">
        <f t="shared" si="114"/>
        <v>1.4925373134328358E-2</v>
      </c>
      <c r="H415" s="38">
        <v>43</v>
      </c>
      <c r="I415" s="39">
        <f t="shared" si="115"/>
        <v>4.7830923248053395E-2</v>
      </c>
      <c r="J415" s="38">
        <v>8</v>
      </c>
      <c r="K415" s="39">
        <f t="shared" si="116"/>
        <v>1.8867924528301886E-2</v>
      </c>
      <c r="L415" s="38">
        <v>28</v>
      </c>
      <c r="M415" s="39">
        <f t="shared" si="117"/>
        <v>2.8600612870275793E-2</v>
      </c>
      <c r="N415" s="29">
        <f t="shared" si="118"/>
        <v>97</v>
      </c>
      <c r="O415" s="39">
        <f t="shared" si="119"/>
        <v>3.2034346103038312E-2</v>
      </c>
      <c r="Q415" s="51"/>
      <c r="R415" s="51"/>
      <c r="S415" s="51"/>
    </row>
    <row r="416" spans="1:19" x14ac:dyDescent="0.2">
      <c r="A416" s="67" t="s">
        <v>38</v>
      </c>
      <c r="B416" s="38">
        <v>178</v>
      </c>
      <c r="C416" s="39">
        <f t="shared" si="112"/>
        <v>0.3655030800821355</v>
      </c>
      <c r="D416" s="38">
        <v>13</v>
      </c>
      <c r="E416" s="39">
        <f t="shared" si="113"/>
        <v>0.34210526315789475</v>
      </c>
      <c r="F416" s="38">
        <v>58</v>
      </c>
      <c r="G416" s="39">
        <f t="shared" si="114"/>
        <v>0.28855721393034828</v>
      </c>
      <c r="H416" s="38">
        <v>318</v>
      </c>
      <c r="I416" s="39">
        <f t="shared" si="115"/>
        <v>0.35372636262513907</v>
      </c>
      <c r="J416" s="38">
        <v>139</v>
      </c>
      <c r="K416" s="39">
        <f t="shared" si="116"/>
        <v>0.32783018867924529</v>
      </c>
      <c r="L416" s="38">
        <v>361</v>
      </c>
      <c r="M416" s="39">
        <f t="shared" si="117"/>
        <v>0.36874361593462718</v>
      </c>
      <c r="N416" s="29">
        <f t="shared" si="118"/>
        <v>1067</v>
      </c>
      <c r="O416" s="39">
        <f t="shared" si="119"/>
        <v>0.35237780713342143</v>
      </c>
      <c r="Q416" s="46" t="s">
        <v>0</v>
      </c>
    </row>
    <row r="417" spans="1:19" x14ac:dyDescent="0.2">
      <c r="A417" s="67" t="s">
        <v>39</v>
      </c>
      <c r="B417" s="38">
        <v>151</v>
      </c>
      <c r="C417" s="39">
        <f t="shared" si="112"/>
        <v>0.31006160164271046</v>
      </c>
      <c r="D417" s="38">
        <v>7</v>
      </c>
      <c r="E417" s="39">
        <f t="shared" si="113"/>
        <v>0.18421052631578946</v>
      </c>
      <c r="F417" s="38">
        <v>67</v>
      </c>
      <c r="G417" s="39">
        <f t="shared" si="114"/>
        <v>0.33333333333333331</v>
      </c>
      <c r="H417" s="38">
        <v>228</v>
      </c>
      <c r="I417" s="39">
        <f t="shared" si="115"/>
        <v>0.25361512791991103</v>
      </c>
      <c r="J417" s="38">
        <v>157</v>
      </c>
      <c r="K417" s="39">
        <f t="shared" si="116"/>
        <v>0.37028301886792453</v>
      </c>
      <c r="L417" s="38">
        <v>271</v>
      </c>
      <c r="M417" s="39">
        <f t="shared" si="117"/>
        <v>0.27681307456588355</v>
      </c>
      <c r="N417" s="29">
        <f t="shared" si="118"/>
        <v>881</v>
      </c>
      <c r="O417" s="39">
        <f t="shared" si="119"/>
        <v>0.29095112285336855</v>
      </c>
      <c r="Q417" s="51"/>
      <c r="R417" s="51"/>
      <c r="S417" s="51"/>
    </row>
    <row r="419" spans="1:19" ht="15" x14ac:dyDescent="0.2">
      <c r="A419" s="121" t="s">
        <v>177</v>
      </c>
      <c r="B419" s="124"/>
      <c r="C419" s="124"/>
      <c r="G419" s="49"/>
      <c r="H419" s="46"/>
      <c r="Q419" s="46" t="s">
        <v>0</v>
      </c>
    </row>
    <row r="420" spans="1:19" ht="48" x14ac:dyDescent="0.2">
      <c r="A420" s="36" t="s">
        <v>41</v>
      </c>
      <c r="B420" s="151" t="s">
        <v>128</v>
      </c>
      <c r="C420" s="151"/>
      <c r="D420" s="151" t="s">
        <v>99</v>
      </c>
      <c r="E420" s="151"/>
      <c r="F420" s="150" t="s">
        <v>176</v>
      </c>
      <c r="G420" s="150"/>
      <c r="H420" s="151" t="s">
        <v>101</v>
      </c>
      <c r="I420" s="151"/>
      <c r="J420" s="151" t="s">
        <v>100</v>
      </c>
      <c r="K420" s="151"/>
      <c r="L420" s="151" t="s">
        <v>126</v>
      </c>
      <c r="M420" s="151"/>
      <c r="N420" s="148" t="s">
        <v>1</v>
      </c>
      <c r="O420" s="148"/>
    </row>
    <row r="421" spans="1:19" x14ac:dyDescent="0.2">
      <c r="A421" s="26" t="s">
        <v>40</v>
      </c>
      <c r="B421" s="38">
        <v>179</v>
      </c>
      <c r="C421" s="39">
        <f>B421/$D$4</f>
        <v>0.36755646817248461</v>
      </c>
      <c r="D421" s="38">
        <v>11</v>
      </c>
      <c r="E421" s="39">
        <f>D421/$D$5</f>
        <v>0.28947368421052633</v>
      </c>
      <c r="F421" s="38">
        <v>44</v>
      </c>
      <c r="G421" s="39">
        <f>F421/$D$6</f>
        <v>0.21890547263681592</v>
      </c>
      <c r="H421" s="38">
        <v>323</v>
      </c>
      <c r="I421" s="39">
        <f>H421/$D$7</f>
        <v>0.35928809788654059</v>
      </c>
      <c r="J421" s="38">
        <v>101</v>
      </c>
      <c r="K421" s="39">
        <f>J421/$D$8</f>
        <v>0.23820754716981132</v>
      </c>
      <c r="L421" s="38">
        <v>318</v>
      </c>
      <c r="M421" s="39">
        <f>L421/$D$9</f>
        <v>0.32482124616956076</v>
      </c>
      <c r="N421" s="29">
        <f>B421+D421+F421+H421+J421+L421</f>
        <v>976</v>
      </c>
      <c r="O421" s="39">
        <f>N421/$D$10</f>
        <v>0.32232496697490093</v>
      </c>
    </row>
    <row r="422" spans="1:19" x14ac:dyDescent="0.2">
      <c r="A422" s="26" t="s">
        <v>42</v>
      </c>
      <c r="B422" s="38">
        <v>316</v>
      </c>
      <c r="C422" s="39">
        <f>B422/$D$4</f>
        <v>0.64887063655030797</v>
      </c>
      <c r="D422" s="38">
        <v>27</v>
      </c>
      <c r="E422" s="39">
        <f t="shared" ref="E422:E431" si="120">D422/$D$5</f>
        <v>0.71052631578947367</v>
      </c>
      <c r="F422" s="38">
        <v>99</v>
      </c>
      <c r="G422" s="39">
        <f t="shared" ref="G422:G431" si="121">F422/$D$6</f>
        <v>0.4925373134328358</v>
      </c>
      <c r="H422" s="38">
        <v>526</v>
      </c>
      <c r="I422" s="39">
        <f t="shared" ref="I422:I431" si="122">H422/$D$7</f>
        <v>0.58509454949944384</v>
      </c>
      <c r="J422" s="38">
        <v>225</v>
      </c>
      <c r="K422" s="39">
        <f t="shared" ref="K422:K431" si="123">J422/$D$8</f>
        <v>0.53066037735849059</v>
      </c>
      <c r="L422" s="38">
        <v>684</v>
      </c>
      <c r="M422" s="39">
        <f t="shared" ref="M422:M431" si="124">L422/$D$9</f>
        <v>0.69867211440245147</v>
      </c>
      <c r="N422" s="29">
        <f t="shared" ref="N422:N431" si="125">B422+D422+F422+H422+J422+L422</f>
        <v>1877</v>
      </c>
      <c r="O422" s="39">
        <f t="shared" ref="O422:O424" si="126">N422/$D$10</f>
        <v>0.61988110964332888</v>
      </c>
    </row>
    <row r="423" spans="1:19" x14ac:dyDescent="0.2">
      <c r="A423" s="26" t="s">
        <v>43</v>
      </c>
      <c r="B423" s="38">
        <v>339</v>
      </c>
      <c r="C423" s="39">
        <f t="shared" ref="C423:C431" si="127">B423/$D$4</f>
        <v>0.6960985626283368</v>
      </c>
      <c r="D423" s="38">
        <v>21</v>
      </c>
      <c r="E423" s="39">
        <f t="shared" si="120"/>
        <v>0.55263157894736847</v>
      </c>
      <c r="F423" s="38">
        <v>120</v>
      </c>
      <c r="G423" s="39">
        <f t="shared" si="121"/>
        <v>0.59701492537313428</v>
      </c>
      <c r="H423" s="38">
        <v>637</v>
      </c>
      <c r="I423" s="39">
        <f t="shared" si="122"/>
        <v>0.70856507230255839</v>
      </c>
      <c r="J423" s="38">
        <v>256</v>
      </c>
      <c r="K423" s="39">
        <f t="shared" si="123"/>
        <v>0.60377358490566035</v>
      </c>
      <c r="L423" s="38">
        <v>684</v>
      </c>
      <c r="M423" s="39">
        <f t="shared" si="124"/>
        <v>0.69867211440245147</v>
      </c>
      <c r="N423" s="29">
        <f t="shared" si="125"/>
        <v>2057</v>
      </c>
      <c r="O423" s="39">
        <f t="shared" si="126"/>
        <v>0.67932628797886396</v>
      </c>
    </row>
    <row r="424" spans="1:19" ht="24" x14ac:dyDescent="0.2">
      <c r="A424" s="26" t="s">
        <v>44</v>
      </c>
      <c r="B424" s="38">
        <v>302</v>
      </c>
      <c r="C424" s="39">
        <f t="shared" si="127"/>
        <v>0.62012320328542092</v>
      </c>
      <c r="D424" s="38">
        <v>19</v>
      </c>
      <c r="E424" s="39">
        <f t="shared" si="120"/>
        <v>0.5</v>
      </c>
      <c r="F424" s="38">
        <v>124</v>
      </c>
      <c r="G424" s="39">
        <f t="shared" si="121"/>
        <v>0.61691542288557211</v>
      </c>
      <c r="H424" s="38">
        <v>557</v>
      </c>
      <c r="I424" s="39">
        <f t="shared" si="122"/>
        <v>0.61957730812013345</v>
      </c>
      <c r="J424" s="38">
        <v>249</v>
      </c>
      <c r="K424" s="39">
        <f t="shared" si="123"/>
        <v>0.58726415094339623</v>
      </c>
      <c r="L424" s="38">
        <v>587</v>
      </c>
      <c r="M424" s="39">
        <f t="shared" si="124"/>
        <v>0.59959141981613895</v>
      </c>
      <c r="N424" s="29">
        <f t="shared" si="125"/>
        <v>1838</v>
      </c>
      <c r="O424" s="39">
        <f t="shared" si="126"/>
        <v>0.60700132100396298</v>
      </c>
    </row>
    <row r="425" spans="1:19" x14ac:dyDescent="0.2">
      <c r="A425" s="26" t="s">
        <v>45</v>
      </c>
      <c r="B425" s="38">
        <v>254</v>
      </c>
      <c r="C425" s="39">
        <f t="shared" si="127"/>
        <v>0.52156057494866526</v>
      </c>
      <c r="D425" s="38">
        <v>20</v>
      </c>
      <c r="E425" s="39">
        <f t="shared" si="120"/>
        <v>0.52631578947368418</v>
      </c>
      <c r="F425" s="38">
        <v>40</v>
      </c>
      <c r="G425" s="39">
        <f t="shared" si="121"/>
        <v>0.19900497512437812</v>
      </c>
      <c r="H425" s="38">
        <v>462</v>
      </c>
      <c r="I425" s="39">
        <f t="shared" si="122"/>
        <v>0.51390433815350389</v>
      </c>
      <c r="J425" s="38">
        <v>95</v>
      </c>
      <c r="K425" s="39">
        <f t="shared" si="123"/>
        <v>0.22405660377358491</v>
      </c>
      <c r="L425" s="38">
        <v>445</v>
      </c>
      <c r="M425" s="39">
        <f t="shared" si="124"/>
        <v>0.45454545454545453</v>
      </c>
      <c r="N425" s="29">
        <f t="shared" si="125"/>
        <v>1316</v>
      </c>
      <c r="O425" s="39">
        <f>N425/$D$10</f>
        <v>0.43461030383091148</v>
      </c>
    </row>
    <row r="426" spans="1:19" x14ac:dyDescent="0.2">
      <c r="A426" s="26" t="s">
        <v>46</v>
      </c>
      <c r="B426" s="38">
        <v>166</v>
      </c>
      <c r="C426" s="39">
        <f t="shared" si="127"/>
        <v>0.34086242299794661</v>
      </c>
      <c r="D426" s="38">
        <v>11</v>
      </c>
      <c r="E426" s="39">
        <f t="shared" si="120"/>
        <v>0.28947368421052633</v>
      </c>
      <c r="F426" s="38">
        <v>27</v>
      </c>
      <c r="G426" s="39">
        <f t="shared" si="121"/>
        <v>0.13432835820895522</v>
      </c>
      <c r="H426" s="38">
        <v>296</v>
      </c>
      <c r="I426" s="39">
        <f t="shared" si="122"/>
        <v>0.3292547274749722</v>
      </c>
      <c r="J426" s="38">
        <v>73</v>
      </c>
      <c r="K426" s="39">
        <f t="shared" si="123"/>
        <v>0.17216981132075471</v>
      </c>
      <c r="L426" s="38">
        <v>282</v>
      </c>
      <c r="M426" s="39">
        <f t="shared" si="124"/>
        <v>0.28804902962206336</v>
      </c>
      <c r="N426" s="29">
        <f t="shared" si="125"/>
        <v>855</v>
      </c>
      <c r="O426" s="39">
        <f t="shared" ref="O426:O427" si="128">N426/$D$10</f>
        <v>0.2823645970937913</v>
      </c>
    </row>
    <row r="427" spans="1:19" x14ac:dyDescent="0.2">
      <c r="A427" s="67" t="s">
        <v>47</v>
      </c>
      <c r="B427" s="38">
        <v>62</v>
      </c>
      <c r="C427" s="39">
        <f t="shared" si="127"/>
        <v>0.12731006160164271</v>
      </c>
      <c r="D427" s="38">
        <v>3</v>
      </c>
      <c r="E427" s="39">
        <f t="shared" si="120"/>
        <v>7.8947368421052627E-2</v>
      </c>
      <c r="F427" s="38">
        <v>20</v>
      </c>
      <c r="G427" s="39">
        <f t="shared" si="121"/>
        <v>9.950248756218906E-2</v>
      </c>
      <c r="H427" s="38">
        <v>132</v>
      </c>
      <c r="I427" s="39">
        <f t="shared" si="122"/>
        <v>0.14682981090100111</v>
      </c>
      <c r="J427" s="38">
        <v>41</v>
      </c>
      <c r="K427" s="39">
        <f t="shared" si="123"/>
        <v>9.6698113207547176E-2</v>
      </c>
      <c r="L427" s="38">
        <v>124</v>
      </c>
      <c r="M427" s="39">
        <f t="shared" si="124"/>
        <v>0.12665985699693566</v>
      </c>
      <c r="N427" s="29">
        <f t="shared" si="125"/>
        <v>382</v>
      </c>
      <c r="O427" s="39">
        <f t="shared" si="128"/>
        <v>0.1261558784676354</v>
      </c>
    </row>
    <row r="428" spans="1:19" ht="36" x14ac:dyDescent="0.2">
      <c r="A428" s="67" t="s">
        <v>49</v>
      </c>
      <c r="B428" s="38">
        <v>116</v>
      </c>
      <c r="C428" s="39">
        <f t="shared" si="127"/>
        <v>0.23819301848049282</v>
      </c>
      <c r="D428" s="38">
        <v>8</v>
      </c>
      <c r="E428" s="39">
        <f t="shared" si="120"/>
        <v>0.21052631578947367</v>
      </c>
      <c r="F428" s="38">
        <v>43</v>
      </c>
      <c r="G428" s="39">
        <f t="shared" si="121"/>
        <v>0.21393034825870647</v>
      </c>
      <c r="H428" s="38">
        <v>215</v>
      </c>
      <c r="I428" s="39">
        <f t="shared" si="122"/>
        <v>0.23915461624026696</v>
      </c>
      <c r="J428" s="38">
        <v>102</v>
      </c>
      <c r="K428" s="39">
        <f t="shared" si="123"/>
        <v>0.24056603773584906</v>
      </c>
      <c r="L428" s="38">
        <v>213</v>
      </c>
      <c r="M428" s="39">
        <f t="shared" si="124"/>
        <v>0.21756894790602654</v>
      </c>
      <c r="N428" s="29">
        <f t="shared" si="125"/>
        <v>697</v>
      </c>
      <c r="O428" s="39">
        <f>N428/$D$10</f>
        <v>0.23018494055482167</v>
      </c>
    </row>
    <row r="429" spans="1:19" x14ac:dyDescent="0.2">
      <c r="A429" s="67" t="s">
        <v>48</v>
      </c>
      <c r="B429" s="38">
        <v>58</v>
      </c>
      <c r="C429" s="39">
        <f t="shared" si="127"/>
        <v>0.11909650924024641</v>
      </c>
      <c r="D429" s="38">
        <v>1</v>
      </c>
      <c r="E429" s="39">
        <f t="shared" si="120"/>
        <v>2.6315789473684209E-2</v>
      </c>
      <c r="F429" s="38">
        <v>10</v>
      </c>
      <c r="G429" s="39">
        <f t="shared" si="121"/>
        <v>4.975124378109453E-2</v>
      </c>
      <c r="H429" s="38">
        <v>133</v>
      </c>
      <c r="I429" s="39">
        <f t="shared" si="122"/>
        <v>0.14794215795328142</v>
      </c>
      <c r="J429" s="38">
        <v>32</v>
      </c>
      <c r="K429" s="39">
        <f t="shared" si="123"/>
        <v>7.5471698113207544E-2</v>
      </c>
      <c r="L429" s="38">
        <v>144</v>
      </c>
      <c r="M429" s="39">
        <f t="shared" si="124"/>
        <v>0.14708886618998979</v>
      </c>
      <c r="N429" s="29">
        <f t="shared" si="125"/>
        <v>378</v>
      </c>
      <c r="O429" s="39">
        <f t="shared" ref="O429:O431" si="129">N429/$D$10</f>
        <v>0.12483487450462351</v>
      </c>
    </row>
    <row r="430" spans="1:19" ht="24" x14ac:dyDescent="0.2">
      <c r="A430" s="67" t="s">
        <v>50</v>
      </c>
      <c r="B430" s="38">
        <v>174</v>
      </c>
      <c r="C430" s="39">
        <f t="shared" si="127"/>
        <v>0.35728952772073924</v>
      </c>
      <c r="D430" s="38">
        <v>15</v>
      </c>
      <c r="E430" s="39">
        <f t="shared" si="120"/>
        <v>0.39473684210526316</v>
      </c>
      <c r="F430" s="38">
        <v>88</v>
      </c>
      <c r="G430" s="39">
        <f t="shared" si="121"/>
        <v>0.43781094527363185</v>
      </c>
      <c r="H430" s="38">
        <v>351</v>
      </c>
      <c r="I430" s="39">
        <f t="shared" si="122"/>
        <v>0.39043381535038935</v>
      </c>
      <c r="J430" s="38">
        <v>183</v>
      </c>
      <c r="K430" s="39">
        <f t="shared" si="123"/>
        <v>0.43160377358490565</v>
      </c>
      <c r="L430" s="38">
        <v>365</v>
      </c>
      <c r="M430" s="39">
        <f t="shared" si="124"/>
        <v>0.37282941777323803</v>
      </c>
      <c r="N430" s="29">
        <f t="shared" si="125"/>
        <v>1176</v>
      </c>
      <c r="O430" s="39">
        <f t="shared" si="129"/>
        <v>0.38837516512549536</v>
      </c>
    </row>
    <row r="431" spans="1:19" ht="24" x14ac:dyDescent="0.2">
      <c r="A431" s="67" t="s">
        <v>51</v>
      </c>
      <c r="B431" s="38">
        <v>140</v>
      </c>
      <c r="C431" s="39">
        <f t="shared" si="127"/>
        <v>0.28747433264887062</v>
      </c>
      <c r="D431" s="38">
        <v>12</v>
      </c>
      <c r="E431" s="39">
        <f t="shared" si="120"/>
        <v>0.31578947368421051</v>
      </c>
      <c r="F431" s="38">
        <v>54</v>
      </c>
      <c r="G431" s="39">
        <f t="shared" si="121"/>
        <v>0.26865671641791045</v>
      </c>
      <c r="H431" s="38">
        <v>241</v>
      </c>
      <c r="I431" s="39">
        <f t="shared" si="122"/>
        <v>0.26807563959955505</v>
      </c>
      <c r="J431" s="38">
        <v>132</v>
      </c>
      <c r="K431" s="39">
        <f t="shared" si="123"/>
        <v>0.31132075471698112</v>
      </c>
      <c r="L431" s="38">
        <v>279</v>
      </c>
      <c r="M431" s="39">
        <f t="shared" si="124"/>
        <v>0.28498467824310519</v>
      </c>
      <c r="N431" s="29">
        <f t="shared" si="125"/>
        <v>858</v>
      </c>
      <c r="O431" s="39">
        <f t="shared" si="129"/>
        <v>0.28335535006605017</v>
      </c>
    </row>
    <row r="432" spans="1:19" x14ac:dyDescent="0.2">
      <c r="B432" s="3"/>
      <c r="C432" s="3"/>
      <c r="D432" s="3"/>
    </row>
    <row r="434" spans="1:15" ht="15.75" x14ac:dyDescent="0.2">
      <c r="A434" s="120" t="s">
        <v>178</v>
      </c>
      <c r="B434" s="124"/>
      <c r="C434" s="124"/>
      <c r="D434" s="124"/>
    </row>
    <row r="435" spans="1:15" x14ac:dyDescent="0.2">
      <c r="A435" s="119" t="s">
        <v>179</v>
      </c>
    </row>
    <row r="436" spans="1:15" ht="24" x14ac:dyDescent="0.2">
      <c r="A436" s="108" t="s">
        <v>181</v>
      </c>
      <c r="B436" s="151" t="s">
        <v>128</v>
      </c>
      <c r="C436" s="151"/>
      <c r="D436" s="151" t="s">
        <v>99</v>
      </c>
      <c r="E436" s="151"/>
      <c r="F436" s="150" t="s">
        <v>176</v>
      </c>
      <c r="G436" s="150"/>
      <c r="H436" s="151" t="s">
        <v>101</v>
      </c>
      <c r="I436" s="151"/>
      <c r="J436" s="151" t="s">
        <v>100</v>
      </c>
      <c r="K436" s="151"/>
      <c r="L436" s="151" t="s">
        <v>126</v>
      </c>
      <c r="M436" s="151"/>
      <c r="N436" s="148" t="s">
        <v>1</v>
      </c>
      <c r="O436" s="148"/>
    </row>
    <row r="437" spans="1:15" x14ac:dyDescent="0.2">
      <c r="A437" s="26" t="s">
        <v>94</v>
      </c>
      <c r="B437" s="38">
        <v>56</v>
      </c>
      <c r="C437" s="39">
        <f>B437/B441</f>
        <v>0.48275862068965519</v>
      </c>
      <c r="D437" s="38">
        <v>4</v>
      </c>
      <c r="E437" s="39">
        <f>D437/D441</f>
        <v>0.5</v>
      </c>
      <c r="F437" s="38">
        <v>117</v>
      </c>
      <c r="G437" s="39">
        <f>F437/F441</f>
        <v>0.63934426229508201</v>
      </c>
      <c r="H437" s="38">
        <v>118</v>
      </c>
      <c r="I437" s="39">
        <f>H437/H441</f>
        <v>0.53153153153153154</v>
      </c>
      <c r="J437" s="38">
        <v>259</v>
      </c>
      <c r="K437" s="39">
        <f>J437/J441</f>
        <v>0.67098445595854928</v>
      </c>
      <c r="L437" s="38">
        <v>169</v>
      </c>
      <c r="M437" s="39">
        <f>L437/L441</f>
        <v>0.60357142857142854</v>
      </c>
      <c r="N437" s="29">
        <f>B437+D437+F437+H437+J437+L437</f>
        <v>723</v>
      </c>
      <c r="O437" s="39">
        <f>N437/N441</f>
        <v>0.605020920502092</v>
      </c>
    </row>
    <row r="438" spans="1:15" ht="12.75" x14ac:dyDescent="0.2">
      <c r="A438" s="26" t="s">
        <v>95</v>
      </c>
      <c r="B438" s="38">
        <v>48</v>
      </c>
      <c r="C438" s="39">
        <f>B438/B441</f>
        <v>0.41379310344827586</v>
      </c>
      <c r="D438" s="117"/>
      <c r="E438" s="39">
        <f>D438/D441</f>
        <v>0</v>
      </c>
      <c r="F438" s="38">
        <v>49</v>
      </c>
      <c r="G438" s="39">
        <f>F438/F441</f>
        <v>0.26775956284153007</v>
      </c>
      <c r="H438" s="38">
        <v>65</v>
      </c>
      <c r="I438" s="39">
        <f>H438/H441</f>
        <v>0.2927927927927928</v>
      </c>
      <c r="J438" s="38">
        <v>97</v>
      </c>
      <c r="K438" s="39">
        <f>J438/J441</f>
        <v>0.25129533678756477</v>
      </c>
      <c r="L438" s="38">
        <v>64</v>
      </c>
      <c r="M438" s="39">
        <f>L438/L441</f>
        <v>0.22857142857142856</v>
      </c>
      <c r="N438" s="29">
        <f>B438+D438+F438+H438+J438+L438</f>
        <v>323</v>
      </c>
      <c r="O438" s="39">
        <f>N438/N441</f>
        <v>0.27029288702928872</v>
      </c>
    </row>
    <row r="439" spans="1:15" x14ac:dyDescent="0.2">
      <c r="A439" s="26" t="s">
        <v>96</v>
      </c>
      <c r="B439" s="38">
        <v>9</v>
      </c>
      <c r="C439" s="39">
        <f>B439/B441</f>
        <v>7.7586206896551727E-2</v>
      </c>
      <c r="D439" s="38">
        <v>4</v>
      </c>
      <c r="E439" s="39">
        <f>D439/D441</f>
        <v>0.5</v>
      </c>
      <c r="F439" s="38">
        <v>13</v>
      </c>
      <c r="G439" s="39">
        <f>F439/F441</f>
        <v>7.1038251366120214E-2</v>
      </c>
      <c r="H439" s="38">
        <v>23</v>
      </c>
      <c r="I439" s="39">
        <f>H439/H441</f>
        <v>0.1036036036036036</v>
      </c>
      <c r="J439" s="38">
        <v>27</v>
      </c>
      <c r="K439" s="39">
        <f>J439/J441</f>
        <v>6.9948186528497408E-2</v>
      </c>
      <c r="L439" s="38">
        <v>26</v>
      </c>
      <c r="M439" s="39">
        <f>L439/L441</f>
        <v>9.285714285714286E-2</v>
      </c>
      <c r="N439" s="29">
        <f>B439+D439+F439+H439+J439+L439</f>
        <v>102</v>
      </c>
      <c r="O439" s="39">
        <f>N439/N441</f>
        <v>8.5355648535564849E-2</v>
      </c>
    </row>
    <row r="440" spans="1:15" ht="12.75" x14ac:dyDescent="0.2">
      <c r="A440" s="26" t="s">
        <v>97</v>
      </c>
      <c r="B440" s="38">
        <v>3</v>
      </c>
      <c r="C440" s="39">
        <f>B440/B441</f>
        <v>2.5862068965517241E-2</v>
      </c>
      <c r="D440" s="117"/>
      <c r="E440" s="39">
        <f>D440/D441</f>
        <v>0</v>
      </c>
      <c r="F440" s="38">
        <v>4</v>
      </c>
      <c r="G440" s="39">
        <f>F440/F441</f>
        <v>2.185792349726776E-2</v>
      </c>
      <c r="H440" s="38">
        <v>16</v>
      </c>
      <c r="I440" s="39">
        <f>H440/H441</f>
        <v>7.2072072072072071E-2</v>
      </c>
      <c r="J440" s="38">
        <v>3</v>
      </c>
      <c r="K440" s="39">
        <f>J440/J441</f>
        <v>7.7720207253886009E-3</v>
      </c>
      <c r="L440" s="38">
        <v>21</v>
      </c>
      <c r="M440" s="39">
        <f>L440/L441</f>
        <v>7.4999999999999997E-2</v>
      </c>
      <c r="N440" s="29">
        <f>B440+D440+F440+H440+J440+L440</f>
        <v>47</v>
      </c>
      <c r="O440" s="39">
        <f>N440/N441</f>
        <v>3.9330543933054393E-2</v>
      </c>
    </row>
    <row r="441" spans="1:15" x14ac:dyDescent="0.2">
      <c r="A441" s="108" t="s">
        <v>1</v>
      </c>
      <c r="B441" s="30">
        <f t="shared" ref="B441" si="130">SUM(B437:B440)</f>
        <v>116</v>
      </c>
      <c r="C441" s="41">
        <f>SUM(C437:C440)</f>
        <v>1</v>
      </c>
      <c r="D441" s="30">
        <f t="shared" ref="D441" si="131">SUM(D437:D440)</f>
        <v>8</v>
      </c>
      <c r="E441" s="41">
        <f>SUM(E437:E440)</f>
        <v>1</v>
      </c>
      <c r="F441" s="30">
        <f t="shared" ref="F441" si="132">SUM(F437:F440)</f>
        <v>183</v>
      </c>
      <c r="G441" s="41">
        <f>SUM(G437:G440)</f>
        <v>1</v>
      </c>
      <c r="H441" s="30">
        <f t="shared" ref="H441" si="133">SUM(H437:H440)</f>
        <v>222</v>
      </c>
      <c r="I441" s="41">
        <f>SUM(I437:I440)</f>
        <v>1</v>
      </c>
      <c r="J441" s="30">
        <f t="shared" ref="J441" si="134">SUM(J437:J440)</f>
        <v>386</v>
      </c>
      <c r="K441" s="41">
        <f>SUM(K437:K440)</f>
        <v>1</v>
      </c>
      <c r="L441" s="30">
        <f t="shared" ref="L441" si="135">SUM(L437:L440)</f>
        <v>280</v>
      </c>
      <c r="M441" s="41">
        <f>SUM(M437:M440)</f>
        <v>0.99999999999999989</v>
      </c>
      <c r="N441" s="30">
        <f>SUM(N434:N440)</f>
        <v>1195</v>
      </c>
      <c r="O441" s="41">
        <f>SUM(O434:O440)</f>
        <v>0.99999999999999989</v>
      </c>
    </row>
    <row r="442" spans="1:15" ht="24" x14ac:dyDescent="0.2">
      <c r="A442" s="108" t="s">
        <v>180</v>
      </c>
      <c r="B442" s="38"/>
      <c r="C442" s="65">
        <f>SUM(C437:C438)</f>
        <v>0.89655172413793105</v>
      </c>
      <c r="D442" s="123"/>
      <c r="E442" s="65">
        <f>SUM(E437:E438)</f>
        <v>0.5</v>
      </c>
      <c r="F442" s="123"/>
      <c r="G442" s="65">
        <f>SUM(G437:G438)</f>
        <v>0.90710382513661214</v>
      </c>
      <c r="H442" s="123"/>
      <c r="I442" s="65">
        <f>SUM(I437:I438)</f>
        <v>0.82432432432432434</v>
      </c>
      <c r="J442" s="123"/>
      <c r="K442" s="65">
        <f>SUM(K437:K438)</f>
        <v>0.92227979274611405</v>
      </c>
      <c r="L442" s="123"/>
      <c r="M442" s="65">
        <f>SUM(M437:M438)</f>
        <v>0.83214285714285707</v>
      </c>
      <c r="N442" s="30"/>
      <c r="O442" s="65">
        <f>SUM(O437:O438)</f>
        <v>0.87531380753138066</v>
      </c>
    </row>
    <row r="444" spans="1:15" ht="24" x14ac:dyDescent="0.2">
      <c r="A444" s="108" t="s">
        <v>182</v>
      </c>
      <c r="B444" s="151" t="s">
        <v>128</v>
      </c>
      <c r="C444" s="151"/>
      <c r="D444" s="151" t="s">
        <v>99</v>
      </c>
      <c r="E444" s="151"/>
      <c r="F444" s="150" t="s">
        <v>176</v>
      </c>
      <c r="G444" s="150"/>
      <c r="H444" s="151" t="s">
        <v>101</v>
      </c>
      <c r="I444" s="151"/>
      <c r="J444" s="151" t="s">
        <v>100</v>
      </c>
      <c r="K444" s="151"/>
      <c r="L444" s="151" t="s">
        <v>126</v>
      </c>
      <c r="M444" s="151"/>
      <c r="N444" s="148" t="s">
        <v>1</v>
      </c>
      <c r="O444" s="148"/>
    </row>
    <row r="445" spans="1:15" x14ac:dyDescent="0.2">
      <c r="A445" s="26" t="s">
        <v>94</v>
      </c>
      <c r="B445" s="38">
        <v>61</v>
      </c>
      <c r="C445" s="39">
        <f>B445/B449</f>
        <v>0.5</v>
      </c>
      <c r="D445" s="38">
        <v>3</v>
      </c>
      <c r="E445" s="39">
        <f>D445/D449</f>
        <v>0.33333333333333331</v>
      </c>
      <c r="F445" s="38">
        <v>97</v>
      </c>
      <c r="G445" s="39">
        <f>F445/F449</f>
        <v>0.53888888888888886</v>
      </c>
      <c r="H445" s="38">
        <v>96</v>
      </c>
      <c r="I445" s="39">
        <f>H445/H449</f>
        <v>0.42290748898678415</v>
      </c>
      <c r="J445" s="38">
        <v>199</v>
      </c>
      <c r="K445" s="39">
        <f>J445/J449</f>
        <v>0.51288659793814428</v>
      </c>
      <c r="L445" s="38">
        <v>120</v>
      </c>
      <c r="M445" s="39">
        <f>L445/L449</f>
        <v>0.43636363636363634</v>
      </c>
      <c r="N445" s="29">
        <f>B445+D445+F445+H445+J445+L445</f>
        <v>576</v>
      </c>
      <c r="O445" s="39">
        <f>N445/N449</f>
        <v>0.47960033305578686</v>
      </c>
    </row>
    <row r="446" spans="1:15" x14ac:dyDescent="0.2">
      <c r="A446" s="26" t="s">
        <v>95</v>
      </c>
      <c r="B446" s="38">
        <v>38</v>
      </c>
      <c r="C446" s="39">
        <f>B446/B449</f>
        <v>0.31147540983606559</v>
      </c>
      <c r="D446" s="38">
        <v>4</v>
      </c>
      <c r="E446" s="39">
        <f>D446/D449</f>
        <v>0.44444444444444442</v>
      </c>
      <c r="F446" s="38">
        <v>69</v>
      </c>
      <c r="G446" s="39">
        <f>F446/F449</f>
        <v>0.38333333333333336</v>
      </c>
      <c r="H446" s="38">
        <v>77</v>
      </c>
      <c r="I446" s="39">
        <f>H446/H449</f>
        <v>0.33920704845814981</v>
      </c>
      <c r="J446" s="38">
        <v>145</v>
      </c>
      <c r="K446" s="39">
        <f>J446/J449</f>
        <v>0.37371134020618557</v>
      </c>
      <c r="L446" s="38">
        <v>94</v>
      </c>
      <c r="M446" s="39">
        <f>L446/L449</f>
        <v>0.3418181818181818</v>
      </c>
      <c r="N446" s="29">
        <f>B446+D446+F446+H446+J446+L446</f>
        <v>427</v>
      </c>
      <c r="O446" s="39">
        <f>N446/N449</f>
        <v>0.35553705245628642</v>
      </c>
    </row>
    <row r="447" spans="1:15" x14ac:dyDescent="0.2">
      <c r="A447" s="26" t="s">
        <v>96</v>
      </c>
      <c r="B447" s="38">
        <v>19</v>
      </c>
      <c r="C447" s="39">
        <f>B447/B449</f>
        <v>0.15573770491803279</v>
      </c>
      <c r="D447" s="38">
        <v>2</v>
      </c>
      <c r="E447" s="39">
        <f>D447/D449</f>
        <v>0.22222222222222221</v>
      </c>
      <c r="F447" s="38">
        <v>14</v>
      </c>
      <c r="G447" s="39">
        <f>F447/F449</f>
        <v>7.7777777777777779E-2</v>
      </c>
      <c r="H447" s="38">
        <v>44</v>
      </c>
      <c r="I447" s="39">
        <f>H447/H449</f>
        <v>0.19383259911894274</v>
      </c>
      <c r="J447" s="38">
        <v>35</v>
      </c>
      <c r="K447" s="39">
        <f>J447/J449</f>
        <v>9.0206185567010308E-2</v>
      </c>
      <c r="L447" s="38">
        <v>38</v>
      </c>
      <c r="M447" s="39">
        <f>L447/L449</f>
        <v>0.13818181818181818</v>
      </c>
      <c r="N447" s="29">
        <f>B447+D447+F447+H447+J447+L447</f>
        <v>152</v>
      </c>
      <c r="O447" s="39">
        <f>N447/N449</f>
        <v>0.12656119900083265</v>
      </c>
    </row>
    <row r="448" spans="1:15" ht="12.75" x14ac:dyDescent="0.2">
      <c r="A448" s="26" t="s">
        <v>97</v>
      </c>
      <c r="B448" s="38">
        <v>4</v>
      </c>
      <c r="C448" s="39">
        <f>B448/B449</f>
        <v>3.2786885245901641E-2</v>
      </c>
      <c r="D448" s="117"/>
      <c r="E448" s="39">
        <f>D448/D449</f>
        <v>0</v>
      </c>
      <c r="F448" s="117"/>
      <c r="G448" s="39">
        <f>F448/F449</f>
        <v>0</v>
      </c>
      <c r="H448" s="38">
        <v>10</v>
      </c>
      <c r="I448" s="39">
        <f>H448/H449</f>
        <v>4.405286343612335E-2</v>
      </c>
      <c r="J448" s="38">
        <v>9</v>
      </c>
      <c r="K448" s="39">
        <f>J448/J449</f>
        <v>2.3195876288659795E-2</v>
      </c>
      <c r="L448" s="38">
        <v>23</v>
      </c>
      <c r="M448" s="39">
        <f>L448/L449</f>
        <v>8.3636363636363634E-2</v>
      </c>
      <c r="N448" s="29">
        <f>B448+D448+F448+H448+J448+L448</f>
        <v>46</v>
      </c>
      <c r="O448" s="39">
        <f>N448/N449</f>
        <v>3.8301415487094086E-2</v>
      </c>
    </row>
    <row r="449" spans="1:15" x14ac:dyDescent="0.2">
      <c r="A449" s="108" t="s">
        <v>1</v>
      </c>
      <c r="B449" s="30">
        <f t="shared" ref="B449" si="136">SUM(B445:B448)</f>
        <v>122</v>
      </c>
      <c r="C449" s="41">
        <f>SUM(C445:C448)</f>
        <v>1</v>
      </c>
      <c r="D449" s="30">
        <f t="shared" ref="D449" si="137">SUM(D445:D448)</f>
        <v>9</v>
      </c>
      <c r="E449" s="41">
        <f>SUM(E445:E448)</f>
        <v>0.99999999999999989</v>
      </c>
      <c r="F449" s="30">
        <f t="shared" ref="F449" si="138">SUM(F445:F448)</f>
        <v>180</v>
      </c>
      <c r="G449" s="41">
        <f>SUM(G445:G448)</f>
        <v>1</v>
      </c>
      <c r="H449" s="30">
        <f t="shared" ref="H449" si="139">SUM(H445:H448)</f>
        <v>227</v>
      </c>
      <c r="I449" s="41">
        <f>SUM(I445:I448)</f>
        <v>1</v>
      </c>
      <c r="J449" s="30">
        <f t="shared" ref="J449" si="140">SUM(J445:J448)</f>
        <v>388</v>
      </c>
      <c r="K449" s="41">
        <f>SUM(K445:K448)</f>
        <v>1</v>
      </c>
      <c r="L449" s="30">
        <f t="shared" ref="L449" si="141">SUM(L445:L448)</f>
        <v>275</v>
      </c>
      <c r="M449" s="41">
        <f>SUM(M445:M448)</f>
        <v>0.99999999999999989</v>
      </c>
      <c r="N449" s="30">
        <f>SUM(N443:N448)</f>
        <v>1201</v>
      </c>
      <c r="O449" s="41">
        <f>SUM(O443:O448)</f>
        <v>1</v>
      </c>
    </row>
    <row r="450" spans="1:15" ht="24" x14ac:dyDescent="0.2">
      <c r="A450" s="108" t="s">
        <v>180</v>
      </c>
      <c r="B450" s="38"/>
      <c r="C450" s="65">
        <f>SUM(C445:C446)</f>
        <v>0.81147540983606559</v>
      </c>
      <c r="D450" s="123"/>
      <c r="E450" s="65">
        <f>SUM(E445:E446)</f>
        <v>0.77777777777777768</v>
      </c>
      <c r="F450" s="123"/>
      <c r="G450" s="65">
        <f>SUM(G445:G446)</f>
        <v>0.92222222222222228</v>
      </c>
      <c r="H450" s="123"/>
      <c r="I450" s="65">
        <f>SUM(I445:I446)</f>
        <v>0.76211453744493396</v>
      </c>
      <c r="J450" s="123"/>
      <c r="K450" s="65">
        <f>SUM(K445:K446)</f>
        <v>0.88659793814432986</v>
      </c>
      <c r="L450" s="123"/>
      <c r="M450" s="65">
        <f>SUM(M445:M446)</f>
        <v>0.77818181818181809</v>
      </c>
      <c r="N450" s="30"/>
      <c r="O450" s="65">
        <f>SUM(O445:O446)</f>
        <v>0.83513738551207328</v>
      </c>
    </row>
    <row r="452" spans="1:15" ht="24" x14ac:dyDescent="0.2">
      <c r="A452" s="108" t="s">
        <v>183</v>
      </c>
      <c r="B452" s="151" t="s">
        <v>128</v>
      </c>
      <c r="C452" s="151"/>
      <c r="D452" s="151" t="s">
        <v>99</v>
      </c>
      <c r="E452" s="151"/>
      <c r="F452" s="150" t="s">
        <v>176</v>
      </c>
      <c r="G452" s="150"/>
      <c r="H452" s="151" t="s">
        <v>101</v>
      </c>
      <c r="I452" s="151"/>
      <c r="J452" s="151" t="s">
        <v>100</v>
      </c>
      <c r="K452" s="151"/>
      <c r="L452" s="151" t="s">
        <v>126</v>
      </c>
      <c r="M452" s="151"/>
      <c r="N452" s="148" t="s">
        <v>1</v>
      </c>
      <c r="O452" s="148"/>
    </row>
    <row r="453" spans="1:15" x14ac:dyDescent="0.2">
      <c r="A453" s="26" t="s">
        <v>94</v>
      </c>
      <c r="B453" s="38">
        <v>7</v>
      </c>
      <c r="C453" s="39">
        <f>B453/B457</f>
        <v>7.3684210526315783E-2</v>
      </c>
      <c r="D453" s="38">
        <v>2</v>
      </c>
      <c r="E453" s="39">
        <f>D453/D457</f>
        <v>0.33333333333333331</v>
      </c>
      <c r="F453" s="38">
        <v>23</v>
      </c>
      <c r="G453" s="39">
        <f>F453/F457</f>
        <v>0.14743589743589744</v>
      </c>
      <c r="H453" s="38">
        <v>12</v>
      </c>
      <c r="I453" s="39">
        <f>H453/H457</f>
        <v>6.2176165803108807E-2</v>
      </c>
      <c r="J453" s="38">
        <v>53</v>
      </c>
      <c r="K453" s="39">
        <f>J453/J457</f>
        <v>0.15186246418338109</v>
      </c>
      <c r="L453" s="38">
        <v>24</v>
      </c>
      <c r="M453" s="39">
        <f>L453/L457</f>
        <v>0.100418410041841</v>
      </c>
      <c r="N453" s="29">
        <f>B453+D453+F453+H453+J453+L453</f>
        <v>121</v>
      </c>
      <c r="O453" s="39">
        <f>N453/N457</f>
        <v>0.11657032755298652</v>
      </c>
    </row>
    <row r="454" spans="1:15" ht="12.75" x14ac:dyDescent="0.2">
      <c r="A454" s="26" t="s">
        <v>95</v>
      </c>
      <c r="B454" s="38">
        <v>10</v>
      </c>
      <c r="C454" s="39">
        <f>B454/B457</f>
        <v>0.10526315789473684</v>
      </c>
      <c r="D454" s="117"/>
      <c r="E454" s="39">
        <f>D454/D457</f>
        <v>0</v>
      </c>
      <c r="F454" s="38">
        <v>19</v>
      </c>
      <c r="G454" s="39">
        <f>F454/F457</f>
        <v>0.12179487179487179</v>
      </c>
      <c r="H454" s="38">
        <v>28</v>
      </c>
      <c r="I454" s="39">
        <f>H454/H457</f>
        <v>0.14507772020725387</v>
      </c>
      <c r="J454" s="38">
        <v>36</v>
      </c>
      <c r="K454" s="39">
        <f>J454/J457</f>
        <v>0.10315186246418338</v>
      </c>
      <c r="L454" s="38">
        <v>36</v>
      </c>
      <c r="M454" s="39">
        <f>L454/L457</f>
        <v>0.15062761506276151</v>
      </c>
      <c r="N454" s="29">
        <f>B454+D454+F454+H454+J454+L454</f>
        <v>129</v>
      </c>
      <c r="O454" s="39">
        <f>N454/N457</f>
        <v>0.12427745664739884</v>
      </c>
    </row>
    <row r="455" spans="1:15" ht="12.75" x14ac:dyDescent="0.2">
      <c r="A455" s="26" t="s">
        <v>96</v>
      </c>
      <c r="B455" s="38">
        <v>24</v>
      </c>
      <c r="C455" s="39">
        <f>B455/B457</f>
        <v>0.25263157894736843</v>
      </c>
      <c r="D455" s="117"/>
      <c r="E455" s="39">
        <f>D455/D457</f>
        <v>0</v>
      </c>
      <c r="F455" s="38">
        <v>66</v>
      </c>
      <c r="G455" s="39">
        <f>F455/F457</f>
        <v>0.42307692307692307</v>
      </c>
      <c r="H455" s="38">
        <v>48</v>
      </c>
      <c r="I455" s="39">
        <f>H455/H457</f>
        <v>0.24870466321243523</v>
      </c>
      <c r="J455" s="38">
        <v>130</v>
      </c>
      <c r="K455" s="39">
        <f>J455/J457</f>
        <v>0.37249283667621774</v>
      </c>
      <c r="L455" s="38">
        <v>51</v>
      </c>
      <c r="M455" s="39">
        <f>L455/L457</f>
        <v>0.21338912133891214</v>
      </c>
      <c r="N455" s="29">
        <f>B455+D455+F455+H455+J455+L455</f>
        <v>319</v>
      </c>
      <c r="O455" s="39">
        <f>N455/N457</f>
        <v>0.30732177263969174</v>
      </c>
    </row>
    <row r="456" spans="1:15" x14ac:dyDescent="0.2">
      <c r="A456" s="26" t="s">
        <v>97</v>
      </c>
      <c r="B456" s="38">
        <v>54</v>
      </c>
      <c r="C456" s="39">
        <f>B456/B457</f>
        <v>0.56842105263157894</v>
      </c>
      <c r="D456" s="38">
        <v>4</v>
      </c>
      <c r="E456" s="39">
        <f>D456/D457</f>
        <v>0.66666666666666663</v>
      </c>
      <c r="F456" s="38">
        <v>48</v>
      </c>
      <c r="G456" s="39">
        <f>F456/F457</f>
        <v>0.30769230769230771</v>
      </c>
      <c r="H456" s="38">
        <v>105</v>
      </c>
      <c r="I456" s="39">
        <f>H456/H457</f>
        <v>0.54404145077720212</v>
      </c>
      <c r="J456" s="38">
        <v>130</v>
      </c>
      <c r="K456" s="39">
        <f>J456/J457</f>
        <v>0.37249283667621774</v>
      </c>
      <c r="L456" s="38">
        <v>128</v>
      </c>
      <c r="M456" s="39">
        <f>L456/L457</f>
        <v>0.53556485355648531</v>
      </c>
      <c r="N456" s="29">
        <f>B456+D456+F456+H456+J456+L456</f>
        <v>469</v>
      </c>
      <c r="O456" s="39">
        <f>N456/N457</f>
        <v>0.45183044315992293</v>
      </c>
    </row>
    <row r="457" spans="1:15" x14ac:dyDescent="0.2">
      <c r="A457" s="108" t="s">
        <v>1</v>
      </c>
      <c r="B457" s="30">
        <f t="shared" ref="B457" si="142">SUM(B453:B456)</f>
        <v>95</v>
      </c>
      <c r="C457" s="41">
        <f>SUM(C453:C456)</f>
        <v>1</v>
      </c>
      <c r="D457" s="30">
        <f t="shared" ref="D457" si="143">SUM(D453:D456)</f>
        <v>6</v>
      </c>
      <c r="E457" s="41">
        <f>SUM(E453:E456)</f>
        <v>1</v>
      </c>
      <c r="F457" s="30">
        <f t="shared" ref="F457" si="144">SUM(F453:F456)</f>
        <v>156</v>
      </c>
      <c r="G457" s="41">
        <f>SUM(G453:G456)</f>
        <v>1</v>
      </c>
      <c r="H457" s="30">
        <f t="shared" ref="H457" si="145">SUM(H453:H456)</f>
        <v>193</v>
      </c>
      <c r="I457" s="41">
        <f>SUM(I453:I456)</f>
        <v>1</v>
      </c>
      <c r="J457" s="30">
        <f t="shared" ref="J457" si="146">SUM(J453:J456)</f>
        <v>349</v>
      </c>
      <c r="K457" s="41">
        <f>SUM(K453:K456)</f>
        <v>1</v>
      </c>
      <c r="L457" s="30">
        <f t="shared" ref="L457" si="147">SUM(L453:L456)</f>
        <v>239</v>
      </c>
      <c r="M457" s="41">
        <f>SUM(M453:M456)</f>
        <v>1</v>
      </c>
      <c r="N457" s="30">
        <f>SUM(N451:N456)</f>
        <v>1038</v>
      </c>
      <c r="O457" s="41">
        <f>SUM(O451:O456)</f>
        <v>1</v>
      </c>
    </row>
    <row r="458" spans="1:15" ht="24" x14ac:dyDescent="0.2">
      <c r="A458" s="108" t="s">
        <v>180</v>
      </c>
      <c r="B458" s="38"/>
      <c r="C458" s="65">
        <f>SUM(C453:C454)</f>
        <v>0.17894736842105263</v>
      </c>
      <c r="D458" s="123"/>
      <c r="E458" s="65">
        <f>SUM(E453:E454)</f>
        <v>0.33333333333333331</v>
      </c>
      <c r="F458" s="123"/>
      <c r="G458" s="65">
        <f>SUM(G453:G454)</f>
        <v>0.26923076923076922</v>
      </c>
      <c r="H458" s="123"/>
      <c r="I458" s="65">
        <f>SUM(I453:I454)</f>
        <v>0.20725388601036268</v>
      </c>
      <c r="J458" s="123"/>
      <c r="K458" s="65">
        <f>SUM(K453:K454)</f>
        <v>0.25501432664756446</v>
      </c>
      <c r="L458" s="123"/>
      <c r="M458" s="65">
        <f>SUM(M453:M454)</f>
        <v>0.2510460251046025</v>
      </c>
      <c r="N458" s="30"/>
      <c r="O458" s="65">
        <f>SUM(O453:O454)</f>
        <v>0.24084778420038536</v>
      </c>
    </row>
    <row r="460" spans="1:15" ht="48" x14ac:dyDescent="0.2">
      <c r="A460" s="108" t="s">
        <v>184</v>
      </c>
      <c r="B460" s="151" t="s">
        <v>128</v>
      </c>
      <c r="C460" s="151"/>
      <c r="D460" s="151" t="s">
        <v>99</v>
      </c>
      <c r="E460" s="151"/>
      <c r="F460" s="150" t="s">
        <v>176</v>
      </c>
      <c r="G460" s="150"/>
      <c r="H460" s="151" t="s">
        <v>101</v>
      </c>
      <c r="I460" s="151"/>
      <c r="J460" s="151" t="s">
        <v>100</v>
      </c>
      <c r="K460" s="151"/>
      <c r="L460" s="151" t="s">
        <v>126</v>
      </c>
      <c r="M460" s="151"/>
      <c r="N460" s="148" t="s">
        <v>1</v>
      </c>
      <c r="O460" s="148"/>
    </row>
    <row r="461" spans="1:15" x14ac:dyDescent="0.2">
      <c r="A461" s="26" t="s">
        <v>94</v>
      </c>
      <c r="B461" s="38">
        <v>53</v>
      </c>
      <c r="C461" s="39">
        <f>B461/B465</f>
        <v>0.51960784313725494</v>
      </c>
      <c r="D461" s="38">
        <v>6</v>
      </c>
      <c r="E461" s="39">
        <f>D461/D465</f>
        <v>0.6</v>
      </c>
      <c r="F461" s="38">
        <v>32</v>
      </c>
      <c r="G461" s="39">
        <f>F461/F465</f>
        <v>0.27350427350427353</v>
      </c>
      <c r="H461" s="38">
        <v>102</v>
      </c>
      <c r="I461" s="39">
        <f>H461/H465</f>
        <v>0.53125</v>
      </c>
      <c r="J461" s="38">
        <v>80</v>
      </c>
      <c r="K461" s="39">
        <f>J461/J465</f>
        <v>0.29962546816479402</v>
      </c>
      <c r="L461" s="38">
        <v>105</v>
      </c>
      <c r="M461" s="39">
        <f>L461/L465</f>
        <v>0.47297297297297297</v>
      </c>
      <c r="N461" s="29">
        <f>B461+D461+F461+H461+J461+L461</f>
        <v>378</v>
      </c>
      <c r="O461" s="39">
        <f>N461/N465</f>
        <v>0.41538461538461541</v>
      </c>
    </row>
    <row r="462" spans="1:15" x14ac:dyDescent="0.2">
      <c r="A462" s="26" t="s">
        <v>95</v>
      </c>
      <c r="B462" s="38">
        <v>13</v>
      </c>
      <c r="C462" s="39">
        <f>B462/B465</f>
        <v>0.12745098039215685</v>
      </c>
      <c r="D462" s="38">
        <v>3</v>
      </c>
      <c r="E462" s="39">
        <f>D462/D465</f>
        <v>0.3</v>
      </c>
      <c r="F462" s="38">
        <v>14</v>
      </c>
      <c r="G462" s="39">
        <f>F462/F465</f>
        <v>0.11965811965811966</v>
      </c>
      <c r="H462" s="38">
        <v>21</v>
      </c>
      <c r="I462" s="39">
        <f>H462/H465</f>
        <v>0.109375</v>
      </c>
      <c r="J462" s="38">
        <v>30</v>
      </c>
      <c r="K462" s="39">
        <f>J462/J465</f>
        <v>0.11235955056179775</v>
      </c>
      <c r="L462" s="38">
        <v>35</v>
      </c>
      <c r="M462" s="39">
        <f>L462/L465</f>
        <v>0.15765765765765766</v>
      </c>
      <c r="N462" s="29">
        <f>B462+D462+F462+H462+J462+L462</f>
        <v>116</v>
      </c>
      <c r="O462" s="39">
        <f>N462/N465</f>
        <v>0.12747252747252746</v>
      </c>
    </row>
    <row r="463" spans="1:15" ht="12.75" x14ac:dyDescent="0.2">
      <c r="A463" s="26" t="s">
        <v>96</v>
      </c>
      <c r="B463" s="38">
        <v>23</v>
      </c>
      <c r="C463" s="39">
        <f>B463/B465</f>
        <v>0.22549019607843138</v>
      </c>
      <c r="D463" s="117"/>
      <c r="E463" s="39">
        <f>D463/D465</f>
        <v>0</v>
      </c>
      <c r="F463" s="38">
        <v>24</v>
      </c>
      <c r="G463" s="39">
        <f>F463/F465</f>
        <v>0.20512820512820512</v>
      </c>
      <c r="H463" s="38">
        <v>32</v>
      </c>
      <c r="I463" s="39">
        <f>H463/H465</f>
        <v>0.16666666666666666</v>
      </c>
      <c r="J463" s="38">
        <v>59</v>
      </c>
      <c r="K463" s="39">
        <f>J463/J465</f>
        <v>0.22097378277153559</v>
      </c>
      <c r="L463" s="38">
        <v>50</v>
      </c>
      <c r="M463" s="39">
        <f>L463/L465</f>
        <v>0.22522522522522523</v>
      </c>
      <c r="N463" s="29">
        <f>B463+D463+F463+H463+J463+L463</f>
        <v>188</v>
      </c>
      <c r="O463" s="39">
        <f>N463/N465</f>
        <v>0.20659340659340658</v>
      </c>
    </row>
    <row r="464" spans="1:15" x14ac:dyDescent="0.2">
      <c r="A464" s="26" t="s">
        <v>97</v>
      </c>
      <c r="B464" s="38">
        <v>13</v>
      </c>
      <c r="C464" s="39">
        <f>B464/B465</f>
        <v>0.12745098039215685</v>
      </c>
      <c r="D464" s="38">
        <v>1</v>
      </c>
      <c r="E464" s="39">
        <f>D464/D465</f>
        <v>0.1</v>
      </c>
      <c r="F464" s="38">
        <v>47</v>
      </c>
      <c r="G464" s="39">
        <f>F464/F465</f>
        <v>0.40170940170940173</v>
      </c>
      <c r="H464" s="38">
        <v>37</v>
      </c>
      <c r="I464" s="39">
        <f>H464/H465</f>
        <v>0.19270833333333334</v>
      </c>
      <c r="J464" s="38">
        <v>98</v>
      </c>
      <c r="K464" s="39">
        <f>J464/J465</f>
        <v>0.36704119850187267</v>
      </c>
      <c r="L464" s="38">
        <v>32</v>
      </c>
      <c r="M464" s="39">
        <f>L464/L465</f>
        <v>0.14414414414414414</v>
      </c>
      <c r="N464" s="29">
        <f>B464+D464+F464+H464+J464+L464</f>
        <v>228</v>
      </c>
      <c r="O464" s="39">
        <f>N464/N465</f>
        <v>0.25054945054945055</v>
      </c>
    </row>
    <row r="465" spans="1:15" x14ac:dyDescent="0.2">
      <c r="A465" s="108" t="s">
        <v>1</v>
      </c>
      <c r="B465" s="30">
        <f t="shared" ref="B465" si="148">SUM(B461:B464)</f>
        <v>102</v>
      </c>
      <c r="C465" s="41">
        <f>SUM(C461:C464)</f>
        <v>1</v>
      </c>
      <c r="D465" s="30">
        <f t="shared" ref="D465" si="149">SUM(D461:D464)</f>
        <v>10</v>
      </c>
      <c r="E465" s="41">
        <f>SUM(E461:E464)</f>
        <v>0.99999999999999989</v>
      </c>
      <c r="F465" s="30">
        <f t="shared" ref="F465" si="150">SUM(F461:F464)</f>
        <v>117</v>
      </c>
      <c r="G465" s="41">
        <f>SUM(G461:G464)</f>
        <v>1</v>
      </c>
      <c r="H465" s="30">
        <f t="shared" ref="H465" si="151">SUM(H461:H464)</f>
        <v>192</v>
      </c>
      <c r="I465" s="41">
        <f>SUM(I461:I464)</f>
        <v>1</v>
      </c>
      <c r="J465" s="30">
        <f t="shared" ref="J465" si="152">SUM(J461:J464)</f>
        <v>267</v>
      </c>
      <c r="K465" s="41">
        <f>SUM(K461:K464)</f>
        <v>1</v>
      </c>
      <c r="L465" s="30">
        <f t="shared" ref="L465" si="153">SUM(L461:L464)</f>
        <v>222</v>
      </c>
      <c r="M465" s="41">
        <f>SUM(M461:M464)</f>
        <v>1</v>
      </c>
      <c r="N465" s="30">
        <f>SUM(N459:N464)</f>
        <v>910</v>
      </c>
      <c r="O465" s="41">
        <f>SUM(O459:O464)</f>
        <v>1</v>
      </c>
    </row>
    <row r="466" spans="1:15" ht="24" x14ac:dyDescent="0.2">
      <c r="A466" s="108" t="s">
        <v>180</v>
      </c>
      <c r="B466" s="38"/>
      <c r="C466" s="65">
        <f>SUM(C461:C462)</f>
        <v>0.6470588235294118</v>
      </c>
      <c r="D466" s="123"/>
      <c r="E466" s="65">
        <f>SUM(E461:E462)</f>
        <v>0.89999999999999991</v>
      </c>
      <c r="F466" s="123"/>
      <c r="G466" s="65">
        <f>SUM(G461:G462)</f>
        <v>0.39316239316239321</v>
      </c>
      <c r="H466" s="123"/>
      <c r="I466" s="65">
        <f>SUM(I461:I462)</f>
        <v>0.640625</v>
      </c>
      <c r="J466" s="123"/>
      <c r="K466" s="65">
        <f>SUM(K461:K462)</f>
        <v>0.41198501872659177</v>
      </c>
      <c r="L466" s="123"/>
      <c r="M466" s="65">
        <f>SUM(M461:M462)</f>
        <v>0.63063063063063063</v>
      </c>
      <c r="N466" s="30"/>
      <c r="O466" s="65">
        <f>SUM(O461:O462)</f>
        <v>0.54285714285714293</v>
      </c>
    </row>
    <row r="468" spans="1:15" x14ac:dyDescent="0.2">
      <c r="A468" s="119" t="s">
        <v>185</v>
      </c>
    </row>
    <row r="469" spans="1:15" ht="36" x14ac:dyDescent="0.2">
      <c r="A469" s="108" t="s">
        <v>186</v>
      </c>
      <c r="B469" s="151" t="s">
        <v>128</v>
      </c>
      <c r="C469" s="151"/>
      <c r="D469" s="151" t="s">
        <v>99</v>
      </c>
      <c r="E469" s="151"/>
      <c r="F469" s="150" t="s">
        <v>176</v>
      </c>
      <c r="G469" s="150"/>
      <c r="H469" s="151" t="s">
        <v>101</v>
      </c>
      <c r="I469" s="151"/>
      <c r="J469" s="151" t="s">
        <v>100</v>
      </c>
      <c r="K469" s="151"/>
      <c r="L469" s="151" t="s">
        <v>126</v>
      </c>
      <c r="M469" s="151"/>
      <c r="N469" s="148" t="s">
        <v>1</v>
      </c>
      <c r="O469" s="148"/>
    </row>
    <row r="470" spans="1:15" x14ac:dyDescent="0.2">
      <c r="A470" s="26" t="s">
        <v>94</v>
      </c>
      <c r="B470" s="38">
        <v>300</v>
      </c>
      <c r="C470" s="39">
        <f>B470/B474</f>
        <v>0.84507042253521125</v>
      </c>
      <c r="D470" s="38">
        <v>22</v>
      </c>
      <c r="E470" s="39">
        <f>D470/D474</f>
        <v>0.81481481481481477</v>
      </c>
      <c r="F470" s="38">
        <v>8</v>
      </c>
      <c r="G470" s="39">
        <f>F470/F474</f>
        <v>0.47058823529411764</v>
      </c>
      <c r="H470" s="38">
        <v>513</v>
      </c>
      <c r="I470" s="39">
        <f>H470/H474</f>
        <v>0.83144246353322526</v>
      </c>
      <c r="J470" s="38">
        <v>33</v>
      </c>
      <c r="K470" s="39">
        <f>J470/J474</f>
        <v>0.57894736842105265</v>
      </c>
      <c r="L470" s="38">
        <v>578</v>
      </c>
      <c r="M470" s="39">
        <f>L470/L474</f>
        <v>0.83405483405483405</v>
      </c>
      <c r="N470" s="29">
        <f>B470+D470+F470+H470+J470+L470</f>
        <v>1454</v>
      </c>
      <c r="O470" s="39">
        <f>N470/N474</f>
        <v>0.82332955832389576</v>
      </c>
    </row>
    <row r="471" spans="1:15" x14ac:dyDescent="0.2">
      <c r="A471" s="26" t="s">
        <v>95</v>
      </c>
      <c r="B471" s="38">
        <v>43</v>
      </c>
      <c r="C471" s="39">
        <f>B471/B474</f>
        <v>0.12112676056338029</v>
      </c>
      <c r="D471" s="38">
        <v>4</v>
      </c>
      <c r="E471" s="39">
        <f>D471/D474</f>
        <v>0.14814814814814814</v>
      </c>
      <c r="F471" s="38">
        <v>4</v>
      </c>
      <c r="G471" s="39">
        <f>F471/F474</f>
        <v>0.23529411764705882</v>
      </c>
      <c r="H471" s="38">
        <v>74</v>
      </c>
      <c r="I471" s="39">
        <f>H471/H474</f>
        <v>0.11993517017828201</v>
      </c>
      <c r="J471" s="38">
        <v>12</v>
      </c>
      <c r="K471" s="39">
        <f>J471/J474</f>
        <v>0.21052631578947367</v>
      </c>
      <c r="L471" s="38">
        <v>81</v>
      </c>
      <c r="M471" s="39">
        <f>L471/L474</f>
        <v>0.11688311688311688</v>
      </c>
      <c r="N471" s="29">
        <f>B471+D471+F471+H471+J471+L471</f>
        <v>218</v>
      </c>
      <c r="O471" s="39">
        <f>N471/N474</f>
        <v>0.12344280860702152</v>
      </c>
    </row>
    <row r="472" spans="1:15" ht="12.75" x14ac:dyDescent="0.2">
      <c r="A472" s="26" t="s">
        <v>96</v>
      </c>
      <c r="B472" s="38">
        <v>9</v>
      </c>
      <c r="C472" s="39">
        <f>B472/B474</f>
        <v>2.5352112676056339E-2</v>
      </c>
      <c r="D472" s="117"/>
      <c r="E472" s="39">
        <f>D472/D474</f>
        <v>0</v>
      </c>
      <c r="F472" s="38">
        <v>3</v>
      </c>
      <c r="G472" s="39">
        <f>F472/F474</f>
        <v>0.17647058823529413</v>
      </c>
      <c r="H472" s="38">
        <v>15</v>
      </c>
      <c r="I472" s="39">
        <f>H472/H474</f>
        <v>2.4311183144246355E-2</v>
      </c>
      <c r="J472" s="38">
        <v>2</v>
      </c>
      <c r="K472" s="39">
        <f>J472/J474</f>
        <v>3.5087719298245612E-2</v>
      </c>
      <c r="L472" s="38">
        <v>15</v>
      </c>
      <c r="M472" s="39">
        <f>L472/L474</f>
        <v>2.1645021645021644E-2</v>
      </c>
      <c r="N472" s="29">
        <f>B472+D472+F472+H472+J472+L472</f>
        <v>44</v>
      </c>
      <c r="O472" s="39">
        <f>N472/N474</f>
        <v>2.491506228765572E-2</v>
      </c>
    </row>
    <row r="473" spans="1:15" x14ac:dyDescent="0.2">
      <c r="A473" s="26" t="s">
        <v>97</v>
      </c>
      <c r="B473" s="38">
        <v>3</v>
      </c>
      <c r="C473" s="39">
        <f>B473/B474</f>
        <v>8.4507042253521118E-3</v>
      </c>
      <c r="D473" s="38">
        <v>1</v>
      </c>
      <c r="E473" s="39">
        <f>D473/D474</f>
        <v>3.7037037037037035E-2</v>
      </c>
      <c r="F473" s="38">
        <v>2</v>
      </c>
      <c r="G473" s="39">
        <f>F473/F474</f>
        <v>0.11764705882352941</v>
      </c>
      <c r="H473" s="38">
        <v>15</v>
      </c>
      <c r="I473" s="39">
        <f>H473/H474</f>
        <v>2.4311183144246355E-2</v>
      </c>
      <c r="J473" s="38">
        <v>10</v>
      </c>
      <c r="K473" s="39">
        <f>J473/J474</f>
        <v>0.17543859649122806</v>
      </c>
      <c r="L473" s="38">
        <v>19</v>
      </c>
      <c r="M473" s="39">
        <f>L473/L474</f>
        <v>2.7417027417027416E-2</v>
      </c>
      <c r="N473" s="29">
        <f>B473+D473+F473+H473+J473+L473</f>
        <v>50</v>
      </c>
      <c r="O473" s="39">
        <f>N473/N474</f>
        <v>2.8312570781426953E-2</v>
      </c>
    </row>
    <row r="474" spans="1:15" x14ac:dyDescent="0.2">
      <c r="A474" s="108" t="s">
        <v>1</v>
      </c>
      <c r="B474" s="30">
        <f t="shared" ref="B474" si="154">SUM(B470:B473)</f>
        <v>355</v>
      </c>
      <c r="C474" s="41">
        <f>SUM(C470:C473)</f>
        <v>1</v>
      </c>
      <c r="D474" s="30">
        <f t="shared" ref="D474" si="155">SUM(D470:D473)</f>
        <v>27</v>
      </c>
      <c r="E474" s="41">
        <f>SUM(E470:E473)</f>
        <v>1</v>
      </c>
      <c r="F474" s="30">
        <f t="shared" ref="F474" si="156">SUM(F470:F473)</f>
        <v>17</v>
      </c>
      <c r="G474" s="41">
        <f>SUM(G470:G473)</f>
        <v>1</v>
      </c>
      <c r="H474" s="30">
        <f t="shared" ref="H474" si="157">SUM(H470:H473)</f>
        <v>617</v>
      </c>
      <c r="I474" s="41">
        <f>SUM(I470:I473)</f>
        <v>1</v>
      </c>
      <c r="J474" s="30">
        <f t="shared" ref="J474" si="158">SUM(J470:J473)</f>
        <v>57</v>
      </c>
      <c r="K474" s="41">
        <f>SUM(K470:K473)</f>
        <v>1</v>
      </c>
      <c r="L474" s="30">
        <f t="shared" ref="L474" si="159">SUM(L470:L473)</f>
        <v>693</v>
      </c>
      <c r="M474" s="41">
        <f>SUM(M470:M473)</f>
        <v>1</v>
      </c>
      <c r="N474" s="30">
        <f>SUM(N467:N473)</f>
        <v>1766</v>
      </c>
      <c r="O474" s="41">
        <f>SUM(O467:O473)</f>
        <v>0.99999999999999989</v>
      </c>
    </row>
    <row r="475" spans="1:15" ht="24" x14ac:dyDescent="0.2">
      <c r="A475" s="108" t="s">
        <v>180</v>
      </c>
      <c r="B475" s="38"/>
      <c r="C475" s="65">
        <f>SUM(C470:C471)</f>
        <v>0.96619718309859159</v>
      </c>
      <c r="D475" s="123"/>
      <c r="E475" s="65">
        <f>SUM(E470:E471)</f>
        <v>0.96296296296296291</v>
      </c>
      <c r="F475" s="123"/>
      <c r="G475" s="65">
        <f>SUM(G470:G471)</f>
        <v>0.70588235294117641</v>
      </c>
      <c r="H475" s="123"/>
      <c r="I475" s="65">
        <f>SUM(I470:I471)</f>
        <v>0.9513776337115073</v>
      </c>
      <c r="J475" s="123"/>
      <c r="K475" s="65">
        <f>SUM(K470:K471)</f>
        <v>0.78947368421052633</v>
      </c>
      <c r="L475" s="123"/>
      <c r="M475" s="65">
        <f>SUM(M470:M471)</f>
        <v>0.95093795093795097</v>
      </c>
      <c r="N475" s="30"/>
      <c r="O475" s="65">
        <f>SUM(O470:O471)</f>
        <v>0.94677236693091726</v>
      </c>
    </row>
    <row r="477" spans="1:15" ht="24" x14ac:dyDescent="0.2">
      <c r="A477" s="108" t="s">
        <v>187</v>
      </c>
      <c r="B477" s="151" t="s">
        <v>128</v>
      </c>
      <c r="C477" s="151"/>
      <c r="D477" s="151" t="s">
        <v>99</v>
      </c>
      <c r="E477" s="151"/>
      <c r="F477" s="150" t="s">
        <v>176</v>
      </c>
      <c r="G477" s="150"/>
      <c r="H477" s="151" t="s">
        <v>101</v>
      </c>
      <c r="I477" s="151"/>
      <c r="J477" s="151" t="s">
        <v>100</v>
      </c>
      <c r="K477" s="151"/>
      <c r="L477" s="151" t="s">
        <v>126</v>
      </c>
      <c r="M477" s="151"/>
      <c r="N477" s="148" t="s">
        <v>1</v>
      </c>
      <c r="O477" s="148"/>
    </row>
    <row r="478" spans="1:15" x14ac:dyDescent="0.2">
      <c r="A478" s="26" t="s">
        <v>94</v>
      </c>
      <c r="B478" s="38">
        <v>18</v>
      </c>
      <c r="C478" s="39">
        <f>B478/B482</f>
        <v>0.10465116279069768</v>
      </c>
      <c r="D478" s="38">
        <v>3</v>
      </c>
      <c r="E478" s="39">
        <f>D478/D482</f>
        <v>0.21428571428571427</v>
      </c>
      <c r="F478" s="38">
        <v>1</v>
      </c>
      <c r="G478" s="39">
        <f>F478/F482</f>
        <v>9.0909090909090912E-2</v>
      </c>
      <c r="H478" s="38">
        <v>29</v>
      </c>
      <c r="I478" s="39">
        <f>H478/H482</f>
        <v>8.5798816568047331E-2</v>
      </c>
      <c r="J478" s="38">
        <v>5</v>
      </c>
      <c r="K478" s="39">
        <f>J478/J482</f>
        <v>0.2</v>
      </c>
      <c r="L478" s="38">
        <v>40</v>
      </c>
      <c r="M478" s="39">
        <f>L478/L482</f>
        <v>0.11661807580174927</v>
      </c>
      <c r="N478" s="29">
        <f>B478+D478+F478+H478+J478+L478</f>
        <v>96</v>
      </c>
      <c r="O478" s="39">
        <f>N478/N482</f>
        <v>0.10631229235880399</v>
      </c>
    </row>
    <row r="479" spans="1:15" x14ac:dyDescent="0.2">
      <c r="A479" s="26" t="s">
        <v>95</v>
      </c>
      <c r="B479" s="38">
        <v>16</v>
      </c>
      <c r="C479" s="39">
        <f>B479/B482</f>
        <v>9.3023255813953487E-2</v>
      </c>
      <c r="D479" s="38">
        <v>3</v>
      </c>
      <c r="E479" s="39">
        <f>D479/D482</f>
        <v>0.21428571428571427</v>
      </c>
      <c r="F479" s="38">
        <v>5</v>
      </c>
      <c r="G479" s="39">
        <f>F479/F482</f>
        <v>0.45454545454545453</v>
      </c>
      <c r="H479" s="38">
        <v>42</v>
      </c>
      <c r="I479" s="39">
        <f>H479/H482</f>
        <v>0.1242603550295858</v>
      </c>
      <c r="J479" s="38">
        <v>4</v>
      </c>
      <c r="K479" s="39">
        <f>J479/J482</f>
        <v>0.16</v>
      </c>
      <c r="L479" s="38">
        <v>60</v>
      </c>
      <c r="M479" s="39">
        <f>L479/L482</f>
        <v>0.1749271137026239</v>
      </c>
      <c r="N479" s="29">
        <f>B479+D479+F479+H479+J479+L479</f>
        <v>130</v>
      </c>
      <c r="O479" s="39">
        <f>N479/N482</f>
        <v>0.14396456256921372</v>
      </c>
    </row>
    <row r="480" spans="1:15" x14ac:dyDescent="0.2">
      <c r="A480" s="26" t="s">
        <v>96</v>
      </c>
      <c r="B480" s="38">
        <v>31</v>
      </c>
      <c r="C480" s="39">
        <f>B480/B482</f>
        <v>0.18023255813953487</v>
      </c>
      <c r="D480" s="38">
        <v>2</v>
      </c>
      <c r="E480" s="39">
        <f>D480/D482</f>
        <v>0.14285714285714285</v>
      </c>
      <c r="F480" s="38">
        <v>1</v>
      </c>
      <c r="G480" s="39">
        <f>F480/F482</f>
        <v>9.0909090909090912E-2</v>
      </c>
      <c r="H480" s="38">
        <v>50</v>
      </c>
      <c r="I480" s="39">
        <f>H480/H482</f>
        <v>0.14792899408284024</v>
      </c>
      <c r="J480" s="38">
        <v>2</v>
      </c>
      <c r="K480" s="39">
        <f>J480/J482</f>
        <v>0.08</v>
      </c>
      <c r="L480" s="38">
        <v>38</v>
      </c>
      <c r="M480" s="39">
        <f>L480/L482</f>
        <v>0.11078717201166181</v>
      </c>
      <c r="N480" s="29">
        <f>B480+D480+F480+H480+J480+L480</f>
        <v>124</v>
      </c>
      <c r="O480" s="39">
        <f>N480/N482</f>
        <v>0.13732004429678848</v>
      </c>
    </row>
    <row r="481" spans="1:15" x14ac:dyDescent="0.2">
      <c r="A481" s="26" t="s">
        <v>97</v>
      </c>
      <c r="B481" s="38">
        <v>107</v>
      </c>
      <c r="C481" s="39">
        <f>B481/B482</f>
        <v>0.62209302325581395</v>
      </c>
      <c r="D481" s="38">
        <v>6</v>
      </c>
      <c r="E481" s="39">
        <f>D481/D482</f>
        <v>0.42857142857142855</v>
      </c>
      <c r="F481" s="38">
        <v>4</v>
      </c>
      <c r="G481" s="39">
        <f>F481/F482</f>
        <v>0.36363636363636365</v>
      </c>
      <c r="H481" s="38">
        <v>217</v>
      </c>
      <c r="I481" s="39">
        <f>H481/H482</f>
        <v>0.64201183431952658</v>
      </c>
      <c r="J481" s="38">
        <v>14</v>
      </c>
      <c r="K481" s="39">
        <f>J481/J482</f>
        <v>0.56000000000000005</v>
      </c>
      <c r="L481" s="38">
        <v>205</v>
      </c>
      <c r="M481" s="39">
        <f>L481/L482</f>
        <v>0.59766763848396498</v>
      </c>
      <c r="N481" s="29">
        <f>B481+D481+F481+H481+J481+L481</f>
        <v>553</v>
      </c>
      <c r="O481" s="39">
        <f>N481/N482</f>
        <v>0.61240310077519378</v>
      </c>
    </row>
    <row r="482" spans="1:15" x14ac:dyDescent="0.2">
      <c r="A482" s="108" t="s">
        <v>1</v>
      </c>
      <c r="B482" s="30">
        <f t="shared" ref="B482" si="160">SUM(B478:B481)</f>
        <v>172</v>
      </c>
      <c r="C482" s="41">
        <f>SUM(C478:C481)</f>
        <v>1</v>
      </c>
      <c r="D482" s="30">
        <f t="shared" ref="D482" si="161">SUM(D478:D481)</f>
        <v>14</v>
      </c>
      <c r="E482" s="41">
        <f>SUM(E478:E481)</f>
        <v>1</v>
      </c>
      <c r="F482" s="30">
        <f t="shared" ref="F482" si="162">SUM(F478:F481)</f>
        <v>11</v>
      </c>
      <c r="G482" s="41">
        <f>SUM(G478:G481)</f>
        <v>1</v>
      </c>
      <c r="H482" s="30">
        <f t="shared" ref="H482" si="163">SUM(H478:H481)</f>
        <v>338</v>
      </c>
      <c r="I482" s="41">
        <f>SUM(I478:I481)</f>
        <v>1</v>
      </c>
      <c r="J482" s="30">
        <f t="shared" ref="J482" si="164">SUM(J478:J481)</f>
        <v>25</v>
      </c>
      <c r="K482" s="41">
        <f>SUM(K478:K481)</f>
        <v>1</v>
      </c>
      <c r="L482" s="30">
        <f t="shared" ref="L482" si="165">SUM(L478:L481)</f>
        <v>343</v>
      </c>
      <c r="M482" s="41">
        <f>SUM(M478:M481)</f>
        <v>1</v>
      </c>
      <c r="N482" s="30">
        <f>SUM(N476:N481)</f>
        <v>903</v>
      </c>
      <c r="O482" s="41">
        <f>SUM(O476:O481)</f>
        <v>1</v>
      </c>
    </row>
    <row r="483" spans="1:15" ht="24" x14ac:dyDescent="0.2">
      <c r="A483" s="108" t="s">
        <v>180</v>
      </c>
      <c r="B483" s="38"/>
      <c r="C483" s="65">
        <f>SUM(C478:C479)</f>
        <v>0.19767441860465118</v>
      </c>
      <c r="D483" s="123"/>
      <c r="E483" s="65">
        <f>SUM(E478:E479)</f>
        <v>0.42857142857142855</v>
      </c>
      <c r="F483" s="123"/>
      <c r="G483" s="65">
        <f>SUM(G478:G479)</f>
        <v>0.54545454545454541</v>
      </c>
      <c r="H483" s="123"/>
      <c r="I483" s="65">
        <f>SUM(I478:I479)</f>
        <v>0.21005917159763313</v>
      </c>
      <c r="J483" s="123"/>
      <c r="K483" s="65">
        <f>SUM(K478:K479)</f>
        <v>0.36</v>
      </c>
      <c r="L483" s="123"/>
      <c r="M483" s="65">
        <f>SUM(M478:M479)</f>
        <v>0.29154518950437314</v>
      </c>
      <c r="N483" s="30"/>
      <c r="O483" s="65">
        <f>SUM(O478:O479)</f>
        <v>0.25027685492801771</v>
      </c>
    </row>
    <row r="485" spans="1:15" ht="24" x14ac:dyDescent="0.2">
      <c r="A485" s="108" t="s">
        <v>188</v>
      </c>
      <c r="B485" s="151" t="s">
        <v>128</v>
      </c>
      <c r="C485" s="151"/>
      <c r="D485" s="151" t="s">
        <v>99</v>
      </c>
      <c r="E485" s="151"/>
      <c r="F485" s="150" t="s">
        <v>176</v>
      </c>
      <c r="G485" s="150"/>
      <c r="H485" s="151" t="s">
        <v>101</v>
      </c>
      <c r="I485" s="151"/>
      <c r="J485" s="151" t="s">
        <v>100</v>
      </c>
      <c r="K485" s="151"/>
      <c r="L485" s="151" t="s">
        <v>126</v>
      </c>
      <c r="M485" s="151"/>
      <c r="N485" s="148" t="s">
        <v>1</v>
      </c>
      <c r="O485" s="148"/>
    </row>
    <row r="486" spans="1:15" x14ac:dyDescent="0.2">
      <c r="A486" s="26" t="s">
        <v>94</v>
      </c>
      <c r="B486" s="38">
        <v>25</v>
      </c>
      <c r="C486" s="39">
        <f>B486/B490</f>
        <v>0.12437810945273632</v>
      </c>
      <c r="D486" s="38">
        <v>3</v>
      </c>
      <c r="E486" s="39">
        <f>D486/D490</f>
        <v>0.2</v>
      </c>
      <c r="F486" s="38">
        <v>1</v>
      </c>
      <c r="G486" s="39">
        <f>F486/F490</f>
        <v>7.6923076923076927E-2</v>
      </c>
      <c r="H486" s="38">
        <v>24</v>
      </c>
      <c r="I486" s="39">
        <f>H486/H490</f>
        <v>6.4000000000000001E-2</v>
      </c>
      <c r="J486" s="38">
        <v>5</v>
      </c>
      <c r="K486" s="39">
        <f>J486/J490</f>
        <v>0.16129032258064516</v>
      </c>
      <c r="L486" s="38">
        <v>45</v>
      </c>
      <c r="M486" s="39">
        <f>L486/L490</f>
        <v>0.11138613861386139</v>
      </c>
      <c r="N486" s="29">
        <f>B486+D486+F486+H486+J486+L486</f>
        <v>103</v>
      </c>
      <c r="O486" s="39">
        <f>N486/N490</f>
        <v>9.9133782483156879E-2</v>
      </c>
    </row>
    <row r="487" spans="1:15" x14ac:dyDescent="0.2">
      <c r="A487" s="26" t="s">
        <v>95</v>
      </c>
      <c r="B487" s="38">
        <v>22</v>
      </c>
      <c r="C487" s="39">
        <f>B487/B490</f>
        <v>0.10945273631840796</v>
      </c>
      <c r="D487" s="38">
        <v>2</v>
      </c>
      <c r="E487" s="39">
        <f>D487/D490</f>
        <v>0.13333333333333333</v>
      </c>
      <c r="F487" s="38">
        <v>4</v>
      </c>
      <c r="G487" s="39">
        <f>F487/F490</f>
        <v>0.30769230769230771</v>
      </c>
      <c r="H487" s="38">
        <v>63</v>
      </c>
      <c r="I487" s="39">
        <f>H487/H490</f>
        <v>0.16800000000000001</v>
      </c>
      <c r="J487" s="38">
        <v>7</v>
      </c>
      <c r="K487" s="39">
        <f>J487/J490</f>
        <v>0.22580645161290322</v>
      </c>
      <c r="L487" s="38">
        <v>76</v>
      </c>
      <c r="M487" s="39">
        <f>L487/L490</f>
        <v>0.18811881188118812</v>
      </c>
      <c r="N487" s="29">
        <f>B487+D487+F487+H487+J487+L487</f>
        <v>174</v>
      </c>
      <c r="O487" s="39">
        <f>N487/N490</f>
        <v>0.16746871992300288</v>
      </c>
    </row>
    <row r="488" spans="1:15" x14ac:dyDescent="0.2">
      <c r="A488" s="26" t="s">
        <v>96</v>
      </c>
      <c r="B488" s="38">
        <v>51</v>
      </c>
      <c r="C488" s="39">
        <f>B488/B490</f>
        <v>0.2537313432835821</v>
      </c>
      <c r="D488" s="38">
        <v>2</v>
      </c>
      <c r="E488" s="39">
        <f>D488/D490</f>
        <v>0.13333333333333333</v>
      </c>
      <c r="F488" s="38">
        <v>5</v>
      </c>
      <c r="G488" s="39">
        <f>F488/F490</f>
        <v>0.38461538461538464</v>
      </c>
      <c r="H488" s="38">
        <v>93</v>
      </c>
      <c r="I488" s="39">
        <f>H488/H490</f>
        <v>0.248</v>
      </c>
      <c r="J488" s="38">
        <v>8</v>
      </c>
      <c r="K488" s="39">
        <f>J488/J490</f>
        <v>0.25806451612903225</v>
      </c>
      <c r="L488" s="38">
        <v>97</v>
      </c>
      <c r="M488" s="39">
        <f>L488/L490</f>
        <v>0.24009900990099009</v>
      </c>
      <c r="N488" s="29">
        <f>B488+D488+F488+H488+J488+L488</f>
        <v>256</v>
      </c>
      <c r="O488" s="39">
        <f>N488/N490</f>
        <v>0.24639076034648702</v>
      </c>
    </row>
    <row r="489" spans="1:15" x14ac:dyDescent="0.2">
      <c r="A489" s="26" t="s">
        <v>97</v>
      </c>
      <c r="B489" s="38">
        <v>103</v>
      </c>
      <c r="C489" s="39">
        <f>B489/B490</f>
        <v>0.51243781094527363</v>
      </c>
      <c r="D489" s="38">
        <v>8</v>
      </c>
      <c r="E489" s="39">
        <f>D489/D490</f>
        <v>0.53333333333333333</v>
      </c>
      <c r="F489" s="38">
        <v>3</v>
      </c>
      <c r="G489" s="39">
        <f>F489/F490</f>
        <v>0.23076923076923078</v>
      </c>
      <c r="H489" s="38">
        <v>195</v>
      </c>
      <c r="I489" s="39">
        <f>H489/H490</f>
        <v>0.52</v>
      </c>
      <c r="J489" s="38">
        <v>11</v>
      </c>
      <c r="K489" s="39">
        <f>J489/J490</f>
        <v>0.35483870967741937</v>
      </c>
      <c r="L489" s="38">
        <v>186</v>
      </c>
      <c r="M489" s="39">
        <f>L489/L490</f>
        <v>0.46039603960396042</v>
      </c>
      <c r="N489" s="29">
        <f>B489+D489+F489+H489+J489+L489</f>
        <v>506</v>
      </c>
      <c r="O489" s="39">
        <f>N489/N490</f>
        <v>0.48700673724735322</v>
      </c>
    </row>
    <row r="490" spans="1:15" x14ac:dyDescent="0.2">
      <c r="A490" s="108" t="s">
        <v>1</v>
      </c>
      <c r="B490" s="30">
        <f t="shared" ref="B490" si="166">SUM(B486:B489)</f>
        <v>201</v>
      </c>
      <c r="C490" s="41">
        <f>SUM(C486:C489)</f>
        <v>1</v>
      </c>
      <c r="D490" s="30">
        <f t="shared" ref="D490" si="167">SUM(D486:D489)</f>
        <v>15</v>
      </c>
      <c r="E490" s="41">
        <f>SUM(E486:E489)</f>
        <v>1</v>
      </c>
      <c r="F490" s="30">
        <f t="shared" ref="F490" si="168">SUM(F486:F489)</f>
        <v>13</v>
      </c>
      <c r="G490" s="41">
        <f>SUM(G486:G489)</f>
        <v>1</v>
      </c>
      <c r="H490" s="30">
        <f t="shared" ref="H490" si="169">SUM(H486:H489)</f>
        <v>375</v>
      </c>
      <c r="I490" s="41">
        <f>SUM(I486:I489)</f>
        <v>1</v>
      </c>
      <c r="J490" s="30">
        <f t="shared" ref="J490" si="170">SUM(J486:J489)</f>
        <v>31</v>
      </c>
      <c r="K490" s="41">
        <f>SUM(K486:K489)</f>
        <v>1</v>
      </c>
      <c r="L490" s="30">
        <f t="shared" ref="L490" si="171">SUM(L486:L489)</f>
        <v>404</v>
      </c>
      <c r="M490" s="41">
        <f>SUM(M486:M489)</f>
        <v>1</v>
      </c>
      <c r="N490" s="30">
        <f>SUM(N484:N489)</f>
        <v>1039</v>
      </c>
      <c r="O490" s="41">
        <f>SUM(O484:O489)</f>
        <v>1</v>
      </c>
    </row>
    <row r="491" spans="1:15" ht="24" x14ac:dyDescent="0.2">
      <c r="A491" s="108" t="s">
        <v>180</v>
      </c>
      <c r="B491" s="38"/>
      <c r="C491" s="65">
        <f>SUM(C486:C487)</f>
        <v>0.23383084577114427</v>
      </c>
      <c r="D491" s="123"/>
      <c r="E491" s="65">
        <f>SUM(E486:E487)</f>
        <v>0.33333333333333337</v>
      </c>
      <c r="F491" s="123"/>
      <c r="G491" s="65">
        <f>SUM(G486:G487)</f>
        <v>0.38461538461538464</v>
      </c>
      <c r="H491" s="123"/>
      <c r="I491" s="65">
        <f>SUM(I486:I487)</f>
        <v>0.23200000000000001</v>
      </c>
      <c r="J491" s="123"/>
      <c r="K491" s="65">
        <f>SUM(K486:K487)</f>
        <v>0.38709677419354838</v>
      </c>
      <c r="L491" s="123"/>
      <c r="M491" s="65">
        <f>SUM(M486:M487)</f>
        <v>0.29950495049504949</v>
      </c>
      <c r="N491" s="30"/>
      <c r="O491" s="65">
        <f>SUM(O486:O487)</f>
        <v>0.26660250240615979</v>
      </c>
    </row>
    <row r="493" spans="1:15" ht="24" x14ac:dyDescent="0.2">
      <c r="A493" s="108" t="s">
        <v>189</v>
      </c>
      <c r="B493" s="151" t="s">
        <v>128</v>
      </c>
      <c r="C493" s="151"/>
      <c r="D493" s="151" t="s">
        <v>99</v>
      </c>
      <c r="E493" s="151"/>
      <c r="F493" s="150" t="s">
        <v>176</v>
      </c>
      <c r="G493" s="150"/>
      <c r="H493" s="151" t="s">
        <v>101</v>
      </c>
      <c r="I493" s="151"/>
      <c r="J493" s="151" t="s">
        <v>100</v>
      </c>
      <c r="K493" s="151"/>
      <c r="L493" s="151" t="s">
        <v>126</v>
      </c>
      <c r="M493" s="151"/>
      <c r="N493" s="148" t="s">
        <v>1</v>
      </c>
      <c r="O493" s="148"/>
    </row>
    <row r="494" spans="1:15" x14ac:dyDescent="0.2">
      <c r="A494" s="26" t="s">
        <v>94</v>
      </c>
      <c r="B494" s="38">
        <v>85</v>
      </c>
      <c r="C494" s="39">
        <f>B494/B498</f>
        <v>0.32567049808429116</v>
      </c>
      <c r="D494" s="38">
        <v>10</v>
      </c>
      <c r="E494" s="39">
        <f>D494/D498</f>
        <v>0.58823529411764708</v>
      </c>
      <c r="F494" s="38">
        <v>5</v>
      </c>
      <c r="G494" s="39">
        <f>F494/F498</f>
        <v>0.29411764705882354</v>
      </c>
      <c r="H494" s="38">
        <v>125</v>
      </c>
      <c r="I494" s="39">
        <f>H494/H498</f>
        <v>0.25987525987525989</v>
      </c>
      <c r="J494" s="38">
        <v>25</v>
      </c>
      <c r="K494" s="39">
        <f>J494/J498</f>
        <v>0.5</v>
      </c>
      <c r="L494" s="38">
        <v>156</v>
      </c>
      <c r="M494" s="39">
        <f>L494/L498</f>
        <v>0.30409356725146197</v>
      </c>
      <c r="N494" s="29">
        <f>B494+D494+F494+H494+J494+L494</f>
        <v>406</v>
      </c>
      <c r="O494" s="39">
        <f>N494/N498</f>
        <v>0.3032113517550411</v>
      </c>
    </row>
    <row r="495" spans="1:15" x14ac:dyDescent="0.2">
      <c r="A495" s="26" t="s">
        <v>95</v>
      </c>
      <c r="B495" s="38">
        <v>99</v>
      </c>
      <c r="C495" s="39">
        <f>B495/B498</f>
        <v>0.37931034482758619</v>
      </c>
      <c r="D495" s="38">
        <v>2</v>
      </c>
      <c r="E495" s="39">
        <f>D495/D498</f>
        <v>0.11764705882352941</v>
      </c>
      <c r="F495" s="38">
        <v>7</v>
      </c>
      <c r="G495" s="39">
        <f>F495/F498</f>
        <v>0.41176470588235292</v>
      </c>
      <c r="H495" s="38">
        <v>188</v>
      </c>
      <c r="I495" s="39">
        <f>H495/H498</f>
        <v>0.39085239085239087</v>
      </c>
      <c r="J495" s="38">
        <v>11</v>
      </c>
      <c r="K495" s="39">
        <f>J495/J498</f>
        <v>0.22</v>
      </c>
      <c r="L495" s="38">
        <v>181</v>
      </c>
      <c r="M495" s="39">
        <f>L495/L498</f>
        <v>0.35282651072124754</v>
      </c>
      <c r="N495" s="29">
        <f>B495+D495+F495+H495+J495+L495</f>
        <v>488</v>
      </c>
      <c r="O495" s="39">
        <f>N495/N498</f>
        <v>0.36445108289768485</v>
      </c>
    </row>
    <row r="496" spans="1:15" x14ac:dyDescent="0.2">
      <c r="A496" s="26" t="s">
        <v>96</v>
      </c>
      <c r="B496" s="38">
        <v>31</v>
      </c>
      <c r="C496" s="39">
        <f>B496/B498</f>
        <v>0.11877394636015326</v>
      </c>
      <c r="D496" s="38">
        <v>2</v>
      </c>
      <c r="E496" s="39">
        <f>D496/D498</f>
        <v>0.11764705882352941</v>
      </c>
      <c r="F496" s="38">
        <v>2</v>
      </c>
      <c r="G496" s="39">
        <f>F496/F498</f>
        <v>0.11764705882352941</v>
      </c>
      <c r="H496" s="38">
        <v>59</v>
      </c>
      <c r="I496" s="39">
        <f>H496/H498</f>
        <v>0.12266112266112267</v>
      </c>
      <c r="J496" s="38">
        <v>7</v>
      </c>
      <c r="K496" s="39">
        <f>J496/J498</f>
        <v>0.14000000000000001</v>
      </c>
      <c r="L496" s="38">
        <v>75</v>
      </c>
      <c r="M496" s="39">
        <f>L496/L498</f>
        <v>0.14619883040935672</v>
      </c>
      <c r="N496" s="29">
        <f>B496+D496+F496+H496+J496+L496</f>
        <v>176</v>
      </c>
      <c r="O496" s="39">
        <f>N496/N498</f>
        <v>0.13144137415982077</v>
      </c>
    </row>
    <row r="497" spans="1:15" x14ac:dyDescent="0.2">
      <c r="A497" s="26" t="s">
        <v>97</v>
      </c>
      <c r="B497" s="38">
        <v>46</v>
      </c>
      <c r="C497" s="39">
        <f>B497/B498</f>
        <v>0.17624521072796934</v>
      </c>
      <c r="D497" s="38">
        <v>3</v>
      </c>
      <c r="E497" s="39">
        <f>D497/D498</f>
        <v>0.17647058823529413</v>
      </c>
      <c r="F497" s="38">
        <v>3</v>
      </c>
      <c r="G497" s="39">
        <f>F497/F498</f>
        <v>0.17647058823529413</v>
      </c>
      <c r="H497" s="38">
        <v>109</v>
      </c>
      <c r="I497" s="39">
        <f>H497/H498</f>
        <v>0.22661122661122662</v>
      </c>
      <c r="J497" s="38">
        <v>7</v>
      </c>
      <c r="K497" s="39">
        <f>J497/J498</f>
        <v>0.14000000000000001</v>
      </c>
      <c r="L497" s="38">
        <v>101</v>
      </c>
      <c r="M497" s="39">
        <f>L497/L498</f>
        <v>0.19688109161793371</v>
      </c>
      <c r="N497" s="29">
        <f>B497+D497+F497+H497+J497+L497</f>
        <v>269</v>
      </c>
      <c r="O497" s="39">
        <f>N497/N498</f>
        <v>0.20089619118745333</v>
      </c>
    </row>
    <row r="498" spans="1:15" x14ac:dyDescent="0.2">
      <c r="A498" s="108" t="s">
        <v>1</v>
      </c>
      <c r="B498" s="30">
        <f t="shared" ref="B498" si="172">SUM(B494:B497)</f>
        <v>261</v>
      </c>
      <c r="C498" s="41">
        <f>SUM(C494:C497)</f>
        <v>1</v>
      </c>
      <c r="D498" s="30">
        <f t="shared" ref="D498" si="173">SUM(D494:D497)</f>
        <v>17</v>
      </c>
      <c r="E498" s="41">
        <f>SUM(E494:E497)</f>
        <v>1</v>
      </c>
      <c r="F498" s="30">
        <f t="shared" ref="F498" si="174">SUM(F494:F497)</f>
        <v>17</v>
      </c>
      <c r="G498" s="41">
        <f>SUM(G494:G497)</f>
        <v>1</v>
      </c>
      <c r="H498" s="30">
        <f t="shared" ref="H498" si="175">SUM(H494:H497)</f>
        <v>481</v>
      </c>
      <c r="I498" s="41">
        <f>SUM(I494:I497)</f>
        <v>1</v>
      </c>
      <c r="J498" s="30">
        <f t="shared" ref="J498" si="176">SUM(J494:J497)</f>
        <v>50</v>
      </c>
      <c r="K498" s="41">
        <f>SUM(K494:K497)</f>
        <v>1</v>
      </c>
      <c r="L498" s="30">
        <f t="shared" ref="L498" si="177">SUM(L494:L497)</f>
        <v>513</v>
      </c>
      <c r="M498" s="41">
        <f>SUM(M494:M497)</f>
        <v>1</v>
      </c>
      <c r="N498" s="30">
        <f>SUM(N492:N497)</f>
        <v>1339</v>
      </c>
      <c r="O498" s="41">
        <f>SUM(O492:O497)</f>
        <v>1.0000000000000002</v>
      </c>
    </row>
    <row r="499" spans="1:15" ht="24" x14ac:dyDescent="0.2">
      <c r="A499" s="108" t="s">
        <v>180</v>
      </c>
      <c r="B499" s="38"/>
      <c r="C499" s="65">
        <f>SUM(C494:C495)</f>
        <v>0.70498084291187735</v>
      </c>
      <c r="D499" s="123"/>
      <c r="E499" s="65">
        <f>SUM(E494:E495)</f>
        <v>0.70588235294117652</v>
      </c>
      <c r="F499" s="123"/>
      <c r="G499" s="65">
        <f>SUM(G494:G495)</f>
        <v>0.70588235294117641</v>
      </c>
      <c r="H499" s="123"/>
      <c r="I499" s="65">
        <f>SUM(I494:I495)</f>
        <v>0.65072765072765071</v>
      </c>
      <c r="J499" s="123"/>
      <c r="K499" s="65">
        <f>SUM(K494:K495)</f>
        <v>0.72</v>
      </c>
      <c r="L499" s="123"/>
      <c r="M499" s="65">
        <f>SUM(M494:M495)</f>
        <v>0.65692007797270957</v>
      </c>
      <c r="N499" s="30"/>
      <c r="O499" s="65">
        <f>SUM(O494:O495)</f>
        <v>0.66766243465272601</v>
      </c>
    </row>
    <row r="502" spans="1:15" x14ac:dyDescent="0.2">
      <c r="A502" s="126" t="s">
        <v>190</v>
      </c>
    </row>
    <row r="503" spans="1:15" x14ac:dyDescent="0.2">
      <c r="A503" s="108" t="s">
        <v>191</v>
      </c>
      <c r="B503" s="151" t="s">
        <v>128</v>
      </c>
      <c r="C503" s="151"/>
      <c r="D503" s="151" t="s">
        <v>99</v>
      </c>
      <c r="E503" s="151"/>
      <c r="F503" s="150" t="s">
        <v>176</v>
      </c>
      <c r="G503" s="150"/>
      <c r="H503" s="151" t="s">
        <v>101</v>
      </c>
      <c r="I503" s="151"/>
      <c r="J503" s="151" t="s">
        <v>100</v>
      </c>
      <c r="K503" s="151"/>
      <c r="L503" s="151" t="s">
        <v>126</v>
      </c>
      <c r="M503" s="151"/>
      <c r="N503" s="148" t="s">
        <v>1</v>
      </c>
      <c r="O503" s="148"/>
    </row>
    <row r="504" spans="1:15" x14ac:dyDescent="0.2">
      <c r="A504" s="26" t="s">
        <v>192</v>
      </c>
      <c r="B504" s="38">
        <v>211</v>
      </c>
      <c r="C504" s="39">
        <f>B504/B509</f>
        <v>0.47309417040358742</v>
      </c>
      <c r="D504" s="38">
        <v>13</v>
      </c>
      <c r="E504" s="39">
        <f>D504/D509</f>
        <v>0.38235294117647056</v>
      </c>
      <c r="F504" s="38">
        <v>120</v>
      </c>
      <c r="G504" s="39">
        <f>F504/F509</f>
        <v>0.67796610169491522</v>
      </c>
      <c r="H504" s="38">
        <v>483</v>
      </c>
      <c r="I504" s="39">
        <f>H504/H509</f>
        <v>0.59409594095940954</v>
      </c>
      <c r="J504" s="38">
        <v>312</v>
      </c>
      <c r="K504" s="39">
        <f>J504/J509</f>
        <v>0.7839195979899497</v>
      </c>
      <c r="L504" s="38">
        <v>507</v>
      </c>
      <c r="M504" s="39">
        <f>L504/L509</f>
        <v>0.5715896279594137</v>
      </c>
      <c r="N504" s="29">
        <f>B504+D504+F504+H504+J504+L504</f>
        <v>1646</v>
      </c>
      <c r="O504" s="39">
        <f>N504/N509</f>
        <v>0.61235119047619047</v>
      </c>
    </row>
    <row r="505" spans="1:15" x14ac:dyDescent="0.2">
      <c r="A505" s="26" t="s">
        <v>193</v>
      </c>
      <c r="B505" s="38">
        <v>167</v>
      </c>
      <c r="C505" s="39">
        <f>B505/B509</f>
        <v>0.3744394618834081</v>
      </c>
      <c r="D505" s="38">
        <v>15</v>
      </c>
      <c r="E505" s="39">
        <f>D505/D509</f>
        <v>0.44117647058823528</v>
      </c>
      <c r="F505" s="38">
        <v>47</v>
      </c>
      <c r="G505" s="39">
        <f>F505/F509</f>
        <v>0.2655367231638418</v>
      </c>
      <c r="H505" s="38">
        <v>223</v>
      </c>
      <c r="I505" s="39">
        <f>H505/H509</f>
        <v>0.27429274292742928</v>
      </c>
      <c r="J505" s="38">
        <v>71</v>
      </c>
      <c r="K505" s="39">
        <f>J505/J509</f>
        <v>0.17839195979899497</v>
      </c>
      <c r="L505" s="38">
        <v>279</v>
      </c>
      <c r="M505" s="39">
        <f>L505/L509</f>
        <v>0.31454340473506198</v>
      </c>
      <c r="N505" s="29">
        <f>B505+D505+F505+H505+J505+L505</f>
        <v>802</v>
      </c>
      <c r="O505" s="39">
        <f>N505/N509</f>
        <v>0.29836309523809523</v>
      </c>
    </row>
    <row r="506" spans="1:15" x14ac:dyDescent="0.2">
      <c r="A506" s="26" t="s">
        <v>194</v>
      </c>
      <c r="B506" s="38">
        <v>43</v>
      </c>
      <c r="C506" s="39">
        <f>B506/B509</f>
        <v>9.641255605381166E-2</v>
      </c>
      <c r="D506" s="38">
        <v>4</v>
      </c>
      <c r="E506" s="39">
        <f>D506/D509</f>
        <v>0.11764705882352941</v>
      </c>
      <c r="F506" s="38">
        <v>4</v>
      </c>
      <c r="G506" s="39">
        <f>F506/F509</f>
        <v>2.2598870056497175E-2</v>
      </c>
      <c r="H506" s="38">
        <v>74</v>
      </c>
      <c r="I506" s="39">
        <f>H506/H509</f>
        <v>9.1020910209102093E-2</v>
      </c>
      <c r="J506" s="38">
        <v>5</v>
      </c>
      <c r="K506" s="39">
        <f>J506/J509</f>
        <v>1.2562814070351759E-2</v>
      </c>
      <c r="L506" s="38">
        <v>58</v>
      </c>
      <c r="M506" s="39">
        <f>L506/L509</f>
        <v>6.538895152198422E-2</v>
      </c>
      <c r="N506" s="29">
        <f>B506+D506+F506+H506+J506+L506</f>
        <v>188</v>
      </c>
      <c r="O506" s="39">
        <f>N506/N509</f>
        <v>6.9940476190476192E-2</v>
      </c>
    </row>
    <row r="507" spans="1:15" x14ac:dyDescent="0.2">
      <c r="A507" s="26" t="s">
        <v>195</v>
      </c>
      <c r="B507" s="38">
        <v>16</v>
      </c>
      <c r="C507" s="39">
        <f>B507/B509</f>
        <v>3.5874439461883408E-2</v>
      </c>
      <c r="D507" s="38">
        <v>2</v>
      </c>
      <c r="E507" s="39">
        <f>D507/D509</f>
        <v>5.8823529411764705E-2</v>
      </c>
      <c r="F507" s="38">
        <v>1</v>
      </c>
      <c r="G507" s="39">
        <f>F507/F509</f>
        <v>5.6497175141242938E-3</v>
      </c>
      <c r="H507" s="38">
        <v>18</v>
      </c>
      <c r="I507" s="39">
        <f>H507/H509</f>
        <v>2.2140221402214021E-2</v>
      </c>
      <c r="J507" s="38">
        <v>3</v>
      </c>
      <c r="K507" s="39">
        <f>J507/J509</f>
        <v>7.537688442211055E-3</v>
      </c>
      <c r="L507" s="38">
        <v>27</v>
      </c>
      <c r="M507" s="39">
        <f>L507/L509</f>
        <v>3.0439684329199548E-2</v>
      </c>
      <c r="N507" s="29"/>
      <c r="O507" s="39">
        <f>N507/N509</f>
        <v>0</v>
      </c>
    </row>
    <row r="508" spans="1:15" x14ac:dyDescent="0.2">
      <c r="A508" s="26" t="s">
        <v>196</v>
      </c>
      <c r="B508" s="38">
        <v>9</v>
      </c>
      <c r="C508" s="39">
        <f>B508/B509</f>
        <v>2.0179372197309416E-2</v>
      </c>
      <c r="D508" s="38"/>
      <c r="E508" s="39">
        <f>D508/D509</f>
        <v>0</v>
      </c>
      <c r="F508" s="38">
        <v>5</v>
      </c>
      <c r="G508" s="39">
        <f>F508/F509</f>
        <v>2.8248587570621469E-2</v>
      </c>
      <c r="H508" s="38">
        <v>15</v>
      </c>
      <c r="I508" s="39">
        <f>H508/H509</f>
        <v>1.8450184501845018E-2</v>
      </c>
      <c r="J508" s="38">
        <v>7</v>
      </c>
      <c r="K508" s="39">
        <f>J508/J509</f>
        <v>1.7587939698492462E-2</v>
      </c>
      <c r="L508" s="38">
        <v>16</v>
      </c>
      <c r="M508" s="39">
        <f>L508/L509</f>
        <v>1.8038331454340473E-2</v>
      </c>
      <c r="N508" s="29">
        <f>B508+D508+F508+H508+J508+L508</f>
        <v>52</v>
      </c>
      <c r="O508" s="39">
        <f>N508/N509</f>
        <v>1.9345238095238096E-2</v>
      </c>
    </row>
    <row r="509" spans="1:15" x14ac:dyDescent="0.2">
      <c r="A509" s="108" t="s">
        <v>1</v>
      </c>
      <c r="B509" s="38">
        <f t="shared" ref="B509:M509" si="178">SUM(B504:B508)</f>
        <v>446</v>
      </c>
      <c r="C509" s="39">
        <f t="shared" si="178"/>
        <v>0.99999999999999989</v>
      </c>
      <c r="D509" s="38">
        <f t="shared" si="178"/>
        <v>34</v>
      </c>
      <c r="E509" s="39">
        <f t="shared" si="178"/>
        <v>1</v>
      </c>
      <c r="F509" s="38">
        <f t="shared" si="178"/>
        <v>177</v>
      </c>
      <c r="G509" s="39">
        <f t="shared" si="178"/>
        <v>0.99999999999999989</v>
      </c>
      <c r="H509" s="38">
        <f t="shared" si="178"/>
        <v>813</v>
      </c>
      <c r="I509" s="39">
        <f t="shared" si="178"/>
        <v>1</v>
      </c>
      <c r="J509" s="38">
        <f t="shared" si="178"/>
        <v>398</v>
      </c>
      <c r="K509" s="39">
        <f t="shared" si="178"/>
        <v>1</v>
      </c>
      <c r="L509" s="38">
        <f t="shared" si="178"/>
        <v>887</v>
      </c>
      <c r="M509" s="39">
        <f t="shared" si="178"/>
        <v>0.99999999999999978</v>
      </c>
      <c r="N509" s="30">
        <f>SUM(N502:N508)</f>
        <v>2688</v>
      </c>
      <c r="O509" s="41">
        <f>SUM(O502:O508)</f>
        <v>1</v>
      </c>
    </row>
    <row r="510" spans="1:15" x14ac:dyDescent="0.2">
      <c r="A510" s="108" t="s">
        <v>197</v>
      </c>
      <c r="B510" s="38"/>
      <c r="C510" s="65">
        <f>SUM(C504:C506)</f>
        <v>0.94394618834080712</v>
      </c>
      <c r="D510" s="38"/>
      <c r="E510" s="65">
        <f>SUM(E504:E506)</f>
        <v>0.94117647058823528</v>
      </c>
      <c r="F510" s="38"/>
      <c r="G510" s="65">
        <f>SUM(G504:G506)</f>
        <v>0.96610169491525422</v>
      </c>
      <c r="H510" s="38"/>
      <c r="I510" s="65">
        <f>SUM(I504:I506)</f>
        <v>0.95940959409594095</v>
      </c>
      <c r="J510" s="38"/>
      <c r="K510" s="65">
        <f>SUM(K504:K506)</f>
        <v>0.97487437185929648</v>
      </c>
      <c r="L510" s="38"/>
      <c r="M510" s="65">
        <f>SUM(M504:M506)</f>
        <v>0.95152198421645984</v>
      </c>
      <c r="N510" s="30"/>
      <c r="O510" s="65">
        <f>SUM(O504:O506)</f>
        <v>0.98065476190476186</v>
      </c>
    </row>
    <row r="512" spans="1:15" x14ac:dyDescent="0.2">
      <c r="A512" s="108" t="s">
        <v>198</v>
      </c>
      <c r="B512" s="151" t="s">
        <v>128</v>
      </c>
      <c r="C512" s="151"/>
      <c r="D512" s="151" t="s">
        <v>99</v>
      </c>
      <c r="E512" s="151"/>
      <c r="F512" s="150" t="s">
        <v>176</v>
      </c>
      <c r="G512" s="150"/>
      <c r="H512" s="151" t="s">
        <v>101</v>
      </c>
      <c r="I512" s="151"/>
      <c r="J512" s="151" t="s">
        <v>100</v>
      </c>
      <c r="K512" s="151"/>
      <c r="L512" s="151" t="s">
        <v>126</v>
      </c>
      <c r="M512" s="151"/>
      <c r="N512" s="148" t="s">
        <v>1</v>
      </c>
      <c r="O512" s="148"/>
    </row>
    <row r="513" spans="1:15" x14ac:dyDescent="0.2">
      <c r="A513" s="26" t="s">
        <v>192</v>
      </c>
      <c r="B513" s="38">
        <v>120</v>
      </c>
      <c r="C513" s="39">
        <f>B513/B518</f>
        <v>0.26905829596412556</v>
      </c>
      <c r="D513" s="38">
        <v>12</v>
      </c>
      <c r="E513" s="39">
        <f>D513/D518</f>
        <v>0.35294117647058826</v>
      </c>
      <c r="F513" s="38">
        <v>92</v>
      </c>
      <c r="G513" s="39">
        <f>F513/F518</f>
        <v>0.51111111111111107</v>
      </c>
      <c r="H513" s="38">
        <v>258</v>
      </c>
      <c r="I513" s="39">
        <f>H513/H518</f>
        <v>0.31773399014778325</v>
      </c>
      <c r="J513" s="38">
        <v>169</v>
      </c>
      <c r="K513" s="39">
        <f>J513/J518</f>
        <v>0.4256926952141058</v>
      </c>
      <c r="L513" s="38">
        <v>288</v>
      </c>
      <c r="M513" s="39">
        <f>L513/L518</f>
        <v>0.32579185520361992</v>
      </c>
      <c r="N513" s="29">
        <f>B513+D513+F513+H513+J513+L513</f>
        <v>939</v>
      </c>
      <c r="O513" s="39">
        <f>N513/N518</f>
        <v>0.42145421903052066</v>
      </c>
    </row>
    <row r="514" spans="1:15" x14ac:dyDescent="0.2">
      <c r="A514" s="26" t="s">
        <v>193</v>
      </c>
      <c r="B514" s="38">
        <v>130</v>
      </c>
      <c r="C514" s="39">
        <f>B514/B518</f>
        <v>0.2914798206278027</v>
      </c>
      <c r="D514" s="38">
        <v>7</v>
      </c>
      <c r="E514" s="39">
        <f>D514/D518</f>
        <v>0.20588235294117646</v>
      </c>
      <c r="F514" s="38">
        <v>34</v>
      </c>
      <c r="G514" s="39">
        <f>F514/F518</f>
        <v>0.18888888888888888</v>
      </c>
      <c r="H514" s="38">
        <v>200</v>
      </c>
      <c r="I514" s="39">
        <f>H514/H518</f>
        <v>0.24630541871921183</v>
      </c>
      <c r="J514" s="38">
        <v>66</v>
      </c>
      <c r="K514" s="39">
        <f>J514/J518</f>
        <v>0.16624685138539042</v>
      </c>
      <c r="L514" s="38">
        <v>240</v>
      </c>
      <c r="M514" s="39">
        <f>L514/L518</f>
        <v>0.27149321266968324</v>
      </c>
      <c r="N514" s="29">
        <f>B514+D514+F514+H514+J514+L514</f>
        <v>677</v>
      </c>
      <c r="O514" s="39">
        <f>N514/N518</f>
        <v>0.30385996409335725</v>
      </c>
    </row>
    <row r="515" spans="1:15" x14ac:dyDescent="0.2">
      <c r="A515" s="26" t="s">
        <v>194</v>
      </c>
      <c r="B515" s="38">
        <v>101</v>
      </c>
      <c r="C515" s="39">
        <f>B515/B518</f>
        <v>0.226457399103139</v>
      </c>
      <c r="D515" s="38">
        <v>5</v>
      </c>
      <c r="E515" s="39">
        <f>D515/D518</f>
        <v>0.14705882352941177</v>
      </c>
      <c r="F515" s="38">
        <v>20</v>
      </c>
      <c r="G515" s="39">
        <f>F515/F518</f>
        <v>0.1111111111111111</v>
      </c>
      <c r="H515" s="38">
        <v>171</v>
      </c>
      <c r="I515" s="39">
        <f>H515/H518</f>
        <v>0.2105911330049261</v>
      </c>
      <c r="J515" s="38">
        <v>69</v>
      </c>
      <c r="K515" s="39">
        <f>J515/J518</f>
        <v>0.17380352644836272</v>
      </c>
      <c r="L515" s="38">
        <v>174</v>
      </c>
      <c r="M515" s="39">
        <f>L515/L518</f>
        <v>0.19683257918552036</v>
      </c>
      <c r="N515" s="29">
        <f>B515+D515+F515+H515+J515+L515</f>
        <v>540</v>
      </c>
      <c r="O515" s="39">
        <f>N515/N518</f>
        <v>0.24236983842010773</v>
      </c>
    </row>
    <row r="516" spans="1:15" x14ac:dyDescent="0.2">
      <c r="A516" s="26" t="s">
        <v>195</v>
      </c>
      <c r="B516" s="38">
        <v>85</v>
      </c>
      <c r="C516" s="39">
        <f>B516/B518</f>
        <v>0.1905829596412556</v>
      </c>
      <c r="D516" s="38">
        <v>8</v>
      </c>
      <c r="E516" s="39">
        <f>D516/D518</f>
        <v>0.23529411764705882</v>
      </c>
      <c r="F516" s="38">
        <v>28</v>
      </c>
      <c r="G516" s="39">
        <f>F516/F518</f>
        <v>0.15555555555555556</v>
      </c>
      <c r="H516" s="38">
        <v>165</v>
      </c>
      <c r="I516" s="39">
        <f>H516/H518</f>
        <v>0.20320197044334976</v>
      </c>
      <c r="J516" s="38">
        <v>76</v>
      </c>
      <c r="K516" s="39">
        <f>J516/J518</f>
        <v>0.19143576826196473</v>
      </c>
      <c r="L516" s="38">
        <v>163</v>
      </c>
      <c r="M516" s="39">
        <f>L516/L518</f>
        <v>0.18438914027149322</v>
      </c>
      <c r="N516" s="29"/>
      <c r="O516" s="39">
        <f>N516/N518</f>
        <v>0</v>
      </c>
    </row>
    <row r="517" spans="1:15" x14ac:dyDescent="0.2">
      <c r="A517" s="26" t="s">
        <v>196</v>
      </c>
      <c r="B517" s="38">
        <v>10</v>
      </c>
      <c r="C517" s="39">
        <f>B517/B518</f>
        <v>2.2421524663677129E-2</v>
      </c>
      <c r="D517" s="38">
        <v>2</v>
      </c>
      <c r="E517" s="39">
        <f>D517/D518</f>
        <v>5.8823529411764705E-2</v>
      </c>
      <c r="F517" s="38">
        <v>6</v>
      </c>
      <c r="G517" s="39">
        <f>F517/F518</f>
        <v>3.3333333333333333E-2</v>
      </c>
      <c r="H517" s="38">
        <v>18</v>
      </c>
      <c r="I517" s="39">
        <f>H517/H518</f>
        <v>2.2167487684729065E-2</v>
      </c>
      <c r="J517" s="38">
        <v>17</v>
      </c>
      <c r="K517" s="39">
        <f>J517/J518</f>
        <v>4.2821158690176324E-2</v>
      </c>
      <c r="L517" s="38">
        <v>19</v>
      </c>
      <c r="M517" s="39">
        <f>L517/L518</f>
        <v>2.1493212669683258E-2</v>
      </c>
      <c r="N517" s="29">
        <f>B517+D517+F517+H517+J517+L517</f>
        <v>72</v>
      </c>
      <c r="O517" s="39">
        <f>N517/N518</f>
        <v>3.231597845601436E-2</v>
      </c>
    </row>
    <row r="518" spans="1:15" x14ac:dyDescent="0.2">
      <c r="A518" s="108" t="s">
        <v>1</v>
      </c>
      <c r="B518" s="38">
        <f t="shared" ref="B518:M518" si="179">SUM(B513:B517)</f>
        <v>446</v>
      </c>
      <c r="C518" s="39">
        <f t="shared" si="179"/>
        <v>1</v>
      </c>
      <c r="D518" s="38">
        <f t="shared" si="179"/>
        <v>34</v>
      </c>
      <c r="E518" s="39">
        <f t="shared" si="179"/>
        <v>1</v>
      </c>
      <c r="F518" s="38">
        <f t="shared" si="179"/>
        <v>180</v>
      </c>
      <c r="G518" s="39">
        <f t="shared" si="179"/>
        <v>1</v>
      </c>
      <c r="H518" s="38">
        <f t="shared" si="179"/>
        <v>812</v>
      </c>
      <c r="I518" s="39">
        <f t="shared" si="179"/>
        <v>1</v>
      </c>
      <c r="J518" s="38">
        <f t="shared" si="179"/>
        <v>397</v>
      </c>
      <c r="K518" s="39">
        <f t="shared" si="179"/>
        <v>1</v>
      </c>
      <c r="L518" s="38">
        <f t="shared" si="179"/>
        <v>884</v>
      </c>
      <c r="M518" s="39">
        <f t="shared" si="179"/>
        <v>1</v>
      </c>
      <c r="N518" s="30">
        <f>SUM(N511:N517)</f>
        <v>2228</v>
      </c>
      <c r="O518" s="41">
        <f>SUM(O511:O517)</f>
        <v>1</v>
      </c>
    </row>
    <row r="519" spans="1:15" x14ac:dyDescent="0.2">
      <c r="A519" s="108" t="s">
        <v>197</v>
      </c>
      <c r="B519" s="38"/>
      <c r="C519" s="65">
        <f>SUM(C513:C515)</f>
        <v>0.78699551569506732</v>
      </c>
      <c r="D519" s="38"/>
      <c r="E519" s="65">
        <f>SUM(E513:E515)</f>
        <v>0.70588235294117652</v>
      </c>
      <c r="F519" s="38"/>
      <c r="G519" s="65">
        <f>SUM(G513:G515)</f>
        <v>0.81111111111111112</v>
      </c>
      <c r="H519" s="38"/>
      <c r="I519" s="65">
        <f>SUM(I513:I515)</f>
        <v>0.77463054187192126</v>
      </c>
      <c r="J519" s="38"/>
      <c r="K519" s="65">
        <f>SUM(K513:K515)</f>
        <v>0.76574307304785894</v>
      </c>
      <c r="L519" s="38"/>
      <c r="M519" s="65">
        <f>SUM(M513:M515)</f>
        <v>0.79411764705882348</v>
      </c>
      <c r="N519" s="30"/>
      <c r="O519" s="65">
        <f>SUM(O513:O515)</f>
        <v>0.96768402154398558</v>
      </c>
    </row>
    <row r="521" spans="1:15" x14ac:dyDescent="0.2">
      <c r="A521" s="108" t="s">
        <v>199</v>
      </c>
      <c r="B521" s="151" t="s">
        <v>128</v>
      </c>
      <c r="C521" s="151"/>
      <c r="D521" s="151" t="s">
        <v>99</v>
      </c>
      <c r="E521" s="151"/>
      <c r="F521" s="150" t="s">
        <v>176</v>
      </c>
      <c r="G521" s="150"/>
      <c r="H521" s="151" t="s">
        <v>101</v>
      </c>
      <c r="I521" s="151"/>
      <c r="J521" s="151" t="s">
        <v>100</v>
      </c>
      <c r="K521" s="151"/>
      <c r="L521" s="151" t="s">
        <v>126</v>
      </c>
      <c r="M521" s="151"/>
      <c r="N521" s="148" t="s">
        <v>1</v>
      </c>
      <c r="O521" s="148"/>
    </row>
    <row r="522" spans="1:15" x14ac:dyDescent="0.2">
      <c r="A522" s="26" t="s">
        <v>192</v>
      </c>
      <c r="B522" s="38">
        <v>249</v>
      </c>
      <c r="C522" s="39">
        <f>B522/B527</f>
        <v>0.58313817330210771</v>
      </c>
      <c r="D522" s="38">
        <v>15</v>
      </c>
      <c r="E522" s="39">
        <f>D522/D527</f>
        <v>0.44117647058823528</v>
      </c>
      <c r="F522" s="38">
        <v>107</v>
      </c>
      <c r="G522" s="39">
        <f>F522/F527</f>
        <v>0.61494252873563215</v>
      </c>
      <c r="H522" s="38">
        <v>540</v>
      </c>
      <c r="I522" s="39">
        <f>H522/H527</f>
        <v>0.67247820672478209</v>
      </c>
      <c r="J522" s="38">
        <v>229</v>
      </c>
      <c r="K522" s="39">
        <f>J522/J527</f>
        <v>0.59020618556701032</v>
      </c>
      <c r="L522" s="38">
        <v>545</v>
      </c>
      <c r="M522" s="39">
        <f>L522/L527</f>
        <v>0.625</v>
      </c>
      <c r="N522" s="29">
        <f>B522+D522+F522+H522+J522+L522</f>
        <v>1685</v>
      </c>
      <c r="O522" s="39">
        <f>N522/N527</f>
        <v>0.66026645768025083</v>
      </c>
    </row>
    <row r="523" spans="1:15" x14ac:dyDescent="0.2">
      <c r="A523" s="26" t="s">
        <v>193</v>
      </c>
      <c r="B523" s="38">
        <v>35</v>
      </c>
      <c r="C523" s="39">
        <f>B523/B527</f>
        <v>8.1967213114754092E-2</v>
      </c>
      <c r="D523" s="38">
        <v>6</v>
      </c>
      <c r="E523" s="39">
        <f>D523/D527</f>
        <v>0.17647058823529413</v>
      </c>
      <c r="F523" s="38">
        <v>15</v>
      </c>
      <c r="G523" s="39">
        <f>F523/F527</f>
        <v>8.6206896551724144E-2</v>
      </c>
      <c r="H523" s="38">
        <v>53</v>
      </c>
      <c r="I523" s="39">
        <f>H523/H527</f>
        <v>6.6002490660024907E-2</v>
      </c>
      <c r="J523" s="38">
        <v>23</v>
      </c>
      <c r="K523" s="39">
        <f>J523/J527</f>
        <v>5.9278350515463915E-2</v>
      </c>
      <c r="L523" s="38">
        <v>49</v>
      </c>
      <c r="M523" s="39">
        <f>L523/L527</f>
        <v>5.6192660550458719E-2</v>
      </c>
      <c r="N523" s="29">
        <f>B523+D523+F523+H523+J523+L523</f>
        <v>181</v>
      </c>
      <c r="O523" s="39">
        <f>N523/N527</f>
        <v>7.0924764890282127E-2</v>
      </c>
    </row>
    <row r="524" spans="1:15" x14ac:dyDescent="0.2">
      <c r="A524" s="26" t="s">
        <v>194</v>
      </c>
      <c r="B524" s="38">
        <v>13</v>
      </c>
      <c r="C524" s="39">
        <f>B524/B527</f>
        <v>3.0444964871194378E-2</v>
      </c>
      <c r="D524" s="38">
        <v>2</v>
      </c>
      <c r="E524" s="39">
        <f>D524/D527</f>
        <v>5.8823529411764705E-2</v>
      </c>
      <c r="F524" s="38">
        <v>5</v>
      </c>
      <c r="G524" s="39">
        <f>F524/F527</f>
        <v>2.8735632183908046E-2</v>
      </c>
      <c r="H524" s="38">
        <v>14</v>
      </c>
      <c r="I524" s="39">
        <f>H524/H527</f>
        <v>1.7434620174346202E-2</v>
      </c>
      <c r="J524" s="38">
        <v>12</v>
      </c>
      <c r="K524" s="39">
        <f>J524/J527</f>
        <v>3.0927835051546393E-2</v>
      </c>
      <c r="L524" s="38">
        <v>33</v>
      </c>
      <c r="M524" s="39">
        <f>L524/L527</f>
        <v>3.7844036697247709E-2</v>
      </c>
      <c r="N524" s="29">
        <f>B524+D524+F524+H524+J524+L524</f>
        <v>79</v>
      </c>
      <c r="O524" s="39">
        <f>N524/N527</f>
        <v>3.0956112852664575E-2</v>
      </c>
    </row>
    <row r="525" spans="1:15" x14ac:dyDescent="0.2">
      <c r="A525" s="26" t="s">
        <v>195</v>
      </c>
      <c r="B525" s="38">
        <v>24</v>
      </c>
      <c r="C525" s="39">
        <f>B525/B527</f>
        <v>5.6206088992974239E-2</v>
      </c>
      <c r="D525" s="38"/>
      <c r="E525" s="39">
        <f>D525/D527</f>
        <v>0</v>
      </c>
      <c r="F525" s="38">
        <v>7</v>
      </c>
      <c r="G525" s="39">
        <f>F525/F527</f>
        <v>4.0229885057471264E-2</v>
      </c>
      <c r="H525" s="38">
        <v>41</v>
      </c>
      <c r="I525" s="39">
        <f>H525/H527</f>
        <v>5.1058530510585308E-2</v>
      </c>
      <c r="J525" s="38">
        <v>17</v>
      </c>
      <c r="K525" s="39">
        <f>J525/J527</f>
        <v>4.3814432989690719E-2</v>
      </c>
      <c r="L525" s="38">
        <v>57</v>
      </c>
      <c r="M525" s="39">
        <f>L525/L527</f>
        <v>6.5366972477064217E-2</v>
      </c>
      <c r="N525" s="29"/>
      <c r="O525" s="39">
        <f>N525/N527</f>
        <v>0</v>
      </c>
    </row>
    <row r="526" spans="1:15" x14ac:dyDescent="0.2">
      <c r="A526" s="26" t="s">
        <v>196</v>
      </c>
      <c r="B526" s="38">
        <v>106</v>
      </c>
      <c r="C526" s="39">
        <f>B526/B527</f>
        <v>0.24824355971896955</v>
      </c>
      <c r="D526" s="38">
        <v>11</v>
      </c>
      <c r="E526" s="39">
        <f>D526/D527</f>
        <v>0.3235294117647059</v>
      </c>
      <c r="F526" s="38">
        <v>40</v>
      </c>
      <c r="G526" s="39">
        <f>F526/F527</f>
        <v>0.22988505747126436</v>
      </c>
      <c r="H526" s="38">
        <v>155</v>
      </c>
      <c r="I526" s="39">
        <f>H526/H527</f>
        <v>0.19302615193026151</v>
      </c>
      <c r="J526" s="38">
        <v>107</v>
      </c>
      <c r="K526" s="39">
        <f>J526/J527</f>
        <v>0.27577319587628868</v>
      </c>
      <c r="L526" s="38">
        <v>188</v>
      </c>
      <c r="M526" s="39">
        <f>L526/L527</f>
        <v>0.21559633027522937</v>
      </c>
      <c r="N526" s="29">
        <f>B526+D526+F526+H526+J526+L526</f>
        <v>607</v>
      </c>
      <c r="O526" s="39">
        <f>N526/N527</f>
        <v>0.23785266457680251</v>
      </c>
    </row>
    <row r="527" spans="1:15" x14ac:dyDescent="0.2">
      <c r="A527" s="108" t="s">
        <v>1</v>
      </c>
      <c r="B527" s="38">
        <f t="shared" ref="B527:M527" si="180">SUM(B522:B526)</f>
        <v>427</v>
      </c>
      <c r="C527" s="39">
        <f t="shared" si="180"/>
        <v>1</v>
      </c>
      <c r="D527" s="38">
        <f t="shared" si="180"/>
        <v>34</v>
      </c>
      <c r="E527" s="39">
        <f t="shared" si="180"/>
        <v>1</v>
      </c>
      <c r="F527" s="38">
        <f t="shared" si="180"/>
        <v>174</v>
      </c>
      <c r="G527" s="39">
        <f t="shared" si="180"/>
        <v>1</v>
      </c>
      <c r="H527" s="38">
        <f t="shared" si="180"/>
        <v>803</v>
      </c>
      <c r="I527" s="39">
        <f t="shared" si="180"/>
        <v>1</v>
      </c>
      <c r="J527" s="38">
        <f t="shared" si="180"/>
        <v>388</v>
      </c>
      <c r="K527" s="39">
        <f t="shared" si="180"/>
        <v>1</v>
      </c>
      <c r="L527" s="38">
        <f t="shared" si="180"/>
        <v>872</v>
      </c>
      <c r="M527" s="39">
        <f t="shared" si="180"/>
        <v>1</v>
      </c>
      <c r="N527" s="30">
        <f>SUM(N520:N526)</f>
        <v>2552</v>
      </c>
      <c r="O527" s="41">
        <f>SUM(O520:O526)</f>
        <v>1</v>
      </c>
    </row>
    <row r="528" spans="1:15" x14ac:dyDescent="0.2">
      <c r="A528" s="108" t="s">
        <v>197</v>
      </c>
      <c r="B528" s="38"/>
      <c r="C528" s="65">
        <f>SUM(C522:C524)</f>
        <v>0.6955503512880562</v>
      </c>
      <c r="D528" s="38"/>
      <c r="E528" s="65">
        <f>SUM(E522:E524)</f>
        <v>0.67647058823529416</v>
      </c>
      <c r="F528" s="38"/>
      <c r="G528" s="65">
        <f>SUM(G522:G524)</f>
        <v>0.72988505747126431</v>
      </c>
      <c r="H528" s="38"/>
      <c r="I528" s="65">
        <f>SUM(I522:I524)</f>
        <v>0.7559153175591532</v>
      </c>
      <c r="J528" s="38"/>
      <c r="K528" s="65">
        <f>SUM(K522:K524)</f>
        <v>0.68041237113402064</v>
      </c>
      <c r="L528" s="38"/>
      <c r="M528" s="65">
        <f>SUM(M522:M524)</f>
        <v>0.71903669724770636</v>
      </c>
      <c r="N528" s="30"/>
      <c r="O528" s="65">
        <f>SUM(O522:O524)</f>
        <v>0.76214733542319746</v>
      </c>
    </row>
    <row r="530" spans="1:15" x14ac:dyDescent="0.2">
      <c r="A530" s="108" t="s">
        <v>200</v>
      </c>
      <c r="B530" s="151" t="s">
        <v>128</v>
      </c>
      <c r="C530" s="151"/>
      <c r="D530" s="151" t="s">
        <v>99</v>
      </c>
      <c r="E530" s="151"/>
      <c r="F530" s="150" t="s">
        <v>176</v>
      </c>
      <c r="G530" s="150"/>
      <c r="H530" s="151" t="s">
        <v>101</v>
      </c>
      <c r="I530" s="151"/>
      <c r="J530" s="151" t="s">
        <v>100</v>
      </c>
      <c r="K530" s="151"/>
      <c r="L530" s="151" t="s">
        <v>126</v>
      </c>
      <c r="M530" s="151"/>
      <c r="N530" s="148" t="s">
        <v>1</v>
      </c>
      <c r="O530" s="148"/>
    </row>
    <row r="531" spans="1:15" x14ac:dyDescent="0.2">
      <c r="A531" s="26" t="s">
        <v>192</v>
      </c>
      <c r="B531" s="38">
        <v>59</v>
      </c>
      <c r="C531" s="39">
        <f>B531/B536</f>
        <v>0.13439635535307518</v>
      </c>
      <c r="D531" s="38">
        <v>9</v>
      </c>
      <c r="E531" s="39">
        <f>D531/D536</f>
        <v>0.27272727272727271</v>
      </c>
      <c r="F531" s="38">
        <v>38</v>
      </c>
      <c r="G531" s="39">
        <f>F531/F536</f>
        <v>0.21229050279329609</v>
      </c>
      <c r="H531" s="38">
        <v>137</v>
      </c>
      <c r="I531" s="39">
        <f>H531/H536</f>
        <v>0.16955445544554457</v>
      </c>
      <c r="J531" s="38">
        <v>55</v>
      </c>
      <c r="K531" s="39">
        <f>J531/J536</f>
        <v>0.1388888888888889</v>
      </c>
      <c r="L531" s="38">
        <v>129</v>
      </c>
      <c r="M531" s="39">
        <f>L531/L536</f>
        <v>0.14675767918088736</v>
      </c>
      <c r="N531" s="29">
        <f>B531+D531+F531+H531+J531+L531</f>
        <v>427</v>
      </c>
      <c r="O531" s="39">
        <f>N531/N536</f>
        <v>0.20528846153846153</v>
      </c>
    </row>
    <row r="532" spans="1:15" x14ac:dyDescent="0.2">
      <c r="A532" s="26" t="s">
        <v>193</v>
      </c>
      <c r="B532" s="38">
        <v>93</v>
      </c>
      <c r="C532" s="39">
        <f>B532/B536</f>
        <v>0.21184510250569477</v>
      </c>
      <c r="D532" s="38">
        <v>5</v>
      </c>
      <c r="E532" s="39">
        <f>D532/D536</f>
        <v>0.15151515151515152</v>
      </c>
      <c r="F532" s="38">
        <v>29</v>
      </c>
      <c r="G532" s="39">
        <f>F532/F536</f>
        <v>0.16201117318435754</v>
      </c>
      <c r="H532" s="38">
        <v>145</v>
      </c>
      <c r="I532" s="39">
        <f>H532/H536</f>
        <v>0.17945544554455445</v>
      </c>
      <c r="J532" s="38">
        <v>57</v>
      </c>
      <c r="K532" s="39">
        <f>J532/J536</f>
        <v>0.14393939393939395</v>
      </c>
      <c r="L532" s="38">
        <v>161</v>
      </c>
      <c r="M532" s="39">
        <f>L532/L536</f>
        <v>0.18316268486916951</v>
      </c>
      <c r="N532" s="29">
        <f>B532+D532+F532+H532+J532+L532</f>
        <v>490</v>
      </c>
      <c r="O532" s="39">
        <f>N532/N536</f>
        <v>0.23557692307692307</v>
      </c>
    </row>
    <row r="533" spans="1:15" x14ac:dyDescent="0.2">
      <c r="A533" s="26" t="s">
        <v>194</v>
      </c>
      <c r="B533" s="38">
        <v>107</v>
      </c>
      <c r="C533" s="39">
        <f>B533/B536</f>
        <v>0.24373576309794989</v>
      </c>
      <c r="D533" s="38">
        <v>6</v>
      </c>
      <c r="E533" s="39">
        <f>D533/D536</f>
        <v>0.18181818181818182</v>
      </c>
      <c r="F533" s="38">
        <v>42</v>
      </c>
      <c r="G533" s="39">
        <f>F533/F536</f>
        <v>0.23463687150837989</v>
      </c>
      <c r="H533" s="38">
        <v>181</v>
      </c>
      <c r="I533" s="39">
        <f>H533/H536</f>
        <v>0.22400990099009901</v>
      </c>
      <c r="J533" s="38">
        <v>97</v>
      </c>
      <c r="K533" s="39">
        <f>J533/J536</f>
        <v>0.24494949494949494</v>
      </c>
      <c r="L533" s="38">
        <v>219</v>
      </c>
      <c r="M533" s="39">
        <f>L533/L536</f>
        <v>0.24914675767918087</v>
      </c>
      <c r="N533" s="29">
        <f>B533+D533+F533+H533+J533+L533</f>
        <v>652</v>
      </c>
      <c r="O533" s="39">
        <f>N533/N536</f>
        <v>0.31346153846153846</v>
      </c>
    </row>
    <row r="534" spans="1:15" x14ac:dyDescent="0.2">
      <c r="A534" s="26" t="s">
        <v>195</v>
      </c>
      <c r="B534" s="38">
        <v>102</v>
      </c>
      <c r="C534" s="39">
        <f>B534/B536</f>
        <v>0.23234624145785876</v>
      </c>
      <c r="D534" s="38">
        <v>7</v>
      </c>
      <c r="E534" s="39">
        <f>D534/D536</f>
        <v>0.21212121212121213</v>
      </c>
      <c r="F534" s="38">
        <v>34</v>
      </c>
      <c r="G534" s="39">
        <f>F534/F536</f>
        <v>0.18994413407821228</v>
      </c>
      <c r="H534" s="38">
        <v>201</v>
      </c>
      <c r="I534" s="39">
        <f>H534/H536</f>
        <v>0.24876237623762376</v>
      </c>
      <c r="J534" s="38">
        <v>104</v>
      </c>
      <c r="K534" s="39">
        <f>J534/J536</f>
        <v>0.26262626262626265</v>
      </c>
      <c r="L534" s="38">
        <v>206</v>
      </c>
      <c r="M534" s="39">
        <f>L534/L536</f>
        <v>0.23435722411831628</v>
      </c>
      <c r="N534" s="29"/>
      <c r="O534" s="39">
        <f>N534/N536</f>
        <v>0</v>
      </c>
    </row>
    <row r="535" spans="1:15" x14ac:dyDescent="0.2">
      <c r="A535" s="26" t="s">
        <v>196</v>
      </c>
      <c r="B535" s="38">
        <v>78</v>
      </c>
      <c r="C535" s="39">
        <f>B535/B536</f>
        <v>0.1776765375854214</v>
      </c>
      <c r="D535" s="38">
        <v>6</v>
      </c>
      <c r="E535" s="39">
        <f>D535/D536</f>
        <v>0.18181818181818182</v>
      </c>
      <c r="F535" s="38">
        <v>36</v>
      </c>
      <c r="G535" s="39">
        <f>F535/F536</f>
        <v>0.2011173184357542</v>
      </c>
      <c r="H535" s="38">
        <v>144</v>
      </c>
      <c r="I535" s="39">
        <f>H535/H536</f>
        <v>0.17821782178217821</v>
      </c>
      <c r="J535" s="38">
        <v>83</v>
      </c>
      <c r="K535" s="39">
        <f>J535/J536</f>
        <v>0.20959595959595959</v>
      </c>
      <c r="L535" s="38">
        <v>164</v>
      </c>
      <c r="M535" s="39">
        <f>L535/L536</f>
        <v>0.18657565415244595</v>
      </c>
      <c r="N535" s="29">
        <f>B535+D535+F535+H535+J535+L535</f>
        <v>511</v>
      </c>
      <c r="O535" s="39">
        <f>N535/N536</f>
        <v>0.24567307692307691</v>
      </c>
    </row>
    <row r="536" spans="1:15" x14ac:dyDescent="0.2">
      <c r="A536" s="108" t="s">
        <v>1</v>
      </c>
      <c r="B536" s="38">
        <f t="shared" ref="B536:M536" si="181">SUM(B531:B535)</f>
        <v>439</v>
      </c>
      <c r="C536" s="39">
        <f t="shared" si="181"/>
        <v>1</v>
      </c>
      <c r="D536" s="38">
        <f t="shared" si="181"/>
        <v>33</v>
      </c>
      <c r="E536" s="39">
        <f t="shared" si="181"/>
        <v>1</v>
      </c>
      <c r="F536" s="38">
        <f t="shared" si="181"/>
        <v>179</v>
      </c>
      <c r="G536" s="39">
        <f t="shared" si="181"/>
        <v>1</v>
      </c>
      <c r="H536" s="38">
        <f t="shared" si="181"/>
        <v>808</v>
      </c>
      <c r="I536" s="39">
        <f t="shared" si="181"/>
        <v>1</v>
      </c>
      <c r="J536" s="38">
        <f t="shared" si="181"/>
        <v>396</v>
      </c>
      <c r="K536" s="39">
        <f t="shared" si="181"/>
        <v>1</v>
      </c>
      <c r="L536" s="38">
        <f t="shared" si="181"/>
        <v>879</v>
      </c>
      <c r="M536" s="39">
        <f t="shared" si="181"/>
        <v>1</v>
      </c>
      <c r="N536" s="30">
        <f>SUM(N529:N535)</f>
        <v>2080</v>
      </c>
      <c r="O536" s="41">
        <f>SUM(O529:O535)</f>
        <v>1</v>
      </c>
    </row>
    <row r="537" spans="1:15" x14ac:dyDescent="0.2">
      <c r="A537" s="108" t="s">
        <v>197</v>
      </c>
      <c r="B537" s="38"/>
      <c r="C537" s="65">
        <f>SUM(C531:C533)</f>
        <v>0.58997722095671978</v>
      </c>
      <c r="D537" s="38"/>
      <c r="E537" s="65">
        <f>SUM(E531:E533)</f>
        <v>0.60606060606060597</v>
      </c>
      <c r="F537" s="38"/>
      <c r="G537" s="65">
        <f>SUM(G531:G533)</f>
        <v>0.60893854748603349</v>
      </c>
      <c r="H537" s="38"/>
      <c r="I537" s="65">
        <f>SUM(I531:I533)</f>
        <v>0.57301980198019797</v>
      </c>
      <c r="J537" s="38"/>
      <c r="K537" s="65">
        <f>SUM(K531:K533)</f>
        <v>0.52777777777777779</v>
      </c>
      <c r="L537" s="38"/>
      <c r="M537" s="65">
        <f>SUM(M531:M533)</f>
        <v>0.5790671217292378</v>
      </c>
      <c r="N537" s="30"/>
      <c r="O537" s="65">
        <f>SUM(O531:O533)</f>
        <v>0.75432692307692306</v>
      </c>
    </row>
    <row r="539" spans="1:15" x14ac:dyDescent="0.2">
      <c r="A539" s="108" t="s">
        <v>201</v>
      </c>
      <c r="B539" s="151" t="s">
        <v>128</v>
      </c>
      <c r="C539" s="151"/>
      <c r="D539" s="151" t="s">
        <v>99</v>
      </c>
      <c r="E539" s="151"/>
      <c r="F539" s="150" t="s">
        <v>176</v>
      </c>
      <c r="G539" s="150"/>
      <c r="H539" s="151" t="s">
        <v>101</v>
      </c>
      <c r="I539" s="151"/>
      <c r="J539" s="151" t="s">
        <v>100</v>
      </c>
      <c r="K539" s="151"/>
      <c r="L539" s="151" t="s">
        <v>126</v>
      </c>
      <c r="M539" s="151"/>
      <c r="N539" s="148" t="s">
        <v>1</v>
      </c>
      <c r="O539" s="148"/>
    </row>
    <row r="540" spans="1:15" x14ac:dyDescent="0.2">
      <c r="A540" s="26" t="s">
        <v>192</v>
      </c>
      <c r="B540" s="38">
        <v>345</v>
      </c>
      <c r="C540" s="39">
        <f>B540/B545</f>
        <v>0.7931034482758621</v>
      </c>
      <c r="D540" s="38">
        <v>24</v>
      </c>
      <c r="E540" s="39">
        <f>D540/D545</f>
        <v>0.75</v>
      </c>
      <c r="F540" s="38">
        <v>143</v>
      </c>
      <c r="G540" s="39">
        <f>F540/F545</f>
        <v>0.8125</v>
      </c>
      <c r="H540" s="38">
        <v>622</v>
      </c>
      <c r="I540" s="39">
        <f>H540/H545</f>
        <v>0.77171215880893296</v>
      </c>
      <c r="J540" s="38">
        <v>323</v>
      </c>
      <c r="K540" s="39">
        <f>J540/J545</f>
        <v>0.81979695431472077</v>
      </c>
      <c r="L540" s="38">
        <v>687</v>
      </c>
      <c r="M540" s="39">
        <f>L540/L545</f>
        <v>0.78694158075601373</v>
      </c>
      <c r="N540" s="29">
        <f>B540+D540+F540+H540+J540+L540</f>
        <v>2144</v>
      </c>
      <c r="O540" s="39">
        <f>N540/N545</f>
        <v>0.81273692191053826</v>
      </c>
    </row>
    <row r="541" spans="1:15" x14ac:dyDescent="0.2">
      <c r="A541" s="26" t="s">
        <v>193</v>
      </c>
      <c r="B541" s="38">
        <v>46</v>
      </c>
      <c r="C541" s="39">
        <f>B541/B545</f>
        <v>0.10574712643678161</v>
      </c>
      <c r="D541" s="38"/>
      <c r="E541" s="39">
        <f>D541/D545</f>
        <v>0</v>
      </c>
      <c r="F541" s="38">
        <v>17</v>
      </c>
      <c r="G541" s="39">
        <f>F541/F545</f>
        <v>9.6590909090909088E-2</v>
      </c>
      <c r="H541" s="38">
        <v>89</v>
      </c>
      <c r="I541" s="39">
        <f>H541/H545</f>
        <v>0.11042183622828784</v>
      </c>
      <c r="J541" s="38">
        <v>36</v>
      </c>
      <c r="K541" s="39">
        <f>J541/J545</f>
        <v>9.1370558375634514E-2</v>
      </c>
      <c r="L541" s="38">
        <v>83</v>
      </c>
      <c r="M541" s="39">
        <f>L541/L545</f>
        <v>9.5074455899198163E-2</v>
      </c>
      <c r="N541" s="29">
        <f>B541+D541+F541+H541+J541+L541</f>
        <v>271</v>
      </c>
      <c r="O541" s="39">
        <f>N541/N545</f>
        <v>0.10272934040940106</v>
      </c>
    </row>
    <row r="542" spans="1:15" x14ac:dyDescent="0.2">
      <c r="A542" s="26" t="s">
        <v>194</v>
      </c>
      <c r="B542" s="38">
        <v>22</v>
      </c>
      <c r="C542" s="39">
        <f>B542/B545</f>
        <v>5.057471264367816E-2</v>
      </c>
      <c r="D542" s="38">
        <v>4</v>
      </c>
      <c r="E542" s="39">
        <f>D542/D545</f>
        <v>0.125</v>
      </c>
      <c r="F542" s="38">
        <v>6</v>
      </c>
      <c r="G542" s="39">
        <f>F542/F545</f>
        <v>3.4090909090909088E-2</v>
      </c>
      <c r="H542" s="38">
        <v>40</v>
      </c>
      <c r="I542" s="39">
        <f>H542/H545</f>
        <v>4.9627791563275438E-2</v>
      </c>
      <c r="J542" s="38">
        <v>15</v>
      </c>
      <c r="K542" s="39">
        <f>J542/J545</f>
        <v>3.8071065989847719E-2</v>
      </c>
      <c r="L542" s="38">
        <v>49</v>
      </c>
      <c r="M542" s="39">
        <f>L542/L545</f>
        <v>5.6128293241695305E-2</v>
      </c>
      <c r="N542" s="29">
        <f>B542+D542+F542+H542+J542+L542</f>
        <v>136</v>
      </c>
      <c r="O542" s="39">
        <f>N542/N545</f>
        <v>5.1554207733131158E-2</v>
      </c>
    </row>
    <row r="543" spans="1:15" x14ac:dyDescent="0.2">
      <c r="A543" s="26" t="s">
        <v>195</v>
      </c>
      <c r="B543" s="38">
        <v>9</v>
      </c>
      <c r="C543" s="39">
        <f>B543/B545</f>
        <v>2.0689655172413793E-2</v>
      </c>
      <c r="D543" s="38">
        <v>1</v>
      </c>
      <c r="E543" s="39">
        <f>D543/D545</f>
        <v>3.125E-2</v>
      </c>
      <c r="F543" s="38">
        <v>4</v>
      </c>
      <c r="G543" s="39">
        <f>F543/F545</f>
        <v>2.2727272727272728E-2</v>
      </c>
      <c r="H543" s="38">
        <v>25</v>
      </c>
      <c r="I543" s="39">
        <f>H543/H545</f>
        <v>3.1017369727047148E-2</v>
      </c>
      <c r="J543" s="38">
        <v>12</v>
      </c>
      <c r="K543" s="39">
        <f>J543/J545</f>
        <v>3.0456852791878174E-2</v>
      </c>
      <c r="L543" s="38">
        <v>27</v>
      </c>
      <c r="M543" s="39">
        <f>L543/L545</f>
        <v>3.0927835051546393E-2</v>
      </c>
      <c r="N543" s="29"/>
      <c r="O543" s="39">
        <f>N543/N545</f>
        <v>0</v>
      </c>
    </row>
    <row r="544" spans="1:15" x14ac:dyDescent="0.2">
      <c r="A544" s="26" t="s">
        <v>196</v>
      </c>
      <c r="B544" s="38">
        <v>13</v>
      </c>
      <c r="C544" s="39">
        <f>B544/B545</f>
        <v>2.9885057471264367E-2</v>
      </c>
      <c r="D544" s="38">
        <v>3</v>
      </c>
      <c r="E544" s="39">
        <f>D544/D545</f>
        <v>9.375E-2</v>
      </c>
      <c r="F544" s="38">
        <v>6</v>
      </c>
      <c r="G544" s="39">
        <f>F544/F545</f>
        <v>3.4090909090909088E-2</v>
      </c>
      <c r="H544" s="38">
        <v>30</v>
      </c>
      <c r="I544" s="39">
        <f>H544/H545</f>
        <v>3.7220843672456573E-2</v>
      </c>
      <c r="J544" s="38">
        <v>8</v>
      </c>
      <c r="K544" s="39">
        <f>J544/J545</f>
        <v>2.030456852791878E-2</v>
      </c>
      <c r="L544" s="38">
        <v>27</v>
      </c>
      <c r="M544" s="39">
        <f>L544/L545</f>
        <v>3.0927835051546393E-2</v>
      </c>
      <c r="N544" s="29">
        <f>B544+D544+F544+H544+J544+L544</f>
        <v>87</v>
      </c>
      <c r="O544" s="39">
        <f>N544/N545</f>
        <v>3.2979529946929494E-2</v>
      </c>
    </row>
    <row r="545" spans="1:15" x14ac:dyDescent="0.2">
      <c r="A545" s="108" t="s">
        <v>1</v>
      </c>
      <c r="B545" s="38">
        <f t="shared" ref="B545:M545" si="182">SUM(B540:B544)</f>
        <v>435</v>
      </c>
      <c r="C545" s="39">
        <f t="shared" si="182"/>
        <v>1.0000000000000002</v>
      </c>
      <c r="D545" s="38">
        <f t="shared" si="182"/>
        <v>32</v>
      </c>
      <c r="E545" s="39">
        <f t="shared" si="182"/>
        <v>1</v>
      </c>
      <c r="F545" s="38">
        <f t="shared" si="182"/>
        <v>176</v>
      </c>
      <c r="G545" s="39">
        <f t="shared" si="182"/>
        <v>0.99999999999999989</v>
      </c>
      <c r="H545" s="38">
        <f t="shared" si="182"/>
        <v>806</v>
      </c>
      <c r="I545" s="39">
        <f t="shared" si="182"/>
        <v>1</v>
      </c>
      <c r="J545" s="38">
        <f t="shared" si="182"/>
        <v>394</v>
      </c>
      <c r="K545" s="39">
        <f t="shared" si="182"/>
        <v>1</v>
      </c>
      <c r="L545" s="38">
        <f t="shared" si="182"/>
        <v>873</v>
      </c>
      <c r="M545" s="39">
        <f t="shared" si="182"/>
        <v>1</v>
      </c>
      <c r="N545" s="30">
        <f>SUM(N538:N544)</f>
        <v>2638</v>
      </c>
      <c r="O545" s="41">
        <f>SUM(O538:O544)</f>
        <v>1</v>
      </c>
    </row>
    <row r="546" spans="1:15" x14ac:dyDescent="0.2">
      <c r="A546" s="108" t="s">
        <v>197</v>
      </c>
      <c r="B546" s="38"/>
      <c r="C546" s="65">
        <f>SUM(C540:C542)</f>
        <v>0.94942528735632192</v>
      </c>
      <c r="D546" s="38"/>
      <c r="E546" s="65">
        <f>SUM(E540:E542)</f>
        <v>0.875</v>
      </c>
      <c r="F546" s="38"/>
      <c r="G546" s="65">
        <f>SUM(G540:G542)</f>
        <v>0.94318181818181812</v>
      </c>
      <c r="H546" s="38"/>
      <c r="I546" s="65">
        <f>SUM(I540:I542)</f>
        <v>0.93176178660049624</v>
      </c>
      <c r="J546" s="38"/>
      <c r="K546" s="65">
        <f>SUM(K540:K542)</f>
        <v>0.94923857868020312</v>
      </c>
      <c r="L546" s="38"/>
      <c r="M546" s="65">
        <f>SUM(M540:M542)</f>
        <v>0.93814432989690721</v>
      </c>
      <c r="N546" s="30"/>
      <c r="O546" s="65">
        <f>SUM(O540:O542)</f>
        <v>0.96702047005307046</v>
      </c>
    </row>
    <row r="548" spans="1:15" x14ac:dyDescent="0.2">
      <c r="A548" s="108" t="s">
        <v>202</v>
      </c>
      <c r="B548" s="151" t="s">
        <v>128</v>
      </c>
      <c r="C548" s="151"/>
      <c r="D548" s="151" t="s">
        <v>99</v>
      </c>
      <c r="E548" s="151"/>
      <c r="F548" s="150" t="s">
        <v>176</v>
      </c>
      <c r="G548" s="150"/>
      <c r="H548" s="151" t="s">
        <v>101</v>
      </c>
      <c r="I548" s="151"/>
      <c r="J548" s="151" t="s">
        <v>100</v>
      </c>
      <c r="K548" s="151"/>
      <c r="L548" s="151" t="s">
        <v>126</v>
      </c>
      <c r="M548" s="151"/>
      <c r="N548" s="148" t="s">
        <v>1</v>
      </c>
      <c r="O548" s="148"/>
    </row>
    <row r="549" spans="1:15" x14ac:dyDescent="0.2">
      <c r="A549" s="26" t="s">
        <v>192</v>
      </c>
      <c r="B549" s="38">
        <v>34</v>
      </c>
      <c r="C549" s="39">
        <f>B549/B554</f>
        <v>7.8160919540229884E-2</v>
      </c>
      <c r="D549" s="38">
        <v>2</v>
      </c>
      <c r="E549" s="39">
        <f>D549/D554</f>
        <v>5.8823529411764705E-2</v>
      </c>
      <c r="F549" s="38">
        <v>13</v>
      </c>
      <c r="G549" s="39">
        <f>F549/F554</f>
        <v>7.3863636363636367E-2</v>
      </c>
      <c r="H549" s="38">
        <v>68</v>
      </c>
      <c r="I549" s="39">
        <f>H549/H554</f>
        <v>8.4788029925187039E-2</v>
      </c>
      <c r="J549" s="38">
        <v>34</v>
      </c>
      <c r="K549" s="39">
        <f>J549/J554</f>
        <v>8.8311688311688313E-2</v>
      </c>
      <c r="L549" s="38">
        <v>60</v>
      </c>
      <c r="M549" s="39">
        <f>L549/L554</f>
        <v>6.9364161849710976E-2</v>
      </c>
      <c r="N549" s="29">
        <f>B549+D549+F549+H549+J549+L549</f>
        <v>211</v>
      </c>
      <c r="O549" s="39">
        <f>N549/N554</f>
        <v>8.2454083626416569E-2</v>
      </c>
    </row>
    <row r="550" spans="1:15" x14ac:dyDescent="0.2">
      <c r="A550" s="26" t="s">
        <v>193</v>
      </c>
      <c r="B550" s="38">
        <v>8</v>
      </c>
      <c r="C550" s="39">
        <f>B550/B554</f>
        <v>1.8390804597701149E-2</v>
      </c>
      <c r="D550" s="38"/>
      <c r="E550" s="39">
        <f>D550/D554</f>
        <v>0</v>
      </c>
      <c r="F550" s="38">
        <v>6</v>
      </c>
      <c r="G550" s="39">
        <f>F550/F554</f>
        <v>3.4090909090909088E-2</v>
      </c>
      <c r="H550" s="38">
        <v>21</v>
      </c>
      <c r="I550" s="39">
        <f>H550/H554</f>
        <v>2.6184538653366583E-2</v>
      </c>
      <c r="J550" s="38">
        <v>14</v>
      </c>
      <c r="K550" s="39">
        <f>J550/J554</f>
        <v>3.6363636363636362E-2</v>
      </c>
      <c r="L550" s="38">
        <v>23</v>
      </c>
      <c r="M550" s="39">
        <f>L550/L554</f>
        <v>2.6589595375722544E-2</v>
      </c>
      <c r="N550" s="29">
        <f>B550+D550+F550+H550+J550+L550</f>
        <v>72</v>
      </c>
      <c r="O550" s="39">
        <f>N550/N554</f>
        <v>2.8135990621336461E-2</v>
      </c>
    </row>
    <row r="551" spans="1:15" x14ac:dyDescent="0.2">
      <c r="A551" s="26" t="s">
        <v>194</v>
      </c>
      <c r="B551" s="38">
        <v>15</v>
      </c>
      <c r="C551" s="39">
        <f>B551/B554</f>
        <v>3.4482758620689655E-2</v>
      </c>
      <c r="D551" s="38"/>
      <c r="E551" s="39">
        <f>D551/D554</f>
        <v>0</v>
      </c>
      <c r="F551" s="38">
        <v>5</v>
      </c>
      <c r="G551" s="39">
        <f>F551/F554</f>
        <v>2.8409090909090908E-2</v>
      </c>
      <c r="H551" s="38">
        <v>15</v>
      </c>
      <c r="I551" s="39">
        <f>H551/H554</f>
        <v>1.8703241895261846E-2</v>
      </c>
      <c r="J551" s="38">
        <v>8</v>
      </c>
      <c r="K551" s="39">
        <f>J551/J554</f>
        <v>2.0779220779220779E-2</v>
      </c>
      <c r="L551" s="38">
        <v>20</v>
      </c>
      <c r="M551" s="39">
        <f>L551/L554</f>
        <v>2.3121387283236993E-2</v>
      </c>
      <c r="N551" s="29">
        <f>B551+D551+F551+H551+J551+L551</f>
        <v>63</v>
      </c>
      <c r="O551" s="39">
        <f>N551/N554</f>
        <v>2.4618991793669401E-2</v>
      </c>
    </row>
    <row r="552" spans="1:15" x14ac:dyDescent="0.2">
      <c r="A552" s="26" t="s">
        <v>195</v>
      </c>
      <c r="B552" s="38">
        <v>23</v>
      </c>
      <c r="C552" s="39">
        <f>B552/B554</f>
        <v>5.2873563218390804E-2</v>
      </c>
      <c r="D552" s="38">
        <v>4</v>
      </c>
      <c r="E552" s="39">
        <f>D552/D554</f>
        <v>0.11764705882352941</v>
      </c>
      <c r="F552" s="38">
        <v>12</v>
      </c>
      <c r="G552" s="39">
        <f>F552/F554</f>
        <v>6.8181818181818177E-2</v>
      </c>
      <c r="H552" s="38">
        <v>35</v>
      </c>
      <c r="I552" s="39">
        <f>H552/H554</f>
        <v>4.3640897755610975E-2</v>
      </c>
      <c r="J552" s="38">
        <v>17</v>
      </c>
      <c r="K552" s="39">
        <f>J552/J554</f>
        <v>4.4155844155844157E-2</v>
      </c>
      <c r="L552" s="38">
        <v>47</v>
      </c>
      <c r="M552" s="39">
        <f>L552/L554</f>
        <v>5.4335260115606937E-2</v>
      </c>
      <c r="N552" s="29"/>
      <c r="O552" s="39">
        <f>N552/N554</f>
        <v>0</v>
      </c>
    </row>
    <row r="553" spans="1:15" x14ac:dyDescent="0.2">
      <c r="A553" s="26" t="s">
        <v>196</v>
      </c>
      <c r="B553" s="38">
        <v>355</v>
      </c>
      <c r="C553" s="39">
        <f>B553/B554</f>
        <v>0.81609195402298851</v>
      </c>
      <c r="D553" s="38">
        <v>28</v>
      </c>
      <c r="E553" s="39">
        <f>D553/D554</f>
        <v>0.82352941176470584</v>
      </c>
      <c r="F553" s="38">
        <v>140</v>
      </c>
      <c r="G553" s="39">
        <f>F553/F554</f>
        <v>0.79545454545454541</v>
      </c>
      <c r="H553" s="38">
        <v>663</v>
      </c>
      <c r="I553" s="39">
        <f>H553/H554</f>
        <v>0.82668329177057354</v>
      </c>
      <c r="J553" s="38">
        <v>312</v>
      </c>
      <c r="K553" s="39">
        <f>J553/J554</f>
        <v>0.81038961038961044</v>
      </c>
      <c r="L553" s="38">
        <v>715</v>
      </c>
      <c r="M553" s="39">
        <f>L553/L554</f>
        <v>0.82658959537572252</v>
      </c>
      <c r="N553" s="29">
        <f>B553+D553+F553+H553+J553+L553</f>
        <v>2213</v>
      </c>
      <c r="O553" s="39">
        <f>N553/N554</f>
        <v>0.86479093395857753</v>
      </c>
    </row>
    <row r="554" spans="1:15" x14ac:dyDescent="0.2">
      <c r="A554" s="108" t="s">
        <v>1</v>
      </c>
      <c r="B554" s="38">
        <f t="shared" ref="B554:M554" si="183">SUM(B549:B553)</f>
        <v>435</v>
      </c>
      <c r="C554" s="39">
        <f t="shared" si="183"/>
        <v>1</v>
      </c>
      <c r="D554" s="38">
        <f t="shared" si="183"/>
        <v>34</v>
      </c>
      <c r="E554" s="39">
        <f t="shared" si="183"/>
        <v>1</v>
      </c>
      <c r="F554" s="38">
        <f t="shared" si="183"/>
        <v>176</v>
      </c>
      <c r="G554" s="39">
        <f t="shared" si="183"/>
        <v>1</v>
      </c>
      <c r="H554" s="38">
        <f t="shared" si="183"/>
        <v>802</v>
      </c>
      <c r="I554" s="39">
        <f t="shared" si="183"/>
        <v>1</v>
      </c>
      <c r="J554" s="38">
        <f t="shared" si="183"/>
        <v>385</v>
      </c>
      <c r="K554" s="39">
        <f t="shared" si="183"/>
        <v>1</v>
      </c>
      <c r="L554" s="38">
        <f t="shared" si="183"/>
        <v>865</v>
      </c>
      <c r="M554" s="39">
        <f t="shared" si="183"/>
        <v>1</v>
      </c>
      <c r="N554" s="30">
        <f>SUM(N547:N553)</f>
        <v>2559</v>
      </c>
      <c r="O554" s="41">
        <f>SUM(O547:O553)</f>
        <v>1</v>
      </c>
    </row>
    <row r="555" spans="1:15" x14ac:dyDescent="0.2">
      <c r="A555" s="108" t="s">
        <v>197</v>
      </c>
      <c r="B555" s="38"/>
      <c r="C555" s="65">
        <f>SUM(C549:C551)</f>
        <v>0.13103448275862067</v>
      </c>
      <c r="D555" s="38"/>
      <c r="E555" s="65">
        <f>SUM(E549:E551)</f>
        <v>5.8823529411764705E-2</v>
      </c>
      <c r="F555" s="38"/>
      <c r="G555" s="65">
        <f>SUM(G549:G551)</f>
        <v>0.13636363636363635</v>
      </c>
      <c r="H555" s="38"/>
      <c r="I555" s="65">
        <f>SUM(I549:I551)</f>
        <v>0.12967581047381546</v>
      </c>
      <c r="J555" s="38"/>
      <c r="K555" s="65">
        <f>SUM(K549:K551)</f>
        <v>0.14545454545454545</v>
      </c>
      <c r="L555" s="38"/>
      <c r="M555" s="65">
        <f>SUM(M549:M551)</f>
        <v>0.11907514450867052</v>
      </c>
      <c r="N555" s="30"/>
      <c r="O555" s="65">
        <f>SUM(O549:O551)</f>
        <v>0.13520906604142241</v>
      </c>
    </row>
    <row r="557" spans="1:15" x14ac:dyDescent="0.2">
      <c r="A557" s="108" t="s">
        <v>203</v>
      </c>
      <c r="B557" s="151" t="s">
        <v>128</v>
      </c>
      <c r="C557" s="151"/>
      <c r="D557" s="151" t="s">
        <v>99</v>
      </c>
      <c r="E557" s="151"/>
      <c r="F557" s="150" t="s">
        <v>176</v>
      </c>
      <c r="G557" s="150"/>
      <c r="H557" s="151" t="s">
        <v>101</v>
      </c>
      <c r="I557" s="151"/>
      <c r="J557" s="151" t="s">
        <v>100</v>
      </c>
      <c r="K557" s="151"/>
      <c r="L557" s="151" t="s">
        <v>126</v>
      </c>
      <c r="M557" s="151"/>
      <c r="N557" s="148" t="s">
        <v>1</v>
      </c>
      <c r="O557" s="148"/>
    </row>
    <row r="558" spans="1:15" x14ac:dyDescent="0.2">
      <c r="A558" s="26" t="s">
        <v>192</v>
      </c>
      <c r="B558" s="38">
        <v>218</v>
      </c>
      <c r="C558" s="39">
        <f>B558/B563</f>
        <v>0.4988558352402746</v>
      </c>
      <c r="D558" s="38">
        <v>16</v>
      </c>
      <c r="E558" s="39">
        <f>D558/D563</f>
        <v>0.47058823529411764</v>
      </c>
      <c r="F558" s="38">
        <v>96</v>
      </c>
      <c r="G558" s="39">
        <f>F558/F563</f>
        <v>0.54545454545454541</v>
      </c>
      <c r="H558" s="38">
        <v>422</v>
      </c>
      <c r="I558" s="39">
        <f>H558/H563</f>
        <v>0.52292441140024781</v>
      </c>
      <c r="J558" s="38">
        <v>204</v>
      </c>
      <c r="K558" s="39">
        <f>J558/J563</f>
        <v>0.51776649746192893</v>
      </c>
      <c r="L558" s="38">
        <v>421</v>
      </c>
      <c r="M558" s="39">
        <f>L558/L563</f>
        <v>0.47786606129398412</v>
      </c>
      <c r="N558" s="29">
        <f>B558+D558+F558+H558+J558+L558</f>
        <v>1377</v>
      </c>
      <c r="O558" s="39">
        <f>N558/N563</f>
        <v>0.54795065658575404</v>
      </c>
    </row>
    <row r="559" spans="1:15" x14ac:dyDescent="0.2">
      <c r="A559" s="26" t="s">
        <v>193</v>
      </c>
      <c r="B559" s="38">
        <v>54</v>
      </c>
      <c r="C559" s="39">
        <f>B559/B563</f>
        <v>0.12356979405034325</v>
      </c>
      <c r="D559" s="38">
        <v>4</v>
      </c>
      <c r="E559" s="39">
        <f>D559/D563</f>
        <v>0.11764705882352941</v>
      </c>
      <c r="F559" s="38">
        <v>28</v>
      </c>
      <c r="G559" s="39">
        <f>F559/F563</f>
        <v>0.15909090909090909</v>
      </c>
      <c r="H559" s="38">
        <v>105</v>
      </c>
      <c r="I559" s="39">
        <f>H559/H563</f>
        <v>0.13011152416356878</v>
      </c>
      <c r="J559" s="38">
        <v>47</v>
      </c>
      <c r="K559" s="39">
        <f>J559/J563</f>
        <v>0.11928934010152284</v>
      </c>
      <c r="L559" s="38">
        <v>108</v>
      </c>
      <c r="M559" s="39">
        <f>L559/L563</f>
        <v>0.12258796821793416</v>
      </c>
      <c r="N559" s="29">
        <f>B559+D559+F559+H559+J559+L559</f>
        <v>346</v>
      </c>
      <c r="O559" s="39">
        <f>N559/N563</f>
        <v>0.13768404297652209</v>
      </c>
    </row>
    <row r="560" spans="1:15" x14ac:dyDescent="0.2">
      <c r="A560" s="26" t="s">
        <v>194</v>
      </c>
      <c r="B560" s="38">
        <v>39</v>
      </c>
      <c r="C560" s="39">
        <f>B560/B563</f>
        <v>8.924485125858124E-2</v>
      </c>
      <c r="D560" s="38">
        <v>2</v>
      </c>
      <c r="E560" s="39">
        <f>D560/D563</f>
        <v>5.8823529411764705E-2</v>
      </c>
      <c r="F560" s="38">
        <v>11</v>
      </c>
      <c r="G560" s="39">
        <f>F560/F563</f>
        <v>6.25E-2</v>
      </c>
      <c r="H560" s="38">
        <v>56</v>
      </c>
      <c r="I560" s="39">
        <f>H560/H563</f>
        <v>6.9392812887236685E-2</v>
      </c>
      <c r="J560" s="38">
        <v>29</v>
      </c>
      <c r="K560" s="39">
        <f>J560/J563</f>
        <v>7.3604060913705582E-2</v>
      </c>
      <c r="L560" s="38">
        <v>77</v>
      </c>
      <c r="M560" s="39">
        <f>L560/L563</f>
        <v>8.7400681044267875E-2</v>
      </c>
      <c r="N560" s="29">
        <f>B560+D560+F560+H560+J560+L560</f>
        <v>214</v>
      </c>
      <c r="O560" s="39">
        <f>N560/N563</f>
        <v>8.5157182650218863E-2</v>
      </c>
    </row>
    <row r="561" spans="1:15" x14ac:dyDescent="0.2">
      <c r="A561" s="26" t="s">
        <v>195</v>
      </c>
      <c r="B561" s="38">
        <v>35</v>
      </c>
      <c r="C561" s="39">
        <f>B561/B563</f>
        <v>8.0091533180778038E-2</v>
      </c>
      <c r="D561" s="38">
        <v>1</v>
      </c>
      <c r="E561" s="39">
        <f>D561/D563</f>
        <v>2.9411764705882353E-2</v>
      </c>
      <c r="F561" s="38">
        <v>13</v>
      </c>
      <c r="G561" s="39">
        <f>F561/F563</f>
        <v>7.3863636363636367E-2</v>
      </c>
      <c r="H561" s="38">
        <v>60</v>
      </c>
      <c r="I561" s="39">
        <f>H561/H563</f>
        <v>7.434944237918216E-2</v>
      </c>
      <c r="J561" s="38">
        <v>29</v>
      </c>
      <c r="K561" s="39">
        <f>J561/J563</f>
        <v>7.3604060913705582E-2</v>
      </c>
      <c r="L561" s="38">
        <v>78</v>
      </c>
      <c r="M561" s="39">
        <f>L561/L563</f>
        <v>8.8535754824063562E-2</v>
      </c>
      <c r="N561" s="29"/>
      <c r="O561" s="39">
        <f>N561/N563</f>
        <v>0</v>
      </c>
    </row>
    <row r="562" spans="1:15" x14ac:dyDescent="0.2">
      <c r="A562" s="26" t="s">
        <v>196</v>
      </c>
      <c r="B562" s="38">
        <v>91</v>
      </c>
      <c r="C562" s="39">
        <f>B562/B563</f>
        <v>0.20823798627002288</v>
      </c>
      <c r="D562" s="38">
        <v>11</v>
      </c>
      <c r="E562" s="39">
        <f>D562/D563</f>
        <v>0.3235294117647059</v>
      </c>
      <c r="F562" s="38">
        <v>28</v>
      </c>
      <c r="G562" s="39">
        <f>F562/F563</f>
        <v>0.15909090909090909</v>
      </c>
      <c r="H562" s="38">
        <v>164</v>
      </c>
      <c r="I562" s="39">
        <f>H562/H563</f>
        <v>0.20322180916976457</v>
      </c>
      <c r="J562" s="38">
        <v>85</v>
      </c>
      <c r="K562" s="39">
        <f>J562/J563</f>
        <v>0.21573604060913706</v>
      </c>
      <c r="L562" s="38">
        <v>197</v>
      </c>
      <c r="M562" s="39">
        <f>L562/L563</f>
        <v>0.22360953461975028</v>
      </c>
      <c r="N562" s="29">
        <f>B562+D562+F562+H562+J562+L562</f>
        <v>576</v>
      </c>
      <c r="O562" s="39">
        <f>N562/N563</f>
        <v>0.22920811778750497</v>
      </c>
    </row>
    <row r="563" spans="1:15" x14ac:dyDescent="0.2">
      <c r="A563" s="108" t="s">
        <v>1</v>
      </c>
      <c r="B563" s="38">
        <f t="shared" ref="B563:M563" si="184">SUM(B558:B562)</f>
        <v>437</v>
      </c>
      <c r="C563" s="39">
        <f t="shared" si="184"/>
        <v>1</v>
      </c>
      <c r="D563" s="38">
        <f t="shared" si="184"/>
        <v>34</v>
      </c>
      <c r="E563" s="39">
        <f t="shared" si="184"/>
        <v>1</v>
      </c>
      <c r="F563" s="38">
        <f t="shared" si="184"/>
        <v>176</v>
      </c>
      <c r="G563" s="39">
        <f t="shared" si="184"/>
        <v>0.99999999999999989</v>
      </c>
      <c r="H563" s="38">
        <f t="shared" si="184"/>
        <v>807</v>
      </c>
      <c r="I563" s="39">
        <f t="shared" si="184"/>
        <v>1</v>
      </c>
      <c r="J563" s="38">
        <f t="shared" si="184"/>
        <v>394</v>
      </c>
      <c r="K563" s="39">
        <f t="shared" si="184"/>
        <v>1</v>
      </c>
      <c r="L563" s="38">
        <f t="shared" si="184"/>
        <v>881</v>
      </c>
      <c r="M563" s="39">
        <f t="shared" si="184"/>
        <v>1</v>
      </c>
      <c r="N563" s="30">
        <f>SUM(N556:N562)</f>
        <v>2513</v>
      </c>
      <c r="O563" s="41">
        <f>SUM(O556:O562)</f>
        <v>1</v>
      </c>
    </row>
    <row r="564" spans="1:15" x14ac:dyDescent="0.2">
      <c r="A564" s="108" t="s">
        <v>197</v>
      </c>
      <c r="B564" s="38"/>
      <c r="C564" s="65">
        <f>SUM(C558:C560)</f>
        <v>0.71167048054919912</v>
      </c>
      <c r="D564" s="38"/>
      <c r="E564" s="65">
        <f>SUM(E558:E560)</f>
        <v>0.6470588235294118</v>
      </c>
      <c r="F564" s="38"/>
      <c r="G564" s="65">
        <f>SUM(G558:G560)</f>
        <v>0.76704545454545447</v>
      </c>
      <c r="H564" s="38"/>
      <c r="I564" s="65">
        <f>SUM(I558:I560)</f>
        <v>0.7224287484510532</v>
      </c>
      <c r="J564" s="38"/>
      <c r="K564" s="65">
        <f>SUM(K558:K560)</f>
        <v>0.71065989847715727</v>
      </c>
      <c r="L564" s="38"/>
      <c r="M564" s="65">
        <f>SUM(M558:M560)</f>
        <v>0.68785471055618619</v>
      </c>
      <c r="N564" s="30"/>
      <c r="O564" s="65">
        <f>SUM(O558:O560)</f>
        <v>0.77079188221249506</v>
      </c>
    </row>
    <row r="566" spans="1:15" x14ac:dyDescent="0.2">
      <c r="A566" s="108" t="s">
        <v>204</v>
      </c>
      <c r="B566" s="151" t="s">
        <v>128</v>
      </c>
      <c r="C566" s="151"/>
      <c r="D566" s="151" t="s">
        <v>99</v>
      </c>
      <c r="E566" s="151"/>
      <c r="F566" s="150" t="s">
        <v>176</v>
      </c>
      <c r="G566" s="150"/>
      <c r="H566" s="151" t="s">
        <v>101</v>
      </c>
      <c r="I566" s="151"/>
      <c r="J566" s="151" t="s">
        <v>100</v>
      </c>
      <c r="K566" s="151"/>
      <c r="L566" s="151" t="s">
        <v>126</v>
      </c>
      <c r="M566" s="151"/>
      <c r="N566" s="148" t="s">
        <v>1</v>
      </c>
      <c r="O566" s="148"/>
    </row>
    <row r="567" spans="1:15" x14ac:dyDescent="0.2">
      <c r="A567" s="26" t="s">
        <v>192</v>
      </c>
      <c r="B567" s="38">
        <v>239</v>
      </c>
      <c r="C567" s="39">
        <f>B567/B572</f>
        <v>0.55069124423963134</v>
      </c>
      <c r="D567" s="38">
        <v>1</v>
      </c>
      <c r="E567" s="39">
        <f>D567/D572</f>
        <v>3.125E-2</v>
      </c>
      <c r="F567" s="38">
        <v>1</v>
      </c>
      <c r="G567" s="39">
        <f>F567/F572</f>
        <v>5.9171597633136093E-3</v>
      </c>
      <c r="H567" s="38">
        <v>15</v>
      </c>
      <c r="I567" s="39">
        <f>H567/H572</f>
        <v>1.9633507853403141E-2</v>
      </c>
      <c r="J567" s="38">
        <v>3</v>
      </c>
      <c r="K567" s="39">
        <f>J567/J572</f>
        <v>8.2872928176795577E-3</v>
      </c>
      <c r="L567" s="38">
        <v>25</v>
      </c>
      <c r="M567" s="39">
        <f>L567/L572</f>
        <v>2.9940119760479042E-2</v>
      </c>
      <c r="N567" s="29">
        <f>B567+D567+F567+H567+J567+L567</f>
        <v>284</v>
      </c>
      <c r="O567" s="39">
        <f>N567/N572</f>
        <v>0.15162840363053925</v>
      </c>
    </row>
    <row r="568" spans="1:15" x14ac:dyDescent="0.2">
      <c r="A568" s="26" t="s">
        <v>193</v>
      </c>
      <c r="B568" s="38">
        <v>21</v>
      </c>
      <c r="C568" s="39">
        <f>B568/B572</f>
        <v>4.8387096774193547E-2</v>
      </c>
      <c r="D568" s="38">
        <v>16</v>
      </c>
      <c r="E568" s="39">
        <f>D568/D572</f>
        <v>0.5</v>
      </c>
      <c r="F568" s="38">
        <v>114</v>
      </c>
      <c r="G568" s="39">
        <f>F568/F572</f>
        <v>0.67455621301775148</v>
      </c>
      <c r="H568" s="38">
        <v>457</v>
      </c>
      <c r="I568" s="39">
        <f>H568/H572</f>
        <v>0.59816753926701571</v>
      </c>
      <c r="J568" s="38">
        <v>241</v>
      </c>
      <c r="K568" s="39">
        <f>J568/J572</f>
        <v>0.66574585635359118</v>
      </c>
      <c r="L568" s="38">
        <v>527</v>
      </c>
      <c r="M568" s="39">
        <f>L568/L572</f>
        <v>0.63113772455089823</v>
      </c>
      <c r="N568" s="29">
        <f>B568+D568+F568+H568+J568+L568</f>
        <v>1376</v>
      </c>
      <c r="O568" s="39">
        <f>N568/N572</f>
        <v>0.73465029364655632</v>
      </c>
    </row>
    <row r="569" spans="1:15" x14ac:dyDescent="0.2">
      <c r="A569" s="26" t="s">
        <v>194</v>
      </c>
      <c r="B569" s="38">
        <v>12</v>
      </c>
      <c r="C569" s="39">
        <f>B569/B572</f>
        <v>2.7649769585253458E-2</v>
      </c>
      <c r="D569" s="38"/>
      <c r="E569" s="39">
        <f>D569/D572</f>
        <v>0</v>
      </c>
      <c r="F569" s="38"/>
      <c r="G569" s="39">
        <f>F569/F572</f>
        <v>0</v>
      </c>
      <c r="H569" s="38"/>
      <c r="I569" s="39">
        <f>H569/H572</f>
        <v>0</v>
      </c>
      <c r="J569" s="38"/>
      <c r="K569" s="39">
        <f>J569/J572</f>
        <v>0</v>
      </c>
      <c r="L569" s="38"/>
      <c r="M569" s="39">
        <f>L569/L572</f>
        <v>0</v>
      </c>
      <c r="N569" s="29">
        <f>B569+D569+F569+H569+J569+L569</f>
        <v>12</v>
      </c>
      <c r="O569" s="39">
        <f>N569/N572</f>
        <v>6.4068339562199676E-3</v>
      </c>
    </row>
    <row r="570" spans="1:15" x14ac:dyDescent="0.2">
      <c r="A570" s="26" t="s">
        <v>195</v>
      </c>
      <c r="B570" s="38">
        <v>7</v>
      </c>
      <c r="C570" s="39">
        <f>B570/B572</f>
        <v>1.6129032258064516E-2</v>
      </c>
      <c r="D570" s="38">
        <v>13</v>
      </c>
      <c r="E570" s="39">
        <f>D570/D572</f>
        <v>0.40625</v>
      </c>
      <c r="F570" s="38">
        <v>51</v>
      </c>
      <c r="G570" s="39">
        <f>F570/F572</f>
        <v>0.30177514792899407</v>
      </c>
      <c r="H570" s="38">
        <v>278</v>
      </c>
      <c r="I570" s="39">
        <f>H570/H572</f>
        <v>0.36387434554973824</v>
      </c>
      <c r="J570" s="38">
        <v>116</v>
      </c>
      <c r="K570" s="39">
        <f>J570/J572</f>
        <v>0.32044198895027626</v>
      </c>
      <c r="L570" s="38">
        <v>258</v>
      </c>
      <c r="M570" s="39">
        <f>L570/L572</f>
        <v>0.30898203592814372</v>
      </c>
      <c r="N570" s="29"/>
      <c r="O570" s="39">
        <f>N570/N572</f>
        <v>0</v>
      </c>
    </row>
    <row r="571" spans="1:15" x14ac:dyDescent="0.2">
      <c r="A571" s="26" t="s">
        <v>196</v>
      </c>
      <c r="B571" s="38">
        <v>155</v>
      </c>
      <c r="C571" s="39">
        <f>B571/B572</f>
        <v>0.35714285714285715</v>
      </c>
      <c r="D571" s="38">
        <v>2</v>
      </c>
      <c r="E571" s="39">
        <f>D571/D572</f>
        <v>6.25E-2</v>
      </c>
      <c r="F571" s="38">
        <v>3</v>
      </c>
      <c r="G571" s="39">
        <f>F571/F572</f>
        <v>1.7751479289940829E-2</v>
      </c>
      <c r="H571" s="38">
        <v>14</v>
      </c>
      <c r="I571" s="39">
        <f>H571/H572</f>
        <v>1.832460732984293E-2</v>
      </c>
      <c r="J571" s="38">
        <v>2</v>
      </c>
      <c r="K571" s="39">
        <f>J571/J572</f>
        <v>5.5248618784530384E-3</v>
      </c>
      <c r="L571" s="38">
        <v>25</v>
      </c>
      <c r="M571" s="39">
        <f>L571/L572</f>
        <v>2.9940119760479042E-2</v>
      </c>
      <c r="N571" s="29">
        <f>B571+D571+F571+H571+J571+L571</f>
        <v>201</v>
      </c>
      <c r="O571" s="39">
        <f>N571/N572</f>
        <v>0.10731446876668446</v>
      </c>
    </row>
    <row r="572" spans="1:15" x14ac:dyDescent="0.2">
      <c r="A572" s="108" t="s">
        <v>1</v>
      </c>
      <c r="B572" s="38">
        <f t="shared" ref="B572:M572" si="185">SUM(B567:B571)</f>
        <v>434</v>
      </c>
      <c r="C572" s="39">
        <f t="shared" si="185"/>
        <v>1</v>
      </c>
      <c r="D572" s="38">
        <f t="shared" si="185"/>
        <v>32</v>
      </c>
      <c r="E572" s="39">
        <f t="shared" si="185"/>
        <v>1</v>
      </c>
      <c r="F572" s="38">
        <f t="shared" si="185"/>
        <v>169</v>
      </c>
      <c r="G572" s="39">
        <f t="shared" si="185"/>
        <v>1</v>
      </c>
      <c r="H572" s="38">
        <f t="shared" si="185"/>
        <v>764</v>
      </c>
      <c r="I572" s="39">
        <f t="shared" si="185"/>
        <v>1</v>
      </c>
      <c r="J572" s="38">
        <f t="shared" si="185"/>
        <v>362</v>
      </c>
      <c r="K572" s="39">
        <f t="shared" si="185"/>
        <v>1.0000000000000002</v>
      </c>
      <c r="L572" s="38">
        <f t="shared" si="185"/>
        <v>835</v>
      </c>
      <c r="M572" s="39">
        <f t="shared" si="185"/>
        <v>1</v>
      </c>
      <c r="N572" s="30">
        <f>SUM(N565:N571)</f>
        <v>1873</v>
      </c>
      <c r="O572" s="41">
        <f>SUM(O565:O571)</f>
        <v>1</v>
      </c>
    </row>
    <row r="573" spans="1:15" x14ac:dyDescent="0.2">
      <c r="A573" s="108" t="s">
        <v>197</v>
      </c>
      <c r="B573" s="38"/>
      <c r="C573" s="65">
        <f>SUM(C567:C569)</f>
        <v>0.62672811059907829</v>
      </c>
      <c r="D573" s="38"/>
      <c r="E573" s="65">
        <f>SUM(E567:E569)</f>
        <v>0.53125</v>
      </c>
      <c r="F573" s="38"/>
      <c r="G573" s="65">
        <f>SUM(G567:G569)</f>
        <v>0.68047337278106512</v>
      </c>
      <c r="H573" s="38"/>
      <c r="I573" s="65">
        <f>SUM(I567:I569)</f>
        <v>0.61780104712041883</v>
      </c>
      <c r="J573" s="38"/>
      <c r="K573" s="65">
        <f>SUM(K567:K569)</f>
        <v>0.67403314917127077</v>
      </c>
      <c r="L573" s="38"/>
      <c r="M573" s="65">
        <f>SUM(M567:M569)</f>
        <v>0.66107784431137728</v>
      </c>
      <c r="N573" s="30"/>
      <c r="O573" s="65">
        <f>SUM(O567:O569)</f>
        <v>0.89268553123331551</v>
      </c>
    </row>
    <row r="575" spans="1:15" x14ac:dyDescent="0.2">
      <c r="A575" s="108" t="s">
        <v>205</v>
      </c>
      <c r="B575" s="151" t="s">
        <v>128</v>
      </c>
      <c r="C575" s="151"/>
      <c r="D575" s="151" t="s">
        <v>99</v>
      </c>
      <c r="E575" s="151"/>
      <c r="F575" s="150" t="s">
        <v>176</v>
      </c>
      <c r="G575" s="150"/>
      <c r="H575" s="151" t="s">
        <v>101</v>
      </c>
      <c r="I575" s="151"/>
      <c r="J575" s="151" t="s">
        <v>100</v>
      </c>
      <c r="K575" s="151"/>
      <c r="L575" s="151" t="s">
        <v>126</v>
      </c>
      <c r="M575" s="151"/>
      <c r="N575" s="148" t="s">
        <v>1</v>
      </c>
      <c r="O575" s="148"/>
    </row>
    <row r="576" spans="1:15" x14ac:dyDescent="0.2">
      <c r="A576" s="26" t="s">
        <v>192</v>
      </c>
      <c r="B576" s="38">
        <v>81</v>
      </c>
      <c r="C576" s="39">
        <f>B576/B581</f>
        <v>0.18577981651376146</v>
      </c>
      <c r="D576" s="38">
        <v>7</v>
      </c>
      <c r="E576" s="39">
        <f>D576/D581</f>
        <v>0.20588235294117646</v>
      </c>
      <c r="F576" s="38">
        <v>36</v>
      </c>
      <c r="G576" s="39">
        <f>F576/F581</f>
        <v>0.20454545454545456</v>
      </c>
      <c r="H576" s="38">
        <v>151</v>
      </c>
      <c r="I576" s="39">
        <f>H576/H581</f>
        <v>0.18804483188044832</v>
      </c>
      <c r="J576" s="38">
        <v>89</v>
      </c>
      <c r="K576" s="39">
        <f>J576/J581</f>
        <v>0.22646310432569974</v>
      </c>
      <c r="L576" s="38">
        <v>195</v>
      </c>
      <c r="M576" s="39">
        <f>L576/L581</f>
        <v>0.22362385321100917</v>
      </c>
      <c r="N576" s="29">
        <f>B576+D576+F576+H576+J576+L576</f>
        <v>559</v>
      </c>
      <c r="O576" s="39">
        <f>N576/N581</f>
        <v>0.21174242424242423</v>
      </c>
    </row>
    <row r="577" spans="1:15" x14ac:dyDescent="0.2">
      <c r="A577" s="26" t="s">
        <v>193</v>
      </c>
      <c r="B577" s="38">
        <v>19</v>
      </c>
      <c r="C577" s="39">
        <f>B577/B581</f>
        <v>4.3577981651376149E-2</v>
      </c>
      <c r="D577" s="38">
        <v>1</v>
      </c>
      <c r="E577" s="39">
        <f>D577/D581</f>
        <v>2.9411764705882353E-2</v>
      </c>
      <c r="F577" s="38">
        <v>10</v>
      </c>
      <c r="G577" s="39">
        <f>F577/F581</f>
        <v>5.6818181818181816E-2</v>
      </c>
      <c r="H577" s="38">
        <v>30</v>
      </c>
      <c r="I577" s="39">
        <f>H577/H581</f>
        <v>3.7359900373599E-2</v>
      </c>
      <c r="J577" s="38">
        <v>20</v>
      </c>
      <c r="K577" s="39">
        <f>J577/J581</f>
        <v>5.0890585241730277E-2</v>
      </c>
      <c r="L577" s="38">
        <v>40</v>
      </c>
      <c r="M577" s="39">
        <f>L577/L581</f>
        <v>4.5871559633027525E-2</v>
      </c>
      <c r="N577" s="29">
        <f>B577+D577+F577+H577+J577+L577</f>
        <v>120</v>
      </c>
      <c r="O577" s="39">
        <f>N577/N581</f>
        <v>4.5454545454545456E-2</v>
      </c>
    </row>
    <row r="578" spans="1:15" x14ac:dyDescent="0.2">
      <c r="A578" s="26" t="s">
        <v>194</v>
      </c>
      <c r="B578" s="38">
        <v>12</v>
      </c>
      <c r="C578" s="39">
        <f>B578/B581</f>
        <v>2.7522935779816515E-2</v>
      </c>
      <c r="D578" s="38">
        <v>1</v>
      </c>
      <c r="E578" s="39">
        <f>D578/D581</f>
        <v>2.9411764705882353E-2</v>
      </c>
      <c r="F578" s="38">
        <v>5</v>
      </c>
      <c r="G578" s="39">
        <f>F578/F581</f>
        <v>2.8409090909090908E-2</v>
      </c>
      <c r="H578" s="38">
        <v>19</v>
      </c>
      <c r="I578" s="39">
        <f>H578/H581</f>
        <v>2.3661270236612703E-2</v>
      </c>
      <c r="J578" s="38">
        <v>15</v>
      </c>
      <c r="K578" s="39">
        <f>J578/J581</f>
        <v>3.8167938931297711E-2</v>
      </c>
      <c r="L578" s="38">
        <v>21</v>
      </c>
      <c r="M578" s="39">
        <f>L578/L581</f>
        <v>2.4082568807339451E-2</v>
      </c>
      <c r="N578" s="29">
        <f>B578+D578+F578+H578+J578+L578</f>
        <v>73</v>
      </c>
      <c r="O578" s="39">
        <f>N578/N581</f>
        <v>2.7651515151515153E-2</v>
      </c>
    </row>
    <row r="579" spans="1:15" x14ac:dyDescent="0.2">
      <c r="A579" s="26" t="s">
        <v>195</v>
      </c>
      <c r="B579" s="38">
        <v>13</v>
      </c>
      <c r="C579" s="39">
        <f>B579/B581</f>
        <v>2.9816513761467892E-2</v>
      </c>
      <c r="D579" s="38">
        <v>2</v>
      </c>
      <c r="E579" s="39">
        <f>D579/D581</f>
        <v>5.8823529411764705E-2</v>
      </c>
      <c r="F579" s="38">
        <v>6</v>
      </c>
      <c r="G579" s="39">
        <f>F579/F581</f>
        <v>3.4090909090909088E-2</v>
      </c>
      <c r="H579" s="38">
        <v>20</v>
      </c>
      <c r="I579" s="39">
        <f>H579/H581</f>
        <v>2.4906600249066001E-2</v>
      </c>
      <c r="J579" s="38">
        <v>10</v>
      </c>
      <c r="K579" s="39">
        <f>J579/J581</f>
        <v>2.5445292620865138E-2</v>
      </c>
      <c r="L579" s="38">
        <v>23</v>
      </c>
      <c r="M579" s="39">
        <f>L579/L581</f>
        <v>2.6376146788990827E-2</v>
      </c>
      <c r="N579" s="29"/>
      <c r="O579" s="39">
        <f>N579/N581</f>
        <v>0</v>
      </c>
    </row>
    <row r="580" spans="1:15" x14ac:dyDescent="0.2">
      <c r="A580" s="26" t="s">
        <v>196</v>
      </c>
      <c r="B580" s="38">
        <v>311</v>
      </c>
      <c r="C580" s="39">
        <f>B580/B581</f>
        <v>0.71330275229357798</v>
      </c>
      <c r="D580" s="38">
        <v>23</v>
      </c>
      <c r="E580" s="39">
        <f>D580/D581</f>
        <v>0.67647058823529416</v>
      </c>
      <c r="F580" s="38">
        <v>119</v>
      </c>
      <c r="G580" s="39">
        <f>F580/F581</f>
        <v>0.67613636363636365</v>
      </c>
      <c r="H580" s="38">
        <v>583</v>
      </c>
      <c r="I580" s="39">
        <f>H580/H581</f>
        <v>0.72602739726027399</v>
      </c>
      <c r="J580" s="38">
        <v>259</v>
      </c>
      <c r="K580" s="39">
        <f>J580/J581</f>
        <v>0.65903307888040707</v>
      </c>
      <c r="L580" s="38">
        <v>593</v>
      </c>
      <c r="M580" s="39">
        <f>L580/L581</f>
        <v>0.68004587155963303</v>
      </c>
      <c r="N580" s="29">
        <f>B580+D580+F580+H580+J580+L580</f>
        <v>1888</v>
      </c>
      <c r="O580" s="39">
        <f>N580/N581</f>
        <v>0.7151515151515152</v>
      </c>
    </row>
    <row r="581" spans="1:15" x14ac:dyDescent="0.2">
      <c r="A581" s="108" t="s">
        <v>1</v>
      </c>
      <c r="B581" s="38">
        <f t="shared" ref="B581:M581" si="186">SUM(B576:B580)</f>
        <v>436</v>
      </c>
      <c r="C581" s="39">
        <f t="shared" si="186"/>
        <v>1</v>
      </c>
      <c r="D581" s="38">
        <f t="shared" si="186"/>
        <v>34</v>
      </c>
      <c r="E581" s="39">
        <f t="shared" si="186"/>
        <v>1</v>
      </c>
      <c r="F581" s="38">
        <f t="shared" si="186"/>
        <v>176</v>
      </c>
      <c r="G581" s="39">
        <f t="shared" si="186"/>
        <v>1</v>
      </c>
      <c r="H581" s="38">
        <f t="shared" si="186"/>
        <v>803</v>
      </c>
      <c r="I581" s="39">
        <f t="shared" si="186"/>
        <v>1</v>
      </c>
      <c r="J581" s="38">
        <f t="shared" si="186"/>
        <v>393</v>
      </c>
      <c r="K581" s="39">
        <f t="shared" si="186"/>
        <v>1</v>
      </c>
      <c r="L581" s="38">
        <f t="shared" si="186"/>
        <v>872</v>
      </c>
      <c r="M581" s="39">
        <f t="shared" si="186"/>
        <v>1</v>
      </c>
      <c r="N581" s="30">
        <f>SUM(N574:N580)</f>
        <v>2640</v>
      </c>
      <c r="O581" s="41">
        <f>SUM(O574:O580)</f>
        <v>1</v>
      </c>
    </row>
    <row r="582" spans="1:15" x14ac:dyDescent="0.2">
      <c r="A582" s="108" t="s">
        <v>197</v>
      </c>
      <c r="B582" s="38"/>
      <c r="C582" s="65">
        <f>SUM(C576:C578)</f>
        <v>0.25688073394495414</v>
      </c>
      <c r="D582" s="38"/>
      <c r="E582" s="65">
        <f>SUM(E576:E578)</f>
        <v>0.26470588235294118</v>
      </c>
      <c r="F582" s="38"/>
      <c r="G582" s="65">
        <f>SUM(G576:G578)</f>
        <v>0.28977272727272724</v>
      </c>
      <c r="H582" s="38"/>
      <c r="I582" s="65">
        <f>SUM(I576:I578)</f>
        <v>0.24906600249066005</v>
      </c>
      <c r="J582" s="38"/>
      <c r="K582" s="65">
        <f>SUM(K576:K578)</f>
        <v>0.31552162849872772</v>
      </c>
      <c r="L582" s="38"/>
      <c r="M582" s="65">
        <f>SUM(M576:M578)</f>
        <v>0.29357798165137611</v>
      </c>
      <c r="N582" s="30"/>
      <c r="O582" s="65">
        <f>SUM(O576:O578)</f>
        <v>0.28484848484848485</v>
      </c>
    </row>
    <row r="584" spans="1:15" x14ac:dyDescent="0.2">
      <c r="A584" s="108" t="s">
        <v>206</v>
      </c>
      <c r="B584" s="151" t="s">
        <v>128</v>
      </c>
      <c r="C584" s="151"/>
      <c r="D584" s="151" t="s">
        <v>99</v>
      </c>
      <c r="E584" s="151"/>
      <c r="F584" s="150" t="s">
        <v>176</v>
      </c>
      <c r="G584" s="150"/>
      <c r="H584" s="151" t="s">
        <v>101</v>
      </c>
      <c r="I584" s="151"/>
      <c r="J584" s="151" t="s">
        <v>100</v>
      </c>
      <c r="K584" s="151"/>
      <c r="L584" s="151" t="s">
        <v>126</v>
      </c>
      <c r="M584" s="151"/>
      <c r="N584" s="148" t="s">
        <v>1</v>
      </c>
      <c r="O584" s="148"/>
    </row>
    <row r="585" spans="1:15" x14ac:dyDescent="0.2">
      <c r="A585" s="26" t="s">
        <v>192</v>
      </c>
      <c r="B585" s="38">
        <v>44</v>
      </c>
      <c r="C585" s="39">
        <f>B585/B590</f>
        <v>0.1004566210045662</v>
      </c>
      <c r="D585" s="38">
        <v>4</v>
      </c>
      <c r="E585" s="39">
        <f>D585/D590</f>
        <v>0.12121212121212122</v>
      </c>
      <c r="F585" s="38">
        <v>22</v>
      </c>
      <c r="G585" s="39">
        <f>F585/F590</f>
        <v>0.12571428571428572</v>
      </c>
      <c r="H585" s="38">
        <v>73</v>
      </c>
      <c r="I585" s="39">
        <f>H585/H590</f>
        <v>9.1364205256570713E-2</v>
      </c>
      <c r="J585" s="38">
        <v>54</v>
      </c>
      <c r="K585" s="39">
        <f>J585/J590</f>
        <v>0.13810741687979539</v>
      </c>
      <c r="L585" s="38">
        <v>102</v>
      </c>
      <c r="M585" s="39">
        <f>L585/L590</f>
        <v>0.11751152073732719</v>
      </c>
      <c r="N585" s="29">
        <f>B585+D585+F585+H585+J585+L585</f>
        <v>299</v>
      </c>
      <c r="O585" s="39">
        <f>N585/N590</f>
        <v>0.11776289877904687</v>
      </c>
    </row>
    <row r="586" spans="1:15" x14ac:dyDescent="0.2">
      <c r="A586" s="26" t="s">
        <v>193</v>
      </c>
      <c r="B586" s="38">
        <v>25</v>
      </c>
      <c r="C586" s="39">
        <f>B586/B590</f>
        <v>5.7077625570776253E-2</v>
      </c>
      <c r="D586" s="38">
        <v>2</v>
      </c>
      <c r="E586" s="39">
        <f>D586/D590</f>
        <v>6.0606060606060608E-2</v>
      </c>
      <c r="F586" s="38">
        <v>12</v>
      </c>
      <c r="G586" s="39">
        <f>F586/F590</f>
        <v>6.8571428571428575E-2</v>
      </c>
      <c r="H586" s="38">
        <v>43</v>
      </c>
      <c r="I586" s="39">
        <f>H586/H590</f>
        <v>5.3817271589486862E-2</v>
      </c>
      <c r="J586" s="38">
        <v>27</v>
      </c>
      <c r="K586" s="39">
        <f>J586/J590</f>
        <v>6.9053708439897693E-2</v>
      </c>
      <c r="L586" s="38">
        <v>45</v>
      </c>
      <c r="M586" s="39">
        <f>L586/L590</f>
        <v>5.1843317972350228E-2</v>
      </c>
      <c r="N586" s="29">
        <f>B586+D586+F586+H586+J586+L586</f>
        <v>154</v>
      </c>
      <c r="O586" s="39">
        <f>N586/N590</f>
        <v>6.0653800708940525E-2</v>
      </c>
    </row>
    <row r="587" spans="1:15" x14ac:dyDescent="0.2">
      <c r="A587" s="26" t="s">
        <v>194</v>
      </c>
      <c r="B587" s="38">
        <v>17</v>
      </c>
      <c r="C587" s="39">
        <f>B587/B590</f>
        <v>3.8812785388127852E-2</v>
      </c>
      <c r="D587" s="38">
        <v>1</v>
      </c>
      <c r="E587" s="39">
        <f>D587/D590</f>
        <v>3.0303030303030304E-2</v>
      </c>
      <c r="F587" s="38">
        <v>9</v>
      </c>
      <c r="G587" s="39">
        <f>F587/F590</f>
        <v>5.1428571428571428E-2</v>
      </c>
      <c r="H587" s="38">
        <v>34</v>
      </c>
      <c r="I587" s="39">
        <f>H587/H590</f>
        <v>4.2553191489361701E-2</v>
      </c>
      <c r="J587" s="38">
        <v>21</v>
      </c>
      <c r="K587" s="39">
        <f>J587/J590</f>
        <v>5.3708439897698211E-2</v>
      </c>
      <c r="L587" s="38">
        <v>34</v>
      </c>
      <c r="M587" s="39">
        <f>L587/L590</f>
        <v>3.9170506912442393E-2</v>
      </c>
      <c r="N587" s="29">
        <f>B587+D587+F587+H587+J587+L587</f>
        <v>116</v>
      </c>
      <c r="O587" s="39">
        <f>N587/N590</f>
        <v>4.568727845608507E-2</v>
      </c>
    </row>
    <row r="588" spans="1:15" x14ac:dyDescent="0.2">
      <c r="A588" s="26" t="s">
        <v>195</v>
      </c>
      <c r="B588" s="38">
        <v>27</v>
      </c>
      <c r="C588" s="39">
        <f>B588/B590</f>
        <v>6.1643835616438353E-2</v>
      </c>
      <c r="D588" s="38">
        <v>1</v>
      </c>
      <c r="E588" s="39">
        <f>D588/D590</f>
        <v>3.0303030303030304E-2</v>
      </c>
      <c r="F588" s="38">
        <v>8</v>
      </c>
      <c r="G588" s="39">
        <f>F588/F590</f>
        <v>4.5714285714285714E-2</v>
      </c>
      <c r="H588" s="38">
        <v>48</v>
      </c>
      <c r="I588" s="39">
        <f>H588/H590</f>
        <v>6.0075093867334166E-2</v>
      </c>
      <c r="J588" s="38">
        <v>33</v>
      </c>
      <c r="K588" s="39">
        <f>J588/J590</f>
        <v>8.4398976982097182E-2</v>
      </c>
      <c r="L588" s="38">
        <v>48</v>
      </c>
      <c r="M588" s="39">
        <f>L588/L590</f>
        <v>5.5299539170506916E-2</v>
      </c>
      <c r="N588" s="29"/>
      <c r="O588" s="39">
        <f>N588/N590</f>
        <v>0</v>
      </c>
    </row>
    <row r="589" spans="1:15" x14ac:dyDescent="0.2">
      <c r="A589" s="26" t="s">
        <v>196</v>
      </c>
      <c r="B589" s="38">
        <v>325</v>
      </c>
      <c r="C589" s="39">
        <f>B589/B590</f>
        <v>0.74200913242009137</v>
      </c>
      <c r="D589" s="38">
        <v>25</v>
      </c>
      <c r="E589" s="39">
        <f>D589/D590</f>
        <v>0.75757575757575757</v>
      </c>
      <c r="F589" s="38">
        <v>124</v>
      </c>
      <c r="G589" s="39">
        <f>F589/F590</f>
        <v>0.70857142857142852</v>
      </c>
      <c r="H589" s="38">
        <v>601</v>
      </c>
      <c r="I589" s="39">
        <f>H589/H590</f>
        <v>0.75219023779724659</v>
      </c>
      <c r="J589" s="38">
        <v>256</v>
      </c>
      <c r="K589" s="39">
        <f>J589/J590</f>
        <v>0.65473145780051156</v>
      </c>
      <c r="L589" s="38">
        <v>639</v>
      </c>
      <c r="M589" s="39">
        <f>L589/L590</f>
        <v>0.73617511520737322</v>
      </c>
      <c r="N589" s="29">
        <f>B589+D589+F589+H589+J589+L589</f>
        <v>1970</v>
      </c>
      <c r="O589" s="39">
        <f>N589/N590</f>
        <v>0.77589602205592756</v>
      </c>
    </row>
    <row r="590" spans="1:15" x14ac:dyDescent="0.2">
      <c r="A590" s="108" t="s">
        <v>1</v>
      </c>
      <c r="B590" s="38">
        <f t="shared" ref="B590:M590" si="187">SUM(B585:B589)</f>
        <v>438</v>
      </c>
      <c r="C590" s="39">
        <f t="shared" si="187"/>
        <v>1</v>
      </c>
      <c r="D590" s="38">
        <f t="shared" si="187"/>
        <v>33</v>
      </c>
      <c r="E590" s="39">
        <f t="shared" si="187"/>
        <v>1</v>
      </c>
      <c r="F590" s="38">
        <f t="shared" si="187"/>
        <v>175</v>
      </c>
      <c r="G590" s="39">
        <f t="shared" si="187"/>
        <v>1</v>
      </c>
      <c r="H590" s="38">
        <f t="shared" si="187"/>
        <v>799</v>
      </c>
      <c r="I590" s="39">
        <f t="shared" si="187"/>
        <v>1</v>
      </c>
      <c r="J590" s="38">
        <f t="shared" si="187"/>
        <v>391</v>
      </c>
      <c r="K590" s="39">
        <f t="shared" si="187"/>
        <v>1</v>
      </c>
      <c r="L590" s="38">
        <f t="shared" si="187"/>
        <v>868</v>
      </c>
      <c r="M590" s="39">
        <f t="shared" si="187"/>
        <v>1</v>
      </c>
      <c r="N590" s="30">
        <f>SUM(N583:N589)</f>
        <v>2539</v>
      </c>
      <c r="O590" s="41">
        <f>SUM(O583:O589)</f>
        <v>1</v>
      </c>
    </row>
    <row r="591" spans="1:15" x14ac:dyDescent="0.2">
      <c r="A591" s="108" t="s">
        <v>197</v>
      </c>
      <c r="B591" s="38"/>
      <c r="C591" s="65">
        <f>SUM(C585:C587)</f>
        <v>0.19634703196347031</v>
      </c>
      <c r="D591" s="38"/>
      <c r="E591" s="65">
        <f>SUM(E585:E587)</f>
        <v>0.21212121212121213</v>
      </c>
      <c r="F591" s="38"/>
      <c r="G591" s="65">
        <f>SUM(G585:G587)</f>
        <v>0.24571428571428572</v>
      </c>
      <c r="H591" s="38"/>
      <c r="I591" s="65">
        <f>SUM(I585:I587)</f>
        <v>0.1877346683354193</v>
      </c>
      <c r="J591" s="38"/>
      <c r="K591" s="65">
        <f>SUM(K585:K587)</f>
        <v>0.2608695652173913</v>
      </c>
      <c r="L591" s="38"/>
      <c r="M591" s="65">
        <f>SUM(M585:M587)</f>
        <v>0.20852534562211983</v>
      </c>
      <c r="N591" s="30"/>
      <c r="O591" s="65">
        <f>SUM(O585:O587)</f>
        <v>0.22410397794407244</v>
      </c>
    </row>
    <row r="593" spans="1:15" ht="24" x14ac:dyDescent="0.2">
      <c r="A593" s="108" t="s">
        <v>207</v>
      </c>
      <c r="B593" s="151" t="s">
        <v>128</v>
      </c>
      <c r="C593" s="151"/>
      <c r="D593" s="151" t="s">
        <v>99</v>
      </c>
      <c r="E593" s="151"/>
      <c r="F593" s="150" t="s">
        <v>176</v>
      </c>
      <c r="G593" s="150"/>
      <c r="H593" s="151" t="s">
        <v>101</v>
      </c>
      <c r="I593" s="151"/>
      <c r="J593" s="151" t="s">
        <v>100</v>
      </c>
      <c r="K593" s="151"/>
      <c r="L593" s="151" t="s">
        <v>126</v>
      </c>
      <c r="M593" s="151"/>
      <c r="N593" s="148" t="s">
        <v>1</v>
      </c>
      <c r="O593" s="148"/>
    </row>
    <row r="594" spans="1:15" x14ac:dyDescent="0.2">
      <c r="A594" s="26" t="s">
        <v>192</v>
      </c>
      <c r="B594" s="38">
        <v>40</v>
      </c>
      <c r="C594" s="39">
        <f>B594/B599</f>
        <v>9.2165898617511524E-2</v>
      </c>
      <c r="D594" s="38">
        <v>5</v>
      </c>
      <c r="E594" s="39">
        <f>D594/D599</f>
        <v>0.14705882352941177</v>
      </c>
      <c r="F594" s="38">
        <v>15</v>
      </c>
      <c r="G594" s="39">
        <f>F594/F599</f>
        <v>8.5714285714285715E-2</v>
      </c>
      <c r="H594" s="38">
        <v>51</v>
      </c>
      <c r="I594" s="39">
        <f>H594/H599</f>
        <v>6.3670411985018729E-2</v>
      </c>
      <c r="J594" s="38">
        <v>29</v>
      </c>
      <c r="K594" s="39">
        <f>J594/J599</f>
        <v>7.4550128534704371E-2</v>
      </c>
      <c r="L594" s="38">
        <v>76</v>
      </c>
      <c r="M594" s="39">
        <f>L594/L599</f>
        <v>8.7861271676300576E-2</v>
      </c>
      <c r="N594" s="29">
        <f>B594+D594+F594+H594+J594+L594</f>
        <v>216</v>
      </c>
      <c r="O594" s="39">
        <f>N594/N599</f>
        <v>9.7560975609756101E-2</v>
      </c>
    </row>
    <row r="595" spans="1:15" x14ac:dyDescent="0.2">
      <c r="A595" s="26" t="s">
        <v>193</v>
      </c>
      <c r="B595" s="38">
        <v>32</v>
      </c>
      <c r="C595" s="39">
        <f>B595/B599</f>
        <v>7.3732718894009217E-2</v>
      </c>
      <c r="D595" s="38"/>
      <c r="E595" s="39">
        <f>D595/D599</f>
        <v>0</v>
      </c>
      <c r="F595" s="38">
        <v>15</v>
      </c>
      <c r="G595" s="39">
        <f>F595/F599</f>
        <v>8.5714285714285715E-2</v>
      </c>
      <c r="H595" s="38">
        <v>50</v>
      </c>
      <c r="I595" s="39">
        <f>H595/H599</f>
        <v>6.2421972534332085E-2</v>
      </c>
      <c r="J595" s="38">
        <v>29</v>
      </c>
      <c r="K595" s="39">
        <f>J595/J599</f>
        <v>7.4550128534704371E-2</v>
      </c>
      <c r="L595" s="38">
        <v>44</v>
      </c>
      <c r="M595" s="39">
        <f>L595/L599</f>
        <v>5.086705202312139E-2</v>
      </c>
      <c r="N595" s="29">
        <f>B595+D595+F595+H595+J595+L595</f>
        <v>170</v>
      </c>
      <c r="O595" s="39">
        <f>N595/N599</f>
        <v>7.6784101174345074E-2</v>
      </c>
    </row>
    <row r="596" spans="1:15" x14ac:dyDescent="0.2">
      <c r="A596" s="26" t="s">
        <v>194</v>
      </c>
      <c r="B596" s="38">
        <v>33</v>
      </c>
      <c r="C596" s="39">
        <f>B596/B599</f>
        <v>7.6036866359447008E-2</v>
      </c>
      <c r="D596" s="38">
        <v>3</v>
      </c>
      <c r="E596" s="39">
        <f>D596/D599</f>
        <v>8.8235294117647065E-2</v>
      </c>
      <c r="F596" s="38">
        <v>15</v>
      </c>
      <c r="G596" s="39">
        <f>F596/F599</f>
        <v>8.5714285714285715E-2</v>
      </c>
      <c r="H596" s="38">
        <v>51</v>
      </c>
      <c r="I596" s="39">
        <f>H596/H599</f>
        <v>6.3670411985018729E-2</v>
      </c>
      <c r="J596" s="38">
        <v>35</v>
      </c>
      <c r="K596" s="39">
        <f>J596/J599</f>
        <v>8.9974293059125965E-2</v>
      </c>
      <c r="L596" s="38">
        <v>66</v>
      </c>
      <c r="M596" s="39">
        <f>L596/L599</f>
        <v>7.6300578034682084E-2</v>
      </c>
      <c r="N596" s="29">
        <f>B596+D596+F596+H596+J596+L596</f>
        <v>203</v>
      </c>
      <c r="O596" s="39">
        <f>N596/N599</f>
        <v>9.1689250225835586E-2</v>
      </c>
    </row>
    <row r="597" spans="1:15" x14ac:dyDescent="0.2">
      <c r="A597" s="26" t="s">
        <v>195</v>
      </c>
      <c r="B597" s="38">
        <v>75</v>
      </c>
      <c r="C597" s="39">
        <f>B597/B599</f>
        <v>0.1728110599078341</v>
      </c>
      <c r="D597" s="38">
        <v>5</v>
      </c>
      <c r="E597" s="39">
        <f>D597/D599</f>
        <v>0.14705882352941177</v>
      </c>
      <c r="F597" s="38">
        <v>28</v>
      </c>
      <c r="G597" s="39">
        <f>F597/F599</f>
        <v>0.16</v>
      </c>
      <c r="H597" s="38">
        <v>152</v>
      </c>
      <c r="I597" s="39">
        <f>H597/H599</f>
        <v>0.18976279650436953</v>
      </c>
      <c r="J597" s="38">
        <v>69</v>
      </c>
      <c r="K597" s="39">
        <f>J597/J599</f>
        <v>0.17737789203084833</v>
      </c>
      <c r="L597" s="38">
        <v>155</v>
      </c>
      <c r="M597" s="39">
        <f>L597/L599</f>
        <v>0.1791907514450867</v>
      </c>
      <c r="N597" s="29"/>
      <c r="O597" s="39">
        <f>N597/N599</f>
        <v>0</v>
      </c>
    </row>
    <row r="598" spans="1:15" x14ac:dyDescent="0.2">
      <c r="A598" s="26" t="s">
        <v>196</v>
      </c>
      <c r="B598" s="38">
        <v>254</v>
      </c>
      <c r="C598" s="39">
        <f>B598/B599</f>
        <v>0.58525345622119818</v>
      </c>
      <c r="D598" s="38">
        <v>21</v>
      </c>
      <c r="E598" s="39">
        <f>D598/D599</f>
        <v>0.61764705882352944</v>
      </c>
      <c r="F598" s="38">
        <v>102</v>
      </c>
      <c r="G598" s="39">
        <f>F598/F599</f>
        <v>0.58285714285714285</v>
      </c>
      <c r="H598" s="38">
        <v>497</v>
      </c>
      <c r="I598" s="39">
        <f>H598/H599</f>
        <v>0.62047440699126089</v>
      </c>
      <c r="J598" s="38">
        <v>227</v>
      </c>
      <c r="K598" s="39">
        <f>J598/J599</f>
        <v>0.58354755784061696</v>
      </c>
      <c r="L598" s="38">
        <v>524</v>
      </c>
      <c r="M598" s="39">
        <f>L598/L599</f>
        <v>0.60578034682080928</v>
      </c>
      <c r="N598" s="29">
        <f>B598+D598+F598+H598+J598+L598</f>
        <v>1625</v>
      </c>
      <c r="O598" s="39">
        <f>N598/N599</f>
        <v>0.73396567299006321</v>
      </c>
    </row>
    <row r="599" spans="1:15" x14ac:dyDescent="0.2">
      <c r="A599" s="108" t="s">
        <v>1</v>
      </c>
      <c r="B599" s="38">
        <f t="shared" ref="B599:M599" si="188">SUM(B594:B598)</f>
        <v>434</v>
      </c>
      <c r="C599" s="39">
        <f t="shared" si="188"/>
        <v>1</v>
      </c>
      <c r="D599" s="38">
        <f t="shared" si="188"/>
        <v>34</v>
      </c>
      <c r="E599" s="39">
        <f t="shared" si="188"/>
        <v>1</v>
      </c>
      <c r="F599" s="38">
        <f t="shared" si="188"/>
        <v>175</v>
      </c>
      <c r="G599" s="39">
        <f t="shared" si="188"/>
        <v>1</v>
      </c>
      <c r="H599" s="38">
        <f t="shared" si="188"/>
        <v>801</v>
      </c>
      <c r="I599" s="39">
        <f t="shared" si="188"/>
        <v>1</v>
      </c>
      <c r="J599" s="38">
        <f t="shared" si="188"/>
        <v>389</v>
      </c>
      <c r="K599" s="39">
        <f t="shared" si="188"/>
        <v>1</v>
      </c>
      <c r="L599" s="38">
        <f t="shared" si="188"/>
        <v>865</v>
      </c>
      <c r="M599" s="39">
        <f t="shared" si="188"/>
        <v>1</v>
      </c>
      <c r="N599" s="30">
        <f>SUM(N592:N598)</f>
        <v>2214</v>
      </c>
      <c r="O599" s="41">
        <f>SUM(O592:O598)</f>
        <v>1</v>
      </c>
    </row>
    <row r="600" spans="1:15" x14ac:dyDescent="0.2">
      <c r="A600" s="108" t="s">
        <v>197</v>
      </c>
      <c r="B600" s="38"/>
      <c r="C600" s="65">
        <f>SUM(C594:C596)</f>
        <v>0.24193548387096775</v>
      </c>
      <c r="D600" s="38"/>
      <c r="E600" s="65">
        <f>SUM(E594:E596)</f>
        <v>0.23529411764705882</v>
      </c>
      <c r="F600" s="38"/>
      <c r="G600" s="65">
        <f>SUM(G594:G596)</f>
        <v>0.25714285714285712</v>
      </c>
      <c r="H600" s="38"/>
      <c r="I600" s="65">
        <f>SUM(I594:I596)</f>
        <v>0.18976279650436956</v>
      </c>
      <c r="J600" s="38"/>
      <c r="K600" s="65">
        <f>SUM(K594:K596)</f>
        <v>0.23907455012853471</v>
      </c>
      <c r="L600" s="38"/>
      <c r="M600" s="65">
        <f>SUM(M594:M596)</f>
        <v>0.21502890173410405</v>
      </c>
      <c r="N600" s="30"/>
      <c r="O600" s="65">
        <f>SUM(O594:O596)</f>
        <v>0.26603432700993673</v>
      </c>
    </row>
    <row r="602" spans="1:15" ht="24" x14ac:dyDescent="0.2">
      <c r="A602" s="108" t="s">
        <v>208</v>
      </c>
      <c r="B602" s="151" t="s">
        <v>128</v>
      </c>
      <c r="C602" s="151"/>
      <c r="D602" s="151" t="s">
        <v>99</v>
      </c>
      <c r="E602" s="151"/>
      <c r="F602" s="150" t="s">
        <v>176</v>
      </c>
      <c r="G602" s="150"/>
      <c r="H602" s="151" t="s">
        <v>101</v>
      </c>
      <c r="I602" s="151"/>
      <c r="J602" s="151" t="s">
        <v>100</v>
      </c>
      <c r="K602" s="151"/>
      <c r="L602" s="151" t="s">
        <v>126</v>
      </c>
      <c r="M602" s="151"/>
      <c r="N602" s="148" t="s">
        <v>1</v>
      </c>
      <c r="O602" s="148"/>
    </row>
    <row r="603" spans="1:15" x14ac:dyDescent="0.2">
      <c r="A603" s="26" t="s">
        <v>192</v>
      </c>
      <c r="B603" s="38">
        <v>79</v>
      </c>
      <c r="C603" s="39">
        <f>B603/B608</f>
        <v>0.18036529680365296</v>
      </c>
      <c r="D603" s="38">
        <v>8</v>
      </c>
      <c r="E603" s="39">
        <f>D603/D608</f>
        <v>0.23529411764705882</v>
      </c>
      <c r="F603" s="38">
        <v>39</v>
      </c>
      <c r="G603" s="39">
        <f>F603/F608</f>
        <v>0.21910112359550563</v>
      </c>
      <c r="H603" s="38">
        <v>141</v>
      </c>
      <c r="I603" s="39">
        <f>H603/H608</f>
        <v>0.17515527950310558</v>
      </c>
      <c r="J603" s="38">
        <v>71</v>
      </c>
      <c r="K603" s="39">
        <f>J603/J608</f>
        <v>0.1815856777493606</v>
      </c>
      <c r="L603" s="38">
        <v>181</v>
      </c>
      <c r="M603" s="39">
        <f>L603/L608</f>
        <v>0.20756880733944955</v>
      </c>
      <c r="N603" s="29">
        <f>B603+D603+F603+H603+J603+L603</f>
        <v>519</v>
      </c>
      <c r="O603" s="39">
        <f>N603/N608</f>
        <v>0.21982210927573062</v>
      </c>
    </row>
    <row r="604" spans="1:15" x14ac:dyDescent="0.2">
      <c r="A604" s="26" t="s">
        <v>193</v>
      </c>
      <c r="B604" s="38">
        <v>37</v>
      </c>
      <c r="C604" s="39">
        <f>B604/B608</f>
        <v>8.4474885844748854E-2</v>
      </c>
      <c r="D604" s="38">
        <v>3</v>
      </c>
      <c r="E604" s="39">
        <f>D604/D608</f>
        <v>8.8235294117647065E-2</v>
      </c>
      <c r="F604" s="38">
        <v>21</v>
      </c>
      <c r="G604" s="39">
        <f>F604/F608</f>
        <v>0.11797752808988764</v>
      </c>
      <c r="H604" s="38">
        <v>75</v>
      </c>
      <c r="I604" s="39">
        <f>H604/H608</f>
        <v>9.3167701863354033E-2</v>
      </c>
      <c r="J604" s="38">
        <v>39</v>
      </c>
      <c r="K604" s="39">
        <f>J604/J608</f>
        <v>9.9744245524296671E-2</v>
      </c>
      <c r="L604" s="38">
        <v>85</v>
      </c>
      <c r="M604" s="39">
        <f>L604/L608</f>
        <v>9.7477064220183485E-2</v>
      </c>
      <c r="N604" s="29">
        <f>B604+D604+F604+H604+J604+L604</f>
        <v>260</v>
      </c>
      <c r="O604" s="39">
        <f>N604/N608</f>
        <v>0.11012282930961458</v>
      </c>
    </row>
    <row r="605" spans="1:15" x14ac:dyDescent="0.2">
      <c r="A605" s="26" t="s">
        <v>194</v>
      </c>
      <c r="B605" s="38">
        <v>23</v>
      </c>
      <c r="C605" s="39">
        <f>B605/B608</f>
        <v>5.2511415525114152E-2</v>
      </c>
      <c r="D605" s="38">
        <v>6</v>
      </c>
      <c r="E605" s="39">
        <f>D605/D608</f>
        <v>0.17647058823529413</v>
      </c>
      <c r="F605" s="38">
        <v>20</v>
      </c>
      <c r="G605" s="39">
        <f>F605/F608</f>
        <v>0.11235955056179775</v>
      </c>
      <c r="H605" s="38">
        <v>63</v>
      </c>
      <c r="I605" s="39">
        <f>H605/H608</f>
        <v>7.8260869565217397E-2</v>
      </c>
      <c r="J605" s="38">
        <v>31</v>
      </c>
      <c r="K605" s="39">
        <f>J605/J608</f>
        <v>7.9283887468030695E-2</v>
      </c>
      <c r="L605" s="38">
        <v>70</v>
      </c>
      <c r="M605" s="39">
        <f>L605/L608</f>
        <v>8.027522935779817E-2</v>
      </c>
      <c r="N605" s="29">
        <f>B605+D605+F605+H605+J605+L605</f>
        <v>213</v>
      </c>
      <c r="O605" s="39">
        <f>N605/N608</f>
        <v>9.0216010165184241E-2</v>
      </c>
    </row>
    <row r="606" spans="1:15" x14ac:dyDescent="0.2">
      <c r="A606" s="26" t="s">
        <v>195</v>
      </c>
      <c r="B606" s="38">
        <v>60</v>
      </c>
      <c r="C606" s="39">
        <f>B606/B608</f>
        <v>0.13698630136986301</v>
      </c>
      <c r="D606" s="38">
        <v>3</v>
      </c>
      <c r="E606" s="39">
        <f>D606/D608</f>
        <v>8.8235294117647065E-2</v>
      </c>
      <c r="F606" s="38">
        <v>21</v>
      </c>
      <c r="G606" s="39">
        <f>F606/F608</f>
        <v>0.11797752808988764</v>
      </c>
      <c r="H606" s="38">
        <v>107</v>
      </c>
      <c r="I606" s="39">
        <f>H606/H608</f>
        <v>0.13291925465838508</v>
      </c>
      <c r="J606" s="38">
        <v>53</v>
      </c>
      <c r="K606" s="39">
        <f>J606/J608</f>
        <v>0.13554987212276215</v>
      </c>
      <c r="L606" s="38">
        <v>113</v>
      </c>
      <c r="M606" s="39">
        <f>L606/L608</f>
        <v>0.12958715596330275</v>
      </c>
      <c r="N606" s="29"/>
      <c r="O606" s="39">
        <f>N606/N608</f>
        <v>0</v>
      </c>
    </row>
    <row r="607" spans="1:15" x14ac:dyDescent="0.2">
      <c r="A607" s="26" t="s">
        <v>196</v>
      </c>
      <c r="B607" s="38">
        <v>239</v>
      </c>
      <c r="C607" s="39">
        <f>B607/B608</f>
        <v>0.545662100456621</v>
      </c>
      <c r="D607" s="38">
        <v>14</v>
      </c>
      <c r="E607" s="39">
        <f>D607/D608</f>
        <v>0.41176470588235292</v>
      </c>
      <c r="F607" s="38">
        <v>77</v>
      </c>
      <c r="G607" s="39">
        <f>F607/F608</f>
        <v>0.43258426966292135</v>
      </c>
      <c r="H607" s="38">
        <v>419</v>
      </c>
      <c r="I607" s="39">
        <f>H607/H608</f>
        <v>0.52049689440993785</v>
      </c>
      <c r="J607" s="38">
        <v>197</v>
      </c>
      <c r="K607" s="39">
        <f>J607/J608</f>
        <v>0.50383631713554988</v>
      </c>
      <c r="L607" s="38">
        <v>423</v>
      </c>
      <c r="M607" s="39">
        <f>L607/L608</f>
        <v>0.48509174311926606</v>
      </c>
      <c r="N607" s="29">
        <f>B607+D607+F607+H607+J607+L607</f>
        <v>1369</v>
      </c>
      <c r="O607" s="39">
        <f>N607/N608</f>
        <v>0.57983905124947055</v>
      </c>
    </row>
    <row r="608" spans="1:15" x14ac:dyDescent="0.2">
      <c r="A608" s="108" t="s">
        <v>1</v>
      </c>
      <c r="B608" s="38">
        <f t="shared" ref="B608:M608" si="189">SUM(B603:B607)</f>
        <v>438</v>
      </c>
      <c r="C608" s="39">
        <f t="shared" si="189"/>
        <v>1</v>
      </c>
      <c r="D608" s="38">
        <f t="shared" si="189"/>
        <v>34</v>
      </c>
      <c r="E608" s="39">
        <f t="shared" si="189"/>
        <v>1</v>
      </c>
      <c r="F608" s="38">
        <f t="shared" si="189"/>
        <v>178</v>
      </c>
      <c r="G608" s="39">
        <f t="shared" si="189"/>
        <v>1</v>
      </c>
      <c r="H608" s="38">
        <f t="shared" si="189"/>
        <v>805</v>
      </c>
      <c r="I608" s="39">
        <f t="shared" si="189"/>
        <v>0.99999999999999989</v>
      </c>
      <c r="J608" s="38">
        <f t="shared" si="189"/>
        <v>391</v>
      </c>
      <c r="K608" s="39">
        <f t="shared" si="189"/>
        <v>1</v>
      </c>
      <c r="L608" s="38">
        <f t="shared" si="189"/>
        <v>872</v>
      </c>
      <c r="M608" s="39">
        <f t="shared" si="189"/>
        <v>1</v>
      </c>
      <c r="N608" s="30">
        <f>SUM(N601:N607)</f>
        <v>2361</v>
      </c>
      <c r="O608" s="41">
        <f>SUM(O601:O607)</f>
        <v>1</v>
      </c>
    </row>
    <row r="609" spans="1:15" x14ac:dyDescent="0.2">
      <c r="A609" s="108" t="s">
        <v>197</v>
      </c>
      <c r="B609" s="38"/>
      <c r="C609" s="65">
        <f>SUM(C603:C605)</f>
        <v>0.31735159817351599</v>
      </c>
      <c r="D609" s="38"/>
      <c r="E609" s="65">
        <f>SUM(E603:E605)</f>
        <v>0.5</v>
      </c>
      <c r="F609" s="38"/>
      <c r="G609" s="65">
        <f>SUM(G603:G605)</f>
        <v>0.449438202247191</v>
      </c>
      <c r="H609" s="38"/>
      <c r="I609" s="65">
        <f>SUM(I603:I605)</f>
        <v>0.34658385093167698</v>
      </c>
      <c r="J609" s="38"/>
      <c r="K609" s="65">
        <f>SUM(K603:K605)</f>
        <v>0.36061381074168797</v>
      </c>
      <c r="L609" s="38"/>
      <c r="M609" s="65">
        <f>SUM(M603:M605)</f>
        <v>0.38532110091743121</v>
      </c>
      <c r="N609" s="30"/>
      <c r="O609" s="65">
        <f>SUM(O603:O605)</f>
        <v>0.42016094875052945</v>
      </c>
    </row>
    <row r="611" spans="1:15" x14ac:dyDescent="0.2">
      <c r="A611" s="108" t="s">
        <v>209</v>
      </c>
      <c r="B611" s="151" t="s">
        <v>128</v>
      </c>
      <c r="C611" s="151"/>
      <c r="D611" s="151" t="s">
        <v>99</v>
      </c>
      <c r="E611" s="151"/>
      <c r="F611" s="150" t="s">
        <v>176</v>
      </c>
      <c r="G611" s="150"/>
      <c r="H611" s="151" t="s">
        <v>101</v>
      </c>
      <c r="I611" s="151"/>
      <c r="J611" s="151" t="s">
        <v>100</v>
      </c>
      <c r="K611" s="151"/>
      <c r="L611" s="151" t="s">
        <v>126</v>
      </c>
      <c r="M611" s="151"/>
      <c r="N611" s="148" t="s">
        <v>1</v>
      </c>
      <c r="O611" s="148"/>
    </row>
    <row r="612" spans="1:15" x14ac:dyDescent="0.2">
      <c r="A612" s="26" t="s">
        <v>192</v>
      </c>
      <c r="B612" s="38">
        <v>73</v>
      </c>
      <c r="C612" s="39">
        <f>B612/B617</f>
        <v>0.16743119266055045</v>
      </c>
      <c r="D612" s="38">
        <v>9</v>
      </c>
      <c r="E612" s="39">
        <f>D612/D617</f>
        <v>0.26470588235294118</v>
      </c>
      <c r="F612" s="38">
        <v>28</v>
      </c>
      <c r="G612" s="39">
        <f>F612/F617</f>
        <v>0.16</v>
      </c>
      <c r="H612" s="38">
        <v>158</v>
      </c>
      <c r="I612" s="39">
        <f>H612/H617</f>
        <v>0.19578686493184635</v>
      </c>
      <c r="J612" s="38">
        <v>53</v>
      </c>
      <c r="K612" s="39">
        <f>J612/J617</f>
        <v>0.13624678663239073</v>
      </c>
      <c r="L612" s="38">
        <v>151</v>
      </c>
      <c r="M612" s="39">
        <f>L612/L617</f>
        <v>0.17416378316032297</v>
      </c>
      <c r="N612" s="29">
        <f>B612+D612+F612+H612+J612+L612</f>
        <v>472</v>
      </c>
      <c r="O612" s="39">
        <f>N612/N617</f>
        <v>0.23412698412698413</v>
      </c>
    </row>
    <row r="613" spans="1:15" x14ac:dyDescent="0.2">
      <c r="A613" s="26" t="s">
        <v>193</v>
      </c>
      <c r="B613" s="38">
        <v>90</v>
      </c>
      <c r="C613" s="39">
        <f>B613/B617</f>
        <v>0.20642201834862386</v>
      </c>
      <c r="D613" s="38">
        <v>3</v>
      </c>
      <c r="E613" s="39">
        <f>D613/D617</f>
        <v>8.8235294117647065E-2</v>
      </c>
      <c r="F613" s="38">
        <v>26</v>
      </c>
      <c r="G613" s="39">
        <f>F613/F617</f>
        <v>0.14857142857142858</v>
      </c>
      <c r="H613" s="38">
        <v>196</v>
      </c>
      <c r="I613" s="39">
        <f>H613/H617</f>
        <v>0.24287484510532836</v>
      </c>
      <c r="J613" s="38">
        <v>65</v>
      </c>
      <c r="K613" s="39">
        <f>J613/J617</f>
        <v>0.16709511568123395</v>
      </c>
      <c r="L613" s="38">
        <v>181</v>
      </c>
      <c r="M613" s="39">
        <f>L613/L617</f>
        <v>0.20876585928489041</v>
      </c>
      <c r="N613" s="29">
        <f>B613+D613+F613+H613+J613+L613</f>
        <v>561</v>
      </c>
      <c r="O613" s="39">
        <f>N613/N617</f>
        <v>0.27827380952380953</v>
      </c>
    </row>
    <row r="614" spans="1:15" x14ac:dyDescent="0.2">
      <c r="A614" s="26" t="s">
        <v>194</v>
      </c>
      <c r="B614" s="38">
        <v>95</v>
      </c>
      <c r="C614" s="39">
        <f>B614/B617</f>
        <v>0.21788990825688073</v>
      </c>
      <c r="D614" s="38">
        <v>5</v>
      </c>
      <c r="E614" s="39">
        <f>D614/D617</f>
        <v>0.14705882352941177</v>
      </c>
      <c r="F614" s="38">
        <v>47</v>
      </c>
      <c r="G614" s="39">
        <f>F614/F617</f>
        <v>0.26857142857142857</v>
      </c>
      <c r="H614" s="38">
        <v>184</v>
      </c>
      <c r="I614" s="39">
        <f>H614/H617</f>
        <v>0.22800495662949194</v>
      </c>
      <c r="J614" s="38">
        <v>97</v>
      </c>
      <c r="K614" s="39">
        <f>J614/J617</f>
        <v>0.24935732647814909</v>
      </c>
      <c r="L614" s="38">
        <v>199</v>
      </c>
      <c r="M614" s="39">
        <f>L614/L617</f>
        <v>0.22952710495963091</v>
      </c>
      <c r="N614" s="29">
        <f>B614+D614+F614+H614+J614+L614</f>
        <v>627</v>
      </c>
      <c r="O614" s="39">
        <f>N614/N617</f>
        <v>0.31101190476190477</v>
      </c>
    </row>
    <row r="615" spans="1:15" x14ac:dyDescent="0.2">
      <c r="A615" s="26" t="s">
        <v>195</v>
      </c>
      <c r="B615" s="38">
        <v>123</v>
      </c>
      <c r="C615" s="39">
        <f>B615/B617</f>
        <v>0.28211009174311924</v>
      </c>
      <c r="D615" s="38">
        <v>9</v>
      </c>
      <c r="E615" s="39">
        <f>D615/D617</f>
        <v>0.26470588235294118</v>
      </c>
      <c r="F615" s="38">
        <v>46</v>
      </c>
      <c r="G615" s="39">
        <f>F615/F617</f>
        <v>0.26285714285714284</v>
      </c>
      <c r="H615" s="38">
        <v>184</v>
      </c>
      <c r="I615" s="39">
        <f>H615/H617</f>
        <v>0.22800495662949194</v>
      </c>
      <c r="J615" s="38">
        <v>110</v>
      </c>
      <c r="K615" s="39">
        <f>J615/J617</f>
        <v>0.28277634961439591</v>
      </c>
      <c r="L615" s="38">
        <v>220</v>
      </c>
      <c r="M615" s="39">
        <f>L615/L617</f>
        <v>0.25374855824682813</v>
      </c>
      <c r="N615" s="29"/>
      <c r="O615" s="39">
        <f>N615/N617</f>
        <v>0</v>
      </c>
    </row>
    <row r="616" spans="1:15" x14ac:dyDescent="0.2">
      <c r="A616" s="26" t="s">
        <v>196</v>
      </c>
      <c r="B616" s="38">
        <v>55</v>
      </c>
      <c r="C616" s="39">
        <f>B616/B617</f>
        <v>0.12614678899082568</v>
      </c>
      <c r="D616" s="38">
        <v>8</v>
      </c>
      <c r="E616" s="39">
        <f>D616/D617</f>
        <v>0.23529411764705882</v>
      </c>
      <c r="F616" s="38">
        <v>28</v>
      </c>
      <c r="G616" s="39">
        <f>F616/F617</f>
        <v>0.16</v>
      </c>
      <c r="H616" s="38">
        <v>85</v>
      </c>
      <c r="I616" s="39">
        <f>H616/H617</f>
        <v>0.10532837670384139</v>
      </c>
      <c r="J616" s="38">
        <v>64</v>
      </c>
      <c r="K616" s="39">
        <f>J616/J617</f>
        <v>0.16452442159383032</v>
      </c>
      <c r="L616" s="38">
        <v>116</v>
      </c>
      <c r="M616" s="39">
        <f>L616/L617</f>
        <v>0.13379469434832755</v>
      </c>
      <c r="N616" s="29">
        <f>B616+D616+F616+H616+J616+L616</f>
        <v>356</v>
      </c>
      <c r="O616" s="39">
        <f>N616/N617</f>
        <v>0.1765873015873016</v>
      </c>
    </row>
    <row r="617" spans="1:15" x14ac:dyDescent="0.2">
      <c r="A617" s="108" t="s">
        <v>1</v>
      </c>
      <c r="B617" s="38">
        <f t="shared" ref="B617:M617" si="190">SUM(B612:B616)</f>
        <v>436</v>
      </c>
      <c r="C617" s="39">
        <f t="shared" si="190"/>
        <v>1</v>
      </c>
      <c r="D617" s="38">
        <f t="shared" si="190"/>
        <v>34</v>
      </c>
      <c r="E617" s="39">
        <f t="shared" si="190"/>
        <v>1</v>
      </c>
      <c r="F617" s="38">
        <f t="shared" si="190"/>
        <v>175</v>
      </c>
      <c r="G617" s="39">
        <f t="shared" si="190"/>
        <v>1</v>
      </c>
      <c r="H617" s="38">
        <f t="shared" si="190"/>
        <v>807</v>
      </c>
      <c r="I617" s="39">
        <f t="shared" si="190"/>
        <v>1</v>
      </c>
      <c r="J617" s="38">
        <f t="shared" si="190"/>
        <v>389</v>
      </c>
      <c r="K617" s="39">
        <f t="shared" si="190"/>
        <v>1</v>
      </c>
      <c r="L617" s="38">
        <f t="shared" si="190"/>
        <v>867</v>
      </c>
      <c r="M617" s="39">
        <f t="shared" si="190"/>
        <v>1</v>
      </c>
      <c r="N617" s="30">
        <f>SUM(N610:N616)</f>
        <v>2016</v>
      </c>
      <c r="O617" s="41">
        <f>SUM(O610:O616)</f>
        <v>1</v>
      </c>
    </row>
    <row r="618" spans="1:15" x14ac:dyDescent="0.2">
      <c r="A618" s="108" t="s">
        <v>197</v>
      </c>
      <c r="B618" s="38"/>
      <c r="C618" s="65">
        <f>SUM(C612:C614)</f>
        <v>0.59174311926605505</v>
      </c>
      <c r="D618" s="38"/>
      <c r="E618" s="65">
        <f>SUM(E612:E614)</f>
        <v>0.5</v>
      </c>
      <c r="F618" s="38"/>
      <c r="G618" s="65">
        <f>SUM(G612:G614)</f>
        <v>0.57714285714285718</v>
      </c>
      <c r="H618" s="38"/>
      <c r="I618" s="65">
        <f>SUM(I612:I614)</f>
        <v>0.66666666666666663</v>
      </c>
      <c r="J618" s="38"/>
      <c r="K618" s="65">
        <f>SUM(K612:K614)</f>
        <v>0.5526992287917738</v>
      </c>
      <c r="L618" s="38"/>
      <c r="M618" s="65">
        <f>SUM(M612:M614)</f>
        <v>0.61245674740484435</v>
      </c>
      <c r="N618" s="30"/>
      <c r="O618" s="65">
        <f>SUM(O612:O614)</f>
        <v>0.82341269841269848</v>
      </c>
    </row>
    <row r="620" spans="1:15" ht="24" x14ac:dyDescent="0.2">
      <c r="A620" s="108" t="s">
        <v>210</v>
      </c>
      <c r="B620" s="151" t="s">
        <v>128</v>
      </c>
      <c r="C620" s="151"/>
      <c r="D620" s="151" t="s">
        <v>99</v>
      </c>
      <c r="E620" s="151"/>
      <c r="F620" s="150" t="s">
        <v>176</v>
      </c>
      <c r="G620" s="150"/>
      <c r="H620" s="151" t="s">
        <v>101</v>
      </c>
      <c r="I620" s="151"/>
      <c r="J620" s="151" t="s">
        <v>100</v>
      </c>
      <c r="K620" s="151"/>
      <c r="L620" s="151" t="s">
        <v>126</v>
      </c>
      <c r="M620" s="151"/>
      <c r="N620" s="148" t="s">
        <v>1</v>
      </c>
      <c r="O620" s="148"/>
    </row>
    <row r="621" spans="1:15" x14ac:dyDescent="0.2">
      <c r="A621" s="26" t="s">
        <v>192</v>
      </c>
      <c r="B621" s="38">
        <v>48</v>
      </c>
      <c r="C621" s="39">
        <f>B621/B626</f>
        <v>0.11594202898550725</v>
      </c>
      <c r="D621" s="38">
        <v>4</v>
      </c>
      <c r="E621" s="39">
        <f>D621/D626</f>
        <v>0.12121212121212122</v>
      </c>
      <c r="F621" s="38">
        <v>20</v>
      </c>
      <c r="G621" s="39">
        <f>F621/F626</f>
        <v>0.11560693641618497</v>
      </c>
      <c r="H621" s="38">
        <v>79</v>
      </c>
      <c r="I621" s="39">
        <f>H621/H626</f>
        <v>9.9121706398996243E-2</v>
      </c>
      <c r="J621" s="38">
        <v>37</v>
      </c>
      <c r="K621" s="39">
        <f>J621/J626</f>
        <v>9.585492227979274E-2</v>
      </c>
      <c r="L621" s="38">
        <v>101</v>
      </c>
      <c r="M621" s="39">
        <f>L621/L626</f>
        <v>0.11785297549591599</v>
      </c>
      <c r="N621" s="29">
        <f>B621+D621+F621+H621+J621+L621</f>
        <v>289</v>
      </c>
      <c r="O621" s="39">
        <f>N621/N626</f>
        <v>0.12959641255605381</v>
      </c>
    </row>
    <row r="622" spans="1:15" x14ac:dyDescent="0.2">
      <c r="A622" s="26" t="s">
        <v>193</v>
      </c>
      <c r="B622" s="38">
        <v>27</v>
      </c>
      <c r="C622" s="39">
        <f>B622/B626</f>
        <v>6.5217391304347824E-2</v>
      </c>
      <c r="D622" s="38">
        <v>3</v>
      </c>
      <c r="E622" s="39">
        <f>D622/D626</f>
        <v>9.0909090909090912E-2</v>
      </c>
      <c r="F622" s="38">
        <v>15</v>
      </c>
      <c r="G622" s="39">
        <f>F622/F626</f>
        <v>8.6705202312138727E-2</v>
      </c>
      <c r="H622" s="38">
        <v>90</v>
      </c>
      <c r="I622" s="39">
        <f>H622/H626</f>
        <v>0.11292346298619825</v>
      </c>
      <c r="J622" s="38">
        <v>25</v>
      </c>
      <c r="K622" s="39">
        <f>J622/J626</f>
        <v>6.4766839378238336E-2</v>
      </c>
      <c r="L622" s="38">
        <v>62</v>
      </c>
      <c r="M622" s="39">
        <f>L622/L626</f>
        <v>7.2345390898483075E-2</v>
      </c>
      <c r="N622" s="29">
        <f>B622+D622+F622+H622+J622+L622</f>
        <v>222</v>
      </c>
      <c r="O622" s="39">
        <f>N622/N626</f>
        <v>9.9551569506726459E-2</v>
      </c>
    </row>
    <row r="623" spans="1:15" x14ac:dyDescent="0.2">
      <c r="A623" s="26" t="s">
        <v>194</v>
      </c>
      <c r="B623" s="38">
        <v>53</v>
      </c>
      <c r="C623" s="39">
        <f>B623/B626</f>
        <v>0.1280193236714976</v>
      </c>
      <c r="D623" s="38">
        <v>3</v>
      </c>
      <c r="E623" s="39">
        <f>D623/D626</f>
        <v>9.0909090909090912E-2</v>
      </c>
      <c r="F623" s="38">
        <v>24</v>
      </c>
      <c r="G623" s="39">
        <f>F623/F626</f>
        <v>0.13872832369942195</v>
      </c>
      <c r="H623" s="38">
        <v>94</v>
      </c>
      <c r="I623" s="39">
        <f>H623/H626</f>
        <v>0.11794228356336262</v>
      </c>
      <c r="J623" s="38">
        <v>50</v>
      </c>
      <c r="K623" s="39">
        <f>J623/J626</f>
        <v>0.12953367875647667</v>
      </c>
      <c r="L623" s="38">
        <v>85</v>
      </c>
      <c r="M623" s="39">
        <f>L623/L626</f>
        <v>9.9183197199533252E-2</v>
      </c>
      <c r="N623" s="29">
        <f>B623+D623+F623+H623+J623+L623</f>
        <v>309</v>
      </c>
      <c r="O623" s="39">
        <f>N623/N626</f>
        <v>0.13856502242152466</v>
      </c>
    </row>
    <row r="624" spans="1:15" x14ac:dyDescent="0.2">
      <c r="A624" s="26" t="s">
        <v>195</v>
      </c>
      <c r="B624" s="38">
        <v>61</v>
      </c>
      <c r="C624" s="39">
        <f>B624/B626</f>
        <v>0.14734299516908211</v>
      </c>
      <c r="D624" s="38">
        <v>5</v>
      </c>
      <c r="E624" s="39">
        <f>D624/D626</f>
        <v>0.15151515151515152</v>
      </c>
      <c r="F624" s="38">
        <v>27</v>
      </c>
      <c r="G624" s="39">
        <f>F624/F626</f>
        <v>0.15606936416184972</v>
      </c>
      <c r="H624" s="38">
        <v>124</v>
      </c>
      <c r="I624" s="39">
        <f>H624/H626</f>
        <v>0.15558343789209536</v>
      </c>
      <c r="J624" s="38">
        <v>64</v>
      </c>
      <c r="K624" s="39">
        <f>J624/J626</f>
        <v>0.16580310880829016</v>
      </c>
      <c r="L624" s="38">
        <v>149</v>
      </c>
      <c r="M624" s="39">
        <f>L624/L626</f>
        <v>0.17386231038506417</v>
      </c>
      <c r="N624" s="29"/>
      <c r="O624" s="39">
        <f>N624/N626</f>
        <v>0</v>
      </c>
    </row>
    <row r="625" spans="1:15" x14ac:dyDescent="0.2">
      <c r="A625" s="26" t="s">
        <v>196</v>
      </c>
      <c r="B625" s="38">
        <v>225</v>
      </c>
      <c r="C625" s="39">
        <f>B625/B626</f>
        <v>0.54347826086956519</v>
      </c>
      <c r="D625" s="38">
        <v>18</v>
      </c>
      <c r="E625" s="39">
        <f>D625/D626</f>
        <v>0.54545454545454541</v>
      </c>
      <c r="F625" s="38">
        <v>87</v>
      </c>
      <c r="G625" s="39">
        <f>F625/F626</f>
        <v>0.50289017341040465</v>
      </c>
      <c r="H625" s="38">
        <v>410</v>
      </c>
      <c r="I625" s="39">
        <f>H625/H626</f>
        <v>0.51442910915934759</v>
      </c>
      <c r="J625" s="38">
        <v>210</v>
      </c>
      <c r="K625" s="39">
        <f>J625/J626</f>
        <v>0.54404145077720212</v>
      </c>
      <c r="L625" s="38">
        <v>460</v>
      </c>
      <c r="M625" s="39">
        <f>L625/L626</f>
        <v>0.53675612602100353</v>
      </c>
      <c r="N625" s="29">
        <f>B625+D625+F625+H625+J625+L625</f>
        <v>1410</v>
      </c>
      <c r="O625" s="39">
        <f>N625/N626</f>
        <v>0.63228699551569512</v>
      </c>
    </row>
    <row r="626" spans="1:15" x14ac:dyDescent="0.2">
      <c r="A626" s="108" t="s">
        <v>1</v>
      </c>
      <c r="B626" s="38">
        <f t="shared" ref="B626:M626" si="191">SUM(B621:B625)</f>
        <v>414</v>
      </c>
      <c r="C626" s="39">
        <f t="shared" si="191"/>
        <v>1</v>
      </c>
      <c r="D626" s="38">
        <f t="shared" si="191"/>
        <v>33</v>
      </c>
      <c r="E626" s="39">
        <f t="shared" si="191"/>
        <v>1</v>
      </c>
      <c r="F626" s="38">
        <f t="shared" si="191"/>
        <v>173</v>
      </c>
      <c r="G626" s="39">
        <f t="shared" si="191"/>
        <v>1</v>
      </c>
      <c r="H626" s="38">
        <f t="shared" si="191"/>
        <v>797</v>
      </c>
      <c r="I626" s="39">
        <f t="shared" si="191"/>
        <v>1</v>
      </c>
      <c r="J626" s="38">
        <f t="shared" si="191"/>
        <v>386</v>
      </c>
      <c r="K626" s="39">
        <f t="shared" si="191"/>
        <v>1</v>
      </c>
      <c r="L626" s="38">
        <f t="shared" si="191"/>
        <v>857</v>
      </c>
      <c r="M626" s="39">
        <f t="shared" si="191"/>
        <v>1</v>
      </c>
      <c r="N626" s="30">
        <f>SUM(N619:N625)</f>
        <v>2230</v>
      </c>
      <c r="O626" s="41">
        <f>SUM(O619:O625)</f>
        <v>1</v>
      </c>
    </row>
    <row r="627" spans="1:15" x14ac:dyDescent="0.2">
      <c r="A627" s="108" t="s">
        <v>197</v>
      </c>
      <c r="B627" s="38"/>
      <c r="C627" s="65">
        <f>SUM(C621:C623)</f>
        <v>0.3091787439613527</v>
      </c>
      <c r="D627" s="38"/>
      <c r="E627" s="65">
        <f>SUM(E621:E623)</f>
        <v>0.30303030303030304</v>
      </c>
      <c r="F627" s="38"/>
      <c r="G627" s="65">
        <f>SUM(G621:G623)</f>
        <v>0.34104046242774566</v>
      </c>
      <c r="H627" s="38"/>
      <c r="I627" s="65">
        <f>SUM(I621:I623)</f>
        <v>0.32998745294855714</v>
      </c>
      <c r="J627" s="38"/>
      <c r="K627" s="65">
        <f>SUM(K621:K623)</f>
        <v>0.29015544041450775</v>
      </c>
      <c r="L627" s="38"/>
      <c r="M627" s="65">
        <f>SUM(M621:M623)</f>
        <v>0.2893815635939323</v>
      </c>
      <c r="N627" s="30"/>
      <c r="O627" s="65">
        <f>SUM(O621:O623)</f>
        <v>0.36771300448430488</v>
      </c>
    </row>
    <row r="629" spans="1:15" ht="24" x14ac:dyDescent="0.2">
      <c r="A629" s="108" t="s">
        <v>211</v>
      </c>
      <c r="B629" s="151" t="s">
        <v>128</v>
      </c>
      <c r="C629" s="151"/>
      <c r="D629" s="151" t="s">
        <v>99</v>
      </c>
      <c r="E629" s="151"/>
      <c r="F629" s="150" t="s">
        <v>176</v>
      </c>
      <c r="G629" s="150"/>
      <c r="H629" s="151" t="s">
        <v>101</v>
      </c>
      <c r="I629" s="151"/>
      <c r="J629" s="151" t="s">
        <v>100</v>
      </c>
      <c r="K629" s="151"/>
      <c r="L629" s="151" t="s">
        <v>126</v>
      </c>
      <c r="M629" s="151"/>
      <c r="N629" s="148" t="s">
        <v>1</v>
      </c>
      <c r="O629" s="148"/>
    </row>
    <row r="630" spans="1:15" x14ac:dyDescent="0.2">
      <c r="A630" s="26" t="s">
        <v>192</v>
      </c>
      <c r="B630" s="38">
        <v>17</v>
      </c>
      <c r="C630" s="39">
        <f>B630/B635</f>
        <v>3.9443155452436193E-2</v>
      </c>
      <c r="D630" s="38"/>
      <c r="E630" s="39">
        <f>D630/D635</f>
        <v>0</v>
      </c>
      <c r="F630" s="38">
        <v>2</v>
      </c>
      <c r="G630" s="39">
        <f>F630/F635</f>
        <v>1.1627906976744186E-2</v>
      </c>
      <c r="H630" s="38">
        <v>18</v>
      </c>
      <c r="I630" s="39">
        <f>H630/H635</f>
        <v>2.2556390977443608E-2</v>
      </c>
      <c r="J630" s="38">
        <v>6</v>
      </c>
      <c r="K630" s="39">
        <f>J630/J635</f>
        <v>1.5463917525773196E-2</v>
      </c>
      <c r="L630" s="38">
        <v>25</v>
      </c>
      <c r="M630" s="39">
        <f>L630/L635</f>
        <v>2.8901734104046242E-2</v>
      </c>
      <c r="N630" s="29">
        <f>B630+D630+F630+H630+J630+L630</f>
        <v>68</v>
      </c>
      <c r="O630" s="39">
        <f>N630/N635</f>
        <v>2.6053639846743294E-2</v>
      </c>
    </row>
    <row r="631" spans="1:15" x14ac:dyDescent="0.2">
      <c r="A631" s="26" t="s">
        <v>193</v>
      </c>
      <c r="B631" s="38">
        <v>3</v>
      </c>
      <c r="C631" s="39">
        <f>B631/B635</f>
        <v>6.9605568445475635E-3</v>
      </c>
      <c r="D631" s="38"/>
      <c r="E631" s="39">
        <f>D631/D635</f>
        <v>0</v>
      </c>
      <c r="F631" s="38">
        <v>3</v>
      </c>
      <c r="G631" s="39">
        <f>F631/F635</f>
        <v>1.7441860465116279E-2</v>
      </c>
      <c r="H631" s="38">
        <v>9</v>
      </c>
      <c r="I631" s="39">
        <f>H631/H635</f>
        <v>1.1278195488721804E-2</v>
      </c>
      <c r="J631" s="38">
        <v>2</v>
      </c>
      <c r="K631" s="39">
        <f>J631/J635</f>
        <v>5.1546391752577319E-3</v>
      </c>
      <c r="L631" s="38">
        <v>9</v>
      </c>
      <c r="M631" s="39">
        <f>L631/L635</f>
        <v>1.0404624277456647E-2</v>
      </c>
      <c r="N631" s="29">
        <f>B631+D631+F631+H631+J631+L631</f>
        <v>26</v>
      </c>
      <c r="O631" s="39">
        <f>N631/N635</f>
        <v>9.9616858237547897E-3</v>
      </c>
    </row>
    <row r="632" spans="1:15" x14ac:dyDescent="0.2">
      <c r="A632" s="26" t="s">
        <v>194</v>
      </c>
      <c r="B632" s="38">
        <v>4</v>
      </c>
      <c r="C632" s="39">
        <f>B632/B635</f>
        <v>9.2807424593967514E-3</v>
      </c>
      <c r="D632" s="38">
        <v>2</v>
      </c>
      <c r="E632" s="39">
        <f>D632/D635</f>
        <v>5.8823529411764705E-2</v>
      </c>
      <c r="F632" s="38">
        <v>2</v>
      </c>
      <c r="G632" s="39">
        <f>F632/F635</f>
        <v>1.1627906976744186E-2</v>
      </c>
      <c r="H632" s="38">
        <v>21</v>
      </c>
      <c r="I632" s="39">
        <f>H632/H635</f>
        <v>2.6315789473684209E-2</v>
      </c>
      <c r="J632" s="38">
        <v>3</v>
      </c>
      <c r="K632" s="39">
        <f>J632/J635</f>
        <v>7.7319587628865982E-3</v>
      </c>
      <c r="L632" s="38">
        <v>20</v>
      </c>
      <c r="M632" s="39">
        <f>L632/L635</f>
        <v>2.3121387283236993E-2</v>
      </c>
      <c r="N632" s="29">
        <f>B632+D632+F632+H632+J632+L632</f>
        <v>52</v>
      </c>
      <c r="O632" s="39">
        <f>N632/N635</f>
        <v>1.9923371647509579E-2</v>
      </c>
    </row>
    <row r="633" spans="1:15" x14ac:dyDescent="0.2">
      <c r="A633" s="26" t="s">
        <v>195</v>
      </c>
      <c r="B633" s="38">
        <v>13</v>
      </c>
      <c r="C633" s="39">
        <f>B633/B635</f>
        <v>3.0162412993039442E-2</v>
      </c>
      <c r="D633" s="38"/>
      <c r="E633" s="39">
        <f>D633/D635</f>
        <v>0</v>
      </c>
      <c r="F633" s="38">
        <v>3</v>
      </c>
      <c r="G633" s="39">
        <f>F633/F635</f>
        <v>1.7441860465116279E-2</v>
      </c>
      <c r="H633" s="38">
        <v>19</v>
      </c>
      <c r="I633" s="39">
        <f>H633/H635</f>
        <v>2.3809523809523808E-2</v>
      </c>
      <c r="J633" s="38">
        <v>11</v>
      </c>
      <c r="K633" s="39">
        <f>J633/J635</f>
        <v>2.8350515463917526E-2</v>
      </c>
      <c r="L633" s="38">
        <v>32</v>
      </c>
      <c r="M633" s="39">
        <f>L633/L635</f>
        <v>3.6994219653179193E-2</v>
      </c>
      <c r="N633" s="29"/>
      <c r="O633" s="39">
        <f>N633/N635</f>
        <v>0</v>
      </c>
    </row>
    <row r="634" spans="1:15" x14ac:dyDescent="0.2">
      <c r="A634" s="26" t="s">
        <v>196</v>
      </c>
      <c r="B634" s="38">
        <v>394</v>
      </c>
      <c r="C634" s="39">
        <f>B634/B635</f>
        <v>0.91415313225058004</v>
      </c>
      <c r="D634" s="38">
        <v>32</v>
      </c>
      <c r="E634" s="39">
        <f>D634/D635</f>
        <v>0.94117647058823528</v>
      </c>
      <c r="F634" s="38">
        <v>162</v>
      </c>
      <c r="G634" s="39">
        <f>F634/F635</f>
        <v>0.94186046511627908</v>
      </c>
      <c r="H634" s="38">
        <v>731</v>
      </c>
      <c r="I634" s="39">
        <f>H634/H635</f>
        <v>0.91604010025062654</v>
      </c>
      <c r="J634" s="38">
        <v>366</v>
      </c>
      <c r="K634" s="39">
        <f>J634/J635</f>
        <v>0.94329896907216493</v>
      </c>
      <c r="L634" s="38">
        <v>779</v>
      </c>
      <c r="M634" s="39">
        <f>L634/L635</f>
        <v>0.90057803468208097</v>
      </c>
      <c r="N634" s="29">
        <f>B634+D634+F634+H634+J634+L634</f>
        <v>2464</v>
      </c>
      <c r="O634" s="39">
        <f>N634/N635</f>
        <v>0.94406130268199229</v>
      </c>
    </row>
    <row r="635" spans="1:15" x14ac:dyDescent="0.2">
      <c r="A635" s="108" t="s">
        <v>1</v>
      </c>
      <c r="B635" s="38">
        <f t="shared" ref="B635:M635" si="192">SUM(B630:B634)</f>
        <v>431</v>
      </c>
      <c r="C635" s="39">
        <f t="shared" si="192"/>
        <v>1</v>
      </c>
      <c r="D635" s="38">
        <f t="shared" si="192"/>
        <v>34</v>
      </c>
      <c r="E635" s="39">
        <f t="shared" si="192"/>
        <v>1</v>
      </c>
      <c r="F635" s="38">
        <f t="shared" si="192"/>
        <v>172</v>
      </c>
      <c r="G635" s="39">
        <f t="shared" si="192"/>
        <v>1</v>
      </c>
      <c r="H635" s="38">
        <f t="shared" si="192"/>
        <v>798</v>
      </c>
      <c r="I635" s="39">
        <f t="shared" si="192"/>
        <v>1</v>
      </c>
      <c r="J635" s="38">
        <f t="shared" si="192"/>
        <v>388</v>
      </c>
      <c r="K635" s="39">
        <f t="shared" si="192"/>
        <v>1</v>
      </c>
      <c r="L635" s="38">
        <f t="shared" si="192"/>
        <v>865</v>
      </c>
      <c r="M635" s="39">
        <f t="shared" si="192"/>
        <v>1</v>
      </c>
      <c r="N635" s="30">
        <f>SUM(N628:N634)</f>
        <v>2610</v>
      </c>
      <c r="O635" s="41">
        <f>SUM(O628:O634)</f>
        <v>1</v>
      </c>
    </row>
    <row r="636" spans="1:15" x14ac:dyDescent="0.2">
      <c r="A636" s="108" t="s">
        <v>197</v>
      </c>
      <c r="B636" s="38"/>
      <c r="C636" s="65">
        <f>SUM(C630:C632)</f>
        <v>5.5684454756380508E-2</v>
      </c>
      <c r="D636" s="38"/>
      <c r="E636" s="65">
        <f>SUM(E630:E632)</f>
        <v>5.8823529411764705E-2</v>
      </c>
      <c r="F636" s="38"/>
      <c r="G636" s="65">
        <f>SUM(G630:G632)</f>
        <v>4.0697674418604654E-2</v>
      </c>
      <c r="H636" s="38"/>
      <c r="I636" s="65">
        <f>SUM(I630:I632)</f>
        <v>6.0150375939849621E-2</v>
      </c>
      <c r="J636" s="38"/>
      <c r="K636" s="65">
        <f>SUM(K630:K632)</f>
        <v>2.8350515463917526E-2</v>
      </c>
      <c r="L636" s="38"/>
      <c r="M636" s="65">
        <f>SUM(M630:M632)</f>
        <v>6.2427745664739881E-2</v>
      </c>
      <c r="N636" s="30"/>
      <c r="O636" s="65">
        <f>SUM(O630:O632)</f>
        <v>5.5938697318007657E-2</v>
      </c>
    </row>
    <row r="638" spans="1:15" ht="24" x14ac:dyDescent="0.2">
      <c r="A638" s="108" t="s">
        <v>212</v>
      </c>
      <c r="B638" s="151" t="s">
        <v>128</v>
      </c>
      <c r="C638" s="151"/>
      <c r="D638" s="151" t="s">
        <v>99</v>
      </c>
      <c r="E638" s="151"/>
      <c r="F638" s="150" t="s">
        <v>176</v>
      </c>
      <c r="G638" s="150"/>
      <c r="H638" s="151" t="s">
        <v>101</v>
      </c>
      <c r="I638" s="151"/>
      <c r="J638" s="151" t="s">
        <v>100</v>
      </c>
      <c r="K638" s="151"/>
      <c r="L638" s="151" t="s">
        <v>126</v>
      </c>
      <c r="M638" s="151"/>
      <c r="N638" s="148" t="s">
        <v>1</v>
      </c>
      <c r="O638" s="148"/>
    </row>
    <row r="639" spans="1:15" x14ac:dyDescent="0.2">
      <c r="A639" s="26" t="s">
        <v>192</v>
      </c>
      <c r="B639" s="38">
        <v>29</v>
      </c>
      <c r="C639" s="39">
        <f>B639/B644</f>
        <v>6.6666666666666666E-2</v>
      </c>
      <c r="D639" s="38">
        <v>1</v>
      </c>
      <c r="E639" s="39">
        <f>D639/D644</f>
        <v>2.9411764705882353E-2</v>
      </c>
      <c r="F639" s="38">
        <v>4</v>
      </c>
      <c r="G639" s="39">
        <f>F639/F644</f>
        <v>2.2988505747126436E-2</v>
      </c>
      <c r="H639" s="38">
        <v>35</v>
      </c>
      <c r="I639" s="39">
        <f>H639/H644</f>
        <v>4.3586550435865505E-2</v>
      </c>
      <c r="J639" s="38">
        <v>15</v>
      </c>
      <c r="K639" s="39">
        <f>J639/J644</f>
        <v>3.8659793814432991E-2</v>
      </c>
      <c r="L639" s="38">
        <v>44</v>
      </c>
      <c r="M639" s="39">
        <f>L639/L644</f>
        <v>5.0400916380297825E-2</v>
      </c>
      <c r="N639" s="29">
        <f>B639+D639+F639+H639+J639+L639</f>
        <v>128</v>
      </c>
      <c r="O639" s="39">
        <f>N639/N644</f>
        <v>4.936367142306209E-2</v>
      </c>
    </row>
    <row r="640" spans="1:15" x14ac:dyDescent="0.2">
      <c r="A640" s="26" t="s">
        <v>193</v>
      </c>
      <c r="B640" s="38">
        <v>14</v>
      </c>
      <c r="C640" s="39">
        <f>B640/B644</f>
        <v>3.2183908045977011E-2</v>
      </c>
      <c r="D640" s="38"/>
      <c r="E640" s="39">
        <f>D640/D644</f>
        <v>0</v>
      </c>
      <c r="F640" s="38">
        <v>5</v>
      </c>
      <c r="G640" s="39">
        <f>F640/F644</f>
        <v>2.8735632183908046E-2</v>
      </c>
      <c r="H640" s="38">
        <v>23</v>
      </c>
      <c r="I640" s="39">
        <f>H640/H644</f>
        <v>2.8642590286425903E-2</v>
      </c>
      <c r="J640" s="38">
        <v>6</v>
      </c>
      <c r="K640" s="39">
        <f>J640/J644</f>
        <v>1.5463917525773196E-2</v>
      </c>
      <c r="L640" s="38">
        <v>25</v>
      </c>
      <c r="M640" s="39">
        <f>L640/L644</f>
        <v>2.8636884306987399E-2</v>
      </c>
      <c r="N640" s="29">
        <f>B640+D640+F640+H640+J640+L640</f>
        <v>73</v>
      </c>
      <c r="O640" s="39">
        <f>N640/N644</f>
        <v>2.8152718858465098E-2</v>
      </c>
    </row>
    <row r="641" spans="1:15" x14ac:dyDescent="0.2">
      <c r="A641" s="26" t="s">
        <v>194</v>
      </c>
      <c r="B641" s="38">
        <v>3</v>
      </c>
      <c r="C641" s="39">
        <f>B641/B644</f>
        <v>6.8965517241379309E-3</v>
      </c>
      <c r="D641" s="38"/>
      <c r="E641" s="39">
        <f>D641/D644</f>
        <v>0</v>
      </c>
      <c r="F641" s="38">
        <v>8</v>
      </c>
      <c r="G641" s="39">
        <f>F641/F644</f>
        <v>4.5977011494252873E-2</v>
      </c>
      <c r="H641" s="38">
        <v>24</v>
      </c>
      <c r="I641" s="39">
        <f>H641/H644</f>
        <v>2.9887920298879204E-2</v>
      </c>
      <c r="J641" s="38">
        <v>7</v>
      </c>
      <c r="K641" s="39">
        <f>J641/J644</f>
        <v>1.804123711340206E-2</v>
      </c>
      <c r="L641" s="38">
        <v>25</v>
      </c>
      <c r="M641" s="39">
        <f>L641/L644</f>
        <v>2.8636884306987399E-2</v>
      </c>
      <c r="N641" s="29">
        <f>B641+D641+F641+H641+J641+L641</f>
        <v>67</v>
      </c>
      <c r="O641" s="39">
        <f>N641/N644</f>
        <v>2.5838796760509063E-2</v>
      </c>
    </row>
    <row r="642" spans="1:15" x14ac:dyDescent="0.2">
      <c r="A642" s="26" t="s">
        <v>195</v>
      </c>
      <c r="B642" s="38">
        <v>18</v>
      </c>
      <c r="C642" s="39">
        <f>B642/B644</f>
        <v>4.1379310344827586E-2</v>
      </c>
      <c r="D642" s="38"/>
      <c r="E642" s="39">
        <f>D642/D644</f>
        <v>0</v>
      </c>
      <c r="F642" s="38">
        <v>5</v>
      </c>
      <c r="G642" s="39">
        <f>F642/F644</f>
        <v>2.8735632183908046E-2</v>
      </c>
      <c r="H642" s="38">
        <v>31</v>
      </c>
      <c r="I642" s="39">
        <f>H642/H644</f>
        <v>3.8605230386052306E-2</v>
      </c>
      <c r="J642" s="38">
        <v>13</v>
      </c>
      <c r="K642" s="39">
        <f>J642/J644</f>
        <v>3.3505154639175257E-2</v>
      </c>
      <c r="L642" s="38">
        <v>47</v>
      </c>
      <c r="M642" s="39">
        <f>L642/L644</f>
        <v>5.3837342497136315E-2</v>
      </c>
      <c r="N642" s="29"/>
      <c r="O642" s="39">
        <f>N642/N644</f>
        <v>0</v>
      </c>
    </row>
    <row r="643" spans="1:15" x14ac:dyDescent="0.2">
      <c r="A643" s="26" t="s">
        <v>196</v>
      </c>
      <c r="B643" s="38">
        <v>371</v>
      </c>
      <c r="C643" s="39">
        <f>B643/B644</f>
        <v>0.85287356321839081</v>
      </c>
      <c r="D643" s="38">
        <v>33</v>
      </c>
      <c r="E643" s="39">
        <f>D643/D644</f>
        <v>0.97058823529411764</v>
      </c>
      <c r="F643" s="38">
        <v>152</v>
      </c>
      <c r="G643" s="39">
        <f>F643/F644</f>
        <v>0.87356321839080464</v>
      </c>
      <c r="H643" s="38">
        <v>690</v>
      </c>
      <c r="I643" s="39">
        <f>H643/H644</f>
        <v>0.85927770859277708</v>
      </c>
      <c r="J643" s="38">
        <v>347</v>
      </c>
      <c r="K643" s="39">
        <f>J643/J644</f>
        <v>0.89432989690721654</v>
      </c>
      <c r="L643" s="38">
        <v>732</v>
      </c>
      <c r="M643" s="39">
        <f>L643/L644</f>
        <v>0.83848797250859108</v>
      </c>
      <c r="N643" s="29">
        <f>B643+D643+F643+H643+J643+L643</f>
        <v>2325</v>
      </c>
      <c r="O643" s="39">
        <f>N643/N644</f>
        <v>0.89664481295796372</v>
      </c>
    </row>
    <row r="644" spans="1:15" x14ac:dyDescent="0.2">
      <c r="A644" s="108" t="s">
        <v>1</v>
      </c>
      <c r="B644" s="38">
        <f t="shared" ref="B644:M644" si="193">SUM(B639:B643)</f>
        <v>435</v>
      </c>
      <c r="C644" s="39">
        <f t="shared" si="193"/>
        <v>1</v>
      </c>
      <c r="D644" s="38">
        <f t="shared" si="193"/>
        <v>34</v>
      </c>
      <c r="E644" s="39">
        <f t="shared" si="193"/>
        <v>1</v>
      </c>
      <c r="F644" s="38">
        <f t="shared" si="193"/>
        <v>174</v>
      </c>
      <c r="G644" s="39">
        <f t="shared" si="193"/>
        <v>1</v>
      </c>
      <c r="H644" s="38">
        <f t="shared" si="193"/>
        <v>803</v>
      </c>
      <c r="I644" s="39">
        <f t="shared" si="193"/>
        <v>1</v>
      </c>
      <c r="J644" s="38">
        <f t="shared" si="193"/>
        <v>388</v>
      </c>
      <c r="K644" s="39">
        <f t="shared" si="193"/>
        <v>1</v>
      </c>
      <c r="L644" s="38">
        <f t="shared" si="193"/>
        <v>873</v>
      </c>
      <c r="M644" s="39">
        <f t="shared" si="193"/>
        <v>1</v>
      </c>
      <c r="N644" s="30">
        <f>SUM(N637:N643)</f>
        <v>2593</v>
      </c>
      <c r="O644" s="41">
        <f>SUM(O637:O643)</f>
        <v>1</v>
      </c>
    </row>
    <row r="645" spans="1:15" x14ac:dyDescent="0.2">
      <c r="A645" s="108" t="s">
        <v>197</v>
      </c>
      <c r="B645" s="38"/>
      <c r="C645" s="65">
        <f>SUM(C639:C641)</f>
        <v>0.10574712643678161</v>
      </c>
      <c r="D645" s="38"/>
      <c r="E645" s="65">
        <f>SUM(E639:E641)</f>
        <v>2.9411764705882353E-2</v>
      </c>
      <c r="F645" s="38"/>
      <c r="G645" s="65">
        <f>SUM(G639:G641)</f>
        <v>9.7701149425287348E-2</v>
      </c>
      <c r="H645" s="38"/>
      <c r="I645" s="65">
        <f>SUM(I639:I641)</f>
        <v>0.1021170610211706</v>
      </c>
      <c r="J645" s="38"/>
      <c r="K645" s="65">
        <f>SUM(K639:K641)</f>
        <v>7.2164948453608241E-2</v>
      </c>
      <c r="L645" s="38"/>
      <c r="M645" s="65">
        <f>SUM(M639:M641)</f>
        <v>0.10767468499427262</v>
      </c>
      <c r="N645" s="30"/>
      <c r="O645" s="65">
        <f>SUM(O639:O641)</f>
        <v>0.10335518704203625</v>
      </c>
    </row>
  </sheetData>
  <mergeCells count="532">
    <mergeCell ref="B638:C638"/>
    <mergeCell ref="D638:E638"/>
    <mergeCell ref="F638:G638"/>
    <mergeCell ref="H638:I638"/>
    <mergeCell ref="J638:K638"/>
    <mergeCell ref="L638:M638"/>
    <mergeCell ref="N638:O638"/>
    <mergeCell ref="B620:C620"/>
    <mergeCell ref="D620:E620"/>
    <mergeCell ref="F620:G620"/>
    <mergeCell ref="H620:I620"/>
    <mergeCell ref="J620:K620"/>
    <mergeCell ref="L620:M620"/>
    <mergeCell ref="N620:O620"/>
    <mergeCell ref="B629:C629"/>
    <mergeCell ref="D629:E629"/>
    <mergeCell ref="F629:G629"/>
    <mergeCell ref="H629:I629"/>
    <mergeCell ref="J629:K629"/>
    <mergeCell ref="L629:M629"/>
    <mergeCell ref="N629:O629"/>
    <mergeCell ref="B602:C602"/>
    <mergeCell ref="D602:E602"/>
    <mergeCell ref="F602:G602"/>
    <mergeCell ref="H602:I602"/>
    <mergeCell ref="J602:K602"/>
    <mergeCell ref="L602:M602"/>
    <mergeCell ref="N602:O602"/>
    <mergeCell ref="B611:C611"/>
    <mergeCell ref="D611:E611"/>
    <mergeCell ref="F611:G611"/>
    <mergeCell ref="H611:I611"/>
    <mergeCell ref="J611:K611"/>
    <mergeCell ref="L611:M611"/>
    <mergeCell ref="N611:O611"/>
    <mergeCell ref="B584:C584"/>
    <mergeCell ref="D584:E584"/>
    <mergeCell ref="F584:G584"/>
    <mergeCell ref="H584:I584"/>
    <mergeCell ref="J584:K584"/>
    <mergeCell ref="L584:M584"/>
    <mergeCell ref="N584:O584"/>
    <mergeCell ref="B593:C593"/>
    <mergeCell ref="D593:E593"/>
    <mergeCell ref="F593:G593"/>
    <mergeCell ref="H593:I593"/>
    <mergeCell ref="J593:K593"/>
    <mergeCell ref="L593:M593"/>
    <mergeCell ref="N593:O593"/>
    <mergeCell ref="B566:C566"/>
    <mergeCell ref="D566:E566"/>
    <mergeCell ref="F566:G566"/>
    <mergeCell ref="H566:I566"/>
    <mergeCell ref="J566:K566"/>
    <mergeCell ref="L566:M566"/>
    <mergeCell ref="N566:O566"/>
    <mergeCell ref="B575:C575"/>
    <mergeCell ref="D575:E575"/>
    <mergeCell ref="F575:G575"/>
    <mergeCell ref="H575:I575"/>
    <mergeCell ref="J575:K575"/>
    <mergeCell ref="L575:M575"/>
    <mergeCell ref="N575:O575"/>
    <mergeCell ref="B548:C548"/>
    <mergeCell ref="D548:E548"/>
    <mergeCell ref="F548:G548"/>
    <mergeCell ref="H548:I548"/>
    <mergeCell ref="J548:K548"/>
    <mergeCell ref="L548:M548"/>
    <mergeCell ref="N548:O548"/>
    <mergeCell ref="B557:C557"/>
    <mergeCell ref="D557:E557"/>
    <mergeCell ref="F557:G557"/>
    <mergeCell ref="H557:I557"/>
    <mergeCell ref="J557:K557"/>
    <mergeCell ref="L557:M557"/>
    <mergeCell ref="N557:O557"/>
    <mergeCell ref="B530:C530"/>
    <mergeCell ref="D530:E530"/>
    <mergeCell ref="F530:G530"/>
    <mergeCell ref="H530:I530"/>
    <mergeCell ref="J530:K530"/>
    <mergeCell ref="L530:M530"/>
    <mergeCell ref="N530:O530"/>
    <mergeCell ref="B539:C539"/>
    <mergeCell ref="D539:E539"/>
    <mergeCell ref="F539:G539"/>
    <mergeCell ref="H539:I539"/>
    <mergeCell ref="J539:K539"/>
    <mergeCell ref="L539:M539"/>
    <mergeCell ref="N539:O539"/>
    <mergeCell ref="B512:C512"/>
    <mergeCell ref="D512:E512"/>
    <mergeCell ref="F512:G512"/>
    <mergeCell ref="H512:I512"/>
    <mergeCell ref="J512:K512"/>
    <mergeCell ref="L512:M512"/>
    <mergeCell ref="N512:O512"/>
    <mergeCell ref="B521:C521"/>
    <mergeCell ref="D521:E521"/>
    <mergeCell ref="F521:G521"/>
    <mergeCell ref="H521:I521"/>
    <mergeCell ref="J521:K521"/>
    <mergeCell ref="L521:M521"/>
    <mergeCell ref="N521:O521"/>
    <mergeCell ref="B493:C493"/>
    <mergeCell ref="D493:E493"/>
    <mergeCell ref="F493:G493"/>
    <mergeCell ref="H493:I493"/>
    <mergeCell ref="J493:K493"/>
    <mergeCell ref="L493:M493"/>
    <mergeCell ref="N493:O493"/>
    <mergeCell ref="B503:C503"/>
    <mergeCell ref="D503:E503"/>
    <mergeCell ref="F503:G503"/>
    <mergeCell ref="H503:I503"/>
    <mergeCell ref="J503:K503"/>
    <mergeCell ref="L503:M503"/>
    <mergeCell ref="N503:O503"/>
    <mergeCell ref="B477:C477"/>
    <mergeCell ref="D477:E477"/>
    <mergeCell ref="F477:G477"/>
    <mergeCell ref="H477:I477"/>
    <mergeCell ref="J477:K477"/>
    <mergeCell ref="L477:M477"/>
    <mergeCell ref="N477:O477"/>
    <mergeCell ref="B485:C485"/>
    <mergeCell ref="D485:E485"/>
    <mergeCell ref="F485:G485"/>
    <mergeCell ref="H485:I485"/>
    <mergeCell ref="J485:K485"/>
    <mergeCell ref="L485:M485"/>
    <mergeCell ref="N485:O485"/>
    <mergeCell ref="B460:C460"/>
    <mergeCell ref="D460:E460"/>
    <mergeCell ref="F460:G460"/>
    <mergeCell ref="H460:I460"/>
    <mergeCell ref="J460:K460"/>
    <mergeCell ref="L460:M460"/>
    <mergeCell ref="N460:O460"/>
    <mergeCell ref="B469:C469"/>
    <mergeCell ref="D469:E469"/>
    <mergeCell ref="F469:G469"/>
    <mergeCell ref="H469:I469"/>
    <mergeCell ref="J469:K469"/>
    <mergeCell ref="L469:M469"/>
    <mergeCell ref="N469:O469"/>
    <mergeCell ref="B444:C444"/>
    <mergeCell ref="D444:E444"/>
    <mergeCell ref="F444:G444"/>
    <mergeCell ref="H444:I444"/>
    <mergeCell ref="J444:K444"/>
    <mergeCell ref="L444:M444"/>
    <mergeCell ref="N444:O444"/>
    <mergeCell ref="B452:C452"/>
    <mergeCell ref="D452:E452"/>
    <mergeCell ref="F452:G452"/>
    <mergeCell ref="H452:I452"/>
    <mergeCell ref="J452:K452"/>
    <mergeCell ref="L452:M452"/>
    <mergeCell ref="N452:O452"/>
    <mergeCell ref="N74:O74"/>
    <mergeCell ref="B91:C91"/>
    <mergeCell ref="D91:E91"/>
    <mergeCell ref="F91:G91"/>
    <mergeCell ref="H91:I91"/>
    <mergeCell ref="J91:K91"/>
    <mergeCell ref="L91:M91"/>
    <mergeCell ref="N91:O91"/>
    <mergeCell ref="B98:C98"/>
    <mergeCell ref="D98:E98"/>
    <mergeCell ref="F98:G98"/>
    <mergeCell ref="H98:I98"/>
    <mergeCell ref="J98:K98"/>
    <mergeCell ref="L98:M98"/>
    <mergeCell ref="N98:O98"/>
    <mergeCell ref="N50:O50"/>
    <mergeCell ref="L53:M53"/>
    <mergeCell ref="J53:K53"/>
    <mergeCell ref="H53:I53"/>
    <mergeCell ref="F53:G53"/>
    <mergeCell ref="Q12:R12"/>
    <mergeCell ref="G21:H21"/>
    <mergeCell ref="I21:J21"/>
    <mergeCell ref="K21:L21"/>
    <mergeCell ref="M21:N21"/>
    <mergeCell ref="O21:P21"/>
    <mergeCell ref="Q21:R21"/>
    <mergeCell ref="Q39:R39"/>
    <mergeCell ref="G28:H28"/>
    <mergeCell ref="I28:J28"/>
    <mergeCell ref="K28:L28"/>
    <mergeCell ref="M28:N28"/>
    <mergeCell ref="O28:P28"/>
    <mergeCell ref="Q28:R28"/>
    <mergeCell ref="G39:H39"/>
    <mergeCell ref="I39:J39"/>
    <mergeCell ref="K39:L39"/>
    <mergeCell ref="M39:N39"/>
    <mergeCell ref="O39:P39"/>
    <mergeCell ref="G12:H12"/>
    <mergeCell ref="I12:J12"/>
    <mergeCell ref="K12:L12"/>
    <mergeCell ref="M12:N12"/>
    <mergeCell ref="O12:P12"/>
    <mergeCell ref="N137:O137"/>
    <mergeCell ref="B129:C129"/>
    <mergeCell ref="D129:E129"/>
    <mergeCell ref="F129:G129"/>
    <mergeCell ref="H129:I129"/>
    <mergeCell ref="J129:K129"/>
    <mergeCell ref="L129:M129"/>
    <mergeCell ref="N129:O129"/>
    <mergeCell ref="B137:C137"/>
    <mergeCell ref="D137:E137"/>
    <mergeCell ref="F137:G137"/>
    <mergeCell ref="H137:I137"/>
    <mergeCell ref="J137:K137"/>
    <mergeCell ref="L137:M137"/>
    <mergeCell ref="B50:C50"/>
    <mergeCell ref="D50:E50"/>
    <mergeCell ref="F50:G50"/>
    <mergeCell ref="H50:I50"/>
    <mergeCell ref="J50:K50"/>
    <mergeCell ref="N153:O153"/>
    <mergeCell ref="B145:C145"/>
    <mergeCell ref="D145:E145"/>
    <mergeCell ref="F145:G145"/>
    <mergeCell ref="H145:I145"/>
    <mergeCell ref="J145:K145"/>
    <mergeCell ref="L145:M145"/>
    <mergeCell ref="N145:O145"/>
    <mergeCell ref="B153:C153"/>
    <mergeCell ref="D153:E153"/>
    <mergeCell ref="F153:G153"/>
    <mergeCell ref="H153:I153"/>
    <mergeCell ref="J153:K153"/>
    <mergeCell ref="L153:M153"/>
    <mergeCell ref="N169:O169"/>
    <mergeCell ref="B161:C161"/>
    <mergeCell ref="D161:E161"/>
    <mergeCell ref="F161:G161"/>
    <mergeCell ref="H161:I161"/>
    <mergeCell ref="J161:K161"/>
    <mergeCell ref="L161:M161"/>
    <mergeCell ref="N161:O161"/>
    <mergeCell ref="B169:C169"/>
    <mergeCell ref="D169:E169"/>
    <mergeCell ref="F169:G169"/>
    <mergeCell ref="H169:I169"/>
    <mergeCell ref="J169:K169"/>
    <mergeCell ref="L169:M169"/>
    <mergeCell ref="N185:O185"/>
    <mergeCell ref="B177:C177"/>
    <mergeCell ref="D177:E177"/>
    <mergeCell ref="F177:G177"/>
    <mergeCell ref="H177:I177"/>
    <mergeCell ref="J177:K177"/>
    <mergeCell ref="L177:M177"/>
    <mergeCell ref="N177:O177"/>
    <mergeCell ref="B185:C185"/>
    <mergeCell ref="D185:E185"/>
    <mergeCell ref="F185:G185"/>
    <mergeCell ref="H185:I185"/>
    <mergeCell ref="J185:K185"/>
    <mergeCell ref="L185:M185"/>
    <mergeCell ref="N202:O202"/>
    <mergeCell ref="B194:C194"/>
    <mergeCell ref="D194:E194"/>
    <mergeCell ref="F194:G194"/>
    <mergeCell ref="H194:I194"/>
    <mergeCell ref="J194:K194"/>
    <mergeCell ref="L194:M194"/>
    <mergeCell ref="N194:O194"/>
    <mergeCell ref="B202:C202"/>
    <mergeCell ref="D202:E202"/>
    <mergeCell ref="F202:G202"/>
    <mergeCell ref="H202:I202"/>
    <mergeCell ref="J202:K202"/>
    <mergeCell ref="L202:M202"/>
    <mergeCell ref="N218:O218"/>
    <mergeCell ref="B210:C210"/>
    <mergeCell ref="D210:E210"/>
    <mergeCell ref="F210:G210"/>
    <mergeCell ref="H210:I210"/>
    <mergeCell ref="J210:K210"/>
    <mergeCell ref="L210:M210"/>
    <mergeCell ref="N210:O210"/>
    <mergeCell ref="B218:C218"/>
    <mergeCell ref="D218:E218"/>
    <mergeCell ref="F218:G218"/>
    <mergeCell ref="H218:I218"/>
    <mergeCell ref="J218:K218"/>
    <mergeCell ref="L218:M218"/>
    <mergeCell ref="N234:O234"/>
    <mergeCell ref="B226:C226"/>
    <mergeCell ref="D226:E226"/>
    <mergeCell ref="F226:G226"/>
    <mergeCell ref="H226:I226"/>
    <mergeCell ref="J226:K226"/>
    <mergeCell ref="L226:M226"/>
    <mergeCell ref="N226:O226"/>
    <mergeCell ref="B234:C234"/>
    <mergeCell ref="D234:E234"/>
    <mergeCell ref="F234:G234"/>
    <mergeCell ref="H234:I234"/>
    <mergeCell ref="J234:K234"/>
    <mergeCell ref="L234:M234"/>
    <mergeCell ref="N250:O250"/>
    <mergeCell ref="B242:C242"/>
    <mergeCell ref="D242:E242"/>
    <mergeCell ref="F242:G242"/>
    <mergeCell ref="H242:I242"/>
    <mergeCell ref="J242:K242"/>
    <mergeCell ref="L242:M242"/>
    <mergeCell ref="N242:O242"/>
    <mergeCell ref="B250:C250"/>
    <mergeCell ref="D250:E250"/>
    <mergeCell ref="F250:G250"/>
    <mergeCell ref="H250:I250"/>
    <mergeCell ref="J250:K250"/>
    <mergeCell ref="L250:M250"/>
    <mergeCell ref="N266:O266"/>
    <mergeCell ref="B258:C258"/>
    <mergeCell ref="D258:E258"/>
    <mergeCell ref="F258:G258"/>
    <mergeCell ref="H258:I258"/>
    <mergeCell ref="J258:K258"/>
    <mergeCell ref="L258:M258"/>
    <mergeCell ref="N258:O258"/>
    <mergeCell ref="B266:C266"/>
    <mergeCell ref="D266:E266"/>
    <mergeCell ref="F266:G266"/>
    <mergeCell ref="H266:I266"/>
    <mergeCell ref="J266:K266"/>
    <mergeCell ref="L266:M266"/>
    <mergeCell ref="N283:O283"/>
    <mergeCell ref="B275:C275"/>
    <mergeCell ref="D275:E275"/>
    <mergeCell ref="F275:G275"/>
    <mergeCell ref="H275:I275"/>
    <mergeCell ref="J275:K275"/>
    <mergeCell ref="L275:M275"/>
    <mergeCell ref="N275:O275"/>
    <mergeCell ref="B283:C283"/>
    <mergeCell ref="D283:E283"/>
    <mergeCell ref="F283:G283"/>
    <mergeCell ref="H283:I283"/>
    <mergeCell ref="J283:K283"/>
    <mergeCell ref="L283:M283"/>
    <mergeCell ref="N299:O299"/>
    <mergeCell ref="B291:C291"/>
    <mergeCell ref="D291:E291"/>
    <mergeCell ref="F291:G291"/>
    <mergeCell ref="H291:I291"/>
    <mergeCell ref="J291:K291"/>
    <mergeCell ref="L291:M291"/>
    <mergeCell ref="N291:O291"/>
    <mergeCell ref="B299:C299"/>
    <mergeCell ref="D299:E299"/>
    <mergeCell ref="F299:G299"/>
    <mergeCell ref="H299:I299"/>
    <mergeCell ref="J299:K299"/>
    <mergeCell ref="L299:M299"/>
    <mergeCell ref="N315:O315"/>
    <mergeCell ref="B307:C307"/>
    <mergeCell ref="D307:E307"/>
    <mergeCell ref="F307:G307"/>
    <mergeCell ref="H307:I307"/>
    <mergeCell ref="J307:K307"/>
    <mergeCell ref="L307:M307"/>
    <mergeCell ref="N307:O307"/>
    <mergeCell ref="B315:C315"/>
    <mergeCell ref="D315:E315"/>
    <mergeCell ref="F315:G315"/>
    <mergeCell ref="H315:I315"/>
    <mergeCell ref="J315:K315"/>
    <mergeCell ref="L315:M315"/>
    <mergeCell ref="N331:O331"/>
    <mergeCell ref="B323:C323"/>
    <mergeCell ref="D323:E323"/>
    <mergeCell ref="F323:G323"/>
    <mergeCell ref="H323:I323"/>
    <mergeCell ref="J323:K323"/>
    <mergeCell ref="L323:M323"/>
    <mergeCell ref="N323:O323"/>
    <mergeCell ref="B331:C331"/>
    <mergeCell ref="D331:E331"/>
    <mergeCell ref="F331:G331"/>
    <mergeCell ref="H331:I331"/>
    <mergeCell ref="J331:K331"/>
    <mergeCell ref="L331:M331"/>
    <mergeCell ref="N347:O347"/>
    <mergeCell ref="B339:C339"/>
    <mergeCell ref="D339:E339"/>
    <mergeCell ref="F339:G339"/>
    <mergeCell ref="H339:I339"/>
    <mergeCell ref="J339:K339"/>
    <mergeCell ref="L339:M339"/>
    <mergeCell ref="N339:O339"/>
    <mergeCell ref="B347:C347"/>
    <mergeCell ref="D347:E347"/>
    <mergeCell ref="F347:G347"/>
    <mergeCell ref="H347:I347"/>
    <mergeCell ref="J347:K347"/>
    <mergeCell ref="L347:M347"/>
    <mergeCell ref="N363:O363"/>
    <mergeCell ref="B355:C355"/>
    <mergeCell ref="D355:E355"/>
    <mergeCell ref="F355:G355"/>
    <mergeCell ref="H355:I355"/>
    <mergeCell ref="J355:K355"/>
    <mergeCell ref="L355:M355"/>
    <mergeCell ref="N355:O355"/>
    <mergeCell ref="B363:C363"/>
    <mergeCell ref="D363:E363"/>
    <mergeCell ref="F363:G363"/>
    <mergeCell ref="H363:I363"/>
    <mergeCell ref="J363:K363"/>
    <mergeCell ref="L363:M363"/>
    <mergeCell ref="J396:K396"/>
    <mergeCell ref="L396:M396"/>
    <mergeCell ref="N380:O380"/>
    <mergeCell ref="B372:C372"/>
    <mergeCell ref="D372:E372"/>
    <mergeCell ref="F372:G372"/>
    <mergeCell ref="H372:I372"/>
    <mergeCell ref="J372:K372"/>
    <mergeCell ref="L372:M372"/>
    <mergeCell ref="N372:O372"/>
    <mergeCell ref="B380:C380"/>
    <mergeCell ref="D380:E380"/>
    <mergeCell ref="F380:G380"/>
    <mergeCell ref="H380:I380"/>
    <mergeCell ref="J380:K380"/>
    <mergeCell ref="L380:M380"/>
    <mergeCell ref="A50:A51"/>
    <mergeCell ref="B105:C105"/>
    <mergeCell ref="D105:E105"/>
    <mergeCell ref="F105:G105"/>
    <mergeCell ref="H105:I105"/>
    <mergeCell ref="D53:E53"/>
    <mergeCell ref="B53:C53"/>
    <mergeCell ref="J86:K86"/>
    <mergeCell ref="L86:M86"/>
    <mergeCell ref="B65:C65"/>
    <mergeCell ref="D65:E65"/>
    <mergeCell ref="F65:G65"/>
    <mergeCell ref="H65:I65"/>
    <mergeCell ref="J65:K65"/>
    <mergeCell ref="L65:M65"/>
    <mergeCell ref="L50:M50"/>
    <mergeCell ref="B74:C74"/>
    <mergeCell ref="D74:E74"/>
    <mergeCell ref="F74:G74"/>
    <mergeCell ref="H74:I74"/>
    <mergeCell ref="J74:K74"/>
    <mergeCell ref="L74:M74"/>
    <mergeCell ref="J105:K105"/>
    <mergeCell ref="L105:M105"/>
    <mergeCell ref="H86:I86"/>
    <mergeCell ref="B436:C436"/>
    <mergeCell ref="D436:E436"/>
    <mergeCell ref="F436:G436"/>
    <mergeCell ref="H436:I436"/>
    <mergeCell ref="J436:K436"/>
    <mergeCell ref="L436:M436"/>
    <mergeCell ref="N436:O436"/>
    <mergeCell ref="B121:C121"/>
    <mergeCell ref="D121:E121"/>
    <mergeCell ref="F121:G121"/>
    <mergeCell ref="H121:I121"/>
    <mergeCell ref="J121:K121"/>
    <mergeCell ref="L121:M121"/>
    <mergeCell ref="N121:O121"/>
    <mergeCell ref="N420:O420"/>
    <mergeCell ref="B420:C420"/>
    <mergeCell ref="D420:E420"/>
    <mergeCell ref="F420:G420"/>
    <mergeCell ref="H420:I420"/>
    <mergeCell ref="J420:K420"/>
    <mergeCell ref="L420:M420"/>
    <mergeCell ref="N396:O396"/>
    <mergeCell ref="B388:C388"/>
    <mergeCell ref="N111:O111"/>
    <mergeCell ref="B407:C407"/>
    <mergeCell ref="D407:E407"/>
    <mergeCell ref="F407:G407"/>
    <mergeCell ref="H407:I407"/>
    <mergeCell ref="J407:K407"/>
    <mergeCell ref="L407:M407"/>
    <mergeCell ref="N407:O407"/>
    <mergeCell ref="B111:C111"/>
    <mergeCell ref="D111:E111"/>
    <mergeCell ref="F111:G111"/>
    <mergeCell ref="H111:I111"/>
    <mergeCell ref="J111:K111"/>
    <mergeCell ref="L111:M111"/>
    <mergeCell ref="D388:E388"/>
    <mergeCell ref="F388:G388"/>
    <mergeCell ref="H388:I388"/>
    <mergeCell ref="J388:K388"/>
    <mergeCell ref="L388:M388"/>
    <mergeCell ref="N388:O388"/>
    <mergeCell ref="B396:C396"/>
    <mergeCell ref="D396:E396"/>
    <mergeCell ref="F396:G396"/>
    <mergeCell ref="H396:I396"/>
    <mergeCell ref="N105:O105"/>
    <mergeCell ref="N53:O53"/>
    <mergeCell ref="N86:O86"/>
    <mergeCell ref="B86:C86"/>
    <mergeCell ref="D86:E86"/>
    <mergeCell ref="D3:E3"/>
    <mergeCell ref="B3:C3"/>
    <mergeCell ref="B12:C12"/>
    <mergeCell ref="D12:E12"/>
    <mergeCell ref="B21:C21"/>
    <mergeCell ref="D21:E21"/>
    <mergeCell ref="B28:C28"/>
    <mergeCell ref="D28:E28"/>
    <mergeCell ref="B39:C39"/>
    <mergeCell ref="D39:E39"/>
    <mergeCell ref="N65:O65"/>
    <mergeCell ref="B80:C80"/>
    <mergeCell ref="D80:E80"/>
    <mergeCell ref="F80:G80"/>
    <mergeCell ref="H80:I80"/>
    <mergeCell ref="J80:K80"/>
    <mergeCell ref="L80:M80"/>
    <mergeCell ref="N80:O80"/>
    <mergeCell ref="F86:G86"/>
  </mergeCells>
  <phoneticPr fontId="0" type="noConversion"/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
11/12/2010-kw&amp;C&amp;F&amp;R&amp;P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zoomScaleNormal="100" workbookViewId="0">
      <selection activeCell="Z21" sqref="Z21"/>
    </sheetView>
  </sheetViews>
  <sheetFormatPr defaultRowHeight="12" x14ac:dyDescent="0.2"/>
  <cols>
    <col min="1" max="1" width="14" style="130" customWidth="1"/>
    <col min="2" max="2" width="6.5703125" style="44" bestFit="1" customWidth="1"/>
    <col min="3" max="3" width="7.140625" style="44" bestFit="1" customWidth="1"/>
    <col min="4" max="4" width="5.5703125" style="44" customWidth="1"/>
    <col min="5" max="5" width="5.7109375" style="44" bestFit="1" customWidth="1"/>
    <col min="6" max="6" width="4.7109375" style="44" bestFit="1" customWidth="1"/>
    <col min="7" max="7" width="5.42578125" style="44" bestFit="1" customWidth="1"/>
    <col min="8" max="8" width="7.28515625" style="45" bestFit="1" customWidth="1"/>
    <col min="9" max="13" width="5.42578125" style="44" bestFit="1" customWidth="1"/>
    <col min="14" max="14" width="5.5703125" style="44" bestFit="1" customWidth="1"/>
    <col min="15" max="15" width="6.7109375" style="44" bestFit="1" customWidth="1"/>
    <col min="16" max="16" width="5.42578125" style="44" bestFit="1" customWidth="1"/>
    <col min="17" max="17" width="5.7109375" style="44" customWidth="1"/>
    <col min="18" max="18" width="7.28515625" style="44" bestFit="1" customWidth="1"/>
    <col min="19" max="19" width="5.5703125" style="44" bestFit="1" customWidth="1"/>
    <col min="20" max="20" width="17.42578125" style="44" customWidth="1"/>
    <col min="21" max="21" width="1.7109375" style="44" customWidth="1"/>
    <col min="22" max="16384" width="9.140625" style="110"/>
  </cols>
  <sheetData>
    <row r="1" spans="1:21" ht="15.75" x14ac:dyDescent="0.2">
      <c r="A1" s="138" t="s">
        <v>215</v>
      </c>
      <c r="R1" s="110"/>
      <c r="S1" s="110"/>
      <c r="T1" s="110"/>
      <c r="U1" s="110"/>
    </row>
    <row r="2" spans="1:21" x14ac:dyDescent="0.2">
      <c r="B2" s="73"/>
      <c r="C2" s="73"/>
      <c r="D2" s="73"/>
    </row>
    <row r="3" spans="1:21" s="111" customFormat="1" ht="24" customHeight="1" x14ac:dyDescent="0.2">
      <c r="A3" s="108" t="s">
        <v>106</v>
      </c>
      <c r="B3" s="148" t="s">
        <v>1</v>
      </c>
      <c r="C3" s="148"/>
      <c r="D3" s="150" t="s">
        <v>105</v>
      </c>
      <c r="E3" s="150"/>
      <c r="F3" s="50" t="s">
        <v>127</v>
      </c>
      <c r="G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</row>
    <row r="4" spans="1:21" x14ac:dyDescent="0.2">
      <c r="A4" s="26" t="s">
        <v>98</v>
      </c>
      <c r="B4" s="38">
        <v>2638</v>
      </c>
      <c r="C4" s="39">
        <f>B4/B10</f>
        <v>0.13999893859788781</v>
      </c>
      <c r="D4" s="38">
        <v>487</v>
      </c>
      <c r="E4" s="39">
        <f>D4/D10</f>
        <v>0.16083223249669748</v>
      </c>
      <c r="F4" s="52">
        <f>D4/B4</f>
        <v>0.18460955269143289</v>
      </c>
      <c r="H4" s="156" t="s">
        <v>130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</row>
    <row r="5" spans="1:21" x14ac:dyDescent="0.2">
      <c r="A5" s="26" t="s">
        <v>99</v>
      </c>
      <c r="B5" s="38">
        <v>184</v>
      </c>
      <c r="C5" s="39">
        <f>B5/B10</f>
        <v>9.7648994321498702E-3</v>
      </c>
      <c r="D5" s="38">
        <v>38</v>
      </c>
      <c r="E5" s="39">
        <f>D5/D10</f>
        <v>1.2549537648612946E-2</v>
      </c>
      <c r="F5" s="52">
        <f t="shared" ref="F5:F10" si="0">D5/B5</f>
        <v>0.20652173913043478</v>
      </c>
      <c r="H5" s="156" t="s">
        <v>222</v>
      </c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</row>
    <row r="6" spans="1:21" x14ac:dyDescent="0.2">
      <c r="A6" s="26" t="s">
        <v>102</v>
      </c>
      <c r="B6" s="38">
        <v>1500</v>
      </c>
      <c r="C6" s="39">
        <f>B6/B10</f>
        <v>7.9605158414265242E-2</v>
      </c>
      <c r="D6" s="38">
        <v>201</v>
      </c>
      <c r="E6" s="39">
        <f>D6/D10</f>
        <v>6.6380449141347428E-2</v>
      </c>
      <c r="F6" s="52">
        <f t="shared" si="0"/>
        <v>0.13400000000000001</v>
      </c>
      <c r="H6" s="131"/>
      <c r="S6" s="56"/>
      <c r="T6" s="56"/>
    </row>
    <row r="7" spans="1:21" x14ac:dyDescent="0.2">
      <c r="A7" s="26" t="s">
        <v>101</v>
      </c>
      <c r="B7" s="38">
        <v>5884</v>
      </c>
      <c r="C7" s="39">
        <f>B7/B10</f>
        <v>0.31226450140635781</v>
      </c>
      <c r="D7" s="38">
        <v>899</v>
      </c>
      <c r="E7" s="39">
        <f>D7/D10</f>
        <v>0.29689564068692204</v>
      </c>
      <c r="F7" s="52">
        <f>D7/B7</f>
        <v>0.15278721957851801</v>
      </c>
      <c r="H7" s="44"/>
      <c r="K7" s="44" t="s">
        <v>0</v>
      </c>
    </row>
    <row r="8" spans="1:21" x14ac:dyDescent="0.2">
      <c r="A8" s="26" t="s">
        <v>100</v>
      </c>
      <c r="B8" s="38">
        <v>2667</v>
      </c>
      <c r="C8" s="39">
        <f>B8/B10</f>
        <v>0.14153797166056362</v>
      </c>
      <c r="D8" s="38">
        <v>424</v>
      </c>
      <c r="E8" s="39">
        <f>D8/D10</f>
        <v>0.14002642007926025</v>
      </c>
      <c r="F8" s="52">
        <f>D8/B8</f>
        <v>0.15898012748406448</v>
      </c>
      <c r="H8" s="44"/>
    </row>
    <row r="9" spans="1:21" x14ac:dyDescent="0.2">
      <c r="A9" s="26" t="s">
        <v>126</v>
      </c>
      <c r="B9" s="38">
        <v>5970</v>
      </c>
      <c r="C9" s="39">
        <f>B9/B10</f>
        <v>0.31682853048877568</v>
      </c>
      <c r="D9" s="38">
        <v>979</v>
      </c>
      <c r="E9" s="39">
        <f>D9/D10</f>
        <v>0.32331571994715985</v>
      </c>
      <c r="F9" s="52">
        <f t="shared" si="0"/>
        <v>0.16398659966499163</v>
      </c>
      <c r="H9" s="44"/>
    </row>
    <row r="10" spans="1:21" s="111" customFormat="1" x14ac:dyDescent="0.2">
      <c r="A10" s="108" t="s">
        <v>1</v>
      </c>
      <c r="B10" s="30">
        <f>SUM(B4:B9)</f>
        <v>18843</v>
      </c>
      <c r="C10" s="116">
        <f>SUM(C4:C9)</f>
        <v>1</v>
      </c>
      <c r="D10" s="30">
        <f t="shared" ref="D10" si="1">SUM(D4:D9)</f>
        <v>3028</v>
      </c>
      <c r="E10" s="53">
        <f>SUM(E4:E9)</f>
        <v>1</v>
      </c>
      <c r="F10" s="54">
        <f t="shared" si="0"/>
        <v>0.16069627978559678</v>
      </c>
      <c r="G10" s="55"/>
      <c r="H10" s="55"/>
      <c r="I10" s="55"/>
      <c r="J10" s="55"/>
      <c r="K10" s="55"/>
      <c r="L10" s="55"/>
      <c r="M10" s="55" t="s">
        <v>0</v>
      </c>
      <c r="N10" s="55"/>
      <c r="O10" s="55"/>
      <c r="P10" s="55"/>
      <c r="Q10" s="55"/>
      <c r="R10" s="55"/>
      <c r="U10" s="55"/>
    </row>
    <row r="11" spans="1:21" x14ac:dyDescent="0.2">
      <c r="F11" s="45"/>
      <c r="H11" s="44"/>
    </row>
    <row r="12" spans="1:21" s="111" customFormat="1" ht="12.75" customHeight="1" x14ac:dyDescent="0.2">
      <c r="A12" s="28" t="s">
        <v>10</v>
      </c>
      <c r="B12" s="148" t="s">
        <v>1</v>
      </c>
      <c r="C12" s="148"/>
      <c r="D12" s="150" t="s">
        <v>105</v>
      </c>
      <c r="E12" s="150"/>
      <c r="F12" s="112" t="s">
        <v>23</v>
      </c>
      <c r="G12" s="154" t="s">
        <v>128</v>
      </c>
      <c r="H12" s="154"/>
      <c r="I12" s="154" t="s">
        <v>99</v>
      </c>
      <c r="J12" s="154"/>
      <c r="K12" s="155" t="s">
        <v>176</v>
      </c>
      <c r="L12" s="155"/>
      <c r="M12" s="154" t="s">
        <v>101</v>
      </c>
      <c r="N12" s="154"/>
      <c r="O12" s="154" t="s">
        <v>100</v>
      </c>
      <c r="P12" s="154"/>
      <c r="Q12" s="154" t="s">
        <v>126</v>
      </c>
      <c r="R12" s="154"/>
      <c r="S12" s="157" t="s">
        <v>224</v>
      </c>
      <c r="T12" s="158"/>
    </row>
    <row r="13" spans="1:21" x14ac:dyDescent="0.2">
      <c r="A13" s="26" t="s">
        <v>2</v>
      </c>
      <c r="B13" s="38">
        <v>5794</v>
      </c>
      <c r="C13" s="39">
        <f>B13/B19</f>
        <v>0.30748819190150189</v>
      </c>
      <c r="D13" s="38">
        <f>G13+I13+K13+M13+O13+Q13</f>
        <v>902</v>
      </c>
      <c r="E13" s="39">
        <f>D13/D19</f>
        <v>0.29788639365918096</v>
      </c>
      <c r="F13" s="52">
        <f>D13/B13</f>
        <v>0.15567828788401794</v>
      </c>
      <c r="G13" s="38">
        <v>145</v>
      </c>
      <c r="H13" s="39">
        <f>G13/G19</f>
        <v>0.29774127310061604</v>
      </c>
      <c r="I13" s="38">
        <v>9</v>
      </c>
      <c r="J13" s="39">
        <f>I13/I19</f>
        <v>0.23684210526315788</v>
      </c>
      <c r="K13" s="38">
        <v>46</v>
      </c>
      <c r="L13" s="39">
        <f>K13/K19</f>
        <v>0.22885572139303484</v>
      </c>
      <c r="M13" s="38">
        <v>299</v>
      </c>
      <c r="N13" s="39">
        <f>M13/M19</f>
        <v>0.33259176863181311</v>
      </c>
      <c r="O13" s="38">
        <v>127</v>
      </c>
      <c r="P13" s="39">
        <f>O13/O19</f>
        <v>0.29952830188679247</v>
      </c>
      <c r="Q13" s="38">
        <v>276</v>
      </c>
      <c r="R13" s="39">
        <f>Q13/Q19</f>
        <v>0.28192032686414709</v>
      </c>
      <c r="S13" s="159"/>
      <c r="T13" s="160"/>
      <c r="U13" s="132"/>
    </row>
    <row r="14" spans="1:21" x14ac:dyDescent="0.2">
      <c r="A14" s="26" t="s">
        <v>3</v>
      </c>
      <c r="B14" s="38">
        <v>5407</v>
      </c>
      <c r="C14" s="39">
        <f>B14/B19</f>
        <v>0.28695006103062143</v>
      </c>
      <c r="D14" s="38">
        <f t="shared" ref="D14:D18" si="2">G14+I14+K14+M14+O14+Q14</f>
        <v>944</v>
      </c>
      <c r="E14" s="39">
        <f>D14/D19</f>
        <v>0.31175693527080584</v>
      </c>
      <c r="F14" s="52">
        <f t="shared" ref="F14:F19" si="3">D14/B14</f>
        <v>0.17458849639356389</v>
      </c>
      <c r="G14" s="38">
        <v>116</v>
      </c>
      <c r="H14" s="39">
        <f>G14/G19</f>
        <v>0.23819301848049282</v>
      </c>
      <c r="I14" s="38">
        <v>13</v>
      </c>
      <c r="J14" s="39">
        <f>I14/I19</f>
        <v>0.34210526315789475</v>
      </c>
      <c r="K14" s="38">
        <v>68</v>
      </c>
      <c r="L14" s="39">
        <f>K14/K19</f>
        <v>0.3383084577114428</v>
      </c>
      <c r="M14" s="38">
        <v>280</v>
      </c>
      <c r="N14" s="39">
        <f>M14/M19</f>
        <v>0.31145717463848721</v>
      </c>
      <c r="O14" s="38">
        <v>143</v>
      </c>
      <c r="P14" s="39">
        <f>O14/O19</f>
        <v>0.33726415094339623</v>
      </c>
      <c r="Q14" s="38">
        <v>324</v>
      </c>
      <c r="R14" s="39">
        <f>Q14/Q19</f>
        <v>0.33094994892747703</v>
      </c>
      <c r="S14" s="161"/>
      <c r="T14" s="162"/>
      <c r="U14" s="132"/>
    </row>
    <row r="15" spans="1:21" x14ac:dyDescent="0.2">
      <c r="A15" s="26" t="s">
        <v>4</v>
      </c>
      <c r="B15" s="38">
        <v>1423</v>
      </c>
      <c r="C15" s="39">
        <f>B15/B19</f>
        <v>7.5518760282332967E-2</v>
      </c>
      <c r="D15" s="38">
        <f t="shared" si="2"/>
        <v>201</v>
      </c>
      <c r="E15" s="39">
        <f>D15/D19</f>
        <v>6.6380449141347428E-2</v>
      </c>
      <c r="F15" s="52">
        <f t="shared" si="3"/>
        <v>0.14125087842586087</v>
      </c>
      <c r="G15" s="38">
        <v>25</v>
      </c>
      <c r="H15" s="39">
        <f>G15/G19</f>
        <v>5.1334702258726897E-2</v>
      </c>
      <c r="I15" s="38">
        <v>2</v>
      </c>
      <c r="J15" s="39">
        <f>I15/I19</f>
        <v>5.2631578947368418E-2</v>
      </c>
      <c r="K15" s="38">
        <v>13</v>
      </c>
      <c r="L15" s="39">
        <f>K15/K19</f>
        <v>6.4676616915422883E-2</v>
      </c>
      <c r="M15" s="38">
        <v>55</v>
      </c>
      <c r="N15" s="39">
        <f>M15/M19</f>
        <v>6.1179087875417128E-2</v>
      </c>
      <c r="O15" s="38">
        <v>29</v>
      </c>
      <c r="P15" s="39">
        <f>O15/O19</f>
        <v>6.8396226415094338E-2</v>
      </c>
      <c r="Q15" s="38">
        <v>77</v>
      </c>
      <c r="R15" s="39">
        <f>Q15/Q19</f>
        <v>7.8651685393258425E-2</v>
      </c>
      <c r="S15" s="169" t="s">
        <v>223</v>
      </c>
      <c r="T15" s="169"/>
      <c r="U15" s="132"/>
    </row>
    <row r="16" spans="1:21" x14ac:dyDescent="0.2">
      <c r="A16" s="26" t="s">
        <v>5</v>
      </c>
      <c r="B16" s="38">
        <v>3365</v>
      </c>
      <c r="C16" s="39">
        <f>B16/B19</f>
        <v>0.17858090537600169</v>
      </c>
      <c r="D16" s="38">
        <f t="shared" si="2"/>
        <v>540</v>
      </c>
      <c r="E16" s="39">
        <f>D16/D19</f>
        <v>0.17833553500660501</v>
      </c>
      <c r="F16" s="52">
        <f t="shared" si="3"/>
        <v>0.16047548291233285</v>
      </c>
      <c r="G16" s="38">
        <v>84</v>
      </c>
      <c r="H16" s="39">
        <f>G16/G19</f>
        <v>0.17248459958932238</v>
      </c>
      <c r="I16" s="38">
        <v>11</v>
      </c>
      <c r="J16" s="39">
        <f>I16/I19</f>
        <v>0.28947368421052633</v>
      </c>
      <c r="K16" s="38">
        <v>40</v>
      </c>
      <c r="L16" s="39">
        <f>K16/K19</f>
        <v>0.19900497512437812</v>
      </c>
      <c r="M16" s="38">
        <v>167</v>
      </c>
      <c r="N16" s="39">
        <f>M16/M19</f>
        <v>0.185761957730812</v>
      </c>
      <c r="O16" s="38">
        <v>50</v>
      </c>
      <c r="P16" s="39">
        <f>O16/O19</f>
        <v>0.11792452830188679</v>
      </c>
      <c r="Q16" s="38">
        <v>188</v>
      </c>
      <c r="R16" s="39">
        <f>Q16/Q19</f>
        <v>0.19203268641470889</v>
      </c>
      <c r="S16" s="169"/>
      <c r="T16" s="169"/>
      <c r="U16" s="132"/>
    </row>
    <row r="17" spans="1:25" x14ac:dyDescent="0.2">
      <c r="A17" s="26" t="s">
        <v>6</v>
      </c>
      <c r="B17" s="38">
        <v>1445</v>
      </c>
      <c r="C17" s="39">
        <f>B17/B19</f>
        <v>7.668630260574219E-2</v>
      </c>
      <c r="D17" s="38">
        <f t="shared" si="2"/>
        <v>248</v>
      </c>
      <c r="E17" s="39">
        <f>D17/D19</f>
        <v>8.1902245706737126E-2</v>
      </c>
      <c r="F17" s="52">
        <f t="shared" si="3"/>
        <v>0.17162629757785466</v>
      </c>
      <c r="G17" s="38">
        <v>79</v>
      </c>
      <c r="H17" s="39">
        <f>G17/G19</f>
        <v>0.16221765913757699</v>
      </c>
      <c r="I17" s="38">
        <v>1</v>
      </c>
      <c r="J17" s="39">
        <f>I17/I19</f>
        <v>2.6315789473684209E-2</v>
      </c>
      <c r="K17" s="38">
        <v>18</v>
      </c>
      <c r="L17" s="39">
        <f>K17/K19</f>
        <v>8.9552238805970144E-2</v>
      </c>
      <c r="M17" s="38">
        <v>52</v>
      </c>
      <c r="N17" s="39">
        <f>M17/M19</f>
        <v>5.7842046718576193E-2</v>
      </c>
      <c r="O17" s="38">
        <v>40</v>
      </c>
      <c r="P17" s="39">
        <f>O17/O19</f>
        <v>9.4339622641509441E-2</v>
      </c>
      <c r="Q17" s="38">
        <v>58</v>
      </c>
      <c r="R17" s="39">
        <f>Q17/Q19</f>
        <v>5.9244126659856997E-2</v>
      </c>
      <c r="U17" s="132"/>
    </row>
    <row r="18" spans="1:25" ht="12.75" customHeight="1" x14ac:dyDescent="0.2">
      <c r="A18" s="26" t="s">
        <v>7</v>
      </c>
      <c r="B18" s="38">
        <v>1409</v>
      </c>
      <c r="C18" s="39">
        <f>B18/B19</f>
        <v>7.4775778803799819E-2</v>
      </c>
      <c r="D18" s="38">
        <f t="shared" si="2"/>
        <v>193</v>
      </c>
      <c r="E18" s="39">
        <f>D18/D19</f>
        <v>6.3738441215323641E-2</v>
      </c>
      <c r="F18" s="52">
        <f t="shared" si="3"/>
        <v>0.13697657913413769</v>
      </c>
      <c r="G18" s="38">
        <v>38</v>
      </c>
      <c r="H18" s="39">
        <f>G18/G19</f>
        <v>7.8028747433264892E-2</v>
      </c>
      <c r="I18" s="38">
        <v>2</v>
      </c>
      <c r="J18" s="39">
        <f>I18/I19</f>
        <v>5.2631578947368418E-2</v>
      </c>
      <c r="K18" s="38">
        <v>16</v>
      </c>
      <c r="L18" s="39">
        <f>K18/K19</f>
        <v>7.9601990049751242E-2</v>
      </c>
      <c r="M18" s="38">
        <v>46</v>
      </c>
      <c r="N18" s="39">
        <f>M18/M19</f>
        <v>5.116796440489433E-2</v>
      </c>
      <c r="O18" s="38">
        <v>35</v>
      </c>
      <c r="P18" s="39">
        <f>O18/O19</f>
        <v>8.254716981132075E-2</v>
      </c>
      <c r="Q18" s="38">
        <v>56</v>
      </c>
      <c r="R18" s="39">
        <f>Q18/Q19</f>
        <v>5.7201225740551587E-2</v>
      </c>
      <c r="U18" s="132"/>
    </row>
    <row r="19" spans="1:25" s="111" customFormat="1" x14ac:dyDescent="0.2">
      <c r="A19" s="108" t="s">
        <v>1</v>
      </c>
      <c r="B19" s="30">
        <f>SUM(B13:B18)</f>
        <v>18843</v>
      </c>
      <c r="C19" s="53">
        <f>SUM(C13:C18)</f>
        <v>0.99999999999999989</v>
      </c>
      <c r="D19" s="25">
        <f>SUM(D13:D18)</f>
        <v>3028</v>
      </c>
      <c r="E19" s="53">
        <f>SUM(E13:E18)</f>
        <v>1</v>
      </c>
      <c r="F19" s="54">
        <f t="shared" si="3"/>
        <v>0.16069627978559678</v>
      </c>
      <c r="G19" s="25">
        <f t="shared" ref="G19:R19" si="4">SUM(G13:G18)</f>
        <v>487</v>
      </c>
      <c r="H19" s="41">
        <f t="shared" si="4"/>
        <v>1</v>
      </c>
      <c r="I19" s="25">
        <f t="shared" si="4"/>
        <v>38</v>
      </c>
      <c r="J19" s="41">
        <f t="shared" si="4"/>
        <v>1</v>
      </c>
      <c r="K19" s="25">
        <f t="shared" si="4"/>
        <v>201</v>
      </c>
      <c r="L19" s="41">
        <f t="shared" si="4"/>
        <v>1.0000000000000002</v>
      </c>
      <c r="M19" s="25">
        <f t="shared" si="4"/>
        <v>899</v>
      </c>
      <c r="N19" s="41">
        <f t="shared" si="4"/>
        <v>0.99999999999999989</v>
      </c>
      <c r="O19" s="25">
        <f t="shared" si="4"/>
        <v>424</v>
      </c>
      <c r="P19" s="41">
        <f t="shared" si="4"/>
        <v>1</v>
      </c>
      <c r="Q19" s="25">
        <f t="shared" si="4"/>
        <v>979</v>
      </c>
      <c r="R19" s="41">
        <f t="shared" si="4"/>
        <v>1</v>
      </c>
      <c r="S19" s="44"/>
      <c r="T19" s="44"/>
      <c r="U19" s="63"/>
      <c r="Y19" s="111" t="s">
        <v>0</v>
      </c>
    </row>
    <row r="20" spans="1:25" x14ac:dyDescent="0.2">
      <c r="A20" s="20"/>
      <c r="B20" s="2"/>
      <c r="C20" s="46"/>
      <c r="D20" s="46"/>
      <c r="E20" s="46"/>
      <c r="F20" s="49"/>
      <c r="G20" s="46"/>
      <c r="H20" s="46"/>
      <c r="I20" s="46" t="s">
        <v>0</v>
      </c>
      <c r="J20" s="46"/>
      <c r="K20" s="46"/>
      <c r="L20" s="46"/>
      <c r="M20" s="46"/>
      <c r="N20" s="46"/>
      <c r="O20" s="46"/>
      <c r="P20" s="46"/>
      <c r="Q20" s="46"/>
      <c r="R20" s="46"/>
      <c r="U20" s="63"/>
      <c r="V20" s="111"/>
    </row>
    <row r="21" spans="1:25" s="111" customFormat="1" ht="12.75" customHeight="1" x14ac:dyDescent="0.2">
      <c r="A21" s="28" t="s">
        <v>11</v>
      </c>
      <c r="B21" s="148" t="s">
        <v>1</v>
      </c>
      <c r="C21" s="148"/>
      <c r="D21" s="150" t="s">
        <v>105</v>
      </c>
      <c r="E21" s="150"/>
      <c r="F21" s="50" t="s">
        <v>23</v>
      </c>
      <c r="G21" s="151" t="s">
        <v>128</v>
      </c>
      <c r="H21" s="151"/>
      <c r="I21" s="151" t="s">
        <v>99</v>
      </c>
      <c r="J21" s="151"/>
      <c r="K21" s="150" t="s">
        <v>176</v>
      </c>
      <c r="L21" s="150"/>
      <c r="M21" s="151" t="s">
        <v>101</v>
      </c>
      <c r="N21" s="151"/>
      <c r="O21" s="151" t="s">
        <v>100</v>
      </c>
      <c r="P21" s="151"/>
      <c r="Q21" s="151" t="s">
        <v>126</v>
      </c>
      <c r="R21" s="151"/>
      <c r="S21" s="157" t="s">
        <v>225</v>
      </c>
      <c r="T21" s="158"/>
      <c r="U21" s="63"/>
    </row>
    <row r="22" spans="1:25" ht="12.75" customHeight="1" x14ac:dyDescent="0.2">
      <c r="A22" s="26" t="s">
        <v>103</v>
      </c>
      <c r="B22" s="38">
        <v>10870</v>
      </c>
      <c r="C22" s="39">
        <f>B22/B25</f>
        <v>0.5768720479753755</v>
      </c>
      <c r="D22" s="38">
        <f>G22+I22+K22+M22+O22+Q22</f>
        <v>2067</v>
      </c>
      <c r="E22" s="39">
        <f>D22/D25</f>
        <v>0.68262879788639363</v>
      </c>
      <c r="F22" s="52">
        <f t="shared" ref="F22:F25" si="5">D22/B22</f>
        <v>0.19015639374425022</v>
      </c>
      <c r="G22" s="38">
        <v>333</v>
      </c>
      <c r="H22" s="39">
        <f>G22/G25</f>
        <v>0.68377823408624228</v>
      </c>
      <c r="I22" s="38">
        <v>28</v>
      </c>
      <c r="J22" s="39">
        <f>I22/I25</f>
        <v>0.73684210526315785</v>
      </c>
      <c r="K22" s="38">
        <v>150</v>
      </c>
      <c r="L22" s="39">
        <f>K22/K25</f>
        <v>0.74626865671641796</v>
      </c>
      <c r="M22" s="38">
        <v>542</v>
      </c>
      <c r="N22" s="39">
        <f>M22/M25</f>
        <v>0.60289210233592883</v>
      </c>
      <c r="O22" s="38">
        <v>323</v>
      </c>
      <c r="P22" s="39">
        <f>O22/O25</f>
        <v>0.7617924528301887</v>
      </c>
      <c r="Q22" s="38">
        <v>691</v>
      </c>
      <c r="R22" s="39">
        <f>Q22/Q25</f>
        <v>0.70582226762002043</v>
      </c>
      <c r="S22" s="159"/>
      <c r="T22" s="160"/>
      <c r="U22" s="132"/>
    </row>
    <row r="23" spans="1:25" ht="12.75" customHeight="1" x14ac:dyDescent="0.2">
      <c r="A23" s="26" t="s">
        <v>104</v>
      </c>
      <c r="B23" s="38">
        <v>7964</v>
      </c>
      <c r="C23" s="39">
        <f>B23/B25</f>
        <v>0.42265032107413891</v>
      </c>
      <c r="D23" s="38">
        <f t="shared" ref="D23:D24" si="6">G23+I23+K23+M23+O23+Q23</f>
        <v>960</v>
      </c>
      <c r="E23" s="39">
        <f>D23/D25</f>
        <v>0.31704095112285335</v>
      </c>
      <c r="F23" s="52">
        <f t="shared" si="5"/>
        <v>0.12054244098442994</v>
      </c>
      <c r="G23" s="38">
        <v>154</v>
      </c>
      <c r="H23" s="39">
        <f>G23/G25</f>
        <v>0.31622176591375772</v>
      </c>
      <c r="I23" s="38">
        <v>10</v>
      </c>
      <c r="J23" s="39">
        <f>I23/I25</f>
        <v>0.26315789473684209</v>
      </c>
      <c r="K23" s="38">
        <v>51</v>
      </c>
      <c r="L23" s="39">
        <f>K23/K25</f>
        <v>0.2537313432835821</v>
      </c>
      <c r="M23" s="38">
        <v>356</v>
      </c>
      <c r="N23" s="39">
        <f>M23/M25</f>
        <v>0.39599555061179087</v>
      </c>
      <c r="O23" s="38">
        <v>101</v>
      </c>
      <c r="P23" s="39">
        <f>O23/O25</f>
        <v>0.23820754716981132</v>
      </c>
      <c r="Q23" s="38">
        <v>288</v>
      </c>
      <c r="R23" s="39">
        <f>Q23/Q25</f>
        <v>0.29417773237997957</v>
      </c>
      <c r="S23" s="159"/>
      <c r="T23" s="160"/>
      <c r="U23" s="132"/>
      <c r="X23" s="110" t="s">
        <v>0</v>
      </c>
    </row>
    <row r="24" spans="1:25" x14ac:dyDescent="0.2">
      <c r="A24" s="26" t="s">
        <v>140</v>
      </c>
      <c r="B24" s="38">
        <v>9</v>
      </c>
      <c r="C24" s="39">
        <f>B24/B25</f>
        <v>4.7763095048559148E-4</v>
      </c>
      <c r="D24" s="38">
        <f t="shared" si="6"/>
        <v>1</v>
      </c>
      <c r="E24" s="39">
        <f>D24/D25</f>
        <v>3.3025099075297226E-4</v>
      </c>
      <c r="F24" s="52">
        <f t="shared" si="5"/>
        <v>0.1111111111111111</v>
      </c>
      <c r="G24" s="23"/>
      <c r="H24" s="39">
        <f>G24/G25</f>
        <v>0</v>
      </c>
      <c r="I24" s="23"/>
      <c r="J24" s="39">
        <f>I24/I25</f>
        <v>0</v>
      </c>
      <c r="K24" s="23"/>
      <c r="L24" s="39">
        <f>K24/K25</f>
        <v>0</v>
      </c>
      <c r="M24" s="38">
        <v>1</v>
      </c>
      <c r="N24" s="39">
        <f>M24/M25</f>
        <v>1.1123470522803114E-3</v>
      </c>
      <c r="O24" s="23"/>
      <c r="P24" s="39">
        <f>O24/O25</f>
        <v>0</v>
      </c>
      <c r="Q24" s="23"/>
      <c r="R24" s="39">
        <f>Q24/Q25</f>
        <v>0</v>
      </c>
      <c r="S24" s="159"/>
      <c r="T24" s="160"/>
      <c r="U24" s="132"/>
    </row>
    <row r="25" spans="1:25" s="111" customFormat="1" x14ac:dyDescent="0.2">
      <c r="A25" s="108" t="s">
        <v>1</v>
      </c>
      <c r="B25" s="30">
        <f>SUM(B22:B24)</f>
        <v>18843</v>
      </c>
      <c r="C25" s="41">
        <f>SUM(C22:C24)</f>
        <v>1</v>
      </c>
      <c r="D25" s="30">
        <f>SUM(D22:D24)</f>
        <v>3028</v>
      </c>
      <c r="E25" s="41">
        <f>SUM(E22:E24)</f>
        <v>1</v>
      </c>
      <c r="F25" s="54">
        <f t="shared" si="5"/>
        <v>0.16069627978559678</v>
      </c>
      <c r="G25" s="30">
        <f t="shared" ref="G25:R25" si="7">SUM(G22:G24)</f>
        <v>487</v>
      </c>
      <c r="H25" s="41">
        <f t="shared" si="7"/>
        <v>1</v>
      </c>
      <c r="I25" s="30">
        <f t="shared" si="7"/>
        <v>38</v>
      </c>
      <c r="J25" s="41">
        <f t="shared" si="7"/>
        <v>1</v>
      </c>
      <c r="K25" s="30">
        <f t="shared" si="7"/>
        <v>201</v>
      </c>
      <c r="L25" s="41">
        <f t="shared" si="7"/>
        <v>1</v>
      </c>
      <c r="M25" s="30">
        <f t="shared" si="7"/>
        <v>899</v>
      </c>
      <c r="N25" s="41">
        <f t="shared" si="7"/>
        <v>1</v>
      </c>
      <c r="O25" s="30">
        <f t="shared" si="7"/>
        <v>424</v>
      </c>
      <c r="P25" s="41">
        <f t="shared" si="7"/>
        <v>1</v>
      </c>
      <c r="Q25" s="30">
        <f t="shared" si="7"/>
        <v>979</v>
      </c>
      <c r="R25" s="41">
        <f t="shared" si="7"/>
        <v>1</v>
      </c>
      <c r="S25" s="161"/>
      <c r="T25" s="162"/>
      <c r="U25" s="63"/>
    </row>
    <row r="26" spans="1:25" x14ac:dyDescent="0.2">
      <c r="B26" s="73"/>
      <c r="F26" s="45"/>
    </row>
    <row r="27" spans="1:25" s="47" customFormat="1" x14ac:dyDescent="0.2">
      <c r="A27" s="84" t="s">
        <v>142</v>
      </c>
      <c r="B27" s="3"/>
      <c r="C27" s="46"/>
      <c r="D27" s="46"/>
      <c r="E27" s="46"/>
      <c r="F27" s="49"/>
      <c r="G27" s="46"/>
      <c r="H27" s="49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4"/>
    </row>
    <row r="28" spans="1:25" s="43" customFormat="1" x14ac:dyDescent="0.2">
      <c r="A28" s="28" t="s">
        <v>9</v>
      </c>
      <c r="B28" s="148" t="s">
        <v>1</v>
      </c>
      <c r="C28" s="148"/>
      <c r="D28" s="150" t="s">
        <v>105</v>
      </c>
      <c r="E28" s="150"/>
      <c r="F28" s="50" t="s">
        <v>23</v>
      </c>
      <c r="G28" s="151" t="s">
        <v>128</v>
      </c>
      <c r="H28" s="151"/>
      <c r="I28" s="151" t="s">
        <v>99</v>
      </c>
      <c r="J28" s="151"/>
      <c r="K28" s="150" t="s">
        <v>176</v>
      </c>
      <c r="L28" s="150"/>
      <c r="M28" s="151" t="s">
        <v>101</v>
      </c>
      <c r="N28" s="151"/>
      <c r="O28" s="151" t="s">
        <v>100</v>
      </c>
      <c r="P28" s="151"/>
      <c r="Q28" s="151" t="s">
        <v>126</v>
      </c>
      <c r="R28" s="151"/>
      <c r="S28" s="55"/>
    </row>
    <row r="29" spans="1:25" s="47" customFormat="1" hidden="1" x14ac:dyDescent="0.2">
      <c r="A29" s="26" t="s">
        <v>125</v>
      </c>
      <c r="B29" s="38"/>
      <c r="C29" s="39">
        <f>B29/B36</f>
        <v>0</v>
      </c>
      <c r="D29" s="38"/>
      <c r="E29" s="39"/>
      <c r="F29" s="52"/>
      <c r="G29" s="29"/>
      <c r="H29" s="39"/>
      <c r="I29" s="29"/>
      <c r="J29" s="39"/>
      <c r="K29" s="29"/>
      <c r="L29" s="39"/>
      <c r="M29" s="29"/>
      <c r="N29" s="39"/>
      <c r="O29" s="29"/>
      <c r="P29" s="39"/>
      <c r="Q29" s="29"/>
      <c r="R29" s="39"/>
      <c r="S29" s="56"/>
    </row>
    <row r="30" spans="1:25" s="47" customFormat="1" x14ac:dyDescent="0.2">
      <c r="A30" s="26" t="s">
        <v>12</v>
      </c>
      <c r="B30" s="38">
        <v>3573</v>
      </c>
      <c r="C30" s="39">
        <f>B30/B36</f>
        <v>0.18961948734277981</v>
      </c>
      <c r="D30" s="38">
        <f>G30+I30+K30+M30+O30+Q30</f>
        <v>456</v>
      </c>
      <c r="E30" s="39">
        <f>D30/D36</f>
        <v>0.15059445178335534</v>
      </c>
      <c r="F30" s="52">
        <f>D30/B30</f>
        <v>0.12762384550797648</v>
      </c>
      <c r="G30" s="38">
        <v>64</v>
      </c>
      <c r="H30" s="39">
        <f>G30/G36</f>
        <v>0.13141683778234087</v>
      </c>
      <c r="I30" s="38">
        <v>9</v>
      </c>
      <c r="J30" s="39">
        <f>I30/I36</f>
        <v>0.23684210526315788</v>
      </c>
      <c r="K30" s="38">
        <v>12</v>
      </c>
      <c r="L30" s="39">
        <f>K30/K36</f>
        <v>5.9701492537313432E-2</v>
      </c>
      <c r="M30" s="38">
        <v>188</v>
      </c>
      <c r="N30" s="39">
        <f>M30/M36</f>
        <v>0.20912124582869857</v>
      </c>
      <c r="O30" s="38">
        <v>18</v>
      </c>
      <c r="P30" s="39">
        <f>O30/O36</f>
        <v>4.2452830188679243E-2</v>
      </c>
      <c r="Q30" s="38">
        <v>165</v>
      </c>
      <c r="R30" s="39">
        <f>Q30/Q36</f>
        <v>0.16853932584269662</v>
      </c>
      <c r="S30" s="169" t="s">
        <v>118</v>
      </c>
      <c r="T30" s="169"/>
      <c r="X30" s="47" t="s">
        <v>0</v>
      </c>
    </row>
    <row r="31" spans="1:25" s="47" customFormat="1" x14ac:dyDescent="0.2">
      <c r="A31" s="26" t="s">
        <v>13</v>
      </c>
      <c r="B31" s="38">
        <v>3288</v>
      </c>
      <c r="C31" s="39">
        <f>B31/B36</f>
        <v>0.17449450724406942</v>
      </c>
      <c r="D31" s="38">
        <f t="shared" ref="D31:D35" si="8">G31+I31+K31+M31+O31+Q31</f>
        <v>331</v>
      </c>
      <c r="E31" s="39">
        <f>D31/D36</f>
        <v>0.10931307793923382</v>
      </c>
      <c r="F31" s="52">
        <f t="shared" ref="F31:F36" si="9">D31/B31</f>
        <v>0.100669099756691</v>
      </c>
      <c r="G31" s="38">
        <v>55</v>
      </c>
      <c r="H31" s="39">
        <f>G31/G36</f>
        <v>0.11293634496919917</v>
      </c>
      <c r="I31" s="38">
        <v>4</v>
      </c>
      <c r="J31" s="39">
        <f>I31/I36</f>
        <v>0.10526315789473684</v>
      </c>
      <c r="K31" s="38">
        <v>13</v>
      </c>
      <c r="L31" s="39">
        <f>K31/K36</f>
        <v>6.4676616915422883E-2</v>
      </c>
      <c r="M31" s="38">
        <v>125</v>
      </c>
      <c r="N31" s="39">
        <f>M31/M36</f>
        <v>0.13904338153503892</v>
      </c>
      <c r="O31" s="38">
        <v>27</v>
      </c>
      <c r="P31" s="39">
        <f>O31/O36</f>
        <v>6.3679245283018868E-2</v>
      </c>
      <c r="Q31" s="38">
        <v>107</v>
      </c>
      <c r="R31" s="39">
        <f>Q31/Q36</f>
        <v>0.10929519918283963</v>
      </c>
      <c r="S31" s="169"/>
      <c r="T31" s="169"/>
    </row>
    <row r="32" spans="1:25" s="47" customFormat="1" x14ac:dyDescent="0.2">
      <c r="A32" s="26" t="s">
        <v>14</v>
      </c>
      <c r="B32" s="38">
        <v>3117</v>
      </c>
      <c r="C32" s="39">
        <f>B32/B36</f>
        <v>0.16541951918484318</v>
      </c>
      <c r="D32" s="38">
        <f t="shared" si="8"/>
        <v>337</v>
      </c>
      <c r="E32" s="39">
        <f>D32/D36</f>
        <v>0.11129458388375166</v>
      </c>
      <c r="F32" s="52">
        <f t="shared" si="9"/>
        <v>0.10811677895412256</v>
      </c>
      <c r="G32" s="38">
        <v>55</v>
      </c>
      <c r="H32" s="39">
        <f>G32/G36</f>
        <v>0.11293634496919917</v>
      </c>
      <c r="I32" s="38">
        <v>4</v>
      </c>
      <c r="J32" s="39">
        <f>I32/I36</f>
        <v>0.10526315789473684</v>
      </c>
      <c r="K32" s="38">
        <v>25</v>
      </c>
      <c r="L32" s="39">
        <f>K32/K36</f>
        <v>0.12437810945273632</v>
      </c>
      <c r="M32" s="38">
        <v>103</v>
      </c>
      <c r="N32" s="39">
        <f>M32/M36</f>
        <v>0.11457174638487208</v>
      </c>
      <c r="O32" s="38">
        <v>45</v>
      </c>
      <c r="P32" s="39">
        <f>O32/O36</f>
        <v>0.10613207547169812</v>
      </c>
      <c r="Q32" s="38">
        <v>105</v>
      </c>
      <c r="R32" s="39">
        <f>Q32/Q36</f>
        <v>0.10725229826353422</v>
      </c>
      <c r="S32" s="169" t="s">
        <v>131</v>
      </c>
      <c r="T32" s="169"/>
    </row>
    <row r="33" spans="1:21" s="47" customFormat="1" x14ac:dyDescent="0.2">
      <c r="A33" s="26" t="s">
        <v>15</v>
      </c>
      <c r="B33" s="38">
        <v>3699</v>
      </c>
      <c r="C33" s="39">
        <f>B33/B36</f>
        <v>0.19630632064957809</v>
      </c>
      <c r="D33" s="38">
        <f t="shared" si="8"/>
        <v>561</v>
      </c>
      <c r="E33" s="39">
        <f>D33/D36</f>
        <v>0.18527080581241745</v>
      </c>
      <c r="F33" s="52">
        <f t="shared" si="9"/>
        <v>0.15166261151662611</v>
      </c>
      <c r="G33" s="38">
        <v>97</v>
      </c>
      <c r="H33" s="39">
        <f>G33/G36</f>
        <v>0.19917864476386038</v>
      </c>
      <c r="I33" s="38">
        <v>5</v>
      </c>
      <c r="J33" s="39">
        <f>I33/I36</f>
        <v>0.13157894736842105</v>
      </c>
      <c r="K33" s="38">
        <v>41</v>
      </c>
      <c r="L33" s="39">
        <f>K33/K36</f>
        <v>0.20398009950248755</v>
      </c>
      <c r="M33" s="38">
        <v>150</v>
      </c>
      <c r="N33" s="39">
        <f>M33/M36</f>
        <v>0.16685205784204671</v>
      </c>
      <c r="O33" s="38">
        <v>81</v>
      </c>
      <c r="P33" s="39">
        <f>O33/O36</f>
        <v>0.19103773584905662</v>
      </c>
      <c r="Q33" s="38">
        <v>187</v>
      </c>
      <c r="R33" s="39">
        <f>Q33/Q36</f>
        <v>0.19101123595505617</v>
      </c>
      <c r="S33" s="169" t="s">
        <v>119</v>
      </c>
      <c r="T33" s="169"/>
    </row>
    <row r="34" spans="1:21" s="47" customFormat="1" x14ac:dyDescent="0.2">
      <c r="A34" s="26" t="s">
        <v>16</v>
      </c>
      <c r="B34" s="38">
        <v>2909</v>
      </c>
      <c r="C34" s="39">
        <f>B34/B36</f>
        <v>0.15438093721806506</v>
      </c>
      <c r="D34" s="38">
        <f t="shared" si="8"/>
        <v>628</v>
      </c>
      <c r="E34" s="39">
        <f>D34/D36</f>
        <v>0.20739762219286659</v>
      </c>
      <c r="F34" s="52">
        <f t="shared" si="9"/>
        <v>0.21588174630457202</v>
      </c>
      <c r="G34" s="38">
        <v>91</v>
      </c>
      <c r="H34" s="39">
        <f>G34/G36</f>
        <v>0.18685831622176591</v>
      </c>
      <c r="I34" s="38">
        <v>5</v>
      </c>
      <c r="J34" s="39">
        <f>I34/I36</f>
        <v>0.13157894736842105</v>
      </c>
      <c r="K34" s="38">
        <v>58</v>
      </c>
      <c r="L34" s="39">
        <f>K34/K36</f>
        <v>0.28855721393034828</v>
      </c>
      <c r="M34" s="38">
        <v>152</v>
      </c>
      <c r="N34" s="39">
        <f>M34/M36</f>
        <v>0.16907675194660735</v>
      </c>
      <c r="O34" s="38">
        <v>121</v>
      </c>
      <c r="P34" s="39">
        <f>O34/O36</f>
        <v>0.28537735849056606</v>
      </c>
      <c r="Q34" s="38">
        <v>201</v>
      </c>
      <c r="R34" s="39">
        <f>Q34/Q36</f>
        <v>0.20531154239019409</v>
      </c>
      <c r="S34" s="56"/>
    </row>
    <row r="35" spans="1:21" s="47" customFormat="1" x14ac:dyDescent="0.2">
      <c r="A35" s="26" t="s">
        <v>17</v>
      </c>
      <c r="B35" s="38">
        <v>2257</v>
      </c>
      <c r="C35" s="39">
        <f>B35/B36</f>
        <v>0.11977922836066444</v>
      </c>
      <c r="D35" s="38">
        <f t="shared" si="8"/>
        <v>715</v>
      </c>
      <c r="E35" s="39">
        <f>D35/D36</f>
        <v>0.23612945838837515</v>
      </c>
      <c r="F35" s="52">
        <f t="shared" si="9"/>
        <v>0.31679220203810365</v>
      </c>
      <c r="G35" s="38">
        <v>125</v>
      </c>
      <c r="H35" s="39">
        <f>G35/G36</f>
        <v>0.25667351129363447</v>
      </c>
      <c r="I35" s="38">
        <v>11</v>
      </c>
      <c r="J35" s="39">
        <f>I35/I36</f>
        <v>0.28947368421052633</v>
      </c>
      <c r="K35" s="38">
        <v>52</v>
      </c>
      <c r="L35" s="39">
        <f>K35/K36</f>
        <v>0.25870646766169153</v>
      </c>
      <c r="M35" s="38">
        <v>181</v>
      </c>
      <c r="N35" s="39">
        <f>M35/M36</f>
        <v>0.20133481646273638</v>
      </c>
      <c r="O35" s="38">
        <v>132</v>
      </c>
      <c r="P35" s="39">
        <f>O35/O36</f>
        <v>0.31132075471698112</v>
      </c>
      <c r="Q35" s="38">
        <v>214</v>
      </c>
      <c r="R35" s="39">
        <f>Q35/Q36</f>
        <v>0.21859039836567926</v>
      </c>
      <c r="S35" s="56"/>
    </row>
    <row r="36" spans="1:21" s="43" customFormat="1" x14ac:dyDescent="0.2">
      <c r="A36" s="108" t="s">
        <v>1</v>
      </c>
      <c r="B36" s="40">
        <f>SUM(B29:B35)</f>
        <v>18843</v>
      </c>
      <c r="C36" s="41">
        <f>SUM(C29:C35)</f>
        <v>1</v>
      </c>
      <c r="D36" s="40">
        <f>SUM(D29:D35)</f>
        <v>3028</v>
      </c>
      <c r="E36" s="53">
        <f>SUM(E29:E35)</f>
        <v>1</v>
      </c>
      <c r="F36" s="54">
        <f t="shared" si="9"/>
        <v>0.16069627978559678</v>
      </c>
      <c r="G36" s="30">
        <f t="shared" ref="G36:R36" si="10">SUM(G29:G35)</f>
        <v>487</v>
      </c>
      <c r="H36" s="53">
        <f t="shared" si="10"/>
        <v>1</v>
      </c>
      <c r="I36" s="30">
        <f>SUM(I29:I35)</f>
        <v>38</v>
      </c>
      <c r="J36" s="53">
        <f t="shared" si="10"/>
        <v>0.99999999999999989</v>
      </c>
      <c r="K36" s="30">
        <f t="shared" si="10"/>
        <v>201</v>
      </c>
      <c r="L36" s="53">
        <f t="shared" si="10"/>
        <v>1</v>
      </c>
      <c r="M36" s="30">
        <f t="shared" si="10"/>
        <v>899</v>
      </c>
      <c r="N36" s="53">
        <f t="shared" si="10"/>
        <v>1</v>
      </c>
      <c r="O36" s="30">
        <f t="shared" si="10"/>
        <v>424</v>
      </c>
      <c r="P36" s="53">
        <f t="shared" si="10"/>
        <v>1</v>
      </c>
      <c r="Q36" s="30">
        <f t="shared" si="10"/>
        <v>979</v>
      </c>
      <c r="R36" s="53">
        <f t="shared" si="10"/>
        <v>1</v>
      </c>
      <c r="S36" s="57"/>
    </row>
    <row r="37" spans="1:21" s="47" customFormat="1" x14ac:dyDescent="0.2">
      <c r="A37" s="35" t="s">
        <v>141</v>
      </c>
      <c r="B37" s="128">
        <v>23.5</v>
      </c>
      <c r="C37" s="42"/>
      <c r="D37" s="129">
        <v>30.182334833057102</v>
      </c>
      <c r="E37" s="107"/>
      <c r="F37" s="107"/>
      <c r="G37" s="107">
        <v>31.736702127659584</v>
      </c>
      <c r="H37" s="60"/>
      <c r="I37" s="59">
        <v>26.028571428571418</v>
      </c>
      <c r="J37" s="59"/>
      <c r="K37" s="107">
        <v>30.55272727272726</v>
      </c>
      <c r="L37" s="59"/>
      <c r="M37" s="107">
        <v>28.564687975646855</v>
      </c>
      <c r="N37" s="59"/>
      <c r="O37" s="59">
        <v>33.744000000000007</v>
      </c>
      <c r="P37" s="59"/>
      <c r="Q37" s="59">
        <v>29.272114574557708</v>
      </c>
      <c r="R37" s="107"/>
      <c r="S37" s="46"/>
    </row>
    <row r="38" spans="1:21" x14ac:dyDescent="0.2">
      <c r="B38" s="79"/>
      <c r="C38" s="79"/>
      <c r="D38" s="78"/>
      <c r="F38" s="45"/>
      <c r="H38" s="44"/>
    </row>
    <row r="39" spans="1:21" s="111" customFormat="1" ht="12.75" customHeight="1" x14ac:dyDescent="0.2">
      <c r="A39" s="28" t="s">
        <v>19</v>
      </c>
      <c r="B39" s="148" t="s">
        <v>1</v>
      </c>
      <c r="C39" s="148"/>
      <c r="D39" s="150" t="s">
        <v>105</v>
      </c>
      <c r="E39" s="150"/>
      <c r="F39" s="50" t="s">
        <v>23</v>
      </c>
      <c r="G39" s="151" t="s">
        <v>128</v>
      </c>
      <c r="H39" s="151"/>
      <c r="I39" s="151" t="s">
        <v>99</v>
      </c>
      <c r="J39" s="151"/>
      <c r="K39" s="150" t="s">
        <v>176</v>
      </c>
      <c r="L39" s="150"/>
      <c r="M39" s="151" t="s">
        <v>101</v>
      </c>
      <c r="N39" s="151"/>
      <c r="O39" s="151" t="s">
        <v>100</v>
      </c>
      <c r="P39" s="151"/>
      <c r="Q39" s="151" t="s">
        <v>126</v>
      </c>
      <c r="R39" s="151"/>
      <c r="S39" s="157" t="s">
        <v>226</v>
      </c>
      <c r="T39" s="158"/>
    </row>
    <row r="40" spans="1:21" ht="12" customHeight="1" x14ac:dyDescent="0.2">
      <c r="A40" s="26" t="s">
        <v>143</v>
      </c>
      <c r="B40" s="38">
        <v>15</v>
      </c>
      <c r="C40" s="39">
        <f>B40/B48</f>
        <v>7.9605158414265242E-4</v>
      </c>
      <c r="D40" s="38">
        <f>G40+I40+K40+M40+O40+Q40</f>
        <v>4</v>
      </c>
      <c r="E40" s="39">
        <f>D40/D48</f>
        <v>1.321003963011889E-3</v>
      </c>
      <c r="F40" s="52">
        <f>D40/B40</f>
        <v>0.26666666666666666</v>
      </c>
      <c r="G40" s="71"/>
      <c r="H40" s="39"/>
      <c r="I40" s="38">
        <v>1</v>
      </c>
      <c r="J40" s="39"/>
      <c r="K40" s="38">
        <v>1</v>
      </c>
      <c r="L40" s="39">
        <f>K40/K48</f>
        <v>4.9751243781094526E-3</v>
      </c>
      <c r="M40" s="38">
        <v>2</v>
      </c>
      <c r="N40" s="39">
        <f>M40/M48</f>
        <v>2.2246941045606229E-3</v>
      </c>
      <c r="O40" s="71"/>
      <c r="P40" s="39">
        <f>O40/O48</f>
        <v>0</v>
      </c>
      <c r="Q40" s="71"/>
      <c r="R40" s="39">
        <f>Q40/Q48</f>
        <v>0</v>
      </c>
      <c r="S40" s="159"/>
      <c r="T40" s="160"/>
      <c r="U40" s="132"/>
    </row>
    <row r="41" spans="1:21" ht="12.75" customHeight="1" x14ac:dyDescent="0.2">
      <c r="A41" s="26" t="s">
        <v>22</v>
      </c>
      <c r="B41" s="38">
        <v>338</v>
      </c>
      <c r="C41" s="39">
        <f>B41/B48</f>
        <v>1.7937695696014434E-2</v>
      </c>
      <c r="D41" s="38">
        <f t="shared" ref="D41" si="11">G41+I41+K41+M41+O41+Q41</f>
        <v>50</v>
      </c>
      <c r="E41" s="39">
        <f>D41/D48</f>
        <v>1.6512549537648614E-2</v>
      </c>
      <c r="F41" s="52">
        <f t="shared" ref="F41:F48" si="12">D41/B41</f>
        <v>0.14792899408284024</v>
      </c>
      <c r="G41" s="38">
        <v>9</v>
      </c>
      <c r="H41" s="39">
        <f>G41/G48</f>
        <v>1.8480492813141684E-2</v>
      </c>
      <c r="I41" s="38">
        <v>1</v>
      </c>
      <c r="J41" s="39">
        <f>I41/I48</f>
        <v>2.6315789473684209E-2</v>
      </c>
      <c r="K41" s="38">
        <v>3</v>
      </c>
      <c r="L41" s="39">
        <f>K41/K48</f>
        <v>1.4925373134328358E-2</v>
      </c>
      <c r="M41" s="38">
        <v>12</v>
      </c>
      <c r="N41" s="39">
        <f>M41/M48</f>
        <v>1.3348164627363738E-2</v>
      </c>
      <c r="O41" s="38">
        <v>7</v>
      </c>
      <c r="P41" s="39">
        <f>O41/O48</f>
        <v>1.6509433962264151E-2</v>
      </c>
      <c r="Q41" s="38">
        <v>18</v>
      </c>
      <c r="R41" s="39">
        <f>Q41/Q48</f>
        <v>1.8386108273748723E-2</v>
      </c>
      <c r="S41" s="161"/>
      <c r="T41" s="162"/>
      <c r="U41" s="132"/>
    </row>
    <row r="42" spans="1:21" ht="12.75" customHeight="1" x14ac:dyDescent="0.2">
      <c r="A42" s="26" t="s">
        <v>144</v>
      </c>
      <c r="B42" s="38">
        <v>784</v>
      </c>
      <c r="C42" s="39">
        <f>B42/B48</f>
        <v>4.1606962797855966E-2</v>
      </c>
      <c r="D42" s="38">
        <f>G42+I42+K42+M42+O42+Q42</f>
        <v>92</v>
      </c>
      <c r="E42" s="39">
        <f>D42/D48</f>
        <v>3.0383091149273449E-2</v>
      </c>
      <c r="F42" s="52">
        <f t="shared" si="12"/>
        <v>0.11734693877551021</v>
      </c>
      <c r="G42" s="38">
        <v>19</v>
      </c>
      <c r="H42" s="39">
        <f>G42/G48</f>
        <v>3.9014373716632446E-2</v>
      </c>
      <c r="I42" s="38">
        <v>1</v>
      </c>
      <c r="J42" s="39">
        <f>I42/I48</f>
        <v>2.6315789473684209E-2</v>
      </c>
      <c r="K42" s="38">
        <v>6</v>
      </c>
      <c r="L42" s="39">
        <f>K42/K48</f>
        <v>2.9850746268656716E-2</v>
      </c>
      <c r="M42" s="38">
        <v>14</v>
      </c>
      <c r="N42" s="39">
        <f>M42/M48</f>
        <v>1.557285873192436E-2</v>
      </c>
      <c r="O42" s="38">
        <v>6</v>
      </c>
      <c r="P42" s="39">
        <f>O42/O48</f>
        <v>1.4150943396226415E-2</v>
      </c>
      <c r="Q42" s="38">
        <v>46</v>
      </c>
      <c r="R42" s="39">
        <f>Q42/Q48</f>
        <v>4.6986721144024517E-2</v>
      </c>
      <c r="S42" s="110"/>
      <c r="T42" s="110"/>
      <c r="U42" s="110"/>
    </row>
    <row r="43" spans="1:21" ht="12.75" customHeight="1" x14ac:dyDescent="0.2">
      <c r="A43" s="26" t="s">
        <v>145</v>
      </c>
      <c r="B43" s="38">
        <v>371</v>
      </c>
      <c r="C43" s="39">
        <f>B43/B48</f>
        <v>1.9689009181128269E-2</v>
      </c>
      <c r="D43" s="38">
        <f t="shared" ref="D43:D47" si="13">G43+I43+K43+M43+O43+Q43</f>
        <v>56</v>
      </c>
      <c r="E43" s="39">
        <f>D43/D48</f>
        <v>1.8494055482166448E-2</v>
      </c>
      <c r="F43" s="52">
        <f t="shared" si="12"/>
        <v>0.15094339622641509</v>
      </c>
      <c r="G43" s="38">
        <v>8</v>
      </c>
      <c r="H43" s="39">
        <f>G43/G48</f>
        <v>1.6427104722792608E-2</v>
      </c>
      <c r="I43" s="38"/>
      <c r="J43" s="39">
        <f>I43/I48</f>
        <v>0</v>
      </c>
      <c r="K43" s="38">
        <v>4</v>
      </c>
      <c r="L43" s="39">
        <f>K43/K48</f>
        <v>1.9900497512437811E-2</v>
      </c>
      <c r="M43" s="38">
        <v>15</v>
      </c>
      <c r="N43" s="39">
        <f>M43/M48</f>
        <v>1.6685205784204672E-2</v>
      </c>
      <c r="O43" s="38">
        <v>4</v>
      </c>
      <c r="P43" s="39">
        <f>O43/O48</f>
        <v>9.433962264150943E-3</v>
      </c>
      <c r="Q43" s="38">
        <v>25</v>
      </c>
      <c r="R43" s="39">
        <f>Q43/Q48</f>
        <v>2.5536261491317672E-2</v>
      </c>
      <c r="S43" s="110"/>
      <c r="T43" s="110"/>
      <c r="U43" s="110"/>
    </row>
    <row r="44" spans="1:21" ht="12.75" customHeight="1" x14ac:dyDescent="0.2">
      <c r="A44" s="26" t="s">
        <v>18</v>
      </c>
      <c r="B44" s="38">
        <v>2500</v>
      </c>
      <c r="C44" s="39">
        <f>B44/B48</f>
        <v>0.13267526402377541</v>
      </c>
      <c r="D44" s="38">
        <f t="shared" si="13"/>
        <v>334</v>
      </c>
      <c r="E44" s="39">
        <f>D44/D48</f>
        <v>0.11030383091149273</v>
      </c>
      <c r="F44" s="52">
        <f t="shared" si="12"/>
        <v>0.1336</v>
      </c>
      <c r="G44" s="38">
        <v>53</v>
      </c>
      <c r="H44" s="39">
        <f>G44/G48</f>
        <v>0.10882956878850103</v>
      </c>
      <c r="I44" s="38">
        <v>14</v>
      </c>
      <c r="J44" s="39">
        <f>I44/I48</f>
        <v>0.36842105263157893</v>
      </c>
      <c r="K44" s="38">
        <v>16</v>
      </c>
      <c r="L44" s="39">
        <f>K44/K48</f>
        <v>7.9601990049751242E-2</v>
      </c>
      <c r="M44" s="38">
        <v>79</v>
      </c>
      <c r="N44" s="39">
        <f>M44/M48</f>
        <v>8.7875417130144601E-2</v>
      </c>
      <c r="O44" s="38">
        <v>41</v>
      </c>
      <c r="P44" s="39">
        <f>O44/O48</f>
        <v>9.6698113207547176E-2</v>
      </c>
      <c r="Q44" s="38">
        <v>131</v>
      </c>
      <c r="R44" s="39">
        <f>Q44/Q48</f>
        <v>0.13381001021450459</v>
      </c>
      <c r="S44" s="169" t="s">
        <v>132</v>
      </c>
      <c r="T44" s="169"/>
      <c r="U44" s="132"/>
    </row>
    <row r="45" spans="1:21" ht="12.75" customHeight="1" x14ac:dyDescent="0.2">
      <c r="A45" s="26" t="s">
        <v>146</v>
      </c>
      <c r="B45" s="38">
        <v>190</v>
      </c>
      <c r="C45" s="39">
        <f>B45/B48</f>
        <v>1.0083320065806931E-2</v>
      </c>
      <c r="D45" s="38">
        <f t="shared" si="13"/>
        <v>33</v>
      </c>
      <c r="E45" s="39">
        <f>D45/D48</f>
        <v>1.0898282694848084E-2</v>
      </c>
      <c r="F45" s="52">
        <f t="shared" si="12"/>
        <v>0.1736842105263158</v>
      </c>
      <c r="G45" s="38">
        <v>6</v>
      </c>
      <c r="H45" s="39">
        <f>G45/G48</f>
        <v>1.2320328542094456E-2</v>
      </c>
      <c r="I45" s="23"/>
      <c r="J45" s="39">
        <f>I45/I48</f>
        <v>0</v>
      </c>
      <c r="K45" s="38">
        <v>2</v>
      </c>
      <c r="L45" s="39">
        <f>K45/K48</f>
        <v>9.9502487562189053E-3</v>
      </c>
      <c r="M45" s="38">
        <v>5</v>
      </c>
      <c r="N45" s="39">
        <f>M45/M48</f>
        <v>5.5617352614015575E-3</v>
      </c>
      <c r="O45" s="38"/>
      <c r="P45" s="39">
        <f>O45/O48</f>
        <v>0</v>
      </c>
      <c r="Q45" s="38">
        <v>20</v>
      </c>
      <c r="R45" s="39">
        <f>Q45/Q48</f>
        <v>2.0429009193054137E-2</v>
      </c>
      <c r="S45" s="169"/>
      <c r="T45" s="169"/>
      <c r="U45" s="132"/>
    </row>
    <row r="46" spans="1:21" x14ac:dyDescent="0.2">
      <c r="A46" s="26" t="s">
        <v>8</v>
      </c>
      <c r="B46" s="38">
        <v>1127</v>
      </c>
      <c r="C46" s="39">
        <f>B46/B48</f>
        <v>5.9810009021917951E-2</v>
      </c>
      <c r="D46" s="38">
        <f t="shared" si="13"/>
        <v>169</v>
      </c>
      <c r="E46" s="39">
        <f>D46/D48</f>
        <v>5.5812417437252314E-2</v>
      </c>
      <c r="F46" s="52">
        <f t="shared" si="12"/>
        <v>0.14995563442768411</v>
      </c>
      <c r="G46" s="38">
        <v>36</v>
      </c>
      <c r="H46" s="39">
        <f>G46/G48</f>
        <v>7.3921971252566734E-2</v>
      </c>
      <c r="I46" s="38">
        <v>1</v>
      </c>
      <c r="J46" s="39">
        <f>I46/I48</f>
        <v>2.6315789473684209E-2</v>
      </c>
      <c r="K46" s="38">
        <v>10</v>
      </c>
      <c r="L46" s="39">
        <f>K46/K48</f>
        <v>4.975124378109453E-2</v>
      </c>
      <c r="M46" s="38">
        <v>52</v>
      </c>
      <c r="N46" s="39">
        <f>M46/M48</f>
        <v>5.7842046718576193E-2</v>
      </c>
      <c r="O46" s="38">
        <v>17</v>
      </c>
      <c r="P46" s="39">
        <f>O46/O48</f>
        <v>4.0094339622641507E-2</v>
      </c>
      <c r="Q46" s="38">
        <v>53</v>
      </c>
      <c r="R46" s="39">
        <f>Q46/Q48</f>
        <v>5.4136874361593465E-2</v>
      </c>
      <c r="S46" s="169"/>
      <c r="T46" s="169"/>
      <c r="U46" s="132"/>
    </row>
    <row r="47" spans="1:21" ht="12.75" customHeight="1" x14ac:dyDescent="0.2">
      <c r="A47" s="26" t="s">
        <v>147</v>
      </c>
      <c r="B47" s="38">
        <v>13518</v>
      </c>
      <c r="C47" s="39">
        <f>B47/B48</f>
        <v>0.71740168762935841</v>
      </c>
      <c r="D47" s="38">
        <f t="shared" si="13"/>
        <v>2290</v>
      </c>
      <c r="E47" s="39">
        <f>D47/D48</f>
        <v>0.75627476882430644</v>
      </c>
      <c r="F47" s="52">
        <f t="shared" si="12"/>
        <v>0.16940375795235982</v>
      </c>
      <c r="G47" s="38">
        <v>356</v>
      </c>
      <c r="H47" s="39">
        <f>G47/G48</f>
        <v>0.731006160164271</v>
      </c>
      <c r="I47" s="38">
        <v>20</v>
      </c>
      <c r="J47" s="39">
        <f>I47/I48</f>
        <v>0.52631578947368418</v>
      </c>
      <c r="K47" s="38">
        <v>159</v>
      </c>
      <c r="L47" s="39">
        <f>K47/K48</f>
        <v>0.79104477611940294</v>
      </c>
      <c r="M47" s="38">
        <v>720</v>
      </c>
      <c r="N47" s="39">
        <f>M47/M48</f>
        <v>0.80088987764182429</v>
      </c>
      <c r="O47" s="38">
        <v>349</v>
      </c>
      <c r="P47" s="39">
        <f>O47/O48</f>
        <v>0.82311320754716977</v>
      </c>
      <c r="Q47" s="38">
        <v>686</v>
      </c>
      <c r="R47" s="39">
        <f>Q47/Q48</f>
        <v>0.70071501532175684</v>
      </c>
      <c r="S47" s="157" t="s">
        <v>228</v>
      </c>
      <c r="T47" s="158"/>
      <c r="U47" s="132"/>
    </row>
    <row r="48" spans="1:21" s="111" customFormat="1" x14ac:dyDescent="0.2">
      <c r="A48" s="108" t="s">
        <v>1</v>
      </c>
      <c r="B48" s="30">
        <f>SUM(B40:B47)</f>
        <v>18843</v>
      </c>
      <c r="C48" s="53">
        <f>SUM(C40:C47)</f>
        <v>1</v>
      </c>
      <c r="D48" s="30">
        <f>SUM(D40:D47)</f>
        <v>3028</v>
      </c>
      <c r="E48" s="53">
        <f>SUM(E40:E47)</f>
        <v>1</v>
      </c>
      <c r="F48" s="54">
        <f t="shared" si="12"/>
        <v>0.16069627978559678</v>
      </c>
      <c r="G48" s="30">
        <f t="shared" ref="G48:R48" si="14">SUM(G40:G47)</f>
        <v>487</v>
      </c>
      <c r="H48" s="53">
        <f t="shared" si="14"/>
        <v>1</v>
      </c>
      <c r="I48" s="30">
        <f t="shared" si="14"/>
        <v>38</v>
      </c>
      <c r="J48" s="53">
        <f t="shared" si="14"/>
        <v>0.97368421052631571</v>
      </c>
      <c r="K48" s="30">
        <f t="shared" si="14"/>
        <v>201</v>
      </c>
      <c r="L48" s="53">
        <f t="shared" si="14"/>
        <v>1</v>
      </c>
      <c r="M48" s="30">
        <f t="shared" si="14"/>
        <v>899</v>
      </c>
      <c r="N48" s="53">
        <f t="shared" si="14"/>
        <v>1</v>
      </c>
      <c r="O48" s="30">
        <f t="shared" si="14"/>
        <v>424</v>
      </c>
      <c r="P48" s="53">
        <f t="shared" si="14"/>
        <v>1</v>
      </c>
      <c r="Q48" s="30">
        <f t="shared" si="14"/>
        <v>979</v>
      </c>
      <c r="R48" s="53">
        <f t="shared" si="14"/>
        <v>1</v>
      </c>
      <c r="S48" s="161"/>
      <c r="T48" s="162"/>
      <c r="U48" s="63"/>
    </row>
    <row r="49" spans="1:22" x14ac:dyDescent="0.2">
      <c r="F49" s="45"/>
      <c r="H49" s="44"/>
      <c r="V49" s="44"/>
    </row>
    <row r="50" spans="1:22" ht="25.5" customHeight="1" x14ac:dyDescent="0.2">
      <c r="A50" s="153" t="s">
        <v>93</v>
      </c>
      <c r="B50" s="151" t="s">
        <v>128</v>
      </c>
      <c r="C50" s="151"/>
      <c r="D50" s="151" t="s">
        <v>99</v>
      </c>
      <c r="E50" s="151"/>
      <c r="F50" s="150" t="s">
        <v>176</v>
      </c>
      <c r="G50" s="150"/>
      <c r="H50" s="151" t="s">
        <v>101</v>
      </c>
      <c r="I50" s="151"/>
      <c r="J50" s="151" t="s">
        <v>100</v>
      </c>
      <c r="K50" s="151"/>
      <c r="L50" s="151" t="s">
        <v>126</v>
      </c>
      <c r="M50" s="151"/>
      <c r="N50" s="148" t="s">
        <v>1</v>
      </c>
      <c r="O50" s="148"/>
      <c r="P50" s="163" t="s">
        <v>227</v>
      </c>
      <c r="Q50" s="164"/>
      <c r="R50" s="165"/>
    </row>
    <row r="51" spans="1:22" ht="25.5" customHeight="1" x14ac:dyDescent="0.2">
      <c r="A51" s="153"/>
      <c r="B51" s="38">
        <v>31</v>
      </c>
      <c r="C51" s="113">
        <f>B51/G48</f>
        <v>6.3655030800821355E-2</v>
      </c>
      <c r="D51" s="38">
        <v>6</v>
      </c>
      <c r="E51" s="113">
        <f>D51/I48</f>
        <v>0.15789473684210525</v>
      </c>
      <c r="F51" s="38">
        <v>10</v>
      </c>
      <c r="G51" s="113">
        <f>F51/K48</f>
        <v>4.975124378109453E-2</v>
      </c>
      <c r="H51" s="38">
        <v>62</v>
      </c>
      <c r="I51" s="113">
        <f>H51/M48</f>
        <v>6.8965517241379309E-2</v>
      </c>
      <c r="J51" s="38">
        <v>35</v>
      </c>
      <c r="K51" s="113">
        <f>J51/O48</f>
        <v>8.254716981132075E-2</v>
      </c>
      <c r="L51" s="38">
        <v>63</v>
      </c>
      <c r="M51" s="113">
        <f>L51/Q48</f>
        <v>6.4351378958120528E-2</v>
      </c>
      <c r="N51" s="29">
        <f>L51+J51+H51+F51+D51+B51</f>
        <v>207</v>
      </c>
      <c r="O51" s="113">
        <f>N51/D48</f>
        <v>6.8361955085865261E-2</v>
      </c>
      <c r="P51" s="166"/>
      <c r="Q51" s="167"/>
      <c r="R51" s="168"/>
    </row>
    <row r="52" spans="1:22" x14ac:dyDescent="0.2">
      <c r="A52" s="77" t="s">
        <v>0</v>
      </c>
      <c r="B52" s="73"/>
      <c r="C52" s="73"/>
      <c r="D52" s="73"/>
      <c r="E52" s="73"/>
    </row>
  </sheetData>
  <mergeCells count="53">
    <mergeCell ref="S47:T48"/>
    <mergeCell ref="M28:N28"/>
    <mergeCell ref="O28:P28"/>
    <mergeCell ref="Q28:R28"/>
    <mergeCell ref="B28:C28"/>
    <mergeCell ref="D28:E28"/>
    <mergeCell ref="G28:H28"/>
    <mergeCell ref="I28:J28"/>
    <mergeCell ref="K28:L28"/>
    <mergeCell ref="S44:T46"/>
    <mergeCell ref="S15:T16"/>
    <mergeCell ref="S30:T31"/>
    <mergeCell ref="S32:T33"/>
    <mergeCell ref="S21:T25"/>
    <mergeCell ref="S39:T41"/>
    <mergeCell ref="Q39:R39"/>
    <mergeCell ref="M21:N21"/>
    <mergeCell ref="O21:P21"/>
    <mergeCell ref="Q21:R21"/>
    <mergeCell ref="P50:R51"/>
    <mergeCell ref="A50:A51"/>
    <mergeCell ref="B50:C50"/>
    <mergeCell ref="D50:E50"/>
    <mergeCell ref="F50:G50"/>
    <mergeCell ref="H50:I50"/>
    <mergeCell ref="J50:K50"/>
    <mergeCell ref="L50:M50"/>
    <mergeCell ref="N50:O50"/>
    <mergeCell ref="B39:C39"/>
    <mergeCell ref="D39:E39"/>
    <mergeCell ref="G39:H39"/>
    <mergeCell ref="I39:J39"/>
    <mergeCell ref="K39:L39"/>
    <mergeCell ref="M39:N39"/>
    <mergeCell ref="O39:P39"/>
    <mergeCell ref="B21:C21"/>
    <mergeCell ref="D21:E21"/>
    <mergeCell ref="G21:H21"/>
    <mergeCell ref="I21:J21"/>
    <mergeCell ref="K21:L21"/>
    <mergeCell ref="B3:C3"/>
    <mergeCell ref="D3:E3"/>
    <mergeCell ref="B12:C12"/>
    <mergeCell ref="D12:E12"/>
    <mergeCell ref="G12:H12"/>
    <mergeCell ref="H4:S4"/>
    <mergeCell ref="H5:S5"/>
    <mergeCell ref="K12:L12"/>
    <mergeCell ref="M12:N12"/>
    <mergeCell ref="O12:P12"/>
    <mergeCell ref="Q12:R12"/>
    <mergeCell ref="I12:J12"/>
    <mergeCell ref="S12:T14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
11/12/2010-kw&amp;C&amp;F&amp;R&amp;P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zoomScaleNormal="100" workbookViewId="0"/>
  </sheetViews>
  <sheetFormatPr defaultRowHeight="12.75" x14ac:dyDescent="0.2"/>
  <cols>
    <col min="1" max="1" width="35.85546875" style="21" customWidth="1"/>
    <col min="2" max="2" width="4" style="33" bestFit="1" customWidth="1"/>
    <col min="3" max="3" width="7.28515625" style="33" bestFit="1" customWidth="1"/>
    <col min="4" max="4" width="3" style="33" bestFit="1" customWidth="1"/>
    <col min="5" max="5" width="7.28515625" style="33" bestFit="1" customWidth="1"/>
    <col min="6" max="6" width="4" style="33" bestFit="1" customWidth="1"/>
    <col min="7" max="7" width="7.28515625" style="33" bestFit="1" customWidth="1"/>
    <col min="8" max="8" width="5.42578125" style="72" bestFit="1" customWidth="1"/>
    <col min="9" max="9" width="7.28515625" style="33" bestFit="1" customWidth="1"/>
    <col min="10" max="10" width="4" style="33" bestFit="1" customWidth="1"/>
    <col min="11" max="11" width="7.28515625" style="33" bestFit="1" customWidth="1"/>
    <col min="12" max="12" width="5.42578125" style="33" bestFit="1" customWidth="1"/>
    <col min="13" max="13" width="7.28515625" style="33" bestFit="1" customWidth="1"/>
    <col min="14" max="14" width="5.5703125" style="33" bestFit="1" customWidth="1"/>
    <col min="15" max="15" width="7.28515625" style="33" bestFit="1" customWidth="1"/>
    <col min="16" max="16" width="5.42578125" style="10" bestFit="1" customWidth="1"/>
    <col min="17" max="17" width="9.140625" style="12"/>
    <col min="18" max="18" width="5.42578125" style="12" customWidth="1"/>
    <col min="19" max="16384" width="9.140625" style="12"/>
  </cols>
  <sheetData>
    <row r="1" spans="1:18" ht="15.75" x14ac:dyDescent="0.2">
      <c r="A1" s="127" t="s">
        <v>216</v>
      </c>
    </row>
    <row r="2" spans="1:18" x14ac:dyDescent="0.2">
      <c r="B2" s="73"/>
      <c r="C2" s="73"/>
      <c r="D2" s="73"/>
    </row>
    <row r="3" spans="1:18" x14ac:dyDescent="0.2">
      <c r="A3" s="20" t="s">
        <v>0</v>
      </c>
      <c r="B3" s="73"/>
      <c r="C3" s="73"/>
      <c r="D3" s="73"/>
      <c r="E3" s="73"/>
    </row>
    <row r="4" spans="1:18" s="14" customFormat="1" ht="24" customHeight="1" x14ac:dyDescent="0.2">
      <c r="A4" s="108" t="str">
        <f>all!A53</f>
        <v>What is your primary objective in attending FRCC?</v>
      </c>
      <c r="B4" s="154" t="s">
        <v>128</v>
      </c>
      <c r="C4" s="154"/>
      <c r="D4" s="154" t="s">
        <v>99</v>
      </c>
      <c r="E4" s="154"/>
      <c r="F4" s="155" t="s">
        <v>136</v>
      </c>
      <c r="G4" s="155"/>
      <c r="H4" s="154" t="s">
        <v>101</v>
      </c>
      <c r="I4" s="154"/>
      <c r="J4" s="154" t="s">
        <v>129</v>
      </c>
      <c r="K4" s="154"/>
      <c r="L4" s="154" t="s">
        <v>126</v>
      </c>
      <c r="M4" s="154"/>
      <c r="N4" s="170" t="s">
        <v>1</v>
      </c>
      <c r="O4" s="170"/>
      <c r="P4" s="171" t="s">
        <v>229</v>
      </c>
      <c r="Q4" s="172"/>
      <c r="R4" s="173"/>
    </row>
    <row r="5" spans="1:18" x14ac:dyDescent="0.2">
      <c r="A5" s="26" t="str">
        <f>all!A54</f>
        <v>Earn a Vocational/Technical Certificate</v>
      </c>
      <c r="B5" s="29">
        <f>all!B54</f>
        <v>56</v>
      </c>
      <c r="C5" s="39">
        <f>B5/B14</f>
        <v>0.11965811965811966</v>
      </c>
      <c r="D5" s="38">
        <f>all!D54</f>
        <v>1</v>
      </c>
      <c r="E5" s="39">
        <f>D5/D14</f>
        <v>2.7777777777777776E-2</v>
      </c>
      <c r="F5" s="38">
        <f>all!F54</f>
        <v>12</v>
      </c>
      <c r="G5" s="39">
        <f>F5/F14</f>
        <v>6.3492063492063489E-2</v>
      </c>
      <c r="H5" s="38">
        <f>all!H54</f>
        <v>42</v>
      </c>
      <c r="I5" s="39">
        <f>H5/H14</f>
        <v>4.7673098751418841E-2</v>
      </c>
      <c r="J5" s="38">
        <f>all!J54</f>
        <v>32</v>
      </c>
      <c r="K5" s="39">
        <f>J5/J14</f>
        <v>7.7481840193704604E-2</v>
      </c>
      <c r="L5" s="38">
        <f>all!L54</f>
        <v>41</v>
      </c>
      <c r="M5" s="39">
        <f>L5/L14</f>
        <v>4.2842215256008356E-2</v>
      </c>
      <c r="N5" s="29">
        <f>B5+D5+F5+H5+J5+L5</f>
        <v>184</v>
      </c>
      <c r="O5" s="39">
        <f>N5/N14</f>
        <v>6.25E-2</v>
      </c>
      <c r="P5" s="174"/>
      <c r="Q5" s="175"/>
      <c r="R5" s="176"/>
    </row>
    <row r="6" spans="1:18" x14ac:dyDescent="0.2">
      <c r="A6" s="26" t="str">
        <f>all!A55</f>
        <v>Earn a Vocational/Technical Degree (AAS)</v>
      </c>
      <c r="B6" s="29">
        <f>all!B55</f>
        <v>44</v>
      </c>
      <c r="C6" s="39">
        <f>all!C55</f>
        <v>9.4017094017094016E-2</v>
      </c>
      <c r="D6" s="38">
        <f>all!D55</f>
        <v>4</v>
      </c>
      <c r="E6" s="39">
        <f>all!E55</f>
        <v>0.1111111111111111</v>
      </c>
      <c r="F6" s="38">
        <f>all!F55</f>
        <v>18</v>
      </c>
      <c r="G6" s="39">
        <f>all!G55</f>
        <v>9.5238095238095233E-2</v>
      </c>
      <c r="H6" s="38">
        <f>all!H55</f>
        <v>115</v>
      </c>
      <c r="I6" s="39">
        <f>all!I55</f>
        <v>0.13053348467650397</v>
      </c>
      <c r="J6" s="38">
        <f>all!J55</f>
        <v>42</v>
      </c>
      <c r="K6" s="39">
        <f>all!K55</f>
        <v>0.10169491525423729</v>
      </c>
      <c r="L6" s="38">
        <f>all!L55</f>
        <v>84</v>
      </c>
      <c r="M6" s="39">
        <f>all!M55</f>
        <v>8.7774294670846395E-2</v>
      </c>
      <c r="N6" s="29">
        <f>all!N55</f>
        <v>307</v>
      </c>
      <c r="O6" s="39">
        <f>all!O55</f>
        <v>0.10427989130434782</v>
      </c>
      <c r="P6" s="174"/>
      <c r="Q6" s="175"/>
      <c r="R6" s="176"/>
    </row>
    <row r="7" spans="1:18" x14ac:dyDescent="0.2">
      <c r="A7" s="26" t="str">
        <f>all!A56</f>
        <v>Earn an Academic Degree (AA, AS, AGS)</v>
      </c>
      <c r="B7" s="29">
        <f>all!B56</f>
        <v>208</v>
      </c>
      <c r="C7" s="39">
        <f>all!C56</f>
        <v>2.9914529914529916E-2</v>
      </c>
      <c r="D7" s="38">
        <f>all!D56</f>
        <v>24</v>
      </c>
      <c r="E7" s="39">
        <f>all!E56</f>
        <v>0</v>
      </c>
      <c r="F7" s="38">
        <f>all!F56</f>
        <v>97</v>
      </c>
      <c r="G7" s="39">
        <f>all!G56</f>
        <v>2.6455026455026454E-2</v>
      </c>
      <c r="H7" s="38">
        <f>all!H56</f>
        <v>443</v>
      </c>
      <c r="I7" s="39">
        <f>all!I56</f>
        <v>1.4755959137343927E-2</v>
      </c>
      <c r="J7" s="38">
        <f>all!J56</f>
        <v>220</v>
      </c>
      <c r="K7" s="39">
        <f>all!K56</f>
        <v>4.3583535108958835E-2</v>
      </c>
      <c r="L7" s="38">
        <f>all!L56</f>
        <v>508</v>
      </c>
      <c r="M7" s="39">
        <f>all!M56</f>
        <v>2.2988505747126436E-2</v>
      </c>
      <c r="N7" s="29">
        <f>all!N56</f>
        <v>1500</v>
      </c>
      <c r="O7" s="39">
        <f>all!O56</f>
        <v>2.4456521739130436E-2</v>
      </c>
      <c r="P7" s="174"/>
      <c r="Q7" s="175"/>
      <c r="R7" s="176"/>
    </row>
    <row r="8" spans="1:18" x14ac:dyDescent="0.2">
      <c r="A8" s="26" t="str">
        <f>all!A57</f>
        <v>Improve skills for present job</v>
      </c>
      <c r="B8" s="29">
        <f>all!B57</f>
        <v>14</v>
      </c>
      <c r="C8" s="39">
        <f>all!C57</f>
        <v>2.9914529914529916E-2</v>
      </c>
      <c r="D8" s="29">
        <f>all!D57</f>
        <v>0</v>
      </c>
      <c r="E8" s="39">
        <f>all!E57</f>
        <v>0</v>
      </c>
      <c r="F8" s="38">
        <f>all!F57</f>
        <v>5</v>
      </c>
      <c r="G8" s="39">
        <f>all!G57</f>
        <v>2.6455026455026454E-2</v>
      </c>
      <c r="H8" s="38">
        <f>all!H57</f>
        <v>13</v>
      </c>
      <c r="I8" s="39">
        <f>all!I57</f>
        <v>2.8376844494892167E-2</v>
      </c>
      <c r="J8" s="38">
        <f>all!J57</f>
        <v>18</v>
      </c>
      <c r="K8" s="39">
        <f>all!K57</f>
        <v>3.3898305084745763E-2</v>
      </c>
      <c r="L8" s="38">
        <f>all!L57</f>
        <v>22</v>
      </c>
      <c r="M8" s="39">
        <f>all!M57</f>
        <v>2.4033437826541274E-2</v>
      </c>
      <c r="N8" s="29">
        <f>all!N57</f>
        <v>72</v>
      </c>
      <c r="O8" s="39">
        <f>all!O57</f>
        <v>2.751358695652174E-2</v>
      </c>
      <c r="P8" s="174"/>
      <c r="Q8" s="175"/>
      <c r="R8" s="176"/>
    </row>
    <row r="9" spans="1:18" x14ac:dyDescent="0.2">
      <c r="A9" s="26" t="str">
        <f>all!A58</f>
        <v>Personal interest</v>
      </c>
      <c r="B9" s="29">
        <f>all!B58</f>
        <v>14</v>
      </c>
      <c r="C9" s="39">
        <f>all!C58</f>
        <v>2.9914529914529916E-2</v>
      </c>
      <c r="D9" s="29">
        <f>all!D58</f>
        <v>0</v>
      </c>
      <c r="E9" s="39">
        <f>all!E58</f>
        <v>0</v>
      </c>
      <c r="F9" s="38">
        <f>all!F58</f>
        <v>5</v>
      </c>
      <c r="G9" s="39">
        <f>all!G58</f>
        <v>2.6455026455026454E-2</v>
      </c>
      <c r="H9" s="38">
        <f>all!H58</f>
        <v>25</v>
      </c>
      <c r="I9" s="39">
        <f>all!I58</f>
        <v>2.8376844494892167E-2</v>
      </c>
      <c r="J9" s="38">
        <f>all!J58</f>
        <v>14</v>
      </c>
      <c r="K9" s="39">
        <f>all!K58</f>
        <v>3.3898305084745763E-2</v>
      </c>
      <c r="L9" s="38">
        <f>all!L58</f>
        <v>23</v>
      </c>
      <c r="M9" s="39">
        <f>all!M58</f>
        <v>2.4033437826541274E-2</v>
      </c>
      <c r="N9" s="29">
        <f>all!N58</f>
        <v>81</v>
      </c>
      <c r="O9" s="39">
        <f>all!O58</f>
        <v>2.751358695652174E-2</v>
      </c>
      <c r="P9" s="174"/>
      <c r="Q9" s="175"/>
      <c r="R9" s="176"/>
    </row>
    <row r="10" spans="1:18" x14ac:dyDescent="0.2">
      <c r="A10" s="26" t="str">
        <f>all!A59</f>
        <v>Prepare to enter job market</v>
      </c>
      <c r="B10" s="29">
        <f>all!B59</f>
        <v>9</v>
      </c>
      <c r="C10" s="39">
        <f>all!C59</f>
        <v>1.9230769230769232E-2</v>
      </c>
      <c r="D10" s="38">
        <f>all!D59</f>
        <v>1</v>
      </c>
      <c r="E10" s="39">
        <f>all!E59</f>
        <v>2.7777777777777776E-2</v>
      </c>
      <c r="F10" s="38">
        <f>all!F59</f>
        <v>1</v>
      </c>
      <c r="G10" s="39">
        <f>all!G59</f>
        <v>5.2910052910052907E-3</v>
      </c>
      <c r="H10" s="38">
        <f>all!H59</f>
        <v>20</v>
      </c>
      <c r="I10" s="39">
        <f>all!I59</f>
        <v>2.2701475595913734E-2</v>
      </c>
      <c r="J10" s="38">
        <f>all!J59</f>
        <v>11</v>
      </c>
      <c r="K10" s="39">
        <f>all!K59</f>
        <v>2.6634382566585957E-2</v>
      </c>
      <c r="L10" s="38">
        <f>all!L59</f>
        <v>20</v>
      </c>
      <c r="M10" s="39">
        <f>all!M59</f>
        <v>2.0898641588296761E-2</v>
      </c>
      <c r="N10" s="29">
        <f>all!N59</f>
        <v>62</v>
      </c>
      <c r="O10" s="39">
        <f>all!O59</f>
        <v>2.1059782608695652E-2</v>
      </c>
      <c r="P10" s="174"/>
      <c r="Q10" s="175"/>
      <c r="R10" s="176"/>
    </row>
    <row r="11" spans="1:18" x14ac:dyDescent="0.2">
      <c r="A11" s="26" t="str">
        <f>all!A60</f>
        <v>Receive financial aid benefits</v>
      </c>
      <c r="B11" s="29">
        <f>all!B60</f>
        <v>0</v>
      </c>
      <c r="C11" s="39">
        <f>all!C60</f>
        <v>0</v>
      </c>
      <c r="D11" s="38">
        <f>all!D60</f>
        <v>0</v>
      </c>
      <c r="E11" s="39">
        <f>all!E60</f>
        <v>0</v>
      </c>
      <c r="F11" s="38">
        <f>all!F60</f>
        <v>0</v>
      </c>
      <c r="G11" s="39">
        <f>all!G60</f>
        <v>0</v>
      </c>
      <c r="H11" s="38">
        <f>all!H60</f>
        <v>1</v>
      </c>
      <c r="I11" s="39">
        <f>all!I60</f>
        <v>1.1350737797956867E-3</v>
      </c>
      <c r="J11" s="38">
        <f>all!J60</f>
        <v>1</v>
      </c>
      <c r="K11" s="39">
        <f>all!K60</f>
        <v>2.4213075060532689E-3</v>
      </c>
      <c r="L11" s="38">
        <f>all!L60</f>
        <v>3</v>
      </c>
      <c r="M11" s="39">
        <f>all!M60</f>
        <v>3.134796238244514E-3</v>
      </c>
      <c r="N11" s="29">
        <f>all!N60</f>
        <v>5</v>
      </c>
      <c r="O11" s="39">
        <f>all!O60</f>
        <v>1.6983695652173913E-3</v>
      </c>
      <c r="P11" s="174"/>
      <c r="Q11" s="175"/>
      <c r="R11" s="176"/>
    </row>
    <row r="12" spans="1:18" x14ac:dyDescent="0.2">
      <c r="A12" s="26" t="str">
        <f>all!A61</f>
        <v>Take a few courses, transfer</v>
      </c>
      <c r="B12" s="29">
        <f>all!B61</f>
        <v>122</v>
      </c>
      <c r="C12" s="39">
        <f>all!C61</f>
        <v>0.2606837606837607</v>
      </c>
      <c r="D12" s="38">
        <f>all!D61</f>
        <v>6</v>
      </c>
      <c r="E12" s="39">
        <f>all!E61</f>
        <v>0.16666666666666666</v>
      </c>
      <c r="F12" s="38">
        <f>all!F61</f>
        <v>50</v>
      </c>
      <c r="G12" s="39">
        <f>all!G61</f>
        <v>0.26455026455026454</v>
      </c>
      <c r="H12" s="38">
        <f>all!H61</f>
        <v>219</v>
      </c>
      <c r="I12" s="39">
        <f>all!I61</f>
        <v>0.24858115777525538</v>
      </c>
      <c r="J12" s="38">
        <f>all!J61</f>
        <v>75</v>
      </c>
      <c r="K12" s="39">
        <f>all!K61</f>
        <v>0.18159806295399517</v>
      </c>
      <c r="L12" s="38">
        <f>all!L61</f>
        <v>252</v>
      </c>
      <c r="M12" s="39">
        <f>all!M61</f>
        <v>0.26332288401253917</v>
      </c>
      <c r="N12" s="29">
        <f>all!N61</f>
        <v>724</v>
      </c>
      <c r="O12" s="39">
        <f>all!O61</f>
        <v>0.24592391304347827</v>
      </c>
      <c r="P12" s="174"/>
      <c r="Q12" s="175"/>
      <c r="R12" s="176"/>
    </row>
    <row r="13" spans="1:18" ht="24" x14ac:dyDescent="0.2">
      <c r="A13" s="26" t="str">
        <f>all!A62</f>
        <v>Take concurrent college and high school courses</v>
      </c>
      <c r="B13" s="29">
        <f>all!B62</f>
        <v>1</v>
      </c>
      <c r="C13" s="39">
        <f>all!C62</f>
        <v>2.136752136752137E-3</v>
      </c>
      <c r="D13" s="29">
        <f>all!D62</f>
        <v>0</v>
      </c>
      <c r="E13" s="39">
        <f>all!E62</f>
        <v>0</v>
      </c>
      <c r="F13" s="38">
        <f>all!F62</f>
        <v>1</v>
      </c>
      <c r="G13" s="39">
        <f>all!G62</f>
        <v>5.2910052910052907E-3</v>
      </c>
      <c r="H13" s="38">
        <f>all!H62</f>
        <v>3</v>
      </c>
      <c r="I13" s="39">
        <f>all!I62</f>
        <v>3.4052213393870601E-3</v>
      </c>
      <c r="J13" s="29">
        <f>all!J62</f>
        <v>0</v>
      </c>
      <c r="K13" s="39">
        <f>all!K62</f>
        <v>0</v>
      </c>
      <c r="L13" s="38">
        <f>all!L62</f>
        <v>4</v>
      </c>
      <c r="M13" s="39">
        <f>all!M62</f>
        <v>4.1797283176593526E-3</v>
      </c>
      <c r="N13" s="29">
        <f>all!N62</f>
        <v>9</v>
      </c>
      <c r="O13" s="39">
        <f>all!O62</f>
        <v>3.0570652173913045E-3</v>
      </c>
      <c r="P13" s="174"/>
      <c r="Q13" s="175"/>
      <c r="R13" s="176"/>
    </row>
    <row r="14" spans="1:18" s="14" customFormat="1" x14ac:dyDescent="0.2">
      <c r="A14" s="108" t="s">
        <v>1</v>
      </c>
      <c r="B14" s="25">
        <f t="shared" ref="B14:J14" si="0">SUM(B5:B13)</f>
        <v>468</v>
      </c>
      <c r="C14" s="41"/>
      <c r="D14" s="25">
        <f t="shared" si="0"/>
        <v>36</v>
      </c>
      <c r="E14" s="41"/>
      <c r="F14" s="25">
        <f t="shared" si="0"/>
        <v>189</v>
      </c>
      <c r="G14" s="41"/>
      <c r="H14" s="25">
        <f t="shared" si="0"/>
        <v>881</v>
      </c>
      <c r="I14" s="41"/>
      <c r="J14" s="25">
        <f t="shared" si="0"/>
        <v>413</v>
      </c>
      <c r="K14" s="41"/>
      <c r="L14" s="25">
        <f>SUM(L5:L13)</f>
        <v>957</v>
      </c>
      <c r="M14" s="41"/>
      <c r="N14" s="30">
        <f>B14+D14+F14+H14+J14+L14</f>
        <v>2944</v>
      </c>
      <c r="O14" s="41"/>
      <c r="P14" s="177"/>
      <c r="Q14" s="178"/>
      <c r="R14" s="179"/>
    </row>
    <row r="15" spans="1:18" x14ac:dyDescent="0.2">
      <c r="A15" s="19"/>
      <c r="B15" s="80"/>
      <c r="C15" s="78"/>
      <c r="D15" s="80"/>
      <c r="E15" s="78"/>
      <c r="F15" s="80"/>
      <c r="G15" s="78"/>
      <c r="H15" s="80"/>
      <c r="I15" s="78"/>
      <c r="J15" s="80"/>
      <c r="K15" s="78"/>
      <c r="L15" s="80"/>
      <c r="M15" s="78"/>
    </row>
    <row r="17" spans="1:19" s="10" customFormat="1" ht="18" customHeight="1" x14ac:dyDescent="0.2">
      <c r="A17" s="115" t="str">
        <f>all!A65</f>
        <v>Present employment status</v>
      </c>
      <c r="B17" s="154" t="s">
        <v>128</v>
      </c>
      <c r="C17" s="154"/>
      <c r="D17" s="154" t="s">
        <v>99</v>
      </c>
      <c r="E17" s="154"/>
      <c r="F17" s="155" t="s">
        <v>136</v>
      </c>
      <c r="G17" s="155"/>
      <c r="H17" s="154" t="s">
        <v>101</v>
      </c>
      <c r="I17" s="154"/>
      <c r="J17" s="154" t="s">
        <v>129</v>
      </c>
      <c r="K17" s="154"/>
      <c r="L17" s="154" t="s">
        <v>126</v>
      </c>
      <c r="M17" s="154"/>
      <c r="N17" s="170" t="s">
        <v>1</v>
      </c>
      <c r="O17" s="170"/>
    </row>
    <row r="18" spans="1:19" s="10" customFormat="1" ht="24" x14ac:dyDescent="0.2">
      <c r="A18" s="118" t="str">
        <f>all!A66</f>
        <v>Employed full or part-time in a job NOT RELATED to your FRCC program.</v>
      </c>
      <c r="B18" s="29">
        <f>all!B66</f>
        <v>204</v>
      </c>
      <c r="C18" s="39">
        <f>all!C66</f>
        <v>0.42148760330578511</v>
      </c>
      <c r="D18" s="38">
        <f>all!D66</f>
        <v>14</v>
      </c>
      <c r="E18" s="39">
        <f>all!E66</f>
        <v>0.36842105263157893</v>
      </c>
      <c r="F18" s="38">
        <f>all!F66</f>
        <v>78</v>
      </c>
      <c r="G18" s="39">
        <f>all!G66</f>
        <v>0.39</v>
      </c>
      <c r="H18" s="38">
        <f>all!H66</f>
        <v>427</v>
      </c>
      <c r="I18" s="39">
        <f>all!I66</f>
        <v>0.4770949720670391</v>
      </c>
      <c r="J18" s="38">
        <f>all!J66</f>
        <v>184</v>
      </c>
      <c r="K18" s="39">
        <f>all!K66</f>
        <v>0.43601895734597157</v>
      </c>
      <c r="L18" s="38">
        <f>all!L66</f>
        <v>443</v>
      </c>
      <c r="M18" s="39">
        <f>all!M66</f>
        <v>0.45529290853031862</v>
      </c>
      <c r="N18" s="29">
        <f>all!N66</f>
        <v>1350</v>
      </c>
      <c r="O18" s="39">
        <f>all!O66</f>
        <v>0.44820717131474103</v>
      </c>
      <c r="S18" s="17" t="s">
        <v>0</v>
      </c>
    </row>
    <row r="19" spans="1:19" s="10" customFormat="1" ht="24" x14ac:dyDescent="0.2">
      <c r="A19" s="118" t="str">
        <f>all!A67</f>
        <v>Employed full or part-time in a job RELATED to your FRCC program.</v>
      </c>
      <c r="B19" s="29">
        <f>all!B67</f>
        <v>97</v>
      </c>
      <c r="C19" s="39">
        <f>all!C67</f>
        <v>0.20041322314049587</v>
      </c>
      <c r="D19" s="38">
        <f>all!D67</f>
        <v>7</v>
      </c>
      <c r="E19" s="39">
        <f>all!E67</f>
        <v>0.18421052631578946</v>
      </c>
      <c r="F19" s="38">
        <f>all!F67</f>
        <v>64</v>
      </c>
      <c r="G19" s="39">
        <f>all!G67</f>
        <v>0.32</v>
      </c>
      <c r="H19" s="38">
        <f>all!H67</f>
        <v>156</v>
      </c>
      <c r="I19" s="39">
        <f>all!I67</f>
        <v>0.17430167597765364</v>
      </c>
      <c r="J19" s="38">
        <f>all!J67</f>
        <v>123</v>
      </c>
      <c r="K19" s="39">
        <f>all!K67</f>
        <v>0.29146919431279622</v>
      </c>
      <c r="L19" s="38">
        <f>all!L67</f>
        <v>196</v>
      </c>
      <c r="M19" s="39">
        <f>all!M67</f>
        <v>0.20143884892086331</v>
      </c>
      <c r="N19" s="29">
        <f>all!N67</f>
        <v>643</v>
      </c>
      <c r="O19" s="39">
        <f>all!O67</f>
        <v>0.21347941567065074</v>
      </c>
    </row>
    <row r="20" spans="1:19" s="10" customFormat="1" ht="24" x14ac:dyDescent="0.2">
      <c r="A20" s="118" t="str">
        <f>all!A68</f>
        <v>Military NOT RELATED to your FRCC program.</v>
      </c>
      <c r="B20" s="29">
        <f>all!B68</f>
        <v>1</v>
      </c>
      <c r="C20" s="39">
        <f>all!C68</f>
        <v>2.0661157024793389E-3</v>
      </c>
      <c r="D20" s="29">
        <f>all!D68</f>
        <v>0</v>
      </c>
      <c r="E20" s="39">
        <f>all!E68</f>
        <v>0</v>
      </c>
      <c r="F20" s="38">
        <f>all!F68</f>
        <v>1</v>
      </c>
      <c r="G20" s="39">
        <f>all!G68</f>
        <v>5.0000000000000001E-3</v>
      </c>
      <c r="H20" s="38">
        <f>all!H68</f>
        <v>4</v>
      </c>
      <c r="I20" s="39">
        <f>all!I68</f>
        <v>4.4692737430167594E-3</v>
      </c>
      <c r="J20" s="38">
        <f>all!J68</f>
        <v>1</v>
      </c>
      <c r="K20" s="39">
        <f>all!K68</f>
        <v>2.3696682464454978E-3</v>
      </c>
      <c r="L20" s="38">
        <f>all!L68</f>
        <v>1</v>
      </c>
      <c r="M20" s="39">
        <f>all!M68</f>
        <v>1.0277492291880781E-3</v>
      </c>
      <c r="N20" s="29">
        <f>all!N68</f>
        <v>8</v>
      </c>
      <c r="O20" s="39">
        <f>all!O68</f>
        <v>2.6560424966799467E-3</v>
      </c>
    </row>
    <row r="21" spans="1:19" s="10" customFormat="1" x14ac:dyDescent="0.2">
      <c r="A21" s="118" t="str">
        <f>all!A69</f>
        <v>Military RELATED to your FRCC program.</v>
      </c>
      <c r="B21" s="29">
        <f>all!B69</f>
        <v>2</v>
      </c>
      <c r="C21" s="39">
        <f>all!C69</f>
        <v>4.1322314049586778E-3</v>
      </c>
      <c r="D21" s="29">
        <f>all!D69</f>
        <v>0</v>
      </c>
      <c r="E21" s="39">
        <f>all!E69</f>
        <v>0</v>
      </c>
      <c r="F21" s="29">
        <f>all!F69</f>
        <v>0</v>
      </c>
      <c r="G21" s="39">
        <f>all!G69</f>
        <v>0</v>
      </c>
      <c r="H21" s="38">
        <f>all!H69</f>
        <v>8</v>
      </c>
      <c r="I21" s="39">
        <f>all!I69</f>
        <v>8.9385474860335188E-3</v>
      </c>
      <c r="J21" s="29">
        <f>all!J69</f>
        <v>0</v>
      </c>
      <c r="K21" s="39">
        <f>all!K69</f>
        <v>0</v>
      </c>
      <c r="L21" s="38">
        <f>all!L69</f>
        <v>6</v>
      </c>
      <c r="M21" s="39">
        <f>all!M69</f>
        <v>6.1664953751284684E-3</v>
      </c>
      <c r="N21" s="29">
        <f>all!N69</f>
        <v>16</v>
      </c>
      <c r="O21" s="39">
        <f>all!O69</f>
        <v>5.3120849933598934E-3</v>
      </c>
    </row>
    <row r="22" spans="1:19" s="10" customFormat="1" x14ac:dyDescent="0.2">
      <c r="A22" s="118" t="str">
        <f>all!A70</f>
        <v>Unemployed -- NOT seeking employment.</v>
      </c>
      <c r="B22" s="29">
        <f>all!B70</f>
        <v>88</v>
      </c>
      <c r="C22" s="39">
        <f>all!C70</f>
        <v>0.18181818181818182</v>
      </c>
      <c r="D22" s="38">
        <f>all!D70</f>
        <v>7</v>
      </c>
      <c r="E22" s="39">
        <f>all!E70</f>
        <v>0.18421052631578946</v>
      </c>
      <c r="F22" s="38">
        <f>all!F70</f>
        <v>26</v>
      </c>
      <c r="G22" s="39">
        <f>all!G70</f>
        <v>0.13</v>
      </c>
      <c r="H22" s="38">
        <f>all!H70</f>
        <v>135</v>
      </c>
      <c r="I22" s="39">
        <f>all!I70</f>
        <v>0.15083798882681565</v>
      </c>
      <c r="J22" s="38">
        <f>all!J70</f>
        <v>59</v>
      </c>
      <c r="K22" s="39">
        <f>all!K70</f>
        <v>0.13981042654028436</v>
      </c>
      <c r="L22" s="38">
        <f>all!L70</f>
        <v>151</v>
      </c>
      <c r="M22" s="39">
        <f>all!M70</f>
        <v>0.15519013360739981</v>
      </c>
      <c r="N22" s="29">
        <f>all!N70</f>
        <v>466</v>
      </c>
      <c r="O22" s="39">
        <f>all!O70</f>
        <v>0.15471447543160691</v>
      </c>
    </row>
    <row r="23" spans="1:19" s="10" customFormat="1" x14ac:dyDescent="0.2">
      <c r="A23" s="118" t="str">
        <f>all!A71</f>
        <v>Unemployed -- seeking employment.</v>
      </c>
      <c r="B23" s="29">
        <f>all!B71</f>
        <v>92</v>
      </c>
      <c r="C23" s="39">
        <f>all!C71</f>
        <v>0.19008264462809918</v>
      </c>
      <c r="D23" s="38">
        <f>all!D71</f>
        <v>10</v>
      </c>
      <c r="E23" s="39">
        <f>all!E71</f>
        <v>0.26315789473684209</v>
      </c>
      <c r="F23" s="38">
        <f>all!F71</f>
        <v>31</v>
      </c>
      <c r="G23" s="39">
        <f>all!G71</f>
        <v>0.155</v>
      </c>
      <c r="H23" s="38">
        <f>all!H71</f>
        <v>165</v>
      </c>
      <c r="I23" s="39">
        <f>all!I71</f>
        <v>0.18435754189944134</v>
      </c>
      <c r="J23" s="38">
        <f>all!J71</f>
        <v>55</v>
      </c>
      <c r="K23" s="39">
        <f>all!K71</f>
        <v>0.13033175355450238</v>
      </c>
      <c r="L23" s="38">
        <f>all!L71</f>
        <v>176</v>
      </c>
      <c r="M23" s="39">
        <f>all!M71</f>
        <v>0.18088386433710174</v>
      </c>
      <c r="N23" s="29">
        <f>all!N71</f>
        <v>529</v>
      </c>
      <c r="O23" s="39">
        <f>all!O71</f>
        <v>0.1756308100929615</v>
      </c>
    </row>
    <row r="24" spans="1:19" s="14" customFormat="1" x14ac:dyDescent="0.2">
      <c r="A24" s="64" t="str">
        <f>all!A72</f>
        <v>Total</v>
      </c>
      <c r="B24" s="107">
        <f>all!B72</f>
        <v>484</v>
      </c>
      <c r="C24" s="41">
        <f>all!C72</f>
        <v>1</v>
      </c>
      <c r="D24" s="107">
        <f>all!D72</f>
        <v>38</v>
      </c>
      <c r="E24" s="41">
        <f>all!E72</f>
        <v>1</v>
      </c>
      <c r="F24" s="107">
        <f>all!F72</f>
        <v>200</v>
      </c>
      <c r="G24" s="41">
        <f>all!G72</f>
        <v>1</v>
      </c>
      <c r="H24" s="107">
        <f>all!H72</f>
        <v>895</v>
      </c>
      <c r="I24" s="41">
        <f>all!I72</f>
        <v>1</v>
      </c>
      <c r="J24" s="107">
        <f>all!J72</f>
        <v>422</v>
      </c>
      <c r="K24" s="41">
        <f>all!K72</f>
        <v>1</v>
      </c>
      <c r="L24" s="107">
        <f>all!L72</f>
        <v>973</v>
      </c>
      <c r="M24" s="41">
        <f>all!M72</f>
        <v>1</v>
      </c>
      <c r="N24" s="30">
        <f>all!N72</f>
        <v>3012</v>
      </c>
      <c r="O24" s="41">
        <f>all!O72</f>
        <v>1</v>
      </c>
      <c r="P24" s="13"/>
    </row>
    <row r="25" spans="1:19" x14ac:dyDescent="0.2">
      <c r="B25" s="73"/>
      <c r="C25" s="73"/>
      <c r="D25" s="73"/>
      <c r="G25" s="72"/>
      <c r="H25" s="33"/>
    </row>
    <row r="26" spans="1:19" ht="24" x14ac:dyDescent="0.2">
      <c r="A26" s="115" t="str">
        <f>all!A74</f>
        <v>If employed, how many hours per week are you working</v>
      </c>
      <c r="B26" s="151" t="s">
        <v>128</v>
      </c>
      <c r="C26" s="151"/>
      <c r="D26" s="151" t="s">
        <v>99</v>
      </c>
      <c r="E26" s="151"/>
      <c r="F26" s="150" t="s">
        <v>136</v>
      </c>
      <c r="G26" s="150"/>
      <c r="H26" s="151" t="s">
        <v>101</v>
      </c>
      <c r="I26" s="151"/>
      <c r="J26" s="151" t="s">
        <v>129</v>
      </c>
      <c r="K26" s="151"/>
      <c r="L26" s="151" t="s">
        <v>126</v>
      </c>
      <c r="M26" s="151"/>
      <c r="N26" s="148" t="s">
        <v>1</v>
      </c>
      <c r="O26" s="148"/>
      <c r="P26" s="180" t="s">
        <v>121</v>
      </c>
      <c r="Q26" s="181"/>
      <c r="R26" s="181"/>
    </row>
    <row r="27" spans="1:19" x14ac:dyDescent="0.2">
      <c r="A27" s="68" t="str">
        <f>all!A75</f>
        <v>20 or less</v>
      </c>
      <c r="B27" s="38">
        <f>all!B75</f>
        <v>102</v>
      </c>
      <c r="C27" s="39">
        <f>all!C75</f>
        <v>0.31677018633540371</v>
      </c>
      <c r="D27" s="38">
        <f>all!D75</f>
        <v>7</v>
      </c>
      <c r="E27" s="39">
        <f>all!E75</f>
        <v>0.30434782608695654</v>
      </c>
      <c r="F27" s="38">
        <f>all!F75</f>
        <v>31</v>
      </c>
      <c r="G27" s="39">
        <f>all!G75</f>
        <v>0.21088435374149661</v>
      </c>
      <c r="H27" s="38">
        <f>all!H75</f>
        <v>250</v>
      </c>
      <c r="I27" s="39">
        <f>all!I75</f>
        <v>0.4098360655737705</v>
      </c>
      <c r="J27" s="38">
        <f>all!J75</f>
        <v>63</v>
      </c>
      <c r="K27" s="39">
        <f>all!K75</f>
        <v>0.19811320754716982</v>
      </c>
      <c r="L27" s="38">
        <f>all!L75</f>
        <v>200</v>
      </c>
      <c r="M27" s="39">
        <f>all!M75</f>
        <v>0.303951367781155</v>
      </c>
      <c r="N27" s="29">
        <f>all!N75</f>
        <v>653</v>
      </c>
      <c r="O27" s="39">
        <f>all!O75</f>
        <v>0.31424446583253129</v>
      </c>
      <c r="P27" s="181"/>
      <c r="Q27" s="181"/>
      <c r="R27" s="181"/>
    </row>
    <row r="28" spans="1:19" x14ac:dyDescent="0.2">
      <c r="A28" s="68" t="str">
        <f>all!A76</f>
        <v>21-39</v>
      </c>
      <c r="B28" s="38">
        <f>all!B76</f>
        <v>127</v>
      </c>
      <c r="C28" s="39">
        <f>all!C76</f>
        <v>0.39440993788819878</v>
      </c>
      <c r="D28" s="38">
        <f>all!D76</f>
        <v>10</v>
      </c>
      <c r="E28" s="39">
        <f>all!E76</f>
        <v>0.43478260869565216</v>
      </c>
      <c r="F28" s="38">
        <f>all!F76</f>
        <v>39</v>
      </c>
      <c r="G28" s="39">
        <f>all!G76</f>
        <v>0.26530612244897961</v>
      </c>
      <c r="H28" s="38">
        <f>all!H76</f>
        <v>236</v>
      </c>
      <c r="I28" s="39">
        <f>all!I76</f>
        <v>0.38688524590163936</v>
      </c>
      <c r="J28" s="38">
        <f>all!J76</f>
        <v>86</v>
      </c>
      <c r="K28" s="39">
        <f>all!K76</f>
        <v>0.27044025157232704</v>
      </c>
      <c r="L28" s="38">
        <f>all!L76</f>
        <v>233</v>
      </c>
      <c r="M28" s="39">
        <f>all!M76</f>
        <v>0.35410334346504557</v>
      </c>
      <c r="N28" s="29">
        <f>all!N76</f>
        <v>731</v>
      </c>
      <c r="O28" s="39">
        <f>all!O76</f>
        <v>0.3517805582290664</v>
      </c>
      <c r="P28" s="181"/>
      <c r="Q28" s="181"/>
      <c r="R28" s="181"/>
    </row>
    <row r="29" spans="1:19" x14ac:dyDescent="0.2">
      <c r="A29" s="68" t="str">
        <f>all!A77</f>
        <v>40 or more</v>
      </c>
      <c r="B29" s="38">
        <f>all!B77</f>
        <v>93</v>
      </c>
      <c r="C29" s="39">
        <f>all!C77</f>
        <v>0.28881987577639751</v>
      </c>
      <c r="D29" s="38">
        <f>all!D77</f>
        <v>6</v>
      </c>
      <c r="E29" s="39">
        <f>all!E77</f>
        <v>0.2608695652173913</v>
      </c>
      <c r="F29" s="38">
        <f>all!F77</f>
        <v>77</v>
      </c>
      <c r="G29" s="39">
        <f>all!G77</f>
        <v>0.52380952380952384</v>
      </c>
      <c r="H29" s="38">
        <f>all!H77</f>
        <v>124</v>
      </c>
      <c r="I29" s="39">
        <f>all!I77</f>
        <v>0.20327868852459016</v>
      </c>
      <c r="J29" s="38">
        <f>all!J77</f>
        <v>169</v>
      </c>
      <c r="K29" s="39">
        <f>all!K77</f>
        <v>0.53144654088050314</v>
      </c>
      <c r="L29" s="38">
        <f>all!L77</f>
        <v>225</v>
      </c>
      <c r="M29" s="39">
        <f>all!M77</f>
        <v>0.34194528875379937</v>
      </c>
      <c r="N29" s="29">
        <f>all!N77</f>
        <v>694</v>
      </c>
      <c r="O29" s="39">
        <f>all!O77</f>
        <v>0.33397497593840231</v>
      </c>
      <c r="P29" s="181"/>
      <c r="Q29" s="181"/>
      <c r="R29" s="181"/>
    </row>
    <row r="30" spans="1:19" s="14" customFormat="1" x14ac:dyDescent="0.2">
      <c r="A30" s="64" t="str">
        <f>all!A78</f>
        <v>Total</v>
      </c>
      <c r="B30" s="107">
        <f>all!B78</f>
        <v>322</v>
      </c>
      <c r="C30" s="41">
        <f>all!C78</f>
        <v>1</v>
      </c>
      <c r="D30" s="107">
        <f>all!D78</f>
        <v>23</v>
      </c>
      <c r="E30" s="41">
        <f>all!E78</f>
        <v>1</v>
      </c>
      <c r="F30" s="107">
        <f>all!F78</f>
        <v>147</v>
      </c>
      <c r="G30" s="41">
        <f>all!G78</f>
        <v>1</v>
      </c>
      <c r="H30" s="107">
        <f>all!H78</f>
        <v>610</v>
      </c>
      <c r="I30" s="41">
        <f>all!I78</f>
        <v>1</v>
      </c>
      <c r="J30" s="107">
        <f>all!J78</f>
        <v>318</v>
      </c>
      <c r="K30" s="41">
        <f>all!K78</f>
        <v>1</v>
      </c>
      <c r="L30" s="107">
        <f>all!L78</f>
        <v>658</v>
      </c>
      <c r="M30" s="41">
        <f>all!M78</f>
        <v>0.99999999999999989</v>
      </c>
      <c r="N30" s="30">
        <f>all!N78</f>
        <v>2078</v>
      </c>
      <c r="O30" s="41">
        <f>all!O78</f>
        <v>1</v>
      </c>
      <c r="P30" s="181"/>
      <c r="Q30" s="181"/>
      <c r="R30" s="181"/>
    </row>
    <row r="32" spans="1:19" customFormat="1" ht="24" customHeight="1" x14ac:dyDescent="0.2">
      <c r="A32" s="115" t="str">
        <f>all!A80</f>
        <v>How many credit hours are you taking this semester?</v>
      </c>
      <c r="B32" s="151" t="s">
        <v>128</v>
      </c>
      <c r="C32" s="151"/>
      <c r="D32" s="151" t="s">
        <v>99</v>
      </c>
      <c r="E32" s="151"/>
      <c r="F32" s="150" t="s">
        <v>136</v>
      </c>
      <c r="G32" s="150"/>
      <c r="H32" s="151" t="s">
        <v>101</v>
      </c>
      <c r="I32" s="151"/>
      <c r="J32" s="151" t="s">
        <v>129</v>
      </c>
      <c r="K32" s="151"/>
      <c r="L32" s="151" t="s">
        <v>126</v>
      </c>
      <c r="M32" s="151"/>
      <c r="N32" s="148" t="s">
        <v>1</v>
      </c>
      <c r="O32" s="148"/>
      <c r="P32" s="180" t="s">
        <v>230</v>
      </c>
      <c r="Q32" s="181"/>
      <c r="R32" s="181"/>
    </row>
    <row r="33" spans="1:18" customFormat="1" x14ac:dyDescent="0.2">
      <c r="A33" s="68" t="str">
        <f>all!A81</f>
        <v>4 or less</v>
      </c>
      <c r="B33" s="38">
        <f>all!B81</f>
        <v>99</v>
      </c>
      <c r="C33" s="39">
        <f>all!C81</f>
        <v>0.20412371134020618</v>
      </c>
      <c r="D33" s="38">
        <f>all!D81</f>
        <v>6</v>
      </c>
      <c r="E33" s="39">
        <f>all!E81</f>
        <v>0.16216216216216217</v>
      </c>
      <c r="F33" s="38">
        <f>all!F81</f>
        <v>48</v>
      </c>
      <c r="G33" s="39">
        <f>all!G81</f>
        <v>0.24120603015075376</v>
      </c>
      <c r="H33" s="38">
        <f>all!H81</f>
        <v>98</v>
      </c>
      <c r="I33" s="39">
        <f>all!I81</f>
        <v>0.10961968680089486</v>
      </c>
      <c r="J33" s="38">
        <f>all!J81</f>
        <v>95</v>
      </c>
      <c r="K33" s="39">
        <f>all!K81</f>
        <v>0.22565320665083136</v>
      </c>
      <c r="L33" s="38">
        <f>all!L81</f>
        <v>147</v>
      </c>
      <c r="M33" s="39">
        <f>all!M81</f>
        <v>0.15217391304347827</v>
      </c>
      <c r="N33" s="29">
        <f>all!N81</f>
        <v>493</v>
      </c>
      <c r="O33" s="39">
        <f>all!O81</f>
        <v>0.16422385076615589</v>
      </c>
      <c r="P33" s="181"/>
      <c r="Q33" s="181"/>
      <c r="R33" s="181"/>
    </row>
    <row r="34" spans="1:18" customFormat="1" x14ac:dyDescent="0.2">
      <c r="A34" s="68" t="str">
        <f>all!A82</f>
        <v>5 to 11</v>
      </c>
      <c r="B34" s="38">
        <f>all!B82</f>
        <v>230</v>
      </c>
      <c r="C34" s="39">
        <f>all!C82</f>
        <v>0.47422680412371132</v>
      </c>
      <c r="D34" s="38">
        <f>all!D82</f>
        <v>25</v>
      </c>
      <c r="E34" s="39">
        <f>all!E82</f>
        <v>0.67567567567567566</v>
      </c>
      <c r="F34" s="38">
        <f>all!F82</f>
        <v>116</v>
      </c>
      <c r="G34" s="39">
        <f>all!G82</f>
        <v>0.58291457286432158</v>
      </c>
      <c r="H34" s="38">
        <f>all!H82</f>
        <v>360</v>
      </c>
      <c r="I34" s="39">
        <f>all!I82</f>
        <v>0.40268456375838924</v>
      </c>
      <c r="J34" s="38">
        <f>all!J82</f>
        <v>230</v>
      </c>
      <c r="K34" s="39">
        <f>all!K82</f>
        <v>0.54631828978622332</v>
      </c>
      <c r="L34" s="38">
        <f>all!L82</f>
        <v>463</v>
      </c>
      <c r="M34" s="39">
        <f>all!M82</f>
        <v>0.47929606625258797</v>
      </c>
      <c r="N34" s="29">
        <f>all!N82</f>
        <v>1424</v>
      </c>
      <c r="O34" s="39">
        <f>all!O82</f>
        <v>0.47435043304463692</v>
      </c>
      <c r="P34" s="181"/>
      <c r="Q34" s="181"/>
      <c r="R34" s="181"/>
    </row>
    <row r="35" spans="1:18" customFormat="1" x14ac:dyDescent="0.2">
      <c r="A35" s="68" t="str">
        <f>all!A83</f>
        <v>12 or more</v>
      </c>
      <c r="B35" s="38">
        <f>all!B83</f>
        <v>156</v>
      </c>
      <c r="C35" s="39">
        <f>all!C83</f>
        <v>0.3216494845360825</v>
      </c>
      <c r="D35" s="38">
        <f>all!D83</f>
        <v>6</v>
      </c>
      <c r="E35" s="39">
        <f>all!E83</f>
        <v>0.16216216216216217</v>
      </c>
      <c r="F35" s="38">
        <f>all!F83</f>
        <v>35</v>
      </c>
      <c r="G35" s="39">
        <f>all!G83</f>
        <v>0.17587939698492464</v>
      </c>
      <c r="H35" s="38">
        <f>all!H83</f>
        <v>436</v>
      </c>
      <c r="I35" s="39">
        <f>all!I83</f>
        <v>0.48769574944071586</v>
      </c>
      <c r="J35" s="38">
        <f>all!J83</f>
        <v>96</v>
      </c>
      <c r="K35" s="39">
        <f>all!K83</f>
        <v>0.22802850356294538</v>
      </c>
      <c r="L35" s="38">
        <f>all!L83</f>
        <v>356</v>
      </c>
      <c r="M35" s="39">
        <f>all!M83</f>
        <v>0.36853002070393376</v>
      </c>
      <c r="N35" s="29">
        <f>all!N83</f>
        <v>1085</v>
      </c>
      <c r="O35" s="39">
        <f>all!O83</f>
        <v>0.36142571618920721</v>
      </c>
      <c r="P35" s="181"/>
      <c r="Q35" s="181"/>
      <c r="R35" s="181"/>
    </row>
    <row r="36" spans="1:18" customFormat="1" x14ac:dyDescent="0.2">
      <c r="A36" s="64" t="str">
        <f>all!A84</f>
        <v>Total</v>
      </c>
      <c r="B36" s="30">
        <f>all!B84</f>
        <v>485</v>
      </c>
      <c r="C36" s="41">
        <f>all!C84</f>
        <v>1</v>
      </c>
      <c r="D36" s="30">
        <f>all!D84</f>
        <v>37</v>
      </c>
      <c r="E36" s="41">
        <f>all!E84</f>
        <v>1</v>
      </c>
      <c r="F36" s="30">
        <f>all!F84</f>
        <v>199</v>
      </c>
      <c r="G36" s="41">
        <f>all!G84</f>
        <v>1</v>
      </c>
      <c r="H36" s="30">
        <f>all!H84</f>
        <v>894</v>
      </c>
      <c r="I36" s="41">
        <f>all!I84</f>
        <v>1</v>
      </c>
      <c r="J36" s="30">
        <f>all!J84</f>
        <v>421</v>
      </c>
      <c r="K36" s="41">
        <f>all!K84</f>
        <v>1</v>
      </c>
      <c r="L36" s="30">
        <f>all!L84</f>
        <v>966</v>
      </c>
      <c r="M36" s="41">
        <f>all!M84</f>
        <v>1</v>
      </c>
      <c r="N36" s="30">
        <f>all!N84</f>
        <v>3002</v>
      </c>
      <c r="O36" s="41">
        <f>all!O84</f>
        <v>1</v>
      </c>
      <c r="P36" s="181"/>
      <c r="Q36" s="181"/>
      <c r="R36" s="181"/>
    </row>
    <row r="39" spans="1:18" x14ac:dyDescent="0.2">
      <c r="E39" s="76" t="s">
        <v>0</v>
      </c>
    </row>
  </sheetData>
  <mergeCells count="31">
    <mergeCell ref="P26:R30"/>
    <mergeCell ref="P32:R36"/>
    <mergeCell ref="L32:M32"/>
    <mergeCell ref="N32:O32"/>
    <mergeCell ref="N17:O17"/>
    <mergeCell ref="L26:M26"/>
    <mergeCell ref="N26:O26"/>
    <mergeCell ref="L17:M17"/>
    <mergeCell ref="P4:R14"/>
    <mergeCell ref="B32:C32"/>
    <mergeCell ref="D32:E32"/>
    <mergeCell ref="F32:G32"/>
    <mergeCell ref="H32:I32"/>
    <mergeCell ref="J32:K32"/>
    <mergeCell ref="B26:C26"/>
    <mergeCell ref="D26:E26"/>
    <mergeCell ref="F26:G26"/>
    <mergeCell ref="H26:I26"/>
    <mergeCell ref="J26:K26"/>
    <mergeCell ref="B17:C17"/>
    <mergeCell ref="D17:E17"/>
    <mergeCell ref="F17:G17"/>
    <mergeCell ref="H17:I17"/>
    <mergeCell ref="J17:K17"/>
    <mergeCell ref="N4:O4"/>
    <mergeCell ref="B4:C4"/>
    <mergeCell ref="D4:E4"/>
    <mergeCell ref="F4:G4"/>
    <mergeCell ref="H4:I4"/>
    <mergeCell ref="J4:K4"/>
    <mergeCell ref="L4:M4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
11/12/2010-kw&amp;C&amp;F&amp;R&amp;P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zoomScaleNormal="100" workbookViewId="0"/>
  </sheetViews>
  <sheetFormatPr defaultRowHeight="12.75" x14ac:dyDescent="0.2"/>
  <cols>
    <col min="1" max="1" width="32" style="21" customWidth="1"/>
    <col min="2" max="2" width="6.5703125" style="33" bestFit="1" customWidth="1"/>
    <col min="3" max="3" width="7.140625" style="33" bestFit="1" customWidth="1"/>
    <col min="4" max="4" width="5.5703125" style="33" customWidth="1"/>
    <col min="5" max="5" width="7.28515625" style="33" bestFit="1" customWidth="1"/>
    <col min="6" max="6" width="4.7109375" style="33" bestFit="1" customWidth="1"/>
    <col min="7" max="7" width="5.42578125" style="33" bestFit="1" customWidth="1"/>
    <col min="8" max="8" width="5.42578125" style="72" bestFit="1" customWidth="1"/>
    <col min="9" max="11" width="5.42578125" style="33" bestFit="1" customWidth="1"/>
    <col min="12" max="13" width="6.7109375" style="33" customWidth="1"/>
    <col min="14" max="14" width="5.5703125" style="33" bestFit="1" customWidth="1"/>
    <col min="15" max="15" width="7.7109375" style="33" customWidth="1"/>
    <col min="16" max="16" width="5.42578125" style="10" bestFit="1" customWidth="1"/>
    <col min="17" max="17" width="6.85546875" style="10" customWidth="1"/>
    <col min="18" max="18" width="11.28515625" style="10" customWidth="1"/>
    <col min="19" max="19" width="2.7109375" style="10" customWidth="1"/>
    <col min="20" max="16384" width="9.140625" style="12"/>
  </cols>
  <sheetData>
    <row r="1" spans="1:19" ht="15.75" x14ac:dyDescent="0.2">
      <c r="A1" s="127" t="s">
        <v>217</v>
      </c>
      <c r="Q1" s="12"/>
      <c r="R1" s="12"/>
      <c r="S1" s="12"/>
    </row>
    <row r="2" spans="1:19" x14ac:dyDescent="0.2">
      <c r="A2" s="20"/>
      <c r="B2" s="80"/>
      <c r="C2" s="78"/>
      <c r="D2" s="80"/>
      <c r="E2" s="78"/>
      <c r="F2" s="80"/>
      <c r="G2" s="78"/>
      <c r="H2" s="80"/>
      <c r="I2" s="78"/>
      <c r="J2" s="80"/>
      <c r="K2" s="78"/>
      <c r="L2" s="80"/>
      <c r="M2" s="78"/>
      <c r="N2" s="32"/>
      <c r="Q2" s="12"/>
      <c r="R2" s="12"/>
      <c r="S2" s="12"/>
    </row>
    <row r="3" spans="1:19" ht="24" customHeight="1" x14ac:dyDescent="0.2">
      <c r="A3" s="108" t="str">
        <f>all!A111</f>
        <v>How would you rate your FRCC experience so far?</v>
      </c>
      <c r="B3" s="151" t="s">
        <v>128</v>
      </c>
      <c r="C3" s="151"/>
      <c r="D3" s="151" t="s">
        <v>99</v>
      </c>
      <c r="E3" s="151"/>
      <c r="F3" s="150" t="s">
        <v>136</v>
      </c>
      <c r="G3" s="150"/>
      <c r="H3" s="151" t="s">
        <v>101</v>
      </c>
      <c r="I3" s="151"/>
      <c r="J3" s="151" t="s">
        <v>129</v>
      </c>
      <c r="K3" s="151"/>
      <c r="L3" s="151" t="s">
        <v>126</v>
      </c>
      <c r="M3" s="151"/>
      <c r="N3" s="148" t="s">
        <v>1</v>
      </c>
      <c r="O3" s="148"/>
      <c r="Q3" s="12"/>
      <c r="R3" s="12"/>
      <c r="S3" s="12"/>
    </row>
    <row r="4" spans="1:19" x14ac:dyDescent="0.2">
      <c r="A4" s="26" t="str">
        <f>all!A112</f>
        <v>Very Good</v>
      </c>
      <c r="B4" s="38">
        <f>all!B112</f>
        <v>232</v>
      </c>
      <c r="C4" s="39">
        <f>all!C112</f>
        <v>0.48132780082987553</v>
      </c>
      <c r="D4" s="38">
        <f>all!D112</f>
        <v>16</v>
      </c>
      <c r="E4" s="39">
        <f>all!E112</f>
        <v>0.43243243243243246</v>
      </c>
      <c r="F4" s="38">
        <f>all!F112</f>
        <v>64</v>
      </c>
      <c r="G4" s="39">
        <f>all!G112</f>
        <v>0.32323232323232326</v>
      </c>
      <c r="H4" s="38">
        <f>all!H112</f>
        <v>397</v>
      </c>
      <c r="I4" s="39">
        <f>all!I112</f>
        <v>0.44808126410835214</v>
      </c>
      <c r="J4" s="38">
        <f>all!J112</f>
        <v>136</v>
      </c>
      <c r="K4" s="39">
        <f>all!K112</f>
        <v>0.32458233890214799</v>
      </c>
      <c r="L4" s="38">
        <f>all!L112</f>
        <v>404</v>
      </c>
      <c r="M4" s="39">
        <f>all!M112</f>
        <v>0.42127215849843586</v>
      </c>
      <c r="N4" s="29">
        <f>all!N112</f>
        <v>1249</v>
      </c>
      <c r="O4" s="39">
        <f>all!O112</f>
        <v>0.41898691714189867</v>
      </c>
      <c r="Q4" s="12"/>
      <c r="R4" s="12"/>
      <c r="S4" s="12"/>
    </row>
    <row r="5" spans="1:19" x14ac:dyDescent="0.2">
      <c r="A5" s="26" t="str">
        <f>all!A113</f>
        <v>Good</v>
      </c>
      <c r="B5" s="38">
        <f>all!B113</f>
        <v>231</v>
      </c>
      <c r="C5" s="39">
        <f>all!C113</f>
        <v>0.47925311203319504</v>
      </c>
      <c r="D5" s="38">
        <f>all!D113</f>
        <v>20</v>
      </c>
      <c r="E5" s="39">
        <f>all!E113</f>
        <v>0.54054054054054057</v>
      </c>
      <c r="F5" s="38">
        <f>all!F113</f>
        <v>114</v>
      </c>
      <c r="G5" s="39">
        <f>all!G113</f>
        <v>0.5757575757575758</v>
      </c>
      <c r="H5" s="38">
        <f>all!H113</f>
        <v>447</v>
      </c>
      <c r="I5" s="39">
        <f>all!I113</f>
        <v>0.50451467268623029</v>
      </c>
      <c r="J5" s="38">
        <f>all!J113</f>
        <v>249</v>
      </c>
      <c r="K5" s="39">
        <f>all!K113</f>
        <v>0.59427207637231505</v>
      </c>
      <c r="L5" s="38">
        <f>all!L113</f>
        <v>503</v>
      </c>
      <c r="M5" s="39">
        <f>all!M113</f>
        <v>0.52450469238790409</v>
      </c>
      <c r="N5" s="29">
        <f>all!N113</f>
        <v>1564</v>
      </c>
      <c r="O5" s="39">
        <f>all!O113</f>
        <v>0.52465615565246559</v>
      </c>
      <c r="Q5" s="12"/>
      <c r="R5" s="12"/>
      <c r="S5" s="12"/>
    </row>
    <row r="6" spans="1:19" x14ac:dyDescent="0.2">
      <c r="A6" s="26" t="str">
        <f>all!A114</f>
        <v>Poor</v>
      </c>
      <c r="B6" s="38">
        <f>all!B114</f>
        <v>16</v>
      </c>
      <c r="C6" s="39">
        <f>all!C114</f>
        <v>3.3195020746887967E-2</v>
      </c>
      <c r="D6" s="38">
        <f>all!D114</f>
        <v>1</v>
      </c>
      <c r="E6" s="39">
        <f>all!E114</f>
        <v>2.7027027027027029E-2</v>
      </c>
      <c r="F6" s="38">
        <f>all!F114</f>
        <v>15</v>
      </c>
      <c r="G6" s="39">
        <f>all!G114</f>
        <v>7.575757575757576E-2</v>
      </c>
      <c r="H6" s="38">
        <f>all!H114</f>
        <v>35</v>
      </c>
      <c r="I6" s="39">
        <f>all!I114</f>
        <v>3.9503386004514675E-2</v>
      </c>
      <c r="J6" s="38">
        <f>all!J114</f>
        <v>25</v>
      </c>
      <c r="K6" s="39">
        <f>all!K114</f>
        <v>5.9665871121718374E-2</v>
      </c>
      <c r="L6" s="38">
        <f>all!L114</f>
        <v>42</v>
      </c>
      <c r="M6" s="39">
        <f>all!M114</f>
        <v>4.3795620437956206E-2</v>
      </c>
      <c r="N6" s="29">
        <f>all!N114</f>
        <v>134</v>
      </c>
      <c r="O6" s="39">
        <f>all!O114</f>
        <v>4.4951358604495138E-2</v>
      </c>
      <c r="Q6" s="12"/>
      <c r="R6" s="12"/>
      <c r="S6" s="12"/>
    </row>
    <row r="7" spans="1:19" x14ac:dyDescent="0.2">
      <c r="A7" s="26" t="str">
        <f>all!A115</f>
        <v>Very Poor</v>
      </c>
      <c r="B7" s="38">
        <f>all!B115</f>
        <v>3</v>
      </c>
      <c r="C7" s="39">
        <f>all!C115</f>
        <v>6.2240663900414933E-3</v>
      </c>
      <c r="D7" s="38">
        <f>all!D115</f>
        <v>0</v>
      </c>
      <c r="E7" s="39">
        <f>all!E115</f>
        <v>0</v>
      </c>
      <c r="F7" s="38">
        <f>all!F115</f>
        <v>5</v>
      </c>
      <c r="G7" s="39">
        <f>all!G115</f>
        <v>2.5252525252525252E-2</v>
      </c>
      <c r="H7" s="38">
        <f>all!H115</f>
        <v>7</v>
      </c>
      <c r="I7" s="39">
        <f>all!I115</f>
        <v>7.900677200902935E-3</v>
      </c>
      <c r="J7" s="38">
        <f>all!J115</f>
        <v>9</v>
      </c>
      <c r="K7" s="39">
        <f>all!K115</f>
        <v>2.1479713603818614E-2</v>
      </c>
      <c r="L7" s="38">
        <f>all!L115</f>
        <v>10</v>
      </c>
      <c r="M7" s="39">
        <f>all!M115</f>
        <v>1.0427528675703858E-2</v>
      </c>
      <c r="N7" s="29">
        <f>all!N115</f>
        <v>34</v>
      </c>
      <c r="O7" s="39">
        <f>all!O115</f>
        <v>1.1405568601140557E-2</v>
      </c>
      <c r="Q7" s="12"/>
      <c r="R7" s="12"/>
      <c r="S7" s="12"/>
    </row>
    <row r="8" spans="1:19" s="14" customFormat="1" x14ac:dyDescent="0.2">
      <c r="A8" s="108" t="str">
        <f>all!A116</f>
        <v>Total</v>
      </c>
      <c r="B8" s="25">
        <f>all!B116</f>
        <v>482</v>
      </c>
      <c r="C8" s="41">
        <f>all!C116</f>
        <v>1</v>
      </c>
      <c r="D8" s="25">
        <f>all!D116</f>
        <v>37</v>
      </c>
      <c r="E8" s="41">
        <f>all!E116</f>
        <v>1</v>
      </c>
      <c r="F8" s="25">
        <f>all!F116</f>
        <v>198</v>
      </c>
      <c r="G8" s="41">
        <f>all!G116</f>
        <v>1</v>
      </c>
      <c r="H8" s="25">
        <f>all!H116</f>
        <v>886</v>
      </c>
      <c r="I8" s="41">
        <f>all!I116</f>
        <v>1</v>
      </c>
      <c r="J8" s="25">
        <f>all!J116</f>
        <v>419</v>
      </c>
      <c r="K8" s="41">
        <f>all!K116</f>
        <v>1</v>
      </c>
      <c r="L8" s="25">
        <f>all!L116</f>
        <v>959</v>
      </c>
      <c r="M8" s="41">
        <f>all!M116</f>
        <v>1</v>
      </c>
      <c r="N8" s="25">
        <f>all!N116</f>
        <v>2981</v>
      </c>
      <c r="O8" s="41">
        <f>all!O116</f>
        <v>1</v>
      </c>
      <c r="P8" s="13"/>
    </row>
    <row r="9" spans="1:19" s="14" customFormat="1" x14ac:dyDescent="0.2">
      <c r="A9" s="108" t="str">
        <f>all!A117</f>
        <v>Percent of Good or Very Good</v>
      </c>
      <c r="B9" s="25"/>
      <c r="C9" s="65">
        <f>all!C117</f>
        <v>0.96058091286307057</v>
      </c>
      <c r="D9" s="25"/>
      <c r="E9" s="65">
        <f>all!E117</f>
        <v>0.97297297297297303</v>
      </c>
      <c r="F9" s="25"/>
      <c r="G9" s="65">
        <f>all!G117</f>
        <v>0.89898989898989901</v>
      </c>
      <c r="H9" s="25"/>
      <c r="I9" s="65">
        <f>all!I117</f>
        <v>0.95259593679458243</v>
      </c>
      <c r="J9" s="25"/>
      <c r="K9" s="65">
        <f>all!K117</f>
        <v>0.9188544152744631</v>
      </c>
      <c r="L9" s="25"/>
      <c r="M9" s="65">
        <f>all!M117</f>
        <v>0.94577685088634</v>
      </c>
      <c r="N9" s="30"/>
      <c r="O9" s="65">
        <f>all!O117</f>
        <v>0.94364307279436432</v>
      </c>
      <c r="P9" s="13"/>
    </row>
    <row r="11" spans="1:19" s="14" customFormat="1" ht="25.5" x14ac:dyDescent="0.2">
      <c r="A11" s="133" t="str">
        <f>all!A86</f>
        <v>Percent of question Respondents who agree with the following:</v>
      </c>
      <c r="B11" s="154" t="s">
        <v>128</v>
      </c>
      <c r="C11" s="154"/>
      <c r="D11" s="154" t="s">
        <v>99</v>
      </c>
      <c r="E11" s="154"/>
      <c r="F11" s="155" t="s">
        <v>136</v>
      </c>
      <c r="G11" s="155"/>
      <c r="H11" s="154" t="s">
        <v>101</v>
      </c>
      <c r="I11" s="154"/>
      <c r="J11" s="154" t="s">
        <v>129</v>
      </c>
      <c r="K11" s="154"/>
      <c r="L11" s="154" t="s">
        <v>126</v>
      </c>
      <c r="M11" s="154"/>
      <c r="N11" s="170" t="s">
        <v>1</v>
      </c>
      <c r="O11" s="170"/>
      <c r="P11" s="13"/>
      <c r="Q11" s="13"/>
      <c r="R11" s="13"/>
      <c r="S11" s="13"/>
    </row>
    <row r="12" spans="1:19" ht="24" x14ac:dyDescent="0.2">
      <c r="A12" s="26" t="str">
        <f>all!A87</f>
        <v>Instructional program is meeting your educational goals.</v>
      </c>
      <c r="B12" s="38">
        <f>all!B87</f>
        <v>457</v>
      </c>
      <c r="C12" s="114">
        <f>all!C87</f>
        <v>0.93839835728952781</v>
      </c>
      <c r="D12" s="38">
        <f>all!D87</f>
        <v>34</v>
      </c>
      <c r="E12" s="114">
        <f>all!E87</f>
        <v>0.89473684210526316</v>
      </c>
      <c r="F12" s="38">
        <f>all!F87</f>
        <v>173</v>
      </c>
      <c r="G12" s="114">
        <f>all!G87</f>
        <v>0.87</v>
      </c>
      <c r="H12" s="38">
        <f>all!H87</f>
        <v>815</v>
      </c>
      <c r="I12" s="114">
        <f>all!I87</f>
        <v>0.90656284760845385</v>
      </c>
      <c r="J12" s="38">
        <f>all!J87</f>
        <v>375</v>
      </c>
      <c r="K12" s="114">
        <f>all!K87</f>
        <v>0.89</v>
      </c>
      <c r="L12" s="38">
        <f>all!L87</f>
        <v>867</v>
      </c>
      <c r="M12" s="114">
        <f>all!M87</f>
        <v>0.9</v>
      </c>
      <c r="N12" s="29">
        <f>all!N87</f>
        <v>2721</v>
      </c>
      <c r="O12" s="113">
        <f>all!O87</f>
        <v>0.89861294583883755</v>
      </c>
      <c r="P12" s="13"/>
      <c r="Q12" s="13"/>
      <c r="R12" s="13"/>
    </row>
    <row r="13" spans="1:19" ht="24" x14ac:dyDescent="0.2">
      <c r="A13" s="26" t="str">
        <f>all!A88</f>
        <v>Technology is enhancing your learning process at FRCC.</v>
      </c>
      <c r="B13" s="38">
        <f>all!B88</f>
        <v>401</v>
      </c>
      <c r="C13" s="114">
        <f>all!C88</f>
        <v>0.82340862422997896</v>
      </c>
      <c r="D13" s="38">
        <f>all!D88</f>
        <v>35</v>
      </c>
      <c r="E13" s="113">
        <f>all!E88</f>
        <v>0.92105263157894735</v>
      </c>
      <c r="F13" s="38">
        <f>all!F88</f>
        <v>173</v>
      </c>
      <c r="G13" s="113">
        <f>all!G88</f>
        <v>0.8737373737373737</v>
      </c>
      <c r="H13" s="38">
        <f>all!H88</f>
        <v>762</v>
      </c>
      <c r="I13" s="113">
        <f>all!I88</f>
        <v>0.85521885521885521</v>
      </c>
      <c r="J13" s="38">
        <f>all!J88</f>
        <v>373</v>
      </c>
      <c r="K13" s="113">
        <f>all!K88</f>
        <v>0.88809523809523805</v>
      </c>
      <c r="L13" s="38">
        <f>all!L88</f>
        <v>817</v>
      </c>
      <c r="M13" s="113">
        <f>all!M88</f>
        <v>0.84927234927234929</v>
      </c>
      <c r="N13" s="29">
        <f>all!N88</f>
        <v>2561</v>
      </c>
      <c r="O13" s="113">
        <f>all!O88</f>
        <v>0.84577278731836192</v>
      </c>
      <c r="P13" s="13"/>
      <c r="Q13" s="13"/>
      <c r="R13" s="13"/>
    </row>
    <row r="14" spans="1:19" ht="24" x14ac:dyDescent="0.2">
      <c r="A14" s="26" t="str">
        <f>all!A89</f>
        <v>Technology skills you are learning are complete and up to date</v>
      </c>
      <c r="B14" s="38">
        <f>all!B89</f>
        <v>407</v>
      </c>
      <c r="C14" s="113">
        <f>all!C89</f>
        <v>0.88478260869565217</v>
      </c>
      <c r="D14" s="38">
        <f>all!D89</f>
        <v>33</v>
      </c>
      <c r="E14" s="113">
        <f>all!E89</f>
        <v>0.89189189189189189</v>
      </c>
      <c r="F14" s="38">
        <f>all!F89</f>
        <v>178</v>
      </c>
      <c r="G14" s="113">
        <f>all!G89</f>
        <v>0.90816326530612246</v>
      </c>
      <c r="H14" s="38">
        <f>all!H89</f>
        <v>781</v>
      </c>
      <c r="I14" s="113">
        <f>all!I89</f>
        <v>0.89873417721518989</v>
      </c>
      <c r="J14" s="38">
        <f>all!J89</f>
        <v>372</v>
      </c>
      <c r="K14" s="113">
        <f>all!K89</f>
        <v>0.89855072463768115</v>
      </c>
      <c r="L14" s="38">
        <f>all!L89</f>
        <v>827</v>
      </c>
      <c r="M14" s="113">
        <f>all!M89</f>
        <v>0.88260405549626464</v>
      </c>
      <c r="N14" s="29">
        <f>all!N89</f>
        <v>2598</v>
      </c>
      <c r="O14" s="113">
        <f>all!O89</f>
        <v>0.8579920739762219</v>
      </c>
      <c r="P14" s="13"/>
      <c r="Q14" s="13"/>
      <c r="R14" s="13"/>
    </row>
    <row r="15" spans="1:19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9" ht="36" x14ac:dyDescent="0.2">
      <c r="A16" s="108" t="str">
        <f>all!A91</f>
        <v>Faculty promote cultural diversity awareness and learning in the classroom</v>
      </c>
      <c r="B16" s="151" t="s">
        <v>128</v>
      </c>
      <c r="C16" s="151"/>
      <c r="D16" s="151" t="s">
        <v>99</v>
      </c>
      <c r="E16" s="151"/>
      <c r="F16" s="150" t="s">
        <v>136</v>
      </c>
      <c r="G16" s="150"/>
      <c r="H16" s="151" t="s">
        <v>101</v>
      </c>
      <c r="I16" s="151"/>
      <c r="J16" s="151" t="s">
        <v>129</v>
      </c>
      <c r="K16" s="151"/>
      <c r="L16" s="151" t="s">
        <v>126</v>
      </c>
      <c r="M16" s="151"/>
      <c r="N16" s="148" t="s">
        <v>1</v>
      </c>
      <c r="O16" s="148"/>
      <c r="P16" s="13"/>
      <c r="Q16" s="13"/>
      <c r="R16" s="13"/>
    </row>
    <row r="17" spans="1:18" ht="14.25" customHeight="1" x14ac:dyDescent="0.2">
      <c r="A17" s="26" t="str">
        <f>all!A92</f>
        <v>About right amount</v>
      </c>
      <c r="B17" s="38">
        <f>all!B92</f>
        <v>323</v>
      </c>
      <c r="C17" s="39">
        <f>all!C92</f>
        <v>0.68</v>
      </c>
      <c r="D17" s="38">
        <f>all!D92</f>
        <v>31</v>
      </c>
      <c r="E17" s="39">
        <f>all!E92</f>
        <v>0.86111111111111116</v>
      </c>
      <c r="F17" s="38">
        <f>all!F92</f>
        <v>104</v>
      </c>
      <c r="G17" s="39">
        <f>all!G92</f>
        <v>0.53886010362694303</v>
      </c>
      <c r="H17" s="38">
        <f>all!H92</f>
        <v>615</v>
      </c>
      <c r="I17" s="39">
        <f>all!I92</f>
        <v>0.70045558086560367</v>
      </c>
      <c r="J17" s="38">
        <f>all!J92</f>
        <v>216</v>
      </c>
      <c r="K17" s="39">
        <f>all!K92</f>
        <v>0.52682926829268295</v>
      </c>
      <c r="L17" s="38">
        <f>all!L92</f>
        <v>621</v>
      </c>
      <c r="M17" s="39">
        <f>all!M92</f>
        <v>0.65299684542586756</v>
      </c>
      <c r="N17" s="29">
        <f>all!N92</f>
        <v>1910</v>
      </c>
      <c r="O17" s="39">
        <f>all!O92</f>
        <v>0.64899762147468565</v>
      </c>
      <c r="P17" s="13"/>
      <c r="Q17" s="13"/>
      <c r="R17" s="13"/>
    </row>
    <row r="18" spans="1:18" ht="14.25" customHeight="1" x14ac:dyDescent="0.2">
      <c r="A18" s="26" t="str">
        <f>all!A93</f>
        <v>Not enough</v>
      </c>
      <c r="B18" s="38">
        <f>all!B93</f>
        <v>37</v>
      </c>
      <c r="C18" s="39">
        <f>all!C93</f>
        <v>7.7894736842105267E-2</v>
      </c>
      <c r="D18" s="38">
        <f>all!D93</f>
        <v>1</v>
      </c>
      <c r="E18" s="39">
        <f>all!E93</f>
        <v>2.7777777777777776E-2</v>
      </c>
      <c r="F18" s="38">
        <f>all!F93</f>
        <v>11</v>
      </c>
      <c r="G18" s="39">
        <f>all!G93</f>
        <v>5.6994818652849742E-2</v>
      </c>
      <c r="H18" s="38">
        <f>all!H93</f>
        <v>60</v>
      </c>
      <c r="I18" s="39">
        <f>all!I93</f>
        <v>6.8337129840546698E-2</v>
      </c>
      <c r="J18" s="38">
        <f>all!J93</f>
        <v>29</v>
      </c>
      <c r="K18" s="39">
        <f>all!K93</f>
        <v>7.0731707317073164E-2</v>
      </c>
      <c r="L18" s="38">
        <f>all!L93</f>
        <v>94</v>
      </c>
      <c r="M18" s="39">
        <f>all!M93</f>
        <v>9.8843322818086221E-2</v>
      </c>
      <c r="N18" s="29">
        <f>all!N93</f>
        <v>232</v>
      </c>
      <c r="O18" s="39">
        <f>all!O93</f>
        <v>7.883112470268433E-2</v>
      </c>
      <c r="P18" s="13"/>
      <c r="Q18" s="13"/>
      <c r="R18" s="13"/>
    </row>
    <row r="19" spans="1:18" ht="14.25" customHeight="1" x14ac:dyDescent="0.2">
      <c r="A19" s="26" t="str">
        <f>all!A94</f>
        <v>Too much</v>
      </c>
      <c r="B19" s="38">
        <f>all!B94</f>
        <v>8</v>
      </c>
      <c r="C19" s="39">
        <f>all!C94</f>
        <v>1.6842105263157894E-2</v>
      </c>
      <c r="D19" s="38">
        <f>all!D94</f>
        <v>1</v>
      </c>
      <c r="E19" s="39">
        <f>all!E94</f>
        <v>2.7777777777777776E-2</v>
      </c>
      <c r="F19" s="38">
        <f>all!F94</f>
        <v>2</v>
      </c>
      <c r="G19" s="39">
        <f>all!G94</f>
        <v>1.0362694300518135E-2</v>
      </c>
      <c r="H19" s="38">
        <f>all!H94</f>
        <v>19</v>
      </c>
      <c r="I19" s="39">
        <f>all!I94</f>
        <v>2.164009111617312E-2</v>
      </c>
      <c r="J19" s="38">
        <f>all!J94</f>
        <v>7</v>
      </c>
      <c r="K19" s="39">
        <f>all!K94</f>
        <v>1.7073170731707318E-2</v>
      </c>
      <c r="L19" s="38">
        <f>all!L94</f>
        <v>11</v>
      </c>
      <c r="M19" s="39">
        <f>all!M94</f>
        <v>1.1566771819137749E-2</v>
      </c>
      <c r="N19" s="29">
        <f>all!N94</f>
        <v>48</v>
      </c>
      <c r="O19" s="39">
        <f>all!O94</f>
        <v>1.6309887869520898E-2</v>
      </c>
      <c r="P19" s="13"/>
      <c r="Q19" s="13"/>
      <c r="R19" s="13"/>
    </row>
    <row r="20" spans="1:18" ht="14.25" customHeight="1" x14ac:dyDescent="0.2">
      <c r="A20" s="26" t="str">
        <f>all!A95</f>
        <v>Don't know/ don't care</v>
      </c>
      <c r="B20" s="38">
        <f>all!B95</f>
        <v>107</v>
      </c>
      <c r="C20" s="39">
        <f>all!C95</f>
        <v>0.22526315789473683</v>
      </c>
      <c r="D20" s="38">
        <f>all!D95</f>
        <v>3</v>
      </c>
      <c r="E20" s="39">
        <f>all!E95</f>
        <v>8.3333333333333329E-2</v>
      </c>
      <c r="F20" s="38">
        <f>all!F95</f>
        <v>76</v>
      </c>
      <c r="G20" s="39">
        <f>all!G95</f>
        <v>0.39378238341968913</v>
      </c>
      <c r="H20" s="38">
        <f>all!H95</f>
        <v>184</v>
      </c>
      <c r="I20" s="39">
        <f>all!I95</f>
        <v>0.20956719817767655</v>
      </c>
      <c r="J20" s="38">
        <f>all!J95</f>
        <v>158</v>
      </c>
      <c r="K20" s="39">
        <f>all!K95</f>
        <v>0.38536585365853659</v>
      </c>
      <c r="L20" s="38">
        <f>all!L95</f>
        <v>225</v>
      </c>
      <c r="M20" s="39">
        <f>all!M95</f>
        <v>0.23659305993690852</v>
      </c>
      <c r="N20" s="29">
        <f>all!N95</f>
        <v>753</v>
      </c>
      <c r="O20" s="39">
        <f>all!O95</f>
        <v>0.2558613659531091</v>
      </c>
      <c r="P20" s="13"/>
      <c r="Q20" s="13"/>
      <c r="R20" s="13"/>
    </row>
    <row r="21" spans="1:18" ht="14.25" customHeight="1" x14ac:dyDescent="0.2">
      <c r="A21" s="26"/>
      <c r="B21" s="30">
        <f>all!B96</f>
        <v>475</v>
      </c>
      <c r="C21" s="41">
        <f>all!C96</f>
        <v>1</v>
      </c>
      <c r="D21" s="30">
        <f>all!D96</f>
        <v>36</v>
      </c>
      <c r="E21" s="41">
        <f>all!E96</f>
        <v>1</v>
      </c>
      <c r="F21" s="30">
        <f>all!F96</f>
        <v>193</v>
      </c>
      <c r="G21" s="41">
        <f>all!G96</f>
        <v>1</v>
      </c>
      <c r="H21" s="30">
        <f>all!H96</f>
        <v>878</v>
      </c>
      <c r="I21" s="41">
        <f>all!I96</f>
        <v>1</v>
      </c>
      <c r="J21" s="30">
        <f>all!J96</f>
        <v>410</v>
      </c>
      <c r="K21" s="41">
        <f>all!K96</f>
        <v>1</v>
      </c>
      <c r="L21" s="30">
        <f>all!L96</f>
        <v>951</v>
      </c>
      <c r="M21" s="41">
        <f>all!M96</f>
        <v>1</v>
      </c>
      <c r="N21" s="30">
        <f>all!N96</f>
        <v>2943</v>
      </c>
      <c r="O21" s="41">
        <f>all!O96</f>
        <v>1</v>
      </c>
      <c r="P21" s="13"/>
      <c r="Q21" s="13"/>
      <c r="R21" s="13"/>
    </row>
    <row r="22" spans="1:18" x14ac:dyDescent="0.2">
      <c r="A22" s="69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13"/>
      <c r="Q22" s="13"/>
      <c r="R22" s="13"/>
    </row>
    <row r="23" spans="1:18" ht="24" x14ac:dyDescent="0.2">
      <c r="A23" s="108" t="str">
        <f>all!A98</f>
        <v>FRCC student life has programs that promote campus cultural diversity</v>
      </c>
      <c r="B23" s="151" t="s">
        <v>128</v>
      </c>
      <c r="C23" s="151"/>
      <c r="D23" s="151" t="s">
        <v>99</v>
      </c>
      <c r="E23" s="151"/>
      <c r="F23" s="150" t="s">
        <v>136</v>
      </c>
      <c r="G23" s="150"/>
      <c r="H23" s="151" t="s">
        <v>101</v>
      </c>
      <c r="I23" s="151"/>
      <c r="J23" s="151" t="s">
        <v>129</v>
      </c>
      <c r="K23" s="151"/>
      <c r="L23" s="151" t="s">
        <v>126</v>
      </c>
      <c r="M23" s="151"/>
      <c r="N23" s="148" t="s">
        <v>1</v>
      </c>
      <c r="O23" s="148"/>
      <c r="P23" s="13"/>
      <c r="Q23" s="13"/>
      <c r="R23" s="13"/>
    </row>
    <row r="24" spans="1:18" x14ac:dyDescent="0.2">
      <c r="A24" s="26" t="str">
        <f>all!A99</f>
        <v>About right amount</v>
      </c>
      <c r="B24" s="38">
        <f>all!B99</f>
        <v>223</v>
      </c>
      <c r="C24" s="39">
        <f>all!C99</f>
        <v>0.47245762711864409</v>
      </c>
      <c r="D24" s="38">
        <f>all!D99</f>
        <v>17</v>
      </c>
      <c r="E24" s="39">
        <f>all!E99</f>
        <v>0.47222222222222221</v>
      </c>
      <c r="F24" s="38">
        <f>all!F99</f>
        <v>58</v>
      </c>
      <c r="G24" s="39">
        <f>all!G99</f>
        <v>0.30208333333333331</v>
      </c>
      <c r="H24" s="38">
        <f>all!H99</f>
        <v>465</v>
      </c>
      <c r="I24" s="39">
        <f>all!I99</f>
        <v>0.53021664766248577</v>
      </c>
      <c r="J24" s="38">
        <f>all!J99</f>
        <v>144</v>
      </c>
      <c r="K24" s="39">
        <f>all!K99</f>
        <v>0.34951456310679613</v>
      </c>
      <c r="L24" s="38">
        <f>all!L99</f>
        <v>441</v>
      </c>
      <c r="M24" s="39">
        <f>all!M99</f>
        <v>0.46617336152219874</v>
      </c>
      <c r="N24" s="29">
        <f>all!N99</f>
        <v>1348</v>
      </c>
      <c r="O24" s="39">
        <f>all!O99</f>
        <v>0.45928449744463373</v>
      </c>
      <c r="P24" s="13"/>
      <c r="Q24" s="13"/>
      <c r="R24" s="13"/>
    </row>
    <row r="25" spans="1:18" x14ac:dyDescent="0.2">
      <c r="A25" s="26" t="str">
        <f>all!A100</f>
        <v>Not enough</v>
      </c>
      <c r="B25" s="38">
        <f>all!B100</f>
        <v>37</v>
      </c>
      <c r="C25" s="39">
        <f>all!C100</f>
        <v>7.8389830508474576E-2</v>
      </c>
      <c r="D25" s="38">
        <f>all!D100</f>
        <v>2</v>
      </c>
      <c r="E25" s="39">
        <f>all!E100</f>
        <v>5.5555555555555552E-2</v>
      </c>
      <c r="F25" s="38">
        <f>all!F100</f>
        <v>10</v>
      </c>
      <c r="G25" s="39">
        <f>all!G100</f>
        <v>5.2083333333333336E-2</v>
      </c>
      <c r="H25" s="38">
        <f>all!H100</f>
        <v>67</v>
      </c>
      <c r="I25" s="39">
        <f>all!I100</f>
        <v>7.6396807297605479E-2</v>
      </c>
      <c r="J25" s="38">
        <f>all!J100</f>
        <v>23</v>
      </c>
      <c r="K25" s="39">
        <f>all!K100</f>
        <v>5.5825242718446605E-2</v>
      </c>
      <c r="L25" s="38">
        <f>all!L100</f>
        <v>78</v>
      </c>
      <c r="M25" s="39">
        <f>all!M100</f>
        <v>8.2452431289640596E-2</v>
      </c>
      <c r="N25" s="29">
        <f>all!N100</f>
        <v>217</v>
      </c>
      <c r="O25" s="39">
        <f>all!O100</f>
        <v>7.3935264054514477E-2</v>
      </c>
      <c r="P25" s="13"/>
      <c r="Q25" s="13"/>
      <c r="R25" s="13"/>
    </row>
    <row r="26" spans="1:18" x14ac:dyDescent="0.2">
      <c r="A26" s="26" t="str">
        <f>all!A101</f>
        <v>Too much</v>
      </c>
      <c r="B26" s="38">
        <f>all!B101</f>
        <v>9</v>
      </c>
      <c r="C26" s="39">
        <f>all!C101</f>
        <v>1.9067796610169493E-2</v>
      </c>
      <c r="D26" s="38">
        <f>all!D101</f>
        <v>0</v>
      </c>
      <c r="E26" s="39">
        <f>all!E101</f>
        <v>0</v>
      </c>
      <c r="F26" s="38">
        <f>all!F101</f>
        <v>1</v>
      </c>
      <c r="G26" s="39">
        <f>all!G101</f>
        <v>5.208333333333333E-3</v>
      </c>
      <c r="H26" s="38">
        <f>all!H101</f>
        <v>14</v>
      </c>
      <c r="I26" s="39">
        <f>all!I101</f>
        <v>1.596351197263398E-2</v>
      </c>
      <c r="J26" s="38">
        <f>all!J101</f>
        <v>3</v>
      </c>
      <c r="K26" s="39">
        <f>all!K101</f>
        <v>7.2815533980582527E-3</v>
      </c>
      <c r="L26" s="38">
        <f>all!L101</f>
        <v>17</v>
      </c>
      <c r="M26" s="39">
        <f>all!M101</f>
        <v>1.7970401691331923E-2</v>
      </c>
      <c r="N26" s="29">
        <f>all!N101</f>
        <v>44</v>
      </c>
      <c r="O26" s="39">
        <f>all!O101</f>
        <v>1.4991482112436116E-2</v>
      </c>
      <c r="P26" s="13"/>
      <c r="Q26" s="13"/>
      <c r="R26" s="13"/>
    </row>
    <row r="27" spans="1:18" x14ac:dyDescent="0.2">
      <c r="A27" s="26" t="str">
        <f>all!A102</f>
        <v>Don't know/don't care</v>
      </c>
      <c r="B27" s="38">
        <f>all!B102</f>
        <v>203</v>
      </c>
      <c r="C27" s="39">
        <f>all!C102</f>
        <v>0.43008474576271188</v>
      </c>
      <c r="D27" s="38">
        <f>all!D102</f>
        <v>17</v>
      </c>
      <c r="E27" s="39">
        <f>all!E102</f>
        <v>0.47222222222222221</v>
      </c>
      <c r="F27" s="38">
        <f>all!F102</f>
        <v>123</v>
      </c>
      <c r="G27" s="39">
        <f>all!G102</f>
        <v>0.640625</v>
      </c>
      <c r="H27" s="38">
        <f>all!H102</f>
        <v>331</v>
      </c>
      <c r="I27" s="39">
        <f>all!I102</f>
        <v>0.37742303306727482</v>
      </c>
      <c r="J27" s="38">
        <f>all!J102</f>
        <v>242</v>
      </c>
      <c r="K27" s="39">
        <f>all!K102</f>
        <v>0.58737864077669899</v>
      </c>
      <c r="L27" s="38">
        <f>all!L102</f>
        <v>410</v>
      </c>
      <c r="M27" s="39">
        <f>all!M102</f>
        <v>0.43340380549682878</v>
      </c>
      <c r="N27" s="29">
        <f>all!N102</f>
        <v>1326</v>
      </c>
      <c r="O27" s="39">
        <f>all!O102</f>
        <v>0.45178875638841565</v>
      </c>
      <c r="P27" s="13"/>
      <c r="Q27" s="13"/>
      <c r="R27" s="13"/>
    </row>
    <row r="28" spans="1:18" x14ac:dyDescent="0.2">
      <c r="A28" s="26"/>
      <c r="B28" s="30">
        <f>all!B103</f>
        <v>472</v>
      </c>
      <c r="C28" s="41">
        <f>all!C103</f>
        <v>1</v>
      </c>
      <c r="D28" s="30">
        <f>all!D103</f>
        <v>36</v>
      </c>
      <c r="E28" s="41">
        <f>all!E103</f>
        <v>1</v>
      </c>
      <c r="F28" s="30">
        <f>all!F103</f>
        <v>192</v>
      </c>
      <c r="G28" s="41">
        <f>all!G103</f>
        <v>1</v>
      </c>
      <c r="H28" s="30">
        <f>all!H103</f>
        <v>877</v>
      </c>
      <c r="I28" s="41">
        <f>all!I103</f>
        <v>1</v>
      </c>
      <c r="J28" s="30">
        <f>all!J103</f>
        <v>412</v>
      </c>
      <c r="K28" s="41">
        <f>all!K103</f>
        <v>1</v>
      </c>
      <c r="L28" s="30">
        <f>all!L103</f>
        <v>946</v>
      </c>
      <c r="M28" s="41">
        <f>all!M103</f>
        <v>1</v>
      </c>
      <c r="N28" s="30">
        <f>all!N103</f>
        <v>2935</v>
      </c>
      <c r="O28" s="41">
        <f>all!O103</f>
        <v>0.99999999999999989</v>
      </c>
      <c r="P28" s="13"/>
      <c r="Q28" s="13"/>
      <c r="R28" s="13"/>
    </row>
    <row r="29" spans="1:18" x14ac:dyDescent="0.2">
      <c r="A29" s="135"/>
      <c r="B29" s="80"/>
      <c r="C29" s="78"/>
      <c r="D29" s="80"/>
      <c r="E29" s="78"/>
      <c r="F29" s="80"/>
      <c r="G29" s="78"/>
      <c r="H29" s="80"/>
      <c r="I29" s="78"/>
      <c r="J29" s="80"/>
      <c r="K29" s="78"/>
      <c r="L29" s="80"/>
      <c r="M29" s="78"/>
      <c r="N29" s="80"/>
      <c r="O29" s="134"/>
      <c r="P29" s="13"/>
      <c r="Q29" s="13"/>
      <c r="R29" s="13"/>
    </row>
    <row r="30" spans="1:18" x14ac:dyDescent="0.2">
      <c r="A30" s="135"/>
      <c r="B30" s="73"/>
      <c r="C30" s="73"/>
      <c r="D30" s="73"/>
      <c r="G30" s="72"/>
      <c r="H30" s="33"/>
      <c r="P30" s="13"/>
      <c r="Q30" s="13"/>
      <c r="R30" s="13"/>
    </row>
    <row r="31" spans="1:18" ht="12.75" customHeight="1" x14ac:dyDescent="0.2">
      <c r="A31" s="108" t="str">
        <f>all!A105</f>
        <v>When do you prefer to take classes:</v>
      </c>
      <c r="B31" s="149" t="s">
        <v>128</v>
      </c>
      <c r="C31" s="149"/>
      <c r="D31" s="149" t="s">
        <v>99</v>
      </c>
      <c r="E31" s="149"/>
      <c r="F31" s="152" t="s">
        <v>136</v>
      </c>
      <c r="G31" s="152"/>
      <c r="H31" s="149" t="s">
        <v>101</v>
      </c>
      <c r="I31" s="149"/>
      <c r="J31" s="149" t="s">
        <v>129</v>
      </c>
      <c r="K31" s="149"/>
      <c r="L31" s="149" t="s">
        <v>126</v>
      </c>
      <c r="M31" s="149"/>
      <c r="N31" s="148" t="s">
        <v>1</v>
      </c>
      <c r="O31" s="148"/>
      <c r="P31" s="180" t="s">
        <v>133</v>
      </c>
      <c r="Q31" s="180"/>
      <c r="R31" s="180"/>
    </row>
    <row r="32" spans="1:18" x14ac:dyDescent="0.2">
      <c r="A32" s="26" t="str">
        <f>all!A106</f>
        <v xml:space="preserve"> in the morning</v>
      </c>
      <c r="B32" s="38">
        <f>all!B106</f>
        <v>302</v>
      </c>
      <c r="C32" s="39">
        <f>all!C106</f>
        <v>0.62012320328542092</v>
      </c>
      <c r="D32" s="38">
        <f>all!D106</f>
        <v>20</v>
      </c>
      <c r="E32" s="39">
        <f>all!E106</f>
        <v>0.52631578947368418</v>
      </c>
      <c r="F32" s="38">
        <f>all!F106</f>
        <v>67</v>
      </c>
      <c r="G32" s="39">
        <f>all!G106</f>
        <v>0.33333333333333331</v>
      </c>
      <c r="H32" s="38">
        <f>all!H106</f>
        <v>583</v>
      </c>
      <c r="I32" s="39">
        <f>all!I106</f>
        <v>0.6484983314794216</v>
      </c>
      <c r="J32" s="38">
        <f>all!J106</f>
        <v>158</v>
      </c>
      <c r="K32" s="39">
        <f>all!K106</f>
        <v>0.37264150943396224</v>
      </c>
      <c r="L32" s="38">
        <f>all!L106</f>
        <v>532</v>
      </c>
      <c r="M32" s="39">
        <f>all!M106</f>
        <v>0.54341164453524005</v>
      </c>
      <c r="N32" s="29">
        <f>all!N106</f>
        <v>1662</v>
      </c>
      <c r="O32" s="39">
        <f>all!O106</f>
        <v>0.54887714663143994</v>
      </c>
      <c r="P32" s="180"/>
      <c r="Q32" s="180"/>
      <c r="R32" s="180"/>
    </row>
    <row r="33" spans="1:18" x14ac:dyDescent="0.2">
      <c r="A33" s="26" t="str">
        <f>all!A107</f>
        <v xml:space="preserve"> in the afternoon</v>
      </c>
      <c r="B33" s="38">
        <f>all!B107</f>
        <v>279</v>
      </c>
      <c r="C33" s="39">
        <f>all!C107</f>
        <v>0.5728952772073922</v>
      </c>
      <c r="D33" s="38">
        <f>all!D107</f>
        <v>20</v>
      </c>
      <c r="E33" s="39">
        <f>all!E107</f>
        <v>0.52631578947368418</v>
      </c>
      <c r="F33" s="38">
        <f>all!F107</f>
        <v>71</v>
      </c>
      <c r="G33" s="39">
        <f>all!G107</f>
        <v>0.35323383084577115</v>
      </c>
      <c r="H33" s="38">
        <f>all!H107</f>
        <v>559</v>
      </c>
      <c r="I33" s="39">
        <f>all!I107</f>
        <v>0.62180200222469406</v>
      </c>
      <c r="J33" s="38">
        <f>all!J107</f>
        <v>147</v>
      </c>
      <c r="K33" s="39">
        <f>all!K107</f>
        <v>0.34669811320754718</v>
      </c>
      <c r="L33" s="38">
        <f>all!L107</f>
        <v>528</v>
      </c>
      <c r="M33" s="39">
        <f>all!M107</f>
        <v>0.5393258426966292</v>
      </c>
      <c r="N33" s="29">
        <f>all!N107</f>
        <v>1604</v>
      </c>
      <c r="O33" s="39">
        <f>all!O107</f>
        <v>0.52972258916776749</v>
      </c>
      <c r="P33" s="180"/>
      <c r="Q33" s="180"/>
      <c r="R33" s="180"/>
    </row>
    <row r="34" spans="1:18" x14ac:dyDescent="0.2">
      <c r="A34" s="26" t="str">
        <f>all!A108</f>
        <v xml:space="preserve"> in the evening</v>
      </c>
      <c r="B34" s="38">
        <f>all!B108</f>
        <v>183</v>
      </c>
      <c r="C34" s="39">
        <f>all!C108</f>
        <v>0.37577002053388092</v>
      </c>
      <c r="D34" s="38">
        <f>all!D108</f>
        <v>16</v>
      </c>
      <c r="E34" s="39">
        <f>all!E108</f>
        <v>0.42105263157894735</v>
      </c>
      <c r="F34" s="38">
        <f>all!F108</f>
        <v>129</v>
      </c>
      <c r="G34" s="39">
        <f>all!G108</f>
        <v>0.64179104477611937</v>
      </c>
      <c r="H34" s="38">
        <f>all!H108</f>
        <v>293</v>
      </c>
      <c r="I34" s="39">
        <f>all!I108</f>
        <v>0.32591768631813128</v>
      </c>
      <c r="J34" s="38">
        <f>all!J108</f>
        <v>263</v>
      </c>
      <c r="K34" s="39">
        <f>all!K108</f>
        <v>0.62028301886792447</v>
      </c>
      <c r="L34" s="38">
        <f>all!L108</f>
        <v>420</v>
      </c>
      <c r="M34" s="39">
        <f>all!M108</f>
        <v>0.42900919305413687</v>
      </c>
      <c r="N34" s="29">
        <f>all!N108</f>
        <v>1304</v>
      </c>
      <c r="O34" s="39">
        <f>all!O108</f>
        <v>0.43064729194187584</v>
      </c>
      <c r="P34" s="180"/>
      <c r="Q34" s="180"/>
      <c r="R34" s="180"/>
    </row>
    <row r="35" spans="1:18" x14ac:dyDescent="0.2">
      <c r="A35" s="26" t="str">
        <f>all!A109</f>
        <v>on the weekend</v>
      </c>
      <c r="B35" s="38">
        <f>all!B109</f>
        <v>54</v>
      </c>
      <c r="C35" s="39">
        <f>all!C109</f>
        <v>0.11088295687885011</v>
      </c>
      <c r="D35" s="38">
        <f>all!D109</f>
        <v>4</v>
      </c>
      <c r="E35" s="39">
        <f>all!E109</f>
        <v>0.10526315789473684</v>
      </c>
      <c r="F35" s="38">
        <f>all!F109</f>
        <v>72</v>
      </c>
      <c r="G35" s="39">
        <f>all!G109</f>
        <v>0.35820895522388058</v>
      </c>
      <c r="H35" s="38">
        <f>all!H109</f>
        <v>60</v>
      </c>
      <c r="I35" s="39">
        <f>all!I109</f>
        <v>6.6740823136818686E-2</v>
      </c>
      <c r="J35" s="38">
        <f>all!J109</f>
        <v>146</v>
      </c>
      <c r="K35" s="39">
        <f>all!K109</f>
        <v>0.34433962264150941</v>
      </c>
      <c r="L35" s="38">
        <f>all!L109</f>
        <v>128</v>
      </c>
      <c r="M35" s="39">
        <f>all!M109</f>
        <v>0.13074565883554648</v>
      </c>
      <c r="N35" s="29">
        <f>all!N109</f>
        <v>464</v>
      </c>
      <c r="O35" s="39">
        <f>all!O109</f>
        <v>0.15323645970937913</v>
      </c>
      <c r="P35" s="180"/>
      <c r="Q35" s="180"/>
      <c r="R35" s="180"/>
    </row>
    <row r="36" spans="1:18" x14ac:dyDescent="0.2">
      <c r="A36" s="80"/>
      <c r="B36" s="80"/>
      <c r="C36" s="78"/>
      <c r="D36" s="80"/>
      <c r="E36" s="78"/>
      <c r="F36" s="80"/>
      <c r="G36" s="78"/>
      <c r="H36" s="80"/>
      <c r="I36" s="78"/>
      <c r="J36" s="80"/>
      <c r="K36" s="78"/>
      <c r="L36" s="80"/>
      <c r="M36" s="78"/>
      <c r="N36" s="32"/>
    </row>
    <row r="37" spans="1:18" x14ac:dyDescent="0.2">
      <c r="A37" s="33"/>
      <c r="C37" s="16"/>
      <c r="E37" s="16"/>
      <c r="G37" s="16"/>
      <c r="H37" s="33"/>
      <c r="I37" s="16"/>
      <c r="K37" s="16"/>
      <c r="M37" s="16"/>
      <c r="O37" s="16"/>
    </row>
    <row r="38" spans="1:18" x14ac:dyDescent="0.2">
      <c r="A38" s="33"/>
    </row>
    <row r="39" spans="1:18" x14ac:dyDescent="0.2">
      <c r="A39" s="33"/>
    </row>
  </sheetData>
  <mergeCells count="36">
    <mergeCell ref="L23:M23"/>
    <mergeCell ref="N23:O23"/>
    <mergeCell ref="B16:C16"/>
    <mergeCell ref="D16:E16"/>
    <mergeCell ref="F16:G16"/>
    <mergeCell ref="H16:I16"/>
    <mergeCell ref="J16:K16"/>
    <mergeCell ref="L16:M16"/>
    <mergeCell ref="N16:O16"/>
    <mergeCell ref="B23:C23"/>
    <mergeCell ref="D23:E23"/>
    <mergeCell ref="F23:G23"/>
    <mergeCell ref="H23:I23"/>
    <mergeCell ref="J23:K23"/>
    <mergeCell ref="P31:R35"/>
    <mergeCell ref="B3:C3"/>
    <mergeCell ref="D3:E3"/>
    <mergeCell ref="F3:G3"/>
    <mergeCell ref="H3:I3"/>
    <mergeCell ref="J3:K3"/>
    <mergeCell ref="L3:M3"/>
    <mergeCell ref="N3:O3"/>
    <mergeCell ref="N31:O31"/>
    <mergeCell ref="B31:C31"/>
    <mergeCell ref="D31:E31"/>
    <mergeCell ref="F31:G31"/>
    <mergeCell ref="H31:I31"/>
    <mergeCell ref="J31:K31"/>
    <mergeCell ref="L31:M31"/>
    <mergeCell ref="L11:M11"/>
    <mergeCell ref="N11:O11"/>
    <mergeCell ref="B11:C11"/>
    <mergeCell ref="D11:E11"/>
    <mergeCell ref="F11:G11"/>
    <mergeCell ref="H11:I11"/>
    <mergeCell ref="J11:K11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
11/12/2010-kw&amp;C&amp;F&amp;R&amp;P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6"/>
  <sheetViews>
    <sheetView zoomScaleNormal="100" workbookViewId="0">
      <selection activeCell="A4" sqref="A4"/>
    </sheetView>
  </sheetViews>
  <sheetFormatPr defaultRowHeight="12.75" x14ac:dyDescent="0.2"/>
  <cols>
    <col min="1" max="1" width="39.140625" style="21" customWidth="1"/>
    <col min="2" max="7" width="7" style="10" customWidth="1"/>
    <col min="8" max="8" width="7" style="11" customWidth="1"/>
    <col min="9" max="15" width="7" style="10" customWidth="1"/>
    <col min="16" max="16" width="2.28515625" style="10" customWidth="1"/>
    <col min="17" max="17" width="38" style="12" bestFit="1" customWidth="1"/>
    <col min="18" max="16384" width="9.140625" style="12"/>
  </cols>
  <sheetData>
    <row r="1" spans="1:24" ht="15.75" x14ac:dyDescent="0.2">
      <c r="A1" s="127" t="s">
        <v>218</v>
      </c>
      <c r="P1" s="12"/>
    </row>
    <row r="2" spans="1:24" x14ac:dyDescent="0.2">
      <c r="A2" s="81" t="s">
        <v>233</v>
      </c>
      <c r="P2" s="12"/>
    </row>
    <row r="3" spans="1:24" x14ac:dyDescent="0.2">
      <c r="A3" s="81" t="s">
        <v>0</v>
      </c>
      <c r="B3" s="1"/>
      <c r="C3" s="2"/>
      <c r="D3" s="1"/>
      <c r="E3" s="2"/>
      <c r="F3" s="1"/>
      <c r="G3" s="2"/>
      <c r="H3" s="1"/>
      <c r="I3" s="2"/>
      <c r="J3" s="1"/>
      <c r="K3" s="2"/>
      <c r="L3" s="1"/>
      <c r="M3" s="2"/>
      <c r="N3" s="15"/>
      <c r="P3" s="12"/>
    </row>
    <row r="4" spans="1:24" x14ac:dyDescent="0.2">
      <c r="A4" s="7" t="s">
        <v>52</v>
      </c>
      <c r="G4" s="11"/>
      <c r="H4" s="17" t="s">
        <v>0</v>
      </c>
    </row>
    <row r="5" spans="1:24" x14ac:dyDescent="0.2">
      <c r="A5" s="108" t="str">
        <f>all!A121</f>
        <v>Quality of instruction</v>
      </c>
      <c r="B5" s="151" t="s">
        <v>128</v>
      </c>
      <c r="C5" s="151"/>
      <c r="D5" s="151" t="s">
        <v>99</v>
      </c>
      <c r="E5" s="151"/>
      <c r="F5" s="150" t="s">
        <v>136</v>
      </c>
      <c r="G5" s="150"/>
      <c r="H5" s="151" t="s">
        <v>101</v>
      </c>
      <c r="I5" s="151"/>
      <c r="J5" s="151" t="s">
        <v>129</v>
      </c>
      <c r="K5" s="151"/>
      <c r="L5" s="151" t="s">
        <v>126</v>
      </c>
      <c r="M5" s="151"/>
      <c r="N5" s="148" t="s">
        <v>1</v>
      </c>
      <c r="O5" s="148"/>
      <c r="Q5" s="85" t="s">
        <v>52</v>
      </c>
      <c r="R5" s="86" t="s">
        <v>128</v>
      </c>
      <c r="S5" s="86" t="s">
        <v>99</v>
      </c>
      <c r="T5" s="87" t="s">
        <v>136</v>
      </c>
      <c r="U5" s="86" t="s">
        <v>101</v>
      </c>
      <c r="V5" s="86" t="s">
        <v>129</v>
      </c>
      <c r="W5" s="86" t="s">
        <v>126</v>
      </c>
      <c r="X5" s="31" t="s">
        <v>1</v>
      </c>
    </row>
    <row r="6" spans="1:24" x14ac:dyDescent="0.2">
      <c r="A6" s="26" t="s">
        <v>28</v>
      </c>
      <c r="B6" s="38">
        <f>all!B122</f>
        <v>234</v>
      </c>
      <c r="C6" s="39">
        <f>all!C122</f>
        <v>0.48749999999999999</v>
      </c>
      <c r="D6" s="38">
        <f>all!D122</f>
        <v>19</v>
      </c>
      <c r="E6" s="39">
        <f>all!E122</f>
        <v>0.52777777777777779</v>
      </c>
      <c r="F6" s="38">
        <f>all!F122</f>
        <v>55</v>
      </c>
      <c r="G6" s="39">
        <f>all!G122</f>
        <v>0.28497409326424872</v>
      </c>
      <c r="H6" s="38">
        <f>all!H122</f>
        <v>406</v>
      </c>
      <c r="I6" s="39">
        <f>all!I122</f>
        <v>0.45823927765237021</v>
      </c>
      <c r="J6" s="38">
        <f>all!J122</f>
        <v>160</v>
      </c>
      <c r="K6" s="39">
        <f>all!K122</f>
        <v>0.38740920096852299</v>
      </c>
      <c r="L6" s="38">
        <f>all!L122</f>
        <v>428</v>
      </c>
      <c r="M6" s="39">
        <f>all!M122</f>
        <v>0.44816753926701569</v>
      </c>
      <c r="N6" s="29">
        <f>all!N122</f>
        <v>1302</v>
      </c>
      <c r="O6" s="39">
        <f>all!O122</f>
        <v>0.4394195072561593</v>
      </c>
      <c r="Q6" s="88" t="s">
        <v>40</v>
      </c>
      <c r="R6" s="89">
        <f>C11</f>
        <v>0.9458333333333333</v>
      </c>
      <c r="S6" s="89">
        <f>E11</f>
        <v>0.91666666666666674</v>
      </c>
      <c r="T6" s="136">
        <f>G11</f>
        <v>0.87564766839378239</v>
      </c>
      <c r="U6" s="89">
        <f>I11</f>
        <v>0.95033860045146734</v>
      </c>
      <c r="V6" s="89">
        <f>K11</f>
        <v>0.92251815980629548</v>
      </c>
      <c r="W6" s="89">
        <f>M11</f>
        <v>0.9403141361256544</v>
      </c>
      <c r="X6" s="89">
        <f>O11</f>
        <v>0.93722578467769146</v>
      </c>
    </row>
    <row r="7" spans="1:24" ht="12.75" customHeight="1" x14ac:dyDescent="0.2">
      <c r="A7" s="26" t="s">
        <v>27</v>
      </c>
      <c r="B7" s="38">
        <f>all!B123</f>
        <v>220</v>
      </c>
      <c r="C7" s="39">
        <f>all!C123</f>
        <v>0.45833333333333331</v>
      </c>
      <c r="D7" s="38">
        <f>all!D123</f>
        <v>14</v>
      </c>
      <c r="E7" s="39">
        <f>all!E123</f>
        <v>0.3888888888888889</v>
      </c>
      <c r="F7" s="38">
        <f>all!F123</f>
        <v>114</v>
      </c>
      <c r="G7" s="39">
        <f>all!G123</f>
        <v>0.59067357512953367</v>
      </c>
      <c r="H7" s="38">
        <f>all!H123</f>
        <v>436</v>
      </c>
      <c r="I7" s="39">
        <f>all!I123</f>
        <v>0.49209932279909707</v>
      </c>
      <c r="J7" s="38">
        <f>all!J123</f>
        <v>221</v>
      </c>
      <c r="K7" s="39">
        <f>all!K123</f>
        <v>0.53510895883777243</v>
      </c>
      <c r="L7" s="38">
        <f>all!L123</f>
        <v>470</v>
      </c>
      <c r="M7" s="39">
        <f>all!M123</f>
        <v>0.49214659685863876</v>
      </c>
      <c r="N7" s="29">
        <f>all!N123</f>
        <v>1475</v>
      </c>
      <c r="O7" s="39">
        <f>all!O123</f>
        <v>0.49780627742153222</v>
      </c>
      <c r="Q7" s="88" t="s">
        <v>231</v>
      </c>
      <c r="R7" s="89">
        <f>C19</f>
        <v>0.98121085594989566</v>
      </c>
      <c r="S7" s="89">
        <f>E19</f>
        <v>1</v>
      </c>
      <c r="T7" s="89">
        <f>G19</f>
        <v>0.95811518324607325</v>
      </c>
      <c r="U7" s="89">
        <f>I19</f>
        <v>0.97175141242937857</v>
      </c>
      <c r="V7" s="89">
        <f>K19</f>
        <v>0.98062953995157387</v>
      </c>
      <c r="W7" s="89">
        <f>M19</f>
        <v>0.97074190177638453</v>
      </c>
      <c r="X7" s="89">
        <f>O19</f>
        <v>0.97365754812563321</v>
      </c>
    </row>
    <row r="8" spans="1:24" ht="12.75" customHeight="1" x14ac:dyDescent="0.2">
      <c r="A8" s="26" t="s">
        <v>26</v>
      </c>
      <c r="B8" s="38">
        <f>all!B124</f>
        <v>23</v>
      </c>
      <c r="C8" s="39">
        <f>all!C124</f>
        <v>4.791666666666667E-2</v>
      </c>
      <c r="D8" s="38">
        <f>all!D124</f>
        <v>3</v>
      </c>
      <c r="E8" s="39">
        <f>all!E124</f>
        <v>8.3333333333333329E-2</v>
      </c>
      <c r="F8" s="38">
        <f>all!F124</f>
        <v>16</v>
      </c>
      <c r="G8" s="39">
        <f>all!G124</f>
        <v>8.2901554404145081E-2</v>
      </c>
      <c r="H8" s="38">
        <f>all!H124</f>
        <v>32</v>
      </c>
      <c r="I8" s="39">
        <f>all!I124</f>
        <v>3.6117381489841983E-2</v>
      </c>
      <c r="J8" s="38">
        <f>all!J124</f>
        <v>25</v>
      </c>
      <c r="K8" s="39">
        <f>all!K124</f>
        <v>6.0532687651331719E-2</v>
      </c>
      <c r="L8" s="38">
        <f>all!L124</f>
        <v>41</v>
      </c>
      <c r="M8" s="39">
        <f>all!M124</f>
        <v>4.2931937172774867E-2</v>
      </c>
      <c r="N8" s="29">
        <f>all!N124</f>
        <v>140</v>
      </c>
      <c r="O8" s="39">
        <f>all!O124</f>
        <v>4.7249409382382722E-2</v>
      </c>
      <c r="Q8" s="88" t="s">
        <v>54</v>
      </c>
      <c r="R8" s="89">
        <f>C27</f>
        <v>0.95397489539748959</v>
      </c>
      <c r="S8" s="89">
        <f>E27</f>
        <v>0.97297297297297303</v>
      </c>
      <c r="T8" s="136">
        <f>G27</f>
        <v>0.82901554404145084</v>
      </c>
      <c r="U8" s="89">
        <f>I27</f>
        <v>0.93990929705215431</v>
      </c>
      <c r="V8" s="89">
        <f>K27</f>
        <v>0.89638554216867472</v>
      </c>
      <c r="W8" s="89">
        <f>M27</f>
        <v>0.92050209205020916</v>
      </c>
      <c r="X8" s="89">
        <f>O27</f>
        <v>0.92299898682877402</v>
      </c>
    </row>
    <row r="9" spans="1:24" x14ac:dyDescent="0.2">
      <c r="A9" s="26" t="s">
        <v>25</v>
      </c>
      <c r="B9" s="38">
        <f>all!B125</f>
        <v>3</v>
      </c>
      <c r="C9" s="39">
        <f>all!C125</f>
        <v>6.2500000000000003E-3</v>
      </c>
      <c r="D9" s="38">
        <f>all!D125</f>
        <v>0</v>
      </c>
      <c r="E9" s="39">
        <f>all!E125</f>
        <v>0</v>
      </c>
      <c r="F9" s="38">
        <f>all!F125</f>
        <v>8</v>
      </c>
      <c r="G9" s="39">
        <f>all!G125</f>
        <v>4.145077720207254E-2</v>
      </c>
      <c r="H9" s="38">
        <f>all!H125</f>
        <v>12</v>
      </c>
      <c r="I9" s="39">
        <f>all!I125</f>
        <v>1.3544018058690745E-2</v>
      </c>
      <c r="J9" s="38">
        <f>all!J125</f>
        <v>7</v>
      </c>
      <c r="K9" s="39">
        <f>all!K125</f>
        <v>1.6949152542372881E-2</v>
      </c>
      <c r="L9" s="38">
        <f>all!L125</f>
        <v>16</v>
      </c>
      <c r="M9" s="39">
        <f>all!M125</f>
        <v>1.6753926701570682E-2</v>
      </c>
      <c r="N9" s="29">
        <f>all!N125</f>
        <v>46</v>
      </c>
      <c r="O9" s="39">
        <f>all!O125</f>
        <v>1.5524805939925751E-2</v>
      </c>
      <c r="Q9" s="88" t="s">
        <v>55</v>
      </c>
      <c r="R9" s="89">
        <f>C35</f>
        <v>0.96861924686192469</v>
      </c>
      <c r="S9" s="89">
        <f>E35</f>
        <v>0.97142857142857131</v>
      </c>
      <c r="T9" s="89">
        <f>G35</f>
        <v>0.9015544041450777</v>
      </c>
      <c r="U9" s="89">
        <f>I35</f>
        <v>0.96493212669683259</v>
      </c>
      <c r="V9" s="89">
        <f>K35</f>
        <v>0.94698795180722894</v>
      </c>
      <c r="W9" s="89">
        <f>M35</f>
        <v>0.95702306079664567</v>
      </c>
      <c r="X9" s="89">
        <f>O35</f>
        <v>0.95640419060493409</v>
      </c>
    </row>
    <row r="10" spans="1:24" s="14" customFormat="1" x14ac:dyDescent="0.2">
      <c r="A10" s="108" t="s">
        <v>1</v>
      </c>
      <c r="B10" s="30">
        <f>all!B126</f>
        <v>480</v>
      </c>
      <c r="C10" s="41">
        <f>all!C126</f>
        <v>1</v>
      </c>
      <c r="D10" s="30">
        <f>all!D126</f>
        <v>36</v>
      </c>
      <c r="E10" s="41">
        <f>all!E126</f>
        <v>1</v>
      </c>
      <c r="F10" s="30">
        <f>all!F126</f>
        <v>193</v>
      </c>
      <c r="G10" s="41">
        <f>all!G126</f>
        <v>1</v>
      </c>
      <c r="H10" s="30">
        <f>all!H126</f>
        <v>886</v>
      </c>
      <c r="I10" s="41">
        <f>all!I126</f>
        <v>1</v>
      </c>
      <c r="J10" s="30">
        <f>all!J126</f>
        <v>413</v>
      </c>
      <c r="K10" s="41">
        <f>all!K126</f>
        <v>1</v>
      </c>
      <c r="L10" s="30">
        <f>all!L126</f>
        <v>955</v>
      </c>
      <c r="M10" s="41">
        <f>all!M126</f>
        <v>1</v>
      </c>
      <c r="N10" s="30">
        <f>all!N126</f>
        <v>2963</v>
      </c>
      <c r="O10" s="41">
        <f>all!O126</f>
        <v>1</v>
      </c>
      <c r="P10" s="13"/>
      <c r="Q10" s="88" t="s">
        <v>56</v>
      </c>
      <c r="R10" s="89">
        <f>C43</f>
        <v>0.91841004184100417</v>
      </c>
      <c r="S10" s="89">
        <f>E43</f>
        <v>0.91666666666666674</v>
      </c>
      <c r="T10" s="136">
        <f>G43</f>
        <v>0.83419689119170992</v>
      </c>
      <c r="U10" s="89">
        <f>I43</f>
        <v>0.91269841269841279</v>
      </c>
      <c r="V10" s="136">
        <f>K43</f>
        <v>0.87651331719128334</v>
      </c>
      <c r="W10" s="136">
        <f>M43</f>
        <v>0.88272251308900529</v>
      </c>
      <c r="X10" s="136">
        <f>O43</f>
        <v>0.8938112952316537</v>
      </c>
    </row>
    <row r="11" spans="1:24" x14ac:dyDescent="0.2">
      <c r="A11" s="108" t="s">
        <v>115</v>
      </c>
      <c r="B11" s="25"/>
      <c r="C11" s="65">
        <f>all!C127</f>
        <v>0.9458333333333333</v>
      </c>
      <c r="D11" s="25"/>
      <c r="E11" s="65">
        <f>all!E127</f>
        <v>0.91666666666666674</v>
      </c>
      <c r="F11" s="25"/>
      <c r="G11" s="65">
        <f>all!G127</f>
        <v>0.87564766839378239</v>
      </c>
      <c r="H11" s="25"/>
      <c r="I11" s="65">
        <f>all!I127</f>
        <v>0.95033860045146734</v>
      </c>
      <c r="J11" s="25"/>
      <c r="K11" s="65">
        <f>all!K127</f>
        <v>0.92251815980629548</v>
      </c>
      <c r="L11" s="25"/>
      <c r="M11" s="65">
        <f>all!M127</f>
        <v>0.9403141361256544</v>
      </c>
      <c r="N11" s="30"/>
      <c r="O11" s="65">
        <f>all!O127</f>
        <v>0.93722578467769146</v>
      </c>
      <c r="Q11" s="88" t="s">
        <v>57</v>
      </c>
      <c r="R11" s="89">
        <f>C51</f>
        <v>0.93096234309623438</v>
      </c>
      <c r="S11" s="89">
        <f>E51</f>
        <v>0.91891891891891897</v>
      </c>
      <c r="T11" s="136">
        <f>G51</f>
        <v>0.85416666666666674</v>
      </c>
      <c r="U11" s="89">
        <f>I51</f>
        <v>0.90702947845804993</v>
      </c>
      <c r="V11" s="136">
        <f>K51</f>
        <v>0.87710843373493974</v>
      </c>
      <c r="W11" s="89">
        <f>M51</f>
        <v>0.90062761506276146</v>
      </c>
      <c r="X11" s="89">
        <f>O51</f>
        <v>0.90135135135135136</v>
      </c>
    </row>
    <row r="12" spans="1:24" x14ac:dyDescent="0.2">
      <c r="A12" s="19"/>
      <c r="B12" s="4"/>
      <c r="G12" s="11"/>
      <c r="H12" s="10"/>
      <c r="Q12" s="88" t="s">
        <v>137</v>
      </c>
      <c r="R12" s="89">
        <f>C59</f>
        <v>0.98953974895397478</v>
      </c>
      <c r="S12" s="89">
        <f>E59</f>
        <v>0.97297297297297303</v>
      </c>
      <c r="T12" s="89">
        <f>G59</f>
        <v>0.9893617021276595</v>
      </c>
      <c r="U12" s="89">
        <f>I59</f>
        <v>0.97954545454545461</v>
      </c>
      <c r="V12" s="89">
        <f>K59</f>
        <v>0.98300970873786397</v>
      </c>
      <c r="W12" s="89">
        <f>M59</f>
        <v>0.97172774869109946</v>
      </c>
      <c r="X12" s="89">
        <f>O59</f>
        <v>0.97966101694915253</v>
      </c>
    </row>
    <row r="13" spans="1:24" x14ac:dyDescent="0.2">
      <c r="A13" s="108" t="str">
        <f>all!A129</f>
        <v xml:space="preserve"> Instructor's knowledge of subject(s)</v>
      </c>
      <c r="B13" s="151" t="s">
        <v>128</v>
      </c>
      <c r="C13" s="151"/>
      <c r="D13" s="151" t="s">
        <v>99</v>
      </c>
      <c r="E13" s="151"/>
      <c r="F13" s="150" t="s">
        <v>136</v>
      </c>
      <c r="G13" s="150"/>
      <c r="H13" s="151" t="s">
        <v>101</v>
      </c>
      <c r="I13" s="151"/>
      <c r="J13" s="151" t="s">
        <v>129</v>
      </c>
      <c r="K13" s="151"/>
      <c r="L13" s="151" t="s">
        <v>126</v>
      </c>
      <c r="M13" s="151"/>
      <c r="N13" s="148" t="s">
        <v>1</v>
      </c>
      <c r="O13" s="148"/>
      <c r="Q13" s="88" t="s">
        <v>59</v>
      </c>
      <c r="R13" s="136">
        <f>C67</f>
        <v>0.83682008368200833</v>
      </c>
      <c r="S13" s="136">
        <f>E67</f>
        <v>0.83333333333333326</v>
      </c>
      <c r="T13" s="89">
        <f>G67</f>
        <v>0.90052356020942415</v>
      </c>
      <c r="U13" s="136">
        <f>I67</f>
        <v>0.79431818181818181</v>
      </c>
      <c r="V13" s="136">
        <f>K67</f>
        <v>0.84261501210653755</v>
      </c>
      <c r="W13" s="136">
        <f>M67</f>
        <v>0.77754459601259174</v>
      </c>
      <c r="X13" s="136">
        <f>O67</f>
        <v>0.80989495086411378</v>
      </c>
    </row>
    <row r="14" spans="1:24" x14ac:dyDescent="0.2">
      <c r="A14" s="26" t="s">
        <v>28</v>
      </c>
      <c r="B14" s="38">
        <f>all!B130</f>
        <v>323</v>
      </c>
      <c r="C14" s="39">
        <f>all!C130</f>
        <v>0.67432150313152406</v>
      </c>
      <c r="D14" s="38">
        <f>all!D130</f>
        <v>25</v>
      </c>
      <c r="E14" s="39">
        <f>all!E130</f>
        <v>0.69444444444444442</v>
      </c>
      <c r="F14" s="38">
        <f>all!F130</f>
        <v>97</v>
      </c>
      <c r="G14" s="39">
        <f>all!G130</f>
        <v>0.50785340314136129</v>
      </c>
      <c r="H14" s="38">
        <f>all!H130</f>
        <v>552</v>
      </c>
      <c r="I14" s="39">
        <f>all!I130</f>
        <v>0.62372881355932208</v>
      </c>
      <c r="J14" s="38">
        <f>all!J130</f>
        <v>221</v>
      </c>
      <c r="K14" s="39">
        <f>all!K130</f>
        <v>0.53510895883777243</v>
      </c>
      <c r="L14" s="38">
        <f>all!L130</f>
        <v>602</v>
      </c>
      <c r="M14" s="39">
        <f>all!M130</f>
        <v>0.62904911180773249</v>
      </c>
      <c r="N14" s="29">
        <f>all!N130</f>
        <v>1820</v>
      </c>
      <c r="O14" s="39">
        <f>all!O130</f>
        <v>0.61465721040189125</v>
      </c>
      <c r="Q14" s="88" t="s">
        <v>60</v>
      </c>
      <c r="R14" s="89">
        <f>C75</f>
        <v>0.96666666666666667</v>
      </c>
      <c r="S14" s="136">
        <f>E75</f>
        <v>0.89189189189189189</v>
      </c>
      <c r="T14" s="136">
        <f>G75</f>
        <v>0.89473684210526327</v>
      </c>
      <c r="U14" s="89">
        <f>I75</f>
        <v>0.9546485260770976</v>
      </c>
      <c r="V14" s="89">
        <f>K75</f>
        <v>0.93946731234866832</v>
      </c>
      <c r="W14" s="89">
        <f>M75</f>
        <v>0.9454926624737946</v>
      </c>
      <c r="X14" s="89">
        <f>O75</f>
        <v>0.94688768606224627</v>
      </c>
    </row>
    <row r="15" spans="1:24" x14ac:dyDescent="0.2">
      <c r="A15" s="26" t="s">
        <v>27</v>
      </c>
      <c r="B15" s="38">
        <f>all!B131</f>
        <v>147</v>
      </c>
      <c r="C15" s="39">
        <f>all!C131</f>
        <v>0.3068893528183716</v>
      </c>
      <c r="D15" s="38">
        <f>all!D131</f>
        <v>11</v>
      </c>
      <c r="E15" s="39">
        <f>all!E131</f>
        <v>0.30555555555555558</v>
      </c>
      <c r="F15" s="38">
        <f>all!F131</f>
        <v>86</v>
      </c>
      <c r="G15" s="39">
        <f>all!G131</f>
        <v>0.45026178010471202</v>
      </c>
      <c r="H15" s="38">
        <f>all!H131</f>
        <v>308</v>
      </c>
      <c r="I15" s="39">
        <f>all!I131</f>
        <v>0.34802259887005649</v>
      </c>
      <c r="J15" s="38">
        <f>all!J131</f>
        <v>184</v>
      </c>
      <c r="K15" s="39">
        <f>all!K131</f>
        <v>0.44552058111380144</v>
      </c>
      <c r="L15" s="38">
        <f>all!L131</f>
        <v>327</v>
      </c>
      <c r="M15" s="39">
        <f>all!M131</f>
        <v>0.34169278996865204</v>
      </c>
      <c r="N15" s="29">
        <f>all!N131</f>
        <v>1063</v>
      </c>
      <c r="O15" s="39">
        <f>all!O131</f>
        <v>0.35900033772374196</v>
      </c>
    </row>
    <row r="16" spans="1:24" x14ac:dyDescent="0.2">
      <c r="A16" s="26" t="s">
        <v>26</v>
      </c>
      <c r="B16" s="38">
        <f>all!B132</f>
        <v>8</v>
      </c>
      <c r="C16" s="39">
        <f>all!C132</f>
        <v>1.6701461377870562E-2</v>
      </c>
      <c r="D16" s="38">
        <f>all!D132</f>
        <v>0</v>
      </c>
      <c r="E16" s="39">
        <f>all!E132</f>
        <v>0</v>
      </c>
      <c r="F16" s="38">
        <f>all!F132</f>
        <v>8</v>
      </c>
      <c r="G16" s="39">
        <f>all!G132</f>
        <v>4.1884816753926704E-2</v>
      </c>
      <c r="H16" s="38">
        <f>all!H132</f>
        <v>20</v>
      </c>
      <c r="I16" s="39">
        <f>all!I132</f>
        <v>2.2598870056497175E-2</v>
      </c>
      <c r="J16" s="38">
        <f>all!J132</f>
        <v>5</v>
      </c>
      <c r="K16" s="39">
        <f>all!K132</f>
        <v>1.2106537530266344E-2</v>
      </c>
      <c r="L16" s="38">
        <f>all!L132</f>
        <v>24</v>
      </c>
      <c r="M16" s="39">
        <f>all!M132</f>
        <v>2.5078369905956112E-2</v>
      </c>
      <c r="N16" s="29">
        <f>all!N132</f>
        <v>65</v>
      </c>
      <c r="O16" s="39">
        <f>all!O132</f>
        <v>2.1952043228638973E-2</v>
      </c>
    </row>
    <row r="17" spans="1:20" x14ac:dyDescent="0.2">
      <c r="A17" s="26" t="s">
        <v>25</v>
      </c>
      <c r="B17" s="38">
        <f>all!B133</f>
        <v>1</v>
      </c>
      <c r="C17" s="39">
        <f>all!C133</f>
        <v>2.0876826722338203E-3</v>
      </c>
      <c r="D17" s="38">
        <f>all!D133</f>
        <v>0</v>
      </c>
      <c r="E17" s="39">
        <f>all!E133</f>
        <v>0</v>
      </c>
      <c r="F17" s="38">
        <f>all!F133</f>
        <v>0</v>
      </c>
      <c r="G17" s="39">
        <f>all!G133</f>
        <v>0</v>
      </c>
      <c r="H17" s="38">
        <f>all!H133</f>
        <v>5</v>
      </c>
      <c r="I17" s="39">
        <f>all!I133</f>
        <v>5.6497175141242938E-3</v>
      </c>
      <c r="J17" s="38">
        <f>all!J133</f>
        <v>3</v>
      </c>
      <c r="K17" s="39">
        <f>all!K133</f>
        <v>7.2639225181598066E-3</v>
      </c>
      <c r="L17" s="38">
        <f>all!L133</f>
        <v>4</v>
      </c>
      <c r="M17" s="39">
        <f>all!M133</f>
        <v>4.1797283176593526E-3</v>
      </c>
      <c r="N17" s="29">
        <f>all!N133</f>
        <v>13</v>
      </c>
      <c r="O17" s="39">
        <f>all!O133</f>
        <v>4.3904086457277943E-3</v>
      </c>
    </row>
    <row r="18" spans="1:20" s="14" customFormat="1" x14ac:dyDescent="0.2">
      <c r="A18" s="108" t="s">
        <v>1</v>
      </c>
      <c r="B18" s="30">
        <f>all!B134</f>
        <v>479</v>
      </c>
      <c r="C18" s="41">
        <f>all!C134</f>
        <v>1</v>
      </c>
      <c r="D18" s="30">
        <f>all!D134</f>
        <v>36</v>
      </c>
      <c r="E18" s="41">
        <f>all!E134</f>
        <v>1</v>
      </c>
      <c r="F18" s="30">
        <f>all!F134</f>
        <v>191</v>
      </c>
      <c r="G18" s="41">
        <f>all!G134</f>
        <v>1</v>
      </c>
      <c r="H18" s="30">
        <f>all!H134</f>
        <v>885</v>
      </c>
      <c r="I18" s="41">
        <f>all!I134</f>
        <v>1</v>
      </c>
      <c r="J18" s="30">
        <f>all!J134</f>
        <v>413</v>
      </c>
      <c r="K18" s="41">
        <f>all!K134</f>
        <v>1</v>
      </c>
      <c r="L18" s="30">
        <f>all!L134</f>
        <v>957</v>
      </c>
      <c r="M18" s="41">
        <f>all!M134</f>
        <v>1</v>
      </c>
      <c r="N18" s="30">
        <f>all!N134</f>
        <v>2961</v>
      </c>
      <c r="O18" s="41">
        <f>all!O134</f>
        <v>1</v>
      </c>
      <c r="P18" s="13"/>
    </row>
    <row r="19" spans="1:20" x14ac:dyDescent="0.2">
      <c r="A19" s="108" t="s">
        <v>115</v>
      </c>
      <c r="B19" s="25"/>
      <c r="C19" s="65">
        <f>all!C135</f>
        <v>0.98121085594989566</v>
      </c>
      <c r="D19" s="25"/>
      <c r="E19" s="65">
        <f>all!E135</f>
        <v>1</v>
      </c>
      <c r="F19" s="25"/>
      <c r="G19" s="65">
        <f>all!G135</f>
        <v>0.95811518324607325</v>
      </c>
      <c r="H19" s="25"/>
      <c r="I19" s="65">
        <f>all!I135</f>
        <v>0.97175141242937857</v>
      </c>
      <c r="J19" s="25"/>
      <c r="K19" s="65">
        <f>all!K135</f>
        <v>0.98062953995157387</v>
      </c>
      <c r="L19" s="25"/>
      <c r="M19" s="65">
        <f>all!M135</f>
        <v>0.97074190177638453</v>
      </c>
      <c r="N19" s="30"/>
      <c r="O19" s="65">
        <f>all!O135</f>
        <v>0.97365754812563321</v>
      </c>
    </row>
    <row r="20" spans="1:20" x14ac:dyDescent="0.2">
      <c r="A20" s="19"/>
      <c r="B20" s="4"/>
      <c r="G20" s="11"/>
      <c r="H20" s="10"/>
    </row>
    <row r="21" spans="1:20" ht="24" x14ac:dyDescent="0.2">
      <c r="A21" s="108" t="str">
        <f>all!A137</f>
        <v>Course objectives &amp; requirements made clear</v>
      </c>
      <c r="B21" s="151" t="s">
        <v>128</v>
      </c>
      <c r="C21" s="151"/>
      <c r="D21" s="151" t="s">
        <v>99</v>
      </c>
      <c r="E21" s="151"/>
      <c r="F21" s="150" t="s">
        <v>136</v>
      </c>
      <c r="G21" s="150"/>
      <c r="H21" s="151" t="s">
        <v>101</v>
      </c>
      <c r="I21" s="151"/>
      <c r="J21" s="151" t="s">
        <v>129</v>
      </c>
      <c r="K21" s="151"/>
      <c r="L21" s="151" t="s">
        <v>126</v>
      </c>
      <c r="M21" s="151"/>
      <c r="N21" s="148" t="s">
        <v>1</v>
      </c>
      <c r="O21" s="148"/>
    </row>
    <row r="22" spans="1:20" x14ac:dyDescent="0.2">
      <c r="A22" s="26" t="s">
        <v>28</v>
      </c>
      <c r="B22" s="38">
        <f>all!B138</f>
        <v>254</v>
      </c>
      <c r="C22" s="39">
        <f>all!C138</f>
        <v>0.53138075313807531</v>
      </c>
      <c r="D22" s="38">
        <f>all!D138</f>
        <v>18</v>
      </c>
      <c r="E22" s="39">
        <f>all!E138</f>
        <v>0.48648648648648651</v>
      </c>
      <c r="F22" s="38">
        <f>all!F138</f>
        <v>76</v>
      </c>
      <c r="G22" s="39">
        <f>all!G138</f>
        <v>0.39378238341968913</v>
      </c>
      <c r="H22" s="38">
        <f>all!H138</f>
        <v>443</v>
      </c>
      <c r="I22" s="39">
        <f>all!I138</f>
        <v>0.50226757369614516</v>
      </c>
      <c r="J22" s="38">
        <f>all!J138</f>
        <v>180</v>
      </c>
      <c r="K22" s="39">
        <f>all!K138</f>
        <v>0.43373493975903615</v>
      </c>
      <c r="L22" s="38">
        <f>all!L138</f>
        <v>451</v>
      </c>
      <c r="M22" s="39">
        <f>all!M138</f>
        <v>0.47175732217573224</v>
      </c>
      <c r="N22" s="29">
        <f>all!N138</f>
        <v>1422</v>
      </c>
      <c r="O22" s="39">
        <f>all!O138</f>
        <v>0.48024316109422494</v>
      </c>
    </row>
    <row r="23" spans="1:20" x14ac:dyDescent="0.2">
      <c r="A23" s="26" t="s">
        <v>27</v>
      </c>
      <c r="B23" s="38">
        <f>all!B139</f>
        <v>202</v>
      </c>
      <c r="C23" s="39">
        <f>all!C139</f>
        <v>0.42259414225941422</v>
      </c>
      <c r="D23" s="38">
        <f>all!D139</f>
        <v>18</v>
      </c>
      <c r="E23" s="39">
        <f>all!E139</f>
        <v>0.48648648648648651</v>
      </c>
      <c r="F23" s="38">
        <f>all!F139</f>
        <v>84</v>
      </c>
      <c r="G23" s="39">
        <f>all!G139</f>
        <v>0.43523316062176165</v>
      </c>
      <c r="H23" s="38">
        <f>all!H139</f>
        <v>386</v>
      </c>
      <c r="I23" s="39">
        <f>all!I139</f>
        <v>0.43764172335600909</v>
      </c>
      <c r="J23" s="38">
        <f>all!J139</f>
        <v>192</v>
      </c>
      <c r="K23" s="39">
        <f>all!K139</f>
        <v>0.46265060240963857</v>
      </c>
      <c r="L23" s="38">
        <f>all!L139</f>
        <v>429</v>
      </c>
      <c r="M23" s="39">
        <f>all!M139</f>
        <v>0.44874476987447698</v>
      </c>
      <c r="N23" s="29">
        <f>all!N139</f>
        <v>1311</v>
      </c>
      <c r="O23" s="39">
        <f>all!O139</f>
        <v>0.44275582573454914</v>
      </c>
    </row>
    <row r="24" spans="1:20" x14ac:dyDescent="0.2">
      <c r="A24" s="26" t="s">
        <v>26</v>
      </c>
      <c r="B24" s="38">
        <f>all!B140</f>
        <v>20</v>
      </c>
      <c r="C24" s="39">
        <f>all!C140</f>
        <v>4.1841004184100417E-2</v>
      </c>
      <c r="D24" s="38">
        <f>all!D140</f>
        <v>1</v>
      </c>
      <c r="E24" s="39">
        <f>all!E140</f>
        <v>2.7027027027027029E-2</v>
      </c>
      <c r="F24" s="38">
        <f>all!F140</f>
        <v>25</v>
      </c>
      <c r="G24" s="39">
        <f>all!G140</f>
        <v>0.12953367875647667</v>
      </c>
      <c r="H24" s="38">
        <f>all!H140</f>
        <v>46</v>
      </c>
      <c r="I24" s="39">
        <f>all!I140</f>
        <v>5.2154195011337869E-2</v>
      </c>
      <c r="J24" s="38">
        <f>all!J140</f>
        <v>35</v>
      </c>
      <c r="K24" s="39">
        <f>all!K140</f>
        <v>8.4337349397590355E-2</v>
      </c>
      <c r="L24" s="38">
        <f>all!L140</f>
        <v>67</v>
      </c>
      <c r="M24" s="39">
        <f>all!M140</f>
        <v>7.0083682008368203E-2</v>
      </c>
      <c r="N24" s="29">
        <f>all!N140</f>
        <v>194</v>
      </c>
      <c r="O24" s="39">
        <f>all!O140</f>
        <v>6.551840594393786E-2</v>
      </c>
    </row>
    <row r="25" spans="1:20" x14ac:dyDescent="0.2">
      <c r="A25" s="26" t="s">
        <v>25</v>
      </c>
      <c r="B25" s="38">
        <f>all!B141</f>
        <v>2</v>
      </c>
      <c r="C25" s="39">
        <f>all!C141</f>
        <v>4.1841004184100415E-3</v>
      </c>
      <c r="D25" s="38">
        <f>all!D141</f>
        <v>0</v>
      </c>
      <c r="E25" s="39">
        <f>all!E141</f>
        <v>0</v>
      </c>
      <c r="F25" s="38">
        <f>all!F141</f>
        <v>8</v>
      </c>
      <c r="G25" s="39">
        <f>all!G141</f>
        <v>4.145077720207254E-2</v>
      </c>
      <c r="H25" s="38">
        <f>all!H141</f>
        <v>7</v>
      </c>
      <c r="I25" s="39">
        <f>all!I141</f>
        <v>7.9365079365079361E-3</v>
      </c>
      <c r="J25" s="38">
        <f>all!J141</f>
        <v>8</v>
      </c>
      <c r="K25" s="39">
        <f>all!K141</f>
        <v>1.9277108433734941E-2</v>
      </c>
      <c r="L25" s="38">
        <f>all!L141</f>
        <v>9</v>
      </c>
      <c r="M25" s="39">
        <f>all!M141</f>
        <v>9.4142259414225944E-3</v>
      </c>
      <c r="N25" s="29">
        <f>all!N141</f>
        <v>34</v>
      </c>
      <c r="O25" s="39">
        <f>all!O141</f>
        <v>1.1482607227288078E-2</v>
      </c>
    </row>
    <row r="26" spans="1:20" s="14" customFormat="1" x14ac:dyDescent="0.2">
      <c r="A26" s="108" t="s">
        <v>1</v>
      </c>
      <c r="B26" s="30">
        <f>all!B142</f>
        <v>478</v>
      </c>
      <c r="C26" s="41">
        <f>all!C142</f>
        <v>1</v>
      </c>
      <c r="D26" s="30">
        <f>all!D142</f>
        <v>37</v>
      </c>
      <c r="E26" s="41">
        <f>all!E142</f>
        <v>1</v>
      </c>
      <c r="F26" s="30">
        <f>all!F142</f>
        <v>193</v>
      </c>
      <c r="G26" s="41">
        <f>all!G142</f>
        <v>1</v>
      </c>
      <c r="H26" s="30">
        <f>all!H142</f>
        <v>882</v>
      </c>
      <c r="I26" s="41">
        <f>all!I142</f>
        <v>1.0000000000000002</v>
      </c>
      <c r="J26" s="30">
        <f>all!J142</f>
        <v>415</v>
      </c>
      <c r="K26" s="41">
        <f>all!K142</f>
        <v>1</v>
      </c>
      <c r="L26" s="30">
        <f>all!L142</f>
        <v>956</v>
      </c>
      <c r="M26" s="41">
        <f>all!M142</f>
        <v>1</v>
      </c>
      <c r="N26" s="30">
        <f>all!N142</f>
        <v>2961</v>
      </c>
      <c r="O26" s="41">
        <f>all!O142</f>
        <v>1</v>
      </c>
      <c r="P26" s="13"/>
    </row>
    <row r="27" spans="1:20" x14ac:dyDescent="0.2">
      <c r="A27" s="108" t="s">
        <v>115</v>
      </c>
      <c r="B27" s="25"/>
      <c r="C27" s="65">
        <f>all!C143</f>
        <v>0.95397489539748959</v>
      </c>
      <c r="D27" s="25"/>
      <c r="E27" s="65">
        <f>all!E143</f>
        <v>0.97297297297297303</v>
      </c>
      <c r="F27" s="25"/>
      <c r="G27" s="137">
        <f>all!G143</f>
        <v>0.82901554404145084</v>
      </c>
      <c r="H27" s="25"/>
      <c r="I27" s="65">
        <f>all!I143</f>
        <v>0.93990929705215431</v>
      </c>
      <c r="J27" s="25"/>
      <c r="K27" s="65">
        <f>all!K143</f>
        <v>0.89638554216867472</v>
      </c>
      <c r="L27" s="25"/>
      <c r="M27" s="65">
        <f>all!M143</f>
        <v>0.92050209205020916</v>
      </c>
      <c r="N27" s="30"/>
      <c r="O27" s="65">
        <f>all!O143</f>
        <v>0.92299898682877402</v>
      </c>
    </row>
    <row r="28" spans="1:20" x14ac:dyDescent="0.2">
      <c r="A28" s="19"/>
      <c r="B28" s="4"/>
      <c r="G28" s="11"/>
      <c r="H28" s="10"/>
    </row>
    <row r="29" spans="1:20" x14ac:dyDescent="0.2">
      <c r="A29" s="108" t="str">
        <f>all!A145</f>
        <v>Content of course(s)</v>
      </c>
      <c r="B29" s="151" t="s">
        <v>128</v>
      </c>
      <c r="C29" s="151"/>
      <c r="D29" s="151" t="s">
        <v>99</v>
      </c>
      <c r="E29" s="151"/>
      <c r="F29" s="150" t="s">
        <v>136</v>
      </c>
      <c r="G29" s="150"/>
      <c r="H29" s="151" t="s">
        <v>101</v>
      </c>
      <c r="I29" s="151"/>
      <c r="J29" s="151" t="s">
        <v>129</v>
      </c>
      <c r="K29" s="151"/>
      <c r="L29" s="151" t="s">
        <v>126</v>
      </c>
      <c r="M29" s="151"/>
      <c r="N29" s="148" t="s">
        <v>1</v>
      </c>
      <c r="O29" s="148"/>
      <c r="T29" s="81" t="s">
        <v>0</v>
      </c>
    </row>
    <row r="30" spans="1:20" x14ac:dyDescent="0.2">
      <c r="A30" s="26" t="s">
        <v>28</v>
      </c>
      <c r="B30" s="38">
        <f>all!B146</f>
        <v>240</v>
      </c>
      <c r="C30" s="39">
        <f>all!C146</f>
        <v>0.502092050209205</v>
      </c>
      <c r="D30" s="38">
        <f>all!D146</f>
        <v>19</v>
      </c>
      <c r="E30" s="39">
        <f>all!E146</f>
        <v>0.54285714285714282</v>
      </c>
      <c r="F30" s="38">
        <f>all!F146</f>
        <v>71</v>
      </c>
      <c r="G30" s="39">
        <f>all!G146</f>
        <v>0.36787564766839376</v>
      </c>
      <c r="H30" s="38">
        <f>all!H146</f>
        <v>393</v>
      </c>
      <c r="I30" s="39">
        <f>all!I146</f>
        <v>0.44457013574660631</v>
      </c>
      <c r="J30" s="38">
        <f>all!J146</f>
        <v>160</v>
      </c>
      <c r="K30" s="39">
        <f>all!K146</f>
        <v>0.38554216867469882</v>
      </c>
      <c r="L30" s="38">
        <f>all!L146</f>
        <v>433</v>
      </c>
      <c r="M30" s="39">
        <f>all!M146</f>
        <v>0.45387840670859536</v>
      </c>
      <c r="N30" s="29">
        <f>all!N146</f>
        <v>1316</v>
      </c>
      <c r="O30" s="39">
        <f>all!O146</f>
        <v>0.44474484623183508</v>
      </c>
    </row>
    <row r="31" spans="1:20" x14ac:dyDescent="0.2">
      <c r="A31" s="26" t="s">
        <v>27</v>
      </c>
      <c r="B31" s="38">
        <f>all!B147</f>
        <v>223</v>
      </c>
      <c r="C31" s="39">
        <f>all!C147</f>
        <v>0.46652719665271969</v>
      </c>
      <c r="D31" s="38">
        <f>all!D147</f>
        <v>15</v>
      </c>
      <c r="E31" s="39">
        <f>all!E147</f>
        <v>0.42857142857142855</v>
      </c>
      <c r="F31" s="38">
        <f>all!F147</f>
        <v>103</v>
      </c>
      <c r="G31" s="39">
        <f>all!G147</f>
        <v>0.53367875647668395</v>
      </c>
      <c r="H31" s="38">
        <f>all!H147</f>
        <v>460</v>
      </c>
      <c r="I31" s="39">
        <f>all!I147</f>
        <v>0.52036199095022628</v>
      </c>
      <c r="J31" s="38">
        <f>all!J147</f>
        <v>233</v>
      </c>
      <c r="K31" s="39">
        <f>all!K147</f>
        <v>0.56144578313253013</v>
      </c>
      <c r="L31" s="38">
        <f>all!L147</f>
        <v>480</v>
      </c>
      <c r="M31" s="39">
        <f>all!M147</f>
        <v>0.50314465408805031</v>
      </c>
      <c r="N31" s="29">
        <f>all!N147</f>
        <v>1514</v>
      </c>
      <c r="O31" s="39">
        <f>all!O147</f>
        <v>0.51165934437309901</v>
      </c>
    </row>
    <row r="32" spans="1:20" x14ac:dyDescent="0.2">
      <c r="A32" s="26" t="s">
        <v>26</v>
      </c>
      <c r="B32" s="38">
        <f>all!B148</f>
        <v>12</v>
      </c>
      <c r="C32" s="39">
        <f>all!C148</f>
        <v>2.5104602510460251E-2</v>
      </c>
      <c r="D32" s="38">
        <f>all!D148</f>
        <v>1</v>
      </c>
      <c r="E32" s="39">
        <f>all!E148</f>
        <v>2.8571428571428571E-2</v>
      </c>
      <c r="F32" s="38">
        <f>all!F148</f>
        <v>15</v>
      </c>
      <c r="G32" s="39">
        <f>all!G148</f>
        <v>7.7720207253886009E-2</v>
      </c>
      <c r="H32" s="38">
        <f>all!H148</f>
        <v>27</v>
      </c>
      <c r="I32" s="39">
        <f>all!I148</f>
        <v>3.0542986425339366E-2</v>
      </c>
      <c r="J32" s="38">
        <f>all!J148</f>
        <v>15</v>
      </c>
      <c r="K32" s="39">
        <f>all!K148</f>
        <v>3.614457831325301E-2</v>
      </c>
      <c r="L32" s="38">
        <f>all!L148</f>
        <v>34</v>
      </c>
      <c r="M32" s="39">
        <f>all!M148</f>
        <v>3.5639412997903561E-2</v>
      </c>
      <c r="N32" s="29">
        <f>all!N148</f>
        <v>104</v>
      </c>
      <c r="O32" s="39">
        <f>all!O148</f>
        <v>3.5147009124704295E-2</v>
      </c>
    </row>
    <row r="33" spans="1:16" x14ac:dyDescent="0.2">
      <c r="A33" s="26" t="s">
        <v>25</v>
      </c>
      <c r="B33" s="38">
        <f>all!B149</f>
        <v>3</v>
      </c>
      <c r="C33" s="39">
        <f>all!C149</f>
        <v>6.2761506276150627E-3</v>
      </c>
      <c r="D33" s="38">
        <f>all!D149</f>
        <v>0</v>
      </c>
      <c r="E33" s="39">
        <f>all!E149</f>
        <v>0</v>
      </c>
      <c r="F33" s="38">
        <f>all!F149</f>
        <v>4</v>
      </c>
      <c r="G33" s="39">
        <f>all!G149</f>
        <v>2.072538860103627E-2</v>
      </c>
      <c r="H33" s="38">
        <f>all!H149</f>
        <v>4</v>
      </c>
      <c r="I33" s="39">
        <f>all!I149</f>
        <v>4.5248868778280547E-3</v>
      </c>
      <c r="J33" s="38">
        <f>all!J149</f>
        <v>7</v>
      </c>
      <c r="K33" s="39">
        <f>all!K149</f>
        <v>1.6867469879518072E-2</v>
      </c>
      <c r="L33" s="38">
        <f>all!L149</f>
        <v>7</v>
      </c>
      <c r="M33" s="39">
        <f>all!M149</f>
        <v>7.3375262054507341E-3</v>
      </c>
      <c r="N33" s="29">
        <f>all!N149</f>
        <v>25</v>
      </c>
      <c r="O33" s="39">
        <f>all!O149</f>
        <v>8.4488002703616092E-3</v>
      </c>
    </row>
    <row r="34" spans="1:16" s="14" customFormat="1" x14ac:dyDescent="0.2">
      <c r="A34" s="108" t="s">
        <v>1</v>
      </c>
      <c r="B34" s="30">
        <f>all!B150</f>
        <v>478</v>
      </c>
      <c r="C34" s="41">
        <f>all!C150</f>
        <v>1</v>
      </c>
      <c r="D34" s="30">
        <f>all!D150</f>
        <v>35</v>
      </c>
      <c r="E34" s="41">
        <f>all!E150</f>
        <v>0.99999999999999989</v>
      </c>
      <c r="F34" s="30">
        <f>all!F150</f>
        <v>193</v>
      </c>
      <c r="G34" s="41">
        <f>all!G150</f>
        <v>0.99999999999999989</v>
      </c>
      <c r="H34" s="30">
        <f>all!H150</f>
        <v>884</v>
      </c>
      <c r="I34" s="41">
        <f>all!I150</f>
        <v>1</v>
      </c>
      <c r="J34" s="30">
        <f>all!J150</f>
        <v>415</v>
      </c>
      <c r="K34" s="41">
        <f>all!K150</f>
        <v>1</v>
      </c>
      <c r="L34" s="30">
        <f>all!L150</f>
        <v>954</v>
      </c>
      <c r="M34" s="41">
        <f>all!M150</f>
        <v>0.99999999999999989</v>
      </c>
      <c r="N34" s="30">
        <f>all!N150</f>
        <v>2959</v>
      </c>
      <c r="O34" s="41">
        <f>all!O150</f>
        <v>1</v>
      </c>
      <c r="P34" s="13"/>
    </row>
    <row r="35" spans="1:16" x14ac:dyDescent="0.2">
      <c r="A35" s="108" t="s">
        <v>115</v>
      </c>
      <c r="B35" s="25"/>
      <c r="C35" s="65">
        <f>all!C151</f>
        <v>0.96861924686192469</v>
      </c>
      <c r="D35" s="25"/>
      <c r="E35" s="65">
        <f>all!E151</f>
        <v>0.97142857142857131</v>
      </c>
      <c r="F35" s="25"/>
      <c r="G35" s="65">
        <f>all!G151</f>
        <v>0.9015544041450777</v>
      </c>
      <c r="H35" s="25"/>
      <c r="I35" s="65">
        <f>all!I151</f>
        <v>0.96493212669683259</v>
      </c>
      <c r="J35" s="25"/>
      <c r="K35" s="65">
        <f>all!K151</f>
        <v>0.94698795180722894</v>
      </c>
      <c r="L35" s="25"/>
      <c r="M35" s="65">
        <f>all!M151</f>
        <v>0.95702306079664567</v>
      </c>
      <c r="N35" s="30"/>
      <c r="O35" s="65">
        <f>all!O151</f>
        <v>0.95640419060493409</v>
      </c>
    </row>
    <row r="36" spans="1:16" x14ac:dyDescent="0.2">
      <c r="A36" s="19"/>
      <c r="B36" s="4"/>
      <c r="D36" s="18"/>
      <c r="G36" s="11"/>
      <c r="H36" s="10"/>
    </row>
    <row r="37" spans="1:16" x14ac:dyDescent="0.2">
      <c r="A37" s="108" t="str">
        <f>all!A153</f>
        <v>Instructional methods</v>
      </c>
      <c r="B37" s="151" t="s">
        <v>128</v>
      </c>
      <c r="C37" s="151"/>
      <c r="D37" s="151" t="s">
        <v>99</v>
      </c>
      <c r="E37" s="151"/>
      <c r="F37" s="150" t="s">
        <v>136</v>
      </c>
      <c r="G37" s="150"/>
      <c r="H37" s="151" t="s">
        <v>101</v>
      </c>
      <c r="I37" s="151"/>
      <c r="J37" s="151" t="s">
        <v>129</v>
      </c>
      <c r="K37" s="151"/>
      <c r="L37" s="151" t="s">
        <v>126</v>
      </c>
      <c r="M37" s="151"/>
      <c r="N37" s="148" t="s">
        <v>1</v>
      </c>
      <c r="O37" s="148"/>
    </row>
    <row r="38" spans="1:16" x14ac:dyDescent="0.2">
      <c r="A38" s="26" t="s">
        <v>28</v>
      </c>
      <c r="B38" s="38">
        <f>all!B154</f>
        <v>198</v>
      </c>
      <c r="C38" s="39">
        <f>all!C154</f>
        <v>0.41422594142259417</v>
      </c>
      <c r="D38" s="38">
        <f>all!D154</f>
        <v>14</v>
      </c>
      <c r="E38" s="39">
        <f>all!E154</f>
        <v>0.3888888888888889</v>
      </c>
      <c r="F38" s="38">
        <f>all!F154</f>
        <v>56</v>
      </c>
      <c r="G38" s="39">
        <f>all!G154</f>
        <v>0.29015544041450775</v>
      </c>
      <c r="H38" s="38">
        <f>all!H154</f>
        <v>340</v>
      </c>
      <c r="I38" s="39">
        <f>all!I154</f>
        <v>0.3854875283446712</v>
      </c>
      <c r="J38" s="38">
        <f>all!J154</f>
        <v>136</v>
      </c>
      <c r="K38" s="39">
        <f>all!K154</f>
        <v>0.32929782082324455</v>
      </c>
      <c r="L38" s="38">
        <f>all!L154</f>
        <v>376</v>
      </c>
      <c r="M38" s="39">
        <f>all!M154</f>
        <v>0.39371727748691099</v>
      </c>
      <c r="N38" s="29">
        <f>all!N154</f>
        <v>1120</v>
      </c>
      <c r="O38" s="39">
        <f>all!O154</f>
        <v>0.37876225904633076</v>
      </c>
    </row>
    <row r="39" spans="1:16" x14ac:dyDescent="0.2">
      <c r="A39" s="26" t="s">
        <v>27</v>
      </c>
      <c r="B39" s="38">
        <f>all!B155</f>
        <v>241</v>
      </c>
      <c r="C39" s="39">
        <f>all!C155</f>
        <v>0.50418410041841</v>
      </c>
      <c r="D39" s="38">
        <f>all!D155</f>
        <v>19</v>
      </c>
      <c r="E39" s="39">
        <f>all!E155</f>
        <v>0.52777777777777779</v>
      </c>
      <c r="F39" s="38">
        <f>all!F155</f>
        <v>105</v>
      </c>
      <c r="G39" s="39">
        <f>all!G155</f>
        <v>0.54404145077720212</v>
      </c>
      <c r="H39" s="38">
        <f>all!H155</f>
        <v>465</v>
      </c>
      <c r="I39" s="39">
        <f>all!I155</f>
        <v>0.52721088435374153</v>
      </c>
      <c r="J39" s="38">
        <f>all!J155</f>
        <v>226</v>
      </c>
      <c r="K39" s="39">
        <f>all!K155</f>
        <v>0.54721549636803879</v>
      </c>
      <c r="L39" s="38">
        <f>all!L155</f>
        <v>467</v>
      </c>
      <c r="M39" s="39">
        <f>all!M155</f>
        <v>0.48900523560209425</v>
      </c>
      <c r="N39" s="29">
        <f>all!N155</f>
        <v>1523</v>
      </c>
      <c r="O39" s="39">
        <f>all!O155</f>
        <v>0.51504903618532294</v>
      </c>
    </row>
    <row r="40" spans="1:16" x14ac:dyDescent="0.2">
      <c r="A40" s="26" t="s">
        <v>26</v>
      </c>
      <c r="B40" s="38">
        <f>all!B156</f>
        <v>36</v>
      </c>
      <c r="C40" s="39">
        <f>all!C156</f>
        <v>7.5313807531380755E-2</v>
      </c>
      <c r="D40" s="38">
        <f>all!D156</f>
        <v>2</v>
      </c>
      <c r="E40" s="39">
        <f>all!E156</f>
        <v>5.5555555555555552E-2</v>
      </c>
      <c r="F40" s="38">
        <f>all!F156</f>
        <v>23</v>
      </c>
      <c r="G40" s="39">
        <f>all!G156</f>
        <v>0.11917098445595854</v>
      </c>
      <c r="H40" s="38">
        <f>all!H156</f>
        <v>68</v>
      </c>
      <c r="I40" s="39">
        <f>all!I156</f>
        <v>7.7097505668934238E-2</v>
      </c>
      <c r="J40" s="38">
        <f>all!J156</f>
        <v>38</v>
      </c>
      <c r="K40" s="39">
        <f>all!K156</f>
        <v>9.2009685230024216E-2</v>
      </c>
      <c r="L40" s="38">
        <f>all!L156</f>
        <v>89</v>
      </c>
      <c r="M40" s="39">
        <f>all!M156</f>
        <v>9.3193717277486918E-2</v>
      </c>
      <c r="N40" s="29">
        <f>all!N156</f>
        <v>256</v>
      </c>
      <c r="O40" s="39">
        <f>all!O156</f>
        <v>8.6574230639161309E-2</v>
      </c>
    </row>
    <row r="41" spans="1:16" x14ac:dyDescent="0.2">
      <c r="A41" s="26" t="s">
        <v>25</v>
      </c>
      <c r="B41" s="38">
        <f>all!B157</f>
        <v>3</v>
      </c>
      <c r="C41" s="39">
        <f>all!C157</f>
        <v>6.2761506276150627E-3</v>
      </c>
      <c r="D41" s="38">
        <f>all!D157</f>
        <v>1</v>
      </c>
      <c r="E41" s="39">
        <f>all!E157</f>
        <v>2.7777777777777776E-2</v>
      </c>
      <c r="F41" s="38">
        <f>all!F157</f>
        <v>9</v>
      </c>
      <c r="G41" s="39">
        <f>all!G157</f>
        <v>4.6632124352331605E-2</v>
      </c>
      <c r="H41" s="38">
        <f>all!H157</f>
        <v>9</v>
      </c>
      <c r="I41" s="39">
        <f>all!I157</f>
        <v>1.020408163265306E-2</v>
      </c>
      <c r="J41" s="38">
        <f>all!J157</f>
        <v>13</v>
      </c>
      <c r="K41" s="39">
        <f>all!K157</f>
        <v>3.1476997578692496E-2</v>
      </c>
      <c r="L41" s="38">
        <f>all!L157</f>
        <v>23</v>
      </c>
      <c r="M41" s="39">
        <f>all!M157</f>
        <v>2.4083769633507852E-2</v>
      </c>
      <c r="N41" s="29">
        <f>all!N157</f>
        <v>58</v>
      </c>
      <c r="O41" s="39">
        <f>all!O157</f>
        <v>1.9614474129184985E-2</v>
      </c>
    </row>
    <row r="42" spans="1:16" s="14" customFormat="1" x14ac:dyDescent="0.2">
      <c r="A42" s="108" t="s">
        <v>1</v>
      </c>
      <c r="B42" s="30">
        <f>all!B158</f>
        <v>478</v>
      </c>
      <c r="C42" s="41">
        <f>all!C158</f>
        <v>1</v>
      </c>
      <c r="D42" s="30">
        <f>all!D158</f>
        <v>36</v>
      </c>
      <c r="E42" s="41">
        <f>all!E158</f>
        <v>1</v>
      </c>
      <c r="F42" s="30">
        <f>all!F158</f>
        <v>193</v>
      </c>
      <c r="G42" s="41">
        <f>all!G158</f>
        <v>1</v>
      </c>
      <c r="H42" s="30">
        <f>all!H158</f>
        <v>882</v>
      </c>
      <c r="I42" s="41">
        <f>all!I158</f>
        <v>1</v>
      </c>
      <c r="J42" s="30">
        <f>all!J158</f>
        <v>413</v>
      </c>
      <c r="K42" s="41">
        <f>all!K158</f>
        <v>1</v>
      </c>
      <c r="L42" s="30">
        <f>all!L158</f>
        <v>955</v>
      </c>
      <c r="M42" s="41">
        <f>all!M158</f>
        <v>1</v>
      </c>
      <c r="N42" s="30">
        <f>all!N158</f>
        <v>2957</v>
      </c>
      <c r="O42" s="41">
        <f>all!O158</f>
        <v>0.99999999999999989</v>
      </c>
      <c r="P42" s="13"/>
    </row>
    <row r="43" spans="1:16" x14ac:dyDescent="0.2">
      <c r="A43" s="108" t="s">
        <v>115</v>
      </c>
      <c r="B43" s="25"/>
      <c r="C43" s="65">
        <f>all!C159</f>
        <v>0.91841004184100417</v>
      </c>
      <c r="D43" s="25"/>
      <c r="E43" s="65">
        <f>all!E159</f>
        <v>0.91666666666666674</v>
      </c>
      <c r="F43" s="25"/>
      <c r="G43" s="137">
        <f>all!G159</f>
        <v>0.83419689119170992</v>
      </c>
      <c r="H43" s="25"/>
      <c r="I43" s="65">
        <f>all!I159</f>
        <v>0.91269841269841279</v>
      </c>
      <c r="J43" s="25"/>
      <c r="K43" s="137">
        <f>all!K159</f>
        <v>0.87651331719128334</v>
      </c>
      <c r="L43" s="25"/>
      <c r="M43" s="137">
        <f>all!M159</f>
        <v>0.88272251308900529</v>
      </c>
      <c r="N43" s="30"/>
      <c r="O43" s="137">
        <f>all!O159</f>
        <v>0.8938112952316537</v>
      </c>
    </row>
    <row r="44" spans="1:16" x14ac:dyDescent="0.2">
      <c r="A44" s="19"/>
      <c r="B44" s="4"/>
      <c r="G44" s="11"/>
      <c r="H44" s="10"/>
    </row>
    <row r="45" spans="1:16" x14ac:dyDescent="0.2">
      <c r="A45" s="108" t="str">
        <f>all!A161</f>
        <v>Testing and grading</v>
      </c>
      <c r="B45" s="151" t="s">
        <v>128</v>
      </c>
      <c r="C45" s="151"/>
      <c r="D45" s="151" t="s">
        <v>99</v>
      </c>
      <c r="E45" s="151"/>
      <c r="F45" s="150" t="s">
        <v>136</v>
      </c>
      <c r="G45" s="150"/>
      <c r="H45" s="151" t="s">
        <v>101</v>
      </c>
      <c r="I45" s="151"/>
      <c r="J45" s="151" t="s">
        <v>129</v>
      </c>
      <c r="K45" s="151"/>
      <c r="L45" s="151" t="s">
        <v>126</v>
      </c>
      <c r="M45" s="151"/>
      <c r="N45" s="148" t="s">
        <v>1</v>
      </c>
      <c r="O45" s="148"/>
    </row>
    <row r="46" spans="1:16" x14ac:dyDescent="0.2">
      <c r="A46" s="26" t="s">
        <v>28</v>
      </c>
      <c r="B46" s="38">
        <f>all!B162</f>
        <v>197</v>
      </c>
      <c r="C46" s="39">
        <f>all!C162</f>
        <v>0.41213389121338911</v>
      </c>
      <c r="D46" s="38">
        <f>all!D162</f>
        <v>16</v>
      </c>
      <c r="E46" s="39">
        <f>all!E162</f>
        <v>0.43243243243243246</v>
      </c>
      <c r="F46" s="38">
        <f>all!F162</f>
        <v>59</v>
      </c>
      <c r="G46" s="39">
        <f>all!G162</f>
        <v>0.30729166666666669</v>
      </c>
      <c r="H46" s="38">
        <f>all!H162</f>
        <v>320</v>
      </c>
      <c r="I46" s="39">
        <f>all!I162</f>
        <v>0.36281179138321995</v>
      </c>
      <c r="J46" s="38">
        <f>all!J162</f>
        <v>133</v>
      </c>
      <c r="K46" s="39">
        <f>all!K162</f>
        <v>0.32048192771084338</v>
      </c>
      <c r="L46" s="38">
        <f>all!L162</f>
        <v>370</v>
      </c>
      <c r="M46" s="39">
        <f>all!M162</f>
        <v>0.38702928870292885</v>
      </c>
      <c r="N46" s="29">
        <f>all!N162</f>
        <v>1095</v>
      </c>
      <c r="O46" s="39">
        <f>all!O162</f>
        <v>0.36993243243243246</v>
      </c>
    </row>
    <row r="47" spans="1:16" x14ac:dyDescent="0.2">
      <c r="A47" s="26" t="s">
        <v>27</v>
      </c>
      <c r="B47" s="38">
        <f>all!B163</f>
        <v>248</v>
      </c>
      <c r="C47" s="39">
        <f>all!C163</f>
        <v>0.51882845188284521</v>
      </c>
      <c r="D47" s="38">
        <f>all!D163</f>
        <v>18</v>
      </c>
      <c r="E47" s="39">
        <f>all!E163</f>
        <v>0.48648648648648651</v>
      </c>
      <c r="F47" s="38">
        <f>all!F163</f>
        <v>105</v>
      </c>
      <c r="G47" s="39">
        <f>all!G163</f>
        <v>0.546875</v>
      </c>
      <c r="H47" s="38">
        <f>all!H163</f>
        <v>480</v>
      </c>
      <c r="I47" s="39">
        <f>all!I163</f>
        <v>0.54421768707482998</v>
      </c>
      <c r="J47" s="38">
        <f>all!J163</f>
        <v>231</v>
      </c>
      <c r="K47" s="39">
        <f>all!K163</f>
        <v>0.55662650602409636</v>
      </c>
      <c r="L47" s="38">
        <f>all!L163</f>
        <v>491</v>
      </c>
      <c r="M47" s="39">
        <f>all!M163</f>
        <v>0.5135983263598326</v>
      </c>
      <c r="N47" s="29">
        <f>all!N163</f>
        <v>1573</v>
      </c>
      <c r="O47" s="39">
        <f>all!O163</f>
        <v>0.5314189189189189</v>
      </c>
    </row>
    <row r="48" spans="1:16" x14ac:dyDescent="0.2">
      <c r="A48" s="26" t="s">
        <v>26</v>
      </c>
      <c r="B48" s="38">
        <f>all!B164</f>
        <v>28</v>
      </c>
      <c r="C48" s="39">
        <f>all!C164</f>
        <v>5.8577405857740586E-2</v>
      </c>
      <c r="D48" s="38">
        <f>all!D164</f>
        <v>3</v>
      </c>
      <c r="E48" s="39">
        <f>all!E164</f>
        <v>8.1081081081081086E-2</v>
      </c>
      <c r="F48" s="38">
        <f>all!F164</f>
        <v>20</v>
      </c>
      <c r="G48" s="39">
        <f>all!G164</f>
        <v>0.10416666666666667</v>
      </c>
      <c r="H48" s="38">
        <f>all!H164</f>
        <v>69</v>
      </c>
      <c r="I48" s="39">
        <f>all!I164</f>
        <v>7.8231292517006806E-2</v>
      </c>
      <c r="J48" s="38">
        <f>all!J164</f>
        <v>42</v>
      </c>
      <c r="K48" s="39">
        <f>all!K164</f>
        <v>0.10120481927710843</v>
      </c>
      <c r="L48" s="38">
        <f>all!L164</f>
        <v>79</v>
      </c>
      <c r="M48" s="39">
        <f>all!M164</f>
        <v>8.263598326359832E-2</v>
      </c>
      <c r="N48" s="29">
        <f>all!N164</f>
        <v>241</v>
      </c>
      <c r="O48" s="39">
        <f>all!O164</f>
        <v>8.141891891891892E-2</v>
      </c>
    </row>
    <row r="49" spans="1:16" x14ac:dyDescent="0.2">
      <c r="A49" s="26" t="s">
        <v>25</v>
      </c>
      <c r="B49" s="38">
        <f>all!B165</f>
        <v>5</v>
      </c>
      <c r="C49" s="39">
        <f>all!C165</f>
        <v>1.0460251046025104E-2</v>
      </c>
      <c r="D49" s="38">
        <f>all!D165</f>
        <v>0</v>
      </c>
      <c r="E49" s="39">
        <f>all!E165</f>
        <v>0</v>
      </c>
      <c r="F49" s="38">
        <f>all!F165</f>
        <v>8</v>
      </c>
      <c r="G49" s="39">
        <f>all!G165</f>
        <v>4.1666666666666664E-2</v>
      </c>
      <c r="H49" s="38">
        <f>all!H165</f>
        <v>13</v>
      </c>
      <c r="I49" s="39">
        <f>all!I165</f>
        <v>1.4739229024943311E-2</v>
      </c>
      <c r="J49" s="38">
        <f>all!J165</f>
        <v>9</v>
      </c>
      <c r="K49" s="39">
        <f>all!K165</f>
        <v>2.1686746987951807E-2</v>
      </c>
      <c r="L49" s="38">
        <f>all!L165</f>
        <v>16</v>
      </c>
      <c r="M49" s="39">
        <f>all!M165</f>
        <v>1.6736401673640166E-2</v>
      </c>
      <c r="N49" s="29">
        <f>all!N165</f>
        <v>51</v>
      </c>
      <c r="O49" s="39">
        <f>all!O165</f>
        <v>1.7229729729729731E-2</v>
      </c>
    </row>
    <row r="50" spans="1:16" s="14" customFormat="1" x14ac:dyDescent="0.2">
      <c r="A50" s="108" t="s">
        <v>1</v>
      </c>
      <c r="B50" s="30">
        <f>all!B166</f>
        <v>478</v>
      </c>
      <c r="C50" s="41">
        <f>all!C166</f>
        <v>1</v>
      </c>
      <c r="D50" s="30">
        <f>all!D166</f>
        <v>37</v>
      </c>
      <c r="E50" s="41">
        <f>all!E166</f>
        <v>1</v>
      </c>
      <c r="F50" s="30">
        <f>all!F166</f>
        <v>192</v>
      </c>
      <c r="G50" s="41">
        <f>all!G166</f>
        <v>1</v>
      </c>
      <c r="H50" s="30">
        <f>all!H166</f>
        <v>882</v>
      </c>
      <c r="I50" s="41">
        <f>all!I166</f>
        <v>1</v>
      </c>
      <c r="J50" s="30">
        <f>all!J166</f>
        <v>415</v>
      </c>
      <c r="K50" s="41">
        <f>all!K166</f>
        <v>1</v>
      </c>
      <c r="L50" s="30">
        <f>all!L166</f>
        <v>956</v>
      </c>
      <c r="M50" s="41">
        <f>all!M166</f>
        <v>1</v>
      </c>
      <c r="N50" s="30">
        <f>all!N166</f>
        <v>2960</v>
      </c>
      <c r="O50" s="41">
        <f>all!O166</f>
        <v>1</v>
      </c>
      <c r="P50" s="13"/>
    </row>
    <row r="51" spans="1:16" x14ac:dyDescent="0.2">
      <c r="A51" s="108" t="s">
        <v>115</v>
      </c>
      <c r="B51" s="25"/>
      <c r="C51" s="65">
        <f>all!C167</f>
        <v>0.93096234309623438</v>
      </c>
      <c r="D51" s="25"/>
      <c r="E51" s="65">
        <f>all!E167</f>
        <v>0.91891891891891897</v>
      </c>
      <c r="F51" s="25"/>
      <c r="G51" s="137">
        <f>all!G167</f>
        <v>0.85416666666666674</v>
      </c>
      <c r="H51" s="25"/>
      <c r="I51" s="65">
        <f>all!I167</f>
        <v>0.90702947845804993</v>
      </c>
      <c r="J51" s="25"/>
      <c r="K51" s="137">
        <f>all!K167</f>
        <v>0.87710843373493974</v>
      </c>
      <c r="L51" s="25"/>
      <c r="M51" s="65">
        <f>all!M167</f>
        <v>0.90062761506276146</v>
      </c>
      <c r="N51" s="30"/>
      <c r="O51" s="65">
        <f>all!O167</f>
        <v>0.90135135135135136</v>
      </c>
    </row>
    <row r="52" spans="1:16" x14ac:dyDescent="0.2">
      <c r="A52" s="19"/>
      <c r="B52" s="4"/>
      <c r="G52" s="11"/>
      <c r="H52" s="10"/>
    </row>
    <row r="53" spans="1:16" x14ac:dyDescent="0.2">
      <c r="A53" s="108" t="str">
        <f>all!A169</f>
        <v>Class size</v>
      </c>
      <c r="B53" s="151" t="s">
        <v>128</v>
      </c>
      <c r="C53" s="151"/>
      <c r="D53" s="151" t="s">
        <v>99</v>
      </c>
      <c r="E53" s="151"/>
      <c r="F53" s="150" t="s">
        <v>136</v>
      </c>
      <c r="G53" s="150"/>
      <c r="H53" s="151" t="s">
        <v>101</v>
      </c>
      <c r="I53" s="151"/>
      <c r="J53" s="151" t="s">
        <v>129</v>
      </c>
      <c r="K53" s="151"/>
      <c r="L53" s="151" t="s">
        <v>126</v>
      </c>
      <c r="M53" s="151"/>
      <c r="N53" s="148" t="s">
        <v>1</v>
      </c>
      <c r="O53" s="148"/>
    </row>
    <row r="54" spans="1:16" x14ac:dyDescent="0.2">
      <c r="A54" s="26" t="s">
        <v>28</v>
      </c>
      <c r="B54" s="38">
        <f>all!B170</f>
        <v>305</v>
      </c>
      <c r="C54" s="39">
        <f>all!C170</f>
        <v>0.63807531380753135</v>
      </c>
      <c r="D54" s="38">
        <f>all!D170</f>
        <v>26</v>
      </c>
      <c r="E54" s="39">
        <f>all!E170</f>
        <v>0.70270270270270274</v>
      </c>
      <c r="F54" s="38">
        <f>all!F170</f>
        <v>81</v>
      </c>
      <c r="G54" s="39">
        <f>all!G170</f>
        <v>0.43085106382978722</v>
      </c>
      <c r="H54" s="38">
        <f>all!H170</f>
        <v>526</v>
      </c>
      <c r="I54" s="39">
        <f>all!I170</f>
        <v>0.59772727272727277</v>
      </c>
      <c r="J54" s="38">
        <f>all!J170</f>
        <v>173</v>
      </c>
      <c r="K54" s="39">
        <f>all!K170</f>
        <v>0.4199029126213592</v>
      </c>
      <c r="L54" s="38">
        <f>all!L170</f>
        <v>555</v>
      </c>
      <c r="M54" s="39">
        <f>all!M170</f>
        <v>0.58115183246073299</v>
      </c>
      <c r="N54" s="29">
        <f>all!N170</f>
        <v>1666</v>
      </c>
      <c r="O54" s="39">
        <f>all!O170</f>
        <v>0.56474576271186439</v>
      </c>
    </row>
    <row r="55" spans="1:16" x14ac:dyDescent="0.2">
      <c r="A55" s="26" t="s">
        <v>27</v>
      </c>
      <c r="B55" s="38">
        <f>all!B171</f>
        <v>168</v>
      </c>
      <c r="C55" s="39">
        <f>all!C171</f>
        <v>0.35146443514644349</v>
      </c>
      <c r="D55" s="38">
        <f>all!D171</f>
        <v>10</v>
      </c>
      <c r="E55" s="39">
        <f>all!E171</f>
        <v>0.27027027027027029</v>
      </c>
      <c r="F55" s="38">
        <f>all!F171</f>
        <v>105</v>
      </c>
      <c r="G55" s="39">
        <f>all!G171</f>
        <v>0.55851063829787229</v>
      </c>
      <c r="H55" s="38">
        <f>all!H171</f>
        <v>336</v>
      </c>
      <c r="I55" s="39">
        <f>all!I171</f>
        <v>0.38181818181818183</v>
      </c>
      <c r="J55" s="38">
        <f>all!J171</f>
        <v>232</v>
      </c>
      <c r="K55" s="39">
        <f>all!K171</f>
        <v>0.56310679611650483</v>
      </c>
      <c r="L55" s="38">
        <f>all!L171</f>
        <v>373</v>
      </c>
      <c r="M55" s="39">
        <f>all!M171</f>
        <v>0.39057591623036647</v>
      </c>
      <c r="N55" s="29">
        <f>all!N171</f>
        <v>1224</v>
      </c>
      <c r="O55" s="39">
        <f>all!O171</f>
        <v>0.41491525423728814</v>
      </c>
    </row>
    <row r="56" spans="1:16" x14ac:dyDescent="0.2">
      <c r="A56" s="26" t="s">
        <v>26</v>
      </c>
      <c r="B56" s="38">
        <f>all!B172</f>
        <v>5</v>
      </c>
      <c r="C56" s="39">
        <f>all!C172</f>
        <v>1.0460251046025104E-2</v>
      </c>
      <c r="D56" s="38">
        <f>all!D172</f>
        <v>0</v>
      </c>
      <c r="E56" s="39">
        <f>all!E172</f>
        <v>0</v>
      </c>
      <c r="F56" s="38">
        <f>all!F172</f>
        <v>1</v>
      </c>
      <c r="G56" s="39">
        <f>all!G172</f>
        <v>5.3191489361702126E-3</v>
      </c>
      <c r="H56" s="38">
        <f>all!H172</f>
        <v>13</v>
      </c>
      <c r="I56" s="39">
        <f>all!I172</f>
        <v>1.4772727272727272E-2</v>
      </c>
      <c r="J56" s="38">
        <f>all!J172</f>
        <v>5</v>
      </c>
      <c r="K56" s="39">
        <f>all!K172</f>
        <v>1.2135922330097087E-2</v>
      </c>
      <c r="L56" s="38">
        <f>all!L172</f>
        <v>23</v>
      </c>
      <c r="M56" s="39">
        <f>all!M172</f>
        <v>2.4083769633507852E-2</v>
      </c>
      <c r="N56" s="29">
        <f>all!N172</f>
        <v>47</v>
      </c>
      <c r="O56" s="39">
        <f>all!O172</f>
        <v>1.5932203389830507E-2</v>
      </c>
    </row>
    <row r="57" spans="1:16" x14ac:dyDescent="0.2">
      <c r="A57" s="26" t="s">
        <v>25</v>
      </c>
      <c r="B57" s="38">
        <f>all!B173</f>
        <v>0</v>
      </c>
      <c r="C57" s="39">
        <f>all!C173</f>
        <v>0</v>
      </c>
      <c r="D57" s="38">
        <f>all!D173</f>
        <v>1</v>
      </c>
      <c r="E57" s="39">
        <f>all!E173</f>
        <v>2.7027027027027029E-2</v>
      </c>
      <c r="F57" s="38">
        <f>all!F173</f>
        <v>1</v>
      </c>
      <c r="G57" s="39">
        <f>all!G173</f>
        <v>5.3191489361702126E-3</v>
      </c>
      <c r="H57" s="38">
        <f>all!H173</f>
        <v>5</v>
      </c>
      <c r="I57" s="39">
        <f>all!I173</f>
        <v>5.681818181818182E-3</v>
      </c>
      <c r="J57" s="38">
        <f>all!J173</f>
        <v>2</v>
      </c>
      <c r="K57" s="39">
        <f>all!K173</f>
        <v>4.8543689320388345E-3</v>
      </c>
      <c r="L57" s="38">
        <f>all!L173</f>
        <v>4</v>
      </c>
      <c r="M57" s="39">
        <f>all!M173</f>
        <v>4.1884816753926706E-3</v>
      </c>
      <c r="N57" s="29">
        <f>all!N173</f>
        <v>13</v>
      </c>
      <c r="O57" s="39">
        <f>all!O173</f>
        <v>4.4067796610169491E-3</v>
      </c>
    </row>
    <row r="58" spans="1:16" s="14" customFormat="1" x14ac:dyDescent="0.2">
      <c r="A58" s="108" t="s">
        <v>1</v>
      </c>
      <c r="B58" s="30">
        <f>all!B174</f>
        <v>478</v>
      </c>
      <c r="C58" s="41">
        <f>all!C174</f>
        <v>0.99999999999999989</v>
      </c>
      <c r="D58" s="30">
        <f>all!D174</f>
        <v>37</v>
      </c>
      <c r="E58" s="41">
        <f>all!E174</f>
        <v>1</v>
      </c>
      <c r="F58" s="30">
        <f>all!F174</f>
        <v>188</v>
      </c>
      <c r="G58" s="41">
        <f>all!G174</f>
        <v>1</v>
      </c>
      <c r="H58" s="30">
        <f>all!H174</f>
        <v>880</v>
      </c>
      <c r="I58" s="41">
        <f>all!I174</f>
        <v>1</v>
      </c>
      <c r="J58" s="30">
        <f>all!J174</f>
        <v>412</v>
      </c>
      <c r="K58" s="41">
        <f>all!K174</f>
        <v>0.99999999999999989</v>
      </c>
      <c r="L58" s="30">
        <f>all!L174</f>
        <v>955</v>
      </c>
      <c r="M58" s="41">
        <f>all!M174</f>
        <v>1</v>
      </c>
      <c r="N58" s="30">
        <f>all!N174</f>
        <v>2950</v>
      </c>
      <c r="O58" s="41">
        <f>all!O174</f>
        <v>1</v>
      </c>
      <c r="P58" s="13"/>
    </row>
    <row r="59" spans="1:16" x14ac:dyDescent="0.2">
      <c r="A59" s="108" t="s">
        <v>115</v>
      </c>
      <c r="B59" s="25"/>
      <c r="C59" s="65">
        <f>all!C175</f>
        <v>0.98953974895397478</v>
      </c>
      <c r="D59" s="25"/>
      <c r="E59" s="65">
        <f>all!E175</f>
        <v>0.97297297297297303</v>
      </c>
      <c r="F59" s="25"/>
      <c r="G59" s="65">
        <f>all!G175</f>
        <v>0.9893617021276595</v>
      </c>
      <c r="H59" s="25"/>
      <c r="I59" s="65">
        <f>all!I175</f>
        <v>0.97954545454545461</v>
      </c>
      <c r="J59" s="25"/>
      <c r="K59" s="65">
        <f>all!K175</f>
        <v>0.98300970873786397</v>
      </c>
      <c r="L59" s="25"/>
      <c r="M59" s="65">
        <f>all!M175</f>
        <v>0.97172774869109946</v>
      </c>
      <c r="N59" s="30"/>
      <c r="O59" s="65">
        <f>all!O175</f>
        <v>0.97966101694915253</v>
      </c>
    </row>
    <row r="60" spans="1:16" x14ac:dyDescent="0.2">
      <c r="A60" s="19"/>
      <c r="B60" s="4"/>
      <c r="G60" s="11"/>
      <c r="H60" s="10"/>
    </row>
    <row r="61" spans="1:16" x14ac:dyDescent="0.2">
      <c r="A61" s="108" t="str">
        <f>all!A177</f>
        <v>Course availability</v>
      </c>
      <c r="B61" s="151" t="s">
        <v>128</v>
      </c>
      <c r="C61" s="151"/>
      <c r="D61" s="151" t="s">
        <v>99</v>
      </c>
      <c r="E61" s="151"/>
      <c r="F61" s="150" t="s">
        <v>136</v>
      </c>
      <c r="G61" s="150"/>
      <c r="H61" s="151" t="s">
        <v>101</v>
      </c>
      <c r="I61" s="151"/>
      <c r="J61" s="151" t="s">
        <v>129</v>
      </c>
      <c r="K61" s="151"/>
      <c r="L61" s="151" t="s">
        <v>126</v>
      </c>
      <c r="M61" s="151"/>
      <c r="N61" s="148" t="s">
        <v>1</v>
      </c>
      <c r="O61" s="148"/>
    </row>
    <row r="62" spans="1:16" x14ac:dyDescent="0.2">
      <c r="A62" s="26" t="s">
        <v>28</v>
      </c>
      <c r="B62" s="38">
        <f>all!B178</f>
        <v>172</v>
      </c>
      <c r="C62" s="39">
        <f>all!C178</f>
        <v>0.35983263598326359</v>
      </c>
      <c r="D62" s="38">
        <f>all!D178</f>
        <v>14</v>
      </c>
      <c r="E62" s="39">
        <f>all!E178</f>
        <v>0.3888888888888889</v>
      </c>
      <c r="F62" s="38">
        <f>all!F178</f>
        <v>64</v>
      </c>
      <c r="G62" s="39">
        <f>all!G178</f>
        <v>0.33507853403141363</v>
      </c>
      <c r="H62" s="38">
        <f>all!H178</f>
        <v>253</v>
      </c>
      <c r="I62" s="39">
        <f>all!I178</f>
        <v>0.28749999999999998</v>
      </c>
      <c r="J62" s="38">
        <f>all!J178</f>
        <v>132</v>
      </c>
      <c r="K62" s="39">
        <f>all!K178</f>
        <v>0.31961259079903148</v>
      </c>
      <c r="L62" s="38">
        <f>all!L178</f>
        <v>272</v>
      </c>
      <c r="M62" s="39">
        <f>all!M178</f>
        <v>0.28541448058761804</v>
      </c>
      <c r="N62" s="29">
        <f>all!N178</f>
        <v>907</v>
      </c>
      <c r="O62" s="39">
        <f>all!O178</f>
        <v>0.30735343951202981</v>
      </c>
    </row>
    <row r="63" spans="1:16" x14ac:dyDescent="0.2">
      <c r="A63" s="26" t="s">
        <v>27</v>
      </c>
      <c r="B63" s="38">
        <f>all!B179</f>
        <v>228</v>
      </c>
      <c r="C63" s="39">
        <f>all!C179</f>
        <v>0.47698744769874479</v>
      </c>
      <c r="D63" s="38">
        <f>all!D179</f>
        <v>16</v>
      </c>
      <c r="E63" s="39">
        <f>all!E179</f>
        <v>0.44444444444444442</v>
      </c>
      <c r="F63" s="38">
        <f>all!F179</f>
        <v>108</v>
      </c>
      <c r="G63" s="39">
        <f>all!G179</f>
        <v>0.56544502617801051</v>
      </c>
      <c r="H63" s="38">
        <f>all!H179</f>
        <v>446</v>
      </c>
      <c r="I63" s="39">
        <f>all!I179</f>
        <v>0.50681818181818183</v>
      </c>
      <c r="J63" s="38">
        <f>all!J179</f>
        <v>216</v>
      </c>
      <c r="K63" s="39">
        <f>all!K179</f>
        <v>0.52300242130750607</v>
      </c>
      <c r="L63" s="38">
        <f>all!L179</f>
        <v>469</v>
      </c>
      <c r="M63" s="39">
        <f>all!M179</f>
        <v>0.49213011542497376</v>
      </c>
      <c r="N63" s="29">
        <f>all!N179</f>
        <v>1483</v>
      </c>
      <c r="O63" s="39">
        <f>all!O179</f>
        <v>0.50254151135208402</v>
      </c>
    </row>
    <row r="64" spans="1:16" x14ac:dyDescent="0.2">
      <c r="A64" s="26" t="s">
        <v>26</v>
      </c>
      <c r="B64" s="38">
        <f>all!B180</f>
        <v>67</v>
      </c>
      <c r="C64" s="39">
        <f>all!C180</f>
        <v>0.14016736401673641</v>
      </c>
      <c r="D64" s="38">
        <f>all!D180</f>
        <v>5</v>
      </c>
      <c r="E64" s="39">
        <f>all!E180</f>
        <v>0.1388888888888889</v>
      </c>
      <c r="F64" s="38">
        <f>all!F180</f>
        <v>13</v>
      </c>
      <c r="G64" s="39">
        <f>all!G180</f>
        <v>6.8062827225130892E-2</v>
      </c>
      <c r="H64" s="38">
        <f>all!H180</f>
        <v>150</v>
      </c>
      <c r="I64" s="39">
        <f>all!I180</f>
        <v>0.17045454545454544</v>
      </c>
      <c r="J64" s="38">
        <f>all!J180</f>
        <v>58</v>
      </c>
      <c r="K64" s="39">
        <f>all!K180</f>
        <v>0.14043583535108958</v>
      </c>
      <c r="L64" s="38">
        <f>all!L180</f>
        <v>184</v>
      </c>
      <c r="M64" s="39">
        <f>all!M180</f>
        <v>0.1930745015739769</v>
      </c>
      <c r="N64" s="29">
        <f>all!N180</f>
        <v>477</v>
      </c>
      <c r="O64" s="39">
        <f>all!O180</f>
        <v>0.16164012199254491</v>
      </c>
    </row>
    <row r="65" spans="1:16" x14ac:dyDescent="0.2">
      <c r="A65" s="26" t="s">
        <v>25</v>
      </c>
      <c r="B65" s="38">
        <f>all!B181</f>
        <v>11</v>
      </c>
      <c r="C65" s="39">
        <f>all!C181</f>
        <v>2.3012552301255231E-2</v>
      </c>
      <c r="D65" s="38">
        <f>all!D181</f>
        <v>1</v>
      </c>
      <c r="E65" s="39">
        <f>all!E181</f>
        <v>2.7777777777777776E-2</v>
      </c>
      <c r="F65" s="38">
        <f>all!F181</f>
        <v>6</v>
      </c>
      <c r="G65" s="39">
        <f>all!G181</f>
        <v>3.1413612565445025E-2</v>
      </c>
      <c r="H65" s="38">
        <f>all!H181</f>
        <v>31</v>
      </c>
      <c r="I65" s="39">
        <f>all!I181</f>
        <v>3.5227272727272725E-2</v>
      </c>
      <c r="J65" s="38">
        <f>all!J181</f>
        <v>7</v>
      </c>
      <c r="K65" s="39">
        <f>all!K181</f>
        <v>1.6949152542372881E-2</v>
      </c>
      <c r="L65" s="38">
        <f>all!L181</f>
        <v>28</v>
      </c>
      <c r="M65" s="39">
        <f>all!M181</f>
        <v>2.9380902413431269E-2</v>
      </c>
      <c r="N65" s="29">
        <f>all!N181</f>
        <v>84</v>
      </c>
      <c r="O65" s="39">
        <f>all!O181</f>
        <v>2.8464927143341239E-2</v>
      </c>
    </row>
    <row r="66" spans="1:16" s="14" customFormat="1" x14ac:dyDescent="0.2">
      <c r="A66" s="108" t="s">
        <v>1</v>
      </c>
      <c r="B66" s="30">
        <f>all!B182</f>
        <v>478</v>
      </c>
      <c r="C66" s="41">
        <f>all!C182</f>
        <v>1</v>
      </c>
      <c r="D66" s="30">
        <f>all!D182</f>
        <v>36</v>
      </c>
      <c r="E66" s="41">
        <f>all!E182</f>
        <v>0.99999999999999989</v>
      </c>
      <c r="F66" s="30">
        <f>all!F182</f>
        <v>191</v>
      </c>
      <c r="G66" s="41">
        <f>all!G182</f>
        <v>1</v>
      </c>
      <c r="H66" s="30">
        <f>all!H182</f>
        <v>880</v>
      </c>
      <c r="I66" s="41">
        <f>all!I182</f>
        <v>1</v>
      </c>
      <c r="J66" s="30">
        <f>all!J182</f>
        <v>413</v>
      </c>
      <c r="K66" s="41">
        <f>all!K182</f>
        <v>1</v>
      </c>
      <c r="L66" s="30">
        <f>all!L182</f>
        <v>953</v>
      </c>
      <c r="M66" s="41">
        <f>all!M182</f>
        <v>0.99999999999999989</v>
      </c>
      <c r="N66" s="30">
        <f>all!N182</f>
        <v>2951</v>
      </c>
      <c r="O66" s="41">
        <f>all!O182</f>
        <v>1</v>
      </c>
      <c r="P66" s="13"/>
    </row>
    <row r="67" spans="1:16" x14ac:dyDescent="0.2">
      <c r="A67" s="108" t="s">
        <v>115</v>
      </c>
      <c r="B67" s="25"/>
      <c r="C67" s="137">
        <f>all!C183</f>
        <v>0.83682008368200833</v>
      </c>
      <c r="D67" s="25"/>
      <c r="E67" s="137">
        <f>all!E183</f>
        <v>0.83333333333333326</v>
      </c>
      <c r="F67" s="25"/>
      <c r="G67" s="65">
        <f>all!G183</f>
        <v>0.90052356020942415</v>
      </c>
      <c r="H67" s="25"/>
      <c r="I67" s="137">
        <f>all!I183</f>
        <v>0.79431818181818181</v>
      </c>
      <c r="J67" s="25"/>
      <c r="K67" s="137">
        <f>all!K183</f>
        <v>0.84261501210653755</v>
      </c>
      <c r="L67" s="25"/>
      <c r="M67" s="137">
        <f>all!M183</f>
        <v>0.77754459601259174</v>
      </c>
      <c r="N67" s="30"/>
      <c r="O67" s="137">
        <f>all!O183</f>
        <v>0.80989495086411378</v>
      </c>
    </row>
    <row r="68" spans="1:16" x14ac:dyDescent="0.2">
      <c r="A68" s="19"/>
      <c r="B68" s="4"/>
      <c r="G68" s="11"/>
      <c r="H68" s="10"/>
    </row>
    <row r="69" spans="1:16" x14ac:dyDescent="0.2">
      <c r="A69" s="108" t="str">
        <f>all!A185</f>
        <v>Overall Evaluation of Instruction</v>
      </c>
      <c r="B69" s="151" t="s">
        <v>128</v>
      </c>
      <c r="C69" s="151"/>
      <c r="D69" s="151" t="s">
        <v>99</v>
      </c>
      <c r="E69" s="151"/>
      <c r="F69" s="150" t="s">
        <v>136</v>
      </c>
      <c r="G69" s="150"/>
      <c r="H69" s="151" t="s">
        <v>101</v>
      </c>
      <c r="I69" s="151"/>
      <c r="J69" s="151" t="s">
        <v>129</v>
      </c>
      <c r="K69" s="151"/>
      <c r="L69" s="151" t="s">
        <v>126</v>
      </c>
      <c r="M69" s="151"/>
      <c r="N69" s="148" t="s">
        <v>1</v>
      </c>
      <c r="O69" s="148"/>
    </row>
    <row r="70" spans="1:16" x14ac:dyDescent="0.2">
      <c r="A70" s="26" t="s">
        <v>28</v>
      </c>
      <c r="B70" s="38">
        <f>all!B186</f>
        <v>238</v>
      </c>
      <c r="C70" s="39">
        <f>all!C186</f>
        <v>0.49583333333333335</v>
      </c>
      <c r="D70" s="38">
        <f>all!D186</f>
        <v>18</v>
      </c>
      <c r="E70" s="39">
        <f>all!E186</f>
        <v>0.48648648648648651</v>
      </c>
      <c r="F70" s="38">
        <f>all!F186</f>
        <v>59</v>
      </c>
      <c r="G70" s="39">
        <f>all!G186</f>
        <v>0.31052631578947371</v>
      </c>
      <c r="H70" s="38">
        <f>all!H186</f>
        <v>403</v>
      </c>
      <c r="I70" s="39">
        <f>all!I186</f>
        <v>0.45691609977324266</v>
      </c>
      <c r="J70" s="38">
        <f>all!J186</f>
        <v>154</v>
      </c>
      <c r="K70" s="39">
        <f>all!K186</f>
        <v>0.3728813559322034</v>
      </c>
      <c r="L70" s="38">
        <f>all!L186</f>
        <v>414</v>
      </c>
      <c r="M70" s="39">
        <f>all!M186</f>
        <v>0.43396226415094341</v>
      </c>
      <c r="N70" s="29">
        <f>all!N186</f>
        <v>1286</v>
      </c>
      <c r="O70" s="39">
        <f>all!O186</f>
        <v>0.43504736129905275</v>
      </c>
    </row>
    <row r="71" spans="1:16" x14ac:dyDescent="0.2">
      <c r="A71" s="26" t="s">
        <v>27</v>
      </c>
      <c r="B71" s="38">
        <f>all!B187</f>
        <v>226</v>
      </c>
      <c r="C71" s="39">
        <f>all!C187</f>
        <v>0.47083333333333333</v>
      </c>
      <c r="D71" s="38">
        <f>all!D187</f>
        <v>15</v>
      </c>
      <c r="E71" s="39">
        <f>all!E187</f>
        <v>0.40540540540540543</v>
      </c>
      <c r="F71" s="38">
        <f>all!F187</f>
        <v>111</v>
      </c>
      <c r="G71" s="39">
        <f>all!G187</f>
        <v>0.58421052631578951</v>
      </c>
      <c r="H71" s="38">
        <f>all!H187</f>
        <v>439</v>
      </c>
      <c r="I71" s="39">
        <f>all!I187</f>
        <v>0.49773242630385489</v>
      </c>
      <c r="J71" s="38">
        <f>all!J187</f>
        <v>234</v>
      </c>
      <c r="K71" s="39">
        <f>all!K187</f>
        <v>0.56658595641646492</v>
      </c>
      <c r="L71" s="38">
        <f>all!L187</f>
        <v>488</v>
      </c>
      <c r="M71" s="39">
        <f>all!M187</f>
        <v>0.51153039832285119</v>
      </c>
      <c r="N71" s="29">
        <f>all!N187</f>
        <v>1513</v>
      </c>
      <c r="O71" s="39">
        <f>all!O187</f>
        <v>0.51184032476319352</v>
      </c>
    </row>
    <row r="72" spans="1:16" x14ac:dyDescent="0.2">
      <c r="A72" s="26" t="s">
        <v>26</v>
      </c>
      <c r="B72" s="38">
        <f>all!B188</f>
        <v>12</v>
      </c>
      <c r="C72" s="39">
        <f>all!C188</f>
        <v>2.5000000000000001E-2</v>
      </c>
      <c r="D72" s="38">
        <f>all!D188</f>
        <v>4</v>
      </c>
      <c r="E72" s="39">
        <f>all!E188</f>
        <v>0.10810810810810811</v>
      </c>
      <c r="F72" s="38">
        <f>all!F188</f>
        <v>13</v>
      </c>
      <c r="G72" s="39">
        <f>all!G188</f>
        <v>6.8421052631578952E-2</v>
      </c>
      <c r="H72" s="38">
        <f>all!H188</f>
        <v>29</v>
      </c>
      <c r="I72" s="39">
        <f>all!I188</f>
        <v>3.2879818594104306E-2</v>
      </c>
      <c r="J72" s="38">
        <f>all!J188</f>
        <v>20</v>
      </c>
      <c r="K72" s="39">
        <f>all!K188</f>
        <v>4.8426150121065374E-2</v>
      </c>
      <c r="L72" s="38">
        <f>all!L188</f>
        <v>40</v>
      </c>
      <c r="M72" s="39">
        <f>all!M188</f>
        <v>4.1928721174004195E-2</v>
      </c>
      <c r="N72" s="29">
        <f>all!N188</f>
        <v>118</v>
      </c>
      <c r="O72" s="39">
        <f>all!O188</f>
        <v>3.9918809201623814E-2</v>
      </c>
    </row>
    <row r="73" spans="1:16" x14ac:dyDescent="0.2">
      <c r="A73" s="26" t="s">
        <v>25</v>
      </c>
      <c r="B73" s="38">
        <f>all!B189</f>
        <v>4</v>
      </c>
      <c r="C73" s="39">
        <f>all!C189</f>
        <v>8.3333333333333332E-3</v>
      </c>
      <c r="D73" s="38">
        <f>all!D189</f>
        <v>0</v>
      </c>
      <c r="E73" s="39">
        <f>all!E189</f>
        <v>0</v>
      </c>
      <c r="F73" s="38">
        <f>all!F189</f>
        <v>7</v>
      </c>
      <c r="G73" s="39">
        <f>all!G189</f>
        <v>3.6842105263157891E-2</v>
      </c>
      <c r="H73" s="38">
        <f>all!H189</f>
        <v>11</v>
      </c>
      <c r="I73" s="39">
        <f>all!I189</f>
        <v>1.2471655328798186E-2</v>
      </c>
      <c r="J73" s="38">
        <f>all!J189</f>
        <v>5</v>
      </c>
      <c r="K73" s="39">
        <f>all!K189</f>
        <v>1.2106537530266344E-2</v>
      </c>
      <c r="L73" s="38">
        <f>all!L189</f>
        <v>12</v>
      </c>
      <c r="M73" s="39">
        <f>all!M189</f>
        <v>1.2578616352201259E-2</v>
      </c>
      <c r="N73" s="29">
        <f>all!N189</f>
        <v>39</v>
      </c>
      <c r="O73" s="39">
        <f>all!O189</f>
        <v>1.3193504736129905E-2</v>
      </c>
    </row>
    <row r="74" spans="1:16" s="14" customFormat="1" x14ac:dyDescent="0.2">
      <c r="A74" s="108" t="s">
        <v>1</v>
      </c>
      <c r="B74" s="30">
        <f>all!B190</f>
        <v>480</v>
      </c>
      <c r="C74" s="41">
        <f>all!C190</f>
        <v>1</v>
      </c>
      <c r="D74" s="30">
        <f>all!D190</f>
        <v>37</v>
      </c>
      <c r="E74" s="41">
        <f>all!E190</f>
        <v>1</v>
      </c>
      <c r="F74" s="30">
        <f>all!F190</f>
        <v>190</v>
      </c>
      <c r="G74" s="41">
        <f>all!G190</f>
        <v>1</v>
      </c>
      <c r="H74" s="30">
        <f>all!H190</f>
        <v>882</v>
      </c>
      <c r="I74" s="41">
        <f>all!I190</f>
        <v>1</v>
      </c>
      <c r="J74" s="30">
        <f>all!J190</f>
        <v>413</v>
      </c>
      <c r="K74" s="41">
        <f>all!K190</f>
        <v>1</v>
      </c>
      <c r="L74" s="30">
        <f>all!L190</f>
        <v>954</v>
      </c>
      <c r="M74" s="41">
        <f>all!M190</f>
        <v>1</v>
      </c>
      <c r="N74" s="30">
        <f>all!N190</f>
        <v>2956</v>
      </c>
      <c r="O74" s="41">
        <f>all!O190</f>
        <v>1</v>
      </c>
      <c r="P74" s="13"/>
    </row>
    <row r="75" spans="1:16" x14ac:dyDescent="0.2">
      <c r="A75" s="108" t="s">
        <v>115</v>
      </c>
      <c r="B75" s="25"/>
      <c r="C75" s="65">
        <f>all!C191</f>
        <v>0.96666666666666667</v>
      </c>
      <c r="D75" s="25"/>
      <c r="E75" s="137">
        <f>all!E191</f>
        <v>0.89189189189189189</v>
      </c>
      <c r="F75" s="25"/>
      <c r="G75" s="137">
        <f>all!G191</f>
        <v>0.89473684210526327</v>
      </c>
      <c r="H75" s="25"/>
      <c r="I75" s="65">
        <f>all!I191</f>
        <v>0.9546485260770976</v>
      </c>
      <c r="J75" s="25"/>
      <c r="K75" s="65">
        <f>all!K191</f>
        <v>0.93946731234866832</v>
      </c>
      <c r="L75" s="25"/>
      <c r="M75" s="65">
        <f>all!M191</f>
        <v>0.9454926624737946</v>
      </c>
      <c r="N75" s="30"/>
      <c r="O75" s="65">
        <f>all!O191</f>
        <v>0.94688768606224627</v>
      </c>
    </row>
    <row r="76" spans="1:16" x14ac:dyDescent="0.2">
      <c r="A76" s="19"/>
      <c r="B76" s="4"/>
      <c r="G76" s="11"/>
      <c r="H76" s="10"/>
    </row>
  </sheetData>
  <autoFilter ref="R5:X14"/>
  <mergeCells count="63">
    <mergeCell ref="L61:M61"/>
    <mergeCell ref="N61:O61"/>
    <mergeCell ref="B61:C61"/>
    <mergeCell ref="D61:E61"/>
    <mergeCell ref="F61:G61"/>
    <mergeCell ref="H61:I61"/>
    <mergeCell ref="J61:K61"/>
    <mergeCell ref="N69:O69"/>
    <mergeCell ref="B69:C69"/>
    <mergeCell ref="D69:E69"/>
    <mergeCell ref="F69:G69"/>
    <mergeCell ref="H69:I69"/>
    <mergeCell ref="J69:K69"/>
    <mergeCell ref="L69:M69"/>
    <mergeCell ref="D53:E53"/>
    <mergeCell ref="F53:G53"/>
    <mergeCell ref="H53:I53"/>
    <mergeCell ref="J53:K53"/>
    <mergeCell ref="N53:O53"/>
    <mergeCell ref="L53:M53"/>
    <mergeCell ref="N37:O37"/>
    <mergeCell ref="L45:M45"/>
    <mergeCell ref="N45:O45"/>
    <mergeCell ref="L37:M37"/>
    <mergeCell ref="N5:O5"/>
    <mergeCell ref="L13:M13"/>
    <mergeCell ref="N13:O13"/>
    <mergeCell ref="L5:M5"/>
    <mergeCell ref="D37:E37"/>
    <mergeCell ref="F37:G37"/>
    <mergeCell ref="H37:I37"/>
    <mergeCell ref="J37:K37"/>
    <mergeCell ref="B45:C45"/>
    <mergeCell ref="D45:E45"/>
    <mergeCell ref="F45:G45"/>
    <mergeCell ref="H45:I45"/>
    <mergeCell ref="J45:K45"/>
    <mergeCell ref="B53:C53"/>
    <mergeCell ref="N21:O21"/>
    <mergeCell ref="B29:C29"/>
    <mergeCell ref="D29:E29"/>
    <mergeCell ref="F29:G29"/>
    <mergeCell ref="H29:I29"/>
    <mergeCell ref="J29:K29"/>
    <mergeCell ref="L29:M29"/>
    <mergeCell ref="N29:O29"/>
    <mergeCell ref="B21:C21"/>
    <mergeCell ref="D21:E21"/>
    <mergeCell ref="F21:G21"/>
    <mergeCell ref="H21:I21"/>
    <mergeCell ref="J21:K21"/>
    <mergeCell ref="L21:M21"/>
    <mergeCell ref="B37:C37"/>
    <mergeCell ref="B13:C13"/>
    <mergeCell ref="D13:E13"/>
    <mergeCell ref="F13:G13"/>
    <mergeCell ref="H13:I13"/>
    <mergeCell ref="J13:K13"/>
    <mergeCell ref="B5:C5"/>
    <mergeCell ref="D5:E5"/>
    <mergeCell ref="F5:G5"/>
    <mergeCell ref="H5:I5"/>
    <mergeCell ref="J5:K5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
11/12/2010-kw&amp;C&amp;F&amp;R&amp;P of &amp;N</oddFooter>
  </headerFooter>
  <rowBreaks count="1" manualBreakCount="1">
    <brk id="36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"/>
  <sheetViews>
    <sheetView zoomScaleNormal="100" workbookViewId="0">
      <selection activeCell="E9" sqref="E9"/>
    </sheetView>
  </sheetViews>
  <sheetFormatPr defaultRowHeight="12.75" x14ac:dyDescent="0.2"/>
  <cols>
    <col min="1" max="1" width="33.42578125" style="21" customWidth="1"/>
    <col min="2" max="7" width="7.28515625" style="10" customWidth="1"/>
    <col min="8" max="8" width="7.28515625" style="11" customWidth="1"/>
    <col min="9" max="15" width="7.28515625" style="10" customWidth="1"/>
    <col min="16" max="16" width="9.140625" style="12"/>
    <col min="17" max="17" width="51" style="12" bestFit="1" customWidth="1"/>
    <col min="18" max="16384" width="9.140625" style="12"/>
  </cols>
  <sheetData>
    <row r="1" spans="1:24" ht="15.75" x14ac:dyDescent="0.2">
      <c r="A1" s="127" t="s">
        <v>219</v>
      </c>
    </row>
    <row r="2" spans="1:24" x14ac:dyDescent="0.2">
      <c r="A2" s="81" t="s">
        <v>134</v>
      </c>
      <c r="B2" s="1"/>
      <c r="C2" s="2"/>
      <c r="D2" s="1"/>
      <c r="E2" s="2"/>
      <c r="F2" s="1"/>
      <c r="G2" s="2"/>
      <c r="H2" s="1"/>
      <c r="I2" s="2"/>
      <c r="J2" s="1"/>
      <c r="K2" s="2"/>
      <c r="L2" s="1"/>
      <c r="M2" s="2"/>
      <c r="N2" s="15"/>
    </row>
    <row r="3" spans="1:24" x14ac:dyDescent="0.2">
      <c r="A3" s="81" t="s">
        <v>0</v>
      </c>
      <c r="B3" s="1"/>
      <c r="C3" s="2"/>
      <c r="D3" s="1"/>
      <c r="E3" s="2"/>
      <c r="F3" s="1"/>
      <c r="G3" s="2"/>
      <c r="H3" s="1"/>
      <c r="I3" s="2"/>
      <c r="J3" s="1"/>
      <c r="K3" s="2"/>
      <c r="L3" s="1"/>
      <c r="M3" s="2"/>
      <c r="N3" s="15"/>
    </row>
    <row r="4" spans="1:24" x14ac:dyDescent="0.2">
      <c r="A4" s="8" t="s">
        <v>61</v>
      </c>
      <c r="B4" s="1"/>
      <c r="H4" s="10"/>
    </row>
    <row r="5" spans="1:24" ht="24" x14ac:dyDescent="0.2">
      <c r="A5" s="22" t="str">
        <f>all!A194</f>
        <v>Ability to organize ideas</v>
      </c>
      <c r="B5" s="154" t="s">
        <v>128</v>
      </c>
      <c r="C5" s="154"/>
      <c r="D5" s="154" t="s">
        <v>99</v>
      </c>
      <c r="E5" s="154"/>
      <c r="F5" s="155" t="s">
        <v>136</v>
      </c>
      <c r="G5" s="155"/>
      <c r="H5" s="154" t="s">
        <v>101</v>
      </c>
      <c r="I5" s="154"/>
      <c r="J5" s="154" t="s">
        <v>129</v>
      </c>
      <c r="K5" s="154"/>
      <c r="L5" s="154" t="s">
        <v>126</v>
      </c>
      <c r="M5" s="154"/>
      <c r="N5" s="182" t="s">
        <v>1</v>
      </c>
      <c r="O5" s="182"/>
      <c r="Q5" s="90" t="s">
        <v>52</v>
      </c>
      <c r="R5" s="74" t="s">
        <v>128</v>
      </c>
      <c r="S5" s="74" t="s">
        <v>99</v>
      </c>
      <c r="T5" s="74" t="s">
        <v>136</v>
      </c>
      <c r="U5" s="74" t="s">
        <v>101</v>
      </c>
      <c r="V5" s="74" t="s">
        <v>129</v>
      </c>
      <c r="W5" s="74" t="s">
        <v>126</v>
      </c>
      <c r="X5" s="96" t="s">
        <v>1</v>
      </c>
    </row>
    <row r="6" spans="1:24" x14ac:dyDescent="0.2">
      <c r="A6" s="26" t="str">
        <f>all!A195</f>
        <v>Very satisfied</v>
      </c>
      <c r="B6" s="38">
        <f>all!B195</f>
        <v>107</v>
      </c>
      <c r="C6" s="39">
        <f>all!C195</f>
        <v>0.30571428571428572</v>
      </c>
      <c r="D6" s="38">
        <f>all!D195</f>
        <v>8</v>
      </c>
      <c r="E6" s="39">
        <f>all!E195</f>
        <v>0.25806451612903225</v>
      </c>
      <c r="F6" s="38">
        <f>all!F195</f>
        <v>42</v>
      </c>
      <c r="G6" s="39">
        <f>all!G195</f>
        <v>0.30215827338129497</v>
      </c>
      <c r="H6" s="38">
        <f>all!H195</f>
        <v>230</v>
      </c>
      <c r="I6" s="39">
        <f>all!I195</f>
        <v>0.34690799396681749</v>
      </c>
      <c r="J6" s="38">
        <f>all!J195</f>
        <v>101</v>
      </c>
      <c r="K6" s="39">
        <f>all!K195</f>
        <v>0.3289902280130293</v>
      </c>
      <c r="L6" s="38">
        <f>all!L195</f>
        <v>265</v>
      </c>
      <c r="M6" s="39">
        <f>all!M195</f>
        <v>0.37062937062937062</v>
      </c>
      <c r="N6" s="29">
        <f>all!N195</f>
        <v>753</v>
      </c>
      <c r="O6" s="39">
        <f>all!O195</f>
        <v>0.34149659863945581</v>
      </c>
      <c r="Q6" s="106" t="str">
        <f>A5</f>
        <v>Ability to organize ideas</v>
      </c>
      <c r="R6" s="91">
        <f>C11</f>
        <v>0.94285714285714284</v>
      </c>
      <c r="S6" s="91">
        <f>E11</f>
        <v>0.967741935483871</v>
      </c>
      <c r="T6" s="91">
        <f>G11</f>
        <v>0.95683453237410077</v>
      </c>
      <c r="U6" s="91">
        <f>I11</f>
        <v>0.95776772247360487</v>
      </c>
      <c r="V6" s="91">
        <f>K11</f>
        <v>0.97068403908794787</v>
      </c>
      <c r="W6" s="91">
        <f>M11</f>
        <v>0.95244755244755241</v>
      </c>
      <c r="X6" s="91">
        <f>O11</f>
        <v>0.9555555555555556</v>
      </c>
    </row>
    <row r="7" spans="1:24" x14ac:dyDescent="0.2">
      <c r="A7" s="26" t="str">
        <f>all!A196</f>
        <v>Satisfied</v>
      </c>
      <c r="B7" s="38">
        <f>all!B196</f>
        <v>223</v>
      </c>
      <c r="C7" s="39">
        <f>all!C196</f>
        <v>0.63714285714285712</v>
      </c>
      <c r="D7" s="38">
        <f>all!D196</f>
        <v>22</v>
      </c>
      <c r="E7" s="39">
        <f>all!E196</f>
        <v>0.70967741935483875</v>
      </c>
      <c r="F7" s="38">
        <f>all!F196</f>
        <v>91</v>
      </c>
      <c r="G7" s="39">
        <f>all!G196</f>
        <v>0.65467625899280579</v>
      </c>
      <c r="H7" s="38">
        <f>all!H196</f>
        <v>405</v>
      </c>
      <c r="I7" s="39">
        <f>all!I196</f>
        <v>0.61085972850678738</v>
      </c>
      <c r="J7" s="38">
        <f>all!J196</f>
        <v>197</v>
      </c>
      <c r="K7" s="39">
        <f>all!K196</f>
        <v>0.64169381107491852</v>
      </c>
      <c r="L7" s="38">
        <f>all!L196</f>
        <v>416</v>
      </c>
      <c r="M7" s="39">
        <f>all!M196</f>
        <v>0.58181818181818179</v>
      </c>
      <c r="N7" s="29">
        <f>all!N196</f>
        <v>1354</v>
      </c>
      <c r="O7" s="39">
        <f>all!O196</f>
        <v>0.6140589569160998</v>
      </c>
      <c r="Q7" s="106" t="str">
        <f>A13</f>
        <v>Ability to think critically</v>
      </c>
      <c r="R7" s="91">
        <f>C19</f>
        <v>0.95639534883720922</v>
      </c>
      <c r="S7" s="91">
        <f>E19</f>
        <v>0.96666666666666679</v>
      </c>
      <c r="T7" s="91">
        <f>G19</f>
        <v>0.95555555555555549</v>
      </c>
      <c r="U7" s="91">
        <f>I19</f>
        <v>0.95945945945945943</v>
      </c>
      <c r="V7" s="91">
        <f>K19</f>
        <v>0.96825396825396837</v>
      </c>
      <c r="W7" s="91">
        <f>M19</f>
        <v>0.95524475524475516</v>
      </c>
      <c r="X7" s="91">
        <f>O19</f>
        <v>0.95873015873015865</v>
      </c>
    </row>
    <row r="8" spans="1:24" x14ac:dyDescent="0.2">
      <c r="A8" s="26" t="str">
        <f>all!A197</f>
        <v>Dissatisfied</v>
      </c>
      <c r="B8" s="38">
        <f>all!B197</f>
        <v>20</v>
      </c>
      <c r="C8" s="39">
        <f>all!C197</f>
        <v>5.7142857142857141E-2</v>
      </c>
      <c r="D8" s="38">
        <f>all!D197</f>
        <v>1</v>
      </c>
      <c r="E8" s="39">
        <f>all!E197</f>
        <v>3.2258064516129031E-2</v>
      </c>
      <c r="F8" s="38">
        <f>all!F197</f>
        <v>6</v>
      </c>
      <c r="G8" s="39">
        <f>all!G197</f>
        <v>4.3165467625899283E-2</v>
      </c>
      <c r="H8" s="38">
        <f>all!H197</f>
        <v>25</v>
      </c>
      <c r="I8" s="39">
        <f>all!I197</f>
        <v>3.7707390648567117E-2</v>
      </c>
      <c r="J8" s="38">
        <f>all!J197</f>
        <v>7</v>
      </c>
      <c r="K8" s="39">
        <f>all!K197</f>
        <v>2.2801302931596091E-2</v>
      </c>
      <c r="L8" s="38">
        <f>all!L197</f>
        <v>33</v>
      </c>
      <c r="M8" s="39">
        <f>all!M197</f>
        <v>4.6153846153846156E-2</v>
      </c>
      <c r="N8" s="29">
        <f>all!N197</f>
        <v>92</v>
      </c>
      <c r="O8" s="39">
        <f>all!O197</f>
        <v>4.1723356009070296E-2</v>
      </c>
      <c r="Q8" s="106" t="str">
        <f>A21</f>
        <v>Ability to write with clarity</v>
      </c>
      <c r="R8" s="91">
        <f>C27</f>
        <v>0.93215339233038352</v>
      </c>
      <c r="S8" s="91">
        <f>E27</f>
        <v>0.875</v>
      </c>
      <c r="T8" s="91">
        <f>G27</f>
        <v>0.93571428571428572</v>
      </c>
      <c r="U8" s="91">
        <f>I27</f>
        <v>0.93500738552437213</v>
      </c>
      <c r="V8" s="91">
        <f>K27</f>
        <v>0.946031746031746</v>
      </c>
      <c r="W8" s="91">
        <f>M27</f>
        <v>0.93681318681318682</v>
      </c>
      <c r="X8" s="91">
        <f>O27</f>
        <v>0.93590318242940385</v>
      </c>
    </row>
    <row r="9" spans="1:24" x14ac:dyDescent="0.2">
      <c r="A9" s="26" t="str">
        <f>all!A198</f>
        <v>Very dissatisfied</v>
      </c>
      <c r="B9" s="38">
        <f>all!B198</f>
        <v>0</v>
      </c>
      <c r="C9" s="39">
        <f>all!C198</f>
        <v>0</v>
      </c>
      <c r="D9" s="38">
        <f>all!D198</f>
        <v>0</v>
      </c>
      <c r="E9" s="39">
        <f>all!E198</f>
        <v>0</v>
      </c>
      <c r="F9" s="38">
        <f>all!F198</f>
        <v>0</v>
      </c>
      <c r="G9" s="39">
        <f>all!G198</f>
        <v>0</v>
      </c>
      <c r="H9" s="38">
        <f>all!H198</f>
        <v>3</v>
      </c>
      <c r="I9" s="39">
        <f>all!I198</f>
        <v>4.5248868778280547E-3</v>
      </c>
      <c r="J9" s="38">
        <f>all!J198</f>
        <v>2</v>
      </c>
      <c r="K9" s="39">
        <f>all!K198</f>
        <v>6.5146579804560263E-3</v>
      </c>
      <c r="L9" s="38">
        <f>all!L198</f>
        <v>1</v>
      </c>
      <c r="M9" s="39">
        <f>all!M198</f>
        <v>1.3986013986013986E-3</v>
      </c>
      <c r="N9" s="29">
        <f>all!N198</f>
        <v>6</v>
      </c>
      <c r="O9" s="39">
        <f>all!O198</f>
        <v>2.7210884353741495E-3</v>
      </c>
      <c r="Q9" s="106" t="str">
        <f>A29</f>
        <v>Ability to speak with clarity</v>
      </c>
      <c r="R9" s="91">
        <f>C35</f>
        <v>0.93235294117647061</v>
      </c>
      <c r="S9" s="91">
        <f>E35</f>
        <v>0.90322580645161288</v>
      </c>
      <c r="T9" s="91">
        <f>G35</f>
        <v>0.93430656934306566</v>
      </c>
      <c r="U9" s="91">
        <f>I35</f>
        <v>0.94680851063829785</v>
      </c>
      <c r="V9" s="91">
        <f>K35</f>
        <v>0.95192307692307687</v>
      </c>
      <c r="W9" s="91">
        <f>M35</f>
        <v>0.92468619246861916</v>
      </c>
      <c r="X9" s="91">
        <f>O35</f>
        <v>0.93667425968109341</v>
      </c>
    </row>
    <row r="10" spans="1:24" s="14" customFormat="1" x14ac:dyDescent="0.2">
      <c r="A10" s="22" t="s">
        <v>1</v>
      </c>
      <c r="B10" s="139">
        <f>all!B199</f>
        <v>350</v>
      </c>
      <c r="C10" s="41">
        <f>all!C199</f>
        <v>1</v>
      </c>
      <c r="D10" s="139">
        <f>all!D199</f>
        <v>31</v>
      </c>
      <c r="E10" s="41">
        <f>all!E199</f>
        <v>1</v>
      </c>
      <c r="F10" s="139">
        <f>all!F199</f>
        <v>139</v>
      </c>
      <c r="G10" s="41">
        <f>all!G199</f>
        <v>1</v>
      </c>
      <c r="H10" s="139">
        <f>all!H199</f>
        <v>663</v>
      </c>
      <c r="I10" s="41">
        <f>all!I199</f>
        <v>1</v>
      </c>
      <c r="J10" s="139">
        <f>all!J199</f>
        <v>307</v>
      </c>
      <c r="K10" s="41">
        <f>all!K199</f>
        <v>1</v>
      </c>
      <c r="L10" s="139">
        <f>all!L199</f>
        <v>715</v>
      </c>
      <c r="M10" s="41">
        <f>all!M199</f>
        <v>1</v>
      </c>
      <c r="N10" s="30">
        <f>all!N199</f>
        <v>2205</v>
      </c>
      <c r="O10" s="41">
        <f>all!O199</f>
        <v>1</v>
      </c>
      <c r="Q10" s="106" t="str">
        <f>A37</f>
        <v>Ability and skills in problem solving</v>
      </c>
      <c r="R10" s="91">
        <f>C43</f>
        <v>0.94428152492668627</v>
      </c>
      <c r="S10" s="92">
        <f>E43</f>
        <v>0.90322580645161299</v>
      </c>
      <c r="T10" s="91">
        <f>G43</f>
        <v>0.96946564885496178</v>
      </c>
      <c r="U10" s="91">
        <f>I43</f>
        <v>0.95684523809523814</v>
      </c>
      <c r="V10" s="91">
        <f>K43</f>
        <v>0.95145631067961167</v>
      </c>
      <c r="W10" s="91">
        <f>M43</f>
        <v>0.94182825484764543</v>
      </c>
      <c r="X10" s="91">
        <f>O43</f>
        <v>0.94922937443336353</v>
      </c>
    </row>
    <row r="11" spans="1:24" x14ac:dyDescent="0.2">
      <c r="A11" s="22" t="s">
        <v>117</v>
      </c>
      <c r="B11" s="25"/>
      <c r="C11" s="65">
        <f>SUM(C6:C7)</f>
        <v>0.94285714285714284</v>
      </c>
      <c r="D11" s="25"/>
      <c r="E11" s="65">
        <f>SUM(E6:E7)</f>
        <v>0.967741935483871</v>
      </c>
      <c r="F11" s="25"/>
      <c r="G11" s="65">
        <f>SUM(G6:G7)</f>
        <v>0.95683453237410077</v>
      </c>
      <c r="H11" s="25"/>
      <c r="I11" s="65">
        <f>SUM(I6:I7)</f>
        <v>0.95776772247360487</v>
      </c>
      <c r="J11" s="25"/>
      <c r="K11" s="65">
        <f>SUM(K6:K7)</f>
        <v>0.97068403908794787</v>
      </c>
      <c r="L11" s="25"/>
      <c r="M11" s="65">
        <f>SUM(M6:M7)</f>
        <v>0.95244755244755241</v>
      </c>
      <c r="N11" s="30"/>
      <c r="O11" s="65">
        <f>SUM(O6:O7)</f>
        <v>0.9555555555555556</v>
      </c>
      <c r="Q11" s="106" t="str">
        <f>A45</f>
        <v>Knowledge of methods &amp; achievements in the social sciences</v>
      </c>
      <c r="R11" s="91">
        <f>C51</f>
        <v>0.93055555555555558</v>
      </c>
      <c r="S11" s="91">
        <f>E51</f>
        <v>0.967741935483871</v>
      </c>
      <c r="T11" s="91">
        <f>G51</f>
        <v>0.95620437956204374</v>
      </c>
      <c r="U11" s="91">
        <f>I51</f>
        <v>0.92927864214992928</v>
      </c>
      <c r="V11" s="91">
        <f>K51</f>
        <v>0.94476744186046513</v>
      </c>
      <c r="W11" s="91">
        <f>M51</f>
        <v>0.90105540897097625</v>
      </c>
      <c r="X11" s="91">
        <f>O51</f>
        <v>0.92468977321352153</v>
      </c>
    </row>
    <row r="12" spans="1:24" x14ac:dyDescent="0.2">
      <c r="A12" s="19"/>
      <c r="B12" s="1"/>
      <c r="H12" s="10"/>
      <c r="O12" s="17" t="s">
        <v>0</v>
      </c>
      <c r="Q12" s="106" t="str">
        <f>A53</f>
        <v>Knowledge of methods &amp; achievements in science</v>
      </c>
      <c r="R12" s="91">
        <f>C59</f>
        <v>0.90270270270270281</v>
      </c>
      <c r="S12" s="93">
        <f>E59</f>
        <v>0.8928571428571429</v>
      </c>
      <c r="T12" s="91">
        <f>G59</f>
        <v>0.90909090909090906</v>
      </c>
      <c r="U12" s="91">
        <f>I59</f>
        <v>0.90055248618784534</v>
      </c>
      <c r="V12" s="91">
        <f>K59</f>
        <v>0.91540785498489419</v>
      </c>
      <c r="W12" s="91">
        <f>M59</f>
        <v>0.86804657179818889</v>
      </c>
      <c r="X12" s="91">
        <f>O59</f>
        <v>0.89278176445757707</v>
      </c>
    </row>
    <row r="13" spans="1:24" x14ac:dyDescent="0.2">
      <c r="A13" s="108" t="str">
        <f>all!A202</f>
        <v>Ability to think critically</v>
      </c>
      <c r="B13" s="154" t="s">
        <v>128</v>
      </c>
      <c r="C13" s="154"/>
      <c r="D13" s="154" t="s">
        <v>99</v>
      </c>
      <c r="E13" s="154"/>
      <c r="F13" s="155" t="s">
        <v>136</v>
      </c>
      <c r="G13" s="155"/>
      <c r="H13" s="154" t="s">
        <v>101</v>
      </c>
      <c r="I13" s="154"/>
      <c r="J13" s="154" t="s">
        <v>129</v>
      </c>
      <c r="K13" s="154"/>
      <c r="L13" s="154" t="s">
        <v>126</v>
      </c>
      <c r="M13" s="154"/>
      <c r="N13" s="182" t="s">
        <v>1</v>
      </c>
      <c r="O13" s="182"/>
      <c r="Q13" s="106" t="str">
        <f>A61</f>
        <v>Knowledge &amp; skills in mathematics</v>
      </c>
      <c r="R13" s="94">
        <f>C67</f>
        <v>0.850828729281768</v>
      </c>
      <c r="S13" s="93">
        <f>E67</f>
        <v>0.87096774193548387</v>
      </c>
      <c r="T13" s="94">
        <f>G67</f>
        <v>0.89333333333333331</v>
      </c>
      <c r="U13" s="94">
        <f>I67</f>
        <v>0.84195804195804191</v>
      </c>
      <c r="V13" s="94">
        <f>K67</f>
        <v>0.87869822485207094</v>
      </c>
      <c r="W13" s="94">
        <f>M67</f>
        <v>0.83118556701030921</v>
      </c>
      <c r="X13" s="94">
        <f>O67</f>
        <v>0.84865092748735238</v>
      </c>
    </row>
    <row r="14" spans="1:24" x14ac:dyDescent="0.2">
      <c r="A14" s="26" t="str">
        <f>all!A203</f>
        <v>Very satisfied</v>
      </c>
      <c r="B14" s="38">
        <f>all!B203</f>
        <v>118</v>
      </c>
      <c r="C14" s="39">
        <f>all!C203</f>
        <v>0.34302325581395349</v>
      </c>
      <c r="D14" s="38">
        <f>all!D203</f>
        <v>6</v>
      </c>
      <c r="E14" s="39">
        <f>all!E203</f>
        <v>0.2</v>
      </c>
      <c r="F14" s="38">
        <f>all!F203</f>
        <v>49</v>
      </c>
      <c r="G14" s="39">
        <f>all!G203</f>
        <v>0.36296296296296299</v>
      </c>
      <c r="H14" s="38">
        <f>all!H203</f>
        <v>259</v>
      </c>
      <c r="I14" s="39">
        <f>all!I203</f>
        <v>0.3888888888888889</v>
      </c>
      <c r="J14" s="38">
        <f>all!J203</f>
        <v>102</v>
      </c>
      <c r="K14" s="39">
        <f>all!K203</f>
        <v>0.32380952380952382</v>
      </c>
      <c r="L14" s="38">
        <f>all!L203</f>
        <v>290</v>
      </c>
      <c r="M14" s="39">
        <f>all!M203</f>
        <v>0.40559440559440557</v>
      </c>
      <c r="N14" s="29">
        <f>all!N203</f>
        <v>824</v>
      </c>
      <c r="O14" s="39">
        <f>all!O203</f>
        <v>0.37369614512471655</v>
      </c>
      <c r="Q14" s="106" t="str">
        <f>A69</f>
        <v>Awareness &amp; appreciation of the arts and humanities</v>
      </c>
      <c r="R14" s="91">
        <f>C75</f>
        <v>0.93162393162393164</v>
      </c>
      <c r="S14" s="91">
        <f>E75</f>
        <v>0.93333333333333335</v>
      </c>
      <c r="T14" s="91">
        <f>G75</f>
        <v>0.94160583941605835</v>
      </c>
      <c r="U14" s="91">
        <f>I75</f>
        <v>0.94023323615160348</v>
      </c>
      <c r="V14" s="91">
        <f>K75</f>
        <v>0.93230769230769228</v>
      </c>
      <c r="W14" s="91">
        <f>M75</f>
        <v>0.89509536784741139</v>
      </c>
      <c r="X14" s="91">
        <f>O75</f>
        <v>0.92311091471498008</v>
      </c>
    </row>
    <row r="15" spans="1:24" x14ac:dyDescent="0.2">
      <c r="A15" s="26" t="str">
        <f>all!A204</f>
        <v>Satisfied</v>
      </c>
      <c r="B15" s="38">
        <f>all!B204</f>
        <v>211</v>
      </c>
      <c r="C15" s="39">
        <f>all!C204</f>
        <v>0.61337209302325579</v>
      </c>
      <c r="D15" s="38">
        <f>all!D204</f>
        <v>23</v>
      </c>
      <c r="E15" s="39">
        <f>all!E204</f>
        <v>0.76666666666666672</v>
      </c>
      <c r="F15" s="38">
        <f>all!F204</f>
        <v>80</v>
      </c>
      <c r="G15" s="39">
        <f>all!G204</f>
        <v>0.59259259259259256</v>
      </c>
      <c r="H15" s="38">
        <f>all!H204</f>
        <v>380</v>
      </c>
      <c r="I15" s="39">
        <f>all!I204</f>
        <v>0.57057057057057059</v>
      </c>
      <c r="J15" s="38">
        <f>all!J204</f>
        <v>203</v>
      </c>
      <c r="K15" s="39">
        <f>all!K204</f>
        <v>0.64444444444444449</v>
      </c>
      <c r="L15" s="38">
        <f>all!L204</f>
        <v>393</v>
      </c>
      <c r="M15" s="39">
        <f>all!M204</f>
        <v>0.54965034965034965</v>
      </c>
      <c r="N15" s="29">
        <f>all!N204</f>
        <v>1290</v>
      </c>
      <c r="O15" s="39">
        <f>all!O204</f>
        <v>0.58503401360544216</v>
      </c>
      <c r="Q15" s="106" t="str">
        <f>A77</f>
        <v>Awareness &amp; understanding of ethics</v>
      </c>
      <c r="R15" s="91">
        <f>C83</f>
        <v>0.93678160919540232</v>
      </c>
      <c r="S15" s="91">
        <f>E83</f>
        <v>0.93333333333333335</v>
      </c>
      <c r="T15" s="91">
        <f>G83</f>
        <v>0.94615384615384612</v>
      </c>
      <c r="U15" s="91">
        <f>I83</f>
        <v>0.9364599092284418</v>
      </c>
      <c r="V15" s="91">
        <f>K83</f>
        <v>0.95015576323987538</v>
      </c>
      <c r="W15" s="91">
        <f>M83</f>
        <v>0.91725105189340805</v>
      </c>
      <c r="X15" s="91">
        <f>O83</f>
        <v>0.9328188833408988</v>
      </c>
    </row>
    <row r="16" spans="1:24" x14ac:dyDescent="0.2">
      <c r="A16" s="26" t="str">
        <f>all!A205</f>
        <v>Dissatisfied</v>
      </c>
      <c r="B16" s="38">
        <f>all!B205</f>
        <v>15</v>
      </c>
      <c r="C16" s="39">
        <f>all!C205</f>
        <v>4.3604651162790699E-2</v>
      </c>
      <c r="D16" s="38">
        <f>all!D205</f>
        <v>1</v>
      </c>
      <c r="E16" s="39">
        <f>all!E205</f>
        <v>3.3333333333333333E-2</v>
      </c>
      <c r="F16" s="38">
        <f>all!F205</f>
        <v>6</v>
      </c>
      <c r="G16" s="39">
        <f>all!G205</f>
        <v>4.4444444444444446E-2</v>
      </c>
      <c r="H16" s="38">
        <f>all!H205</f>
        <v>22</v>
      </c>
      <c r="I16" s="39">
        <f>all!I205</f>
        <v>3.3033033033033031E-2</v>
      </c>
      <c r="J16" s="38">
        <f>all!J205</f>
        <v>8</v>
      </c>
      <c r="K16" s="39">
        <f>all!K205</f>
        <v>2.5396825396825397E-2</v>
      </c>
      <c r="L16" s="38">
        <f>all!L205</f>
        <v>28</v>
      </c>
      <c r="M16" s="39">
        <f>all!M205</f>
        <v>3.9160839160839164E-2</v>
      </c>
      <c r="N16" s="29">
        <f>all!N205</f>
        <v>80</v>
      </c>
      <c r="O16" s="39">
        <f>all!O205</f>
        <v>3.6281179138321996E-2</v>
      </c>
    </row>
    <row r="17" spans="1:15" x14ac:dyDescent="0.2">
      <c r="A17" s="26" t="str">
        <f>all!A206</f>
        <v>Very dissatisfied</v>
      </c>
      <c r="B17" s="38">
        <f>all!B206</f>
        <v>0</v>
      </c>
      <c r="C17" s="39">
        <f>all!C206</f>
        <v>0</v>
      </c>
      <c r="D17" s="38">
        <f>all!D206</f>
        <v>0</v>
      </c>
      <c r="E17" s="39">
        <f>all!E206</f>
        <v>0</v>
      </c>
      <c r="F17" s="38">
        <f>all!F206</f>
        <v>0</v>
      </c>
      <c r="G17" s="39">
        <f>all!G206</f>
        <v>0</v>
      </c>
      <c r="H17" s="38">
        <f>all!H206</f>
        <v>5</v>
      </c>
      <c r="I17" s="39">
        <f>all!I206</f>
        <v>7.5075075075075074E-3</v>
      </c>
      <c r="J17" s="38">
        <f>all!J206</f>
        <v>2</v>
      </c>
      <c r="K17" s="39">
        <f>all!K206</f>
        <v>6.3492063492063492E-3</v>
      </c>
      <c r="L17" s="38">
        <f>all!L206</f>
        <v>4</v>
      </c>
      <c r="M17" s="39">
        <f>all!M206</f>
        <v>5.5944055944055944E-3</v>
      </c>
      <c r="N17" s="29">
        <f>all!N206</f>
        <v>11</v>
      </c>
      <c r="O17" s="39">
        <f>all!O206</f>
        <v>4.9886621315192742E-3</v>
      </c>
    </row>
    <row r="18" spans="1:15" s="14" customFormat="1" x14ac:dyDescent="0.2">
      <c r="A18" s="108" t="s">
        <v>1</v>
      </c>
      <c r="B18" s="139">
        <f>all!B207</f>
        <v>344</v>
      </c>
      <c r="C18" s="41">
        <f>all!C207</f>
        <v>0.99999999999999989</v>
      </c>
      <c r="D18" s="139">
        <f>all!D207</f>
        <v>30</v>
      </c>
      <c r="E18" s="41">
        <f>all!E207</f>
        <v>1.0000000000000002</v>
      </c>
      <c r="F18" s="139">
        <f>all!F207</f>
        <v>135</v>
      </c>
      <c r="G18" s="41">
        <f>all!G207</f>
        <v>0.99999999999999989</v>
      </c>
      <c r="H18" s="139">
        <f>all!H207</f>
        <v>666</v>
      </c>
      <c r="I18" s="41">
        <f>all!I207</f>
        <v>1</v>
      </c>
      <c r="J18" s="139">
        <f>all!J207</f>
        <v>315</v>
      </c>
      <c r="K18" s="41">
        <f>all!K207</f>
        <v>1.0000000000000002</v>
      </c>
      <c r="L18" s="139">
        <f>all!L207</f>
        <v>715</v>
      </c>
      <c r="M18" s="41">
        <f>all!M207</f>
        <v>0.99999999999999989</v>
      </c>
      <c r="N18" s="30">
        <f>all!N207</f>
        <v>2205</v>
      </c>
      <c r="O18" s="41">
        <f>all!O207</f>
        <v>0.99999999999999989</v>
      </c>
    </row>
    <row r="19" spans="1:15" x14ac:dyDescent="0.2">
      <c r="A19" s="108" t="s">
        <v>117</v>
      </c>
      <c r="B19" s="25"/>
      <c r="C19" s="65">
        <f>SUM(C14:C15)</f>
        <v>0.95639534883720922</v>
      </c>
      <c r="D19" s="25"/>
      <c r="E19" s="65">
        <f>SUM(E14:E15)</f>
        <v>0.96666666666666679</v>
      </c>
      <c r="F19" s="25"/>
      <c r="G19" s="65">
        <f>SUM(G14:G15)</f>
        <v>0.95555555555555549</v>
      </c>
      <c r="H19" s="25"/>
      <c r="I19" s="65">
        <f>SUM(I14:I15)</f>
        <v>0.95945945945945943</v>
      </c>
      <c r="J19" s="25"/>
      <c r="K19" s="65">
        <f>SUM(K14:K15)</f>
        <v>0.96825396825396837</v>
      </c>
      <c r="L19" s="25"/>
      <c r="M19" s="65">
        <f>SUM(M14:M15)</f>
        <v>0.95524475524475516</v>
      </c>
      <c r="N19" s="30"/>
      <c r="O19" s="65">
        <f>SUM(O14:O15)</f>
        <v>0.95873015873015865</v>
      </c>
    </row>
    <row r="20" spans="1:15" x14ac:dyDescent="0.2">
      <c r="H20" s="10"/>
    </row>
    <row r="21" spans="1:15" ht="12.75" customHeight="1" x14ac:dyDescent="0.2">
      <c r="A21" s="108" t="str">
        <f>all!A210</f>
        <v>Ability to write with clarity</v>
      </c>
      <c r="B21" s="154" t="s">
        <v>128</v>
      </c>
      <c r="C21" s="154"/>
      <c r="D21" s="154" t="s">
        <v>99</v>
      </c>
      <c r="E21" s="154"/>
      <c r="F21" s="155" t="s">
        <v>136</v>
      </c>
      <c r="G21" s="155"/>
      <c r="H21" s="154" t="s">
        <v>101</v>
      </c>
      <c r="I21" s="154"/>
      <c r="J21" s="154" t="s">
        <v>129</v>
      </c>
      <c r="K21" s="154"/>
      <c r="L21" s="154" t="s">
        <v>126</v>
      </c>
      <c r="M21" s="154"/>
      <c r="N21" s="182" t="s">
        <v>1</v>
      </c>
      <c r="O21" s="182"/>
    </row>
    <row r="22" spans="1:15" x14ac:dyDescent="0.2">
      <c r="A22" s="26" t="str">
        <f>all!A211</f>
        <v>Very satisfied</v>
      </c>
      <c r="B22" s="38">
        <f>all!B211</f>
        <v>118</v>
      </c>
      <c r="C22" s="39">
        <f>all!C211</f>
        <v>0.34808259587020651</v>
      </c>
      <c r="D22" s="38">
        <f>all!D211</f>
        <v>9</v>
      </c>
      <c r="E22" s="39">
        <f>all!E211</f>
        <v>0.28125</v>
      </c>
      <c r="F22" s="38">
        <f>all!F211</f>
        <v>45</v>
      </c>
      <c r="G22" s="39">
        <f>all!G211</f>
        <v>0.32142857142857145</v>
      </c>
      <c r="H22" s="38">
        <f>all!H211</f>
        <v>240</v>
      </c>
      <c r="I22" s="39">
        <f>all!I211</f>
        <v>0.35450516986706054</v>
      </c>
      <c r="J22" s="38">
        <f>all!J211</f>
        <v>109</v>
      </c>
      <c r="K22" s="39">
        <f>all!K211</f>
        <v>0.34603174603174602</v>
      </c>
      <c r="L22" s="38">
        <f>all!L211</f>
        <v>282</v>
      </c>
      <c r="M22" s="39">
        <f>all!M211</f>
        <v>0.38736263736263737</v>
      </c>
      <c r="N22" s="29">
        <f>all!N211</f>
        <v>803</v>
      </c>
      <c r="O22" s="39">
        <f>all!O211</f>
        <v>0.35992828328103987</v>
      </c>
    </row>
    <row r="23" spans="1:15" x14ac:dyDescent="0.2">
      <c r="A23" s="26" t="str">
        <f>all!A212</f>
        <v>Satisfied</v>
      </c>
      <c r="B23" s="38">
        <f>all!B212</f>
        <v>198</v>
      </c>
      <c r="C23" s="39">
        <f>all!C212</f>
        <v>0.58407079646017701</v>
      </c>
      <c r="D23" s="38">
        <f>all!D212</f>
        <v>19</v>
      </c>
      <c r="E23" s="39">
        <f>all!E212</f>
        <v>0.59375</v>
      </c>
      <c r="F23" s="38">
        <f>all!F212</f>
        <v>86</v>
      </c>
      <c r="G23" s="39">
        <f>all!G212</f>
        <v>0.61428571428571432</v>
      </c>
      <c r="H23" s="38">
        <f>all!H212</f>
        <v>393</v>
      </c>
      <c r="I23" s="39">
        <f>all!I212</f>
        <v>0.58050221565731164</v>
      </c>
      <c r="J23" s="38">
        <f>all!J212</f>
        <v>189</v>
      </c>
      <c r="K23" s="39">
        <f>all!K212</f>
        <v>0.6</v>
      </c>
      <c r="L23" s="38">
        <f>all!L212</f>
        <v>400</v>
      </c>
      <c r="M23" s="39">
        <f>all!M212</f>
        <v>0.5494505494505495</v>
      </c>
      <c r="N23" s="29">
        <f>all!N212</f>
        <v>1285</v>
      </c>
      <c r="O23" s="39">
        <f>all!O212</f>
        <v>0.57597489914836397</v>
      </c>
    </row>
    <row r="24" spans="1:15" x14ac:dyDescent="0.2">
      <c r="A24" s="26" t="str">
        <f>all!A213</f>
        <v>Dissatisfied</v>
      </c>
      <c r="B24" s="38">
        <f>all!B213</f>
        <v>22</v>
      </c>
      <c r="C24" s="39">
        <f>all!C213</f>
        <v>6.4896755162241887E-2</v>
      </c>
      <c r="D24" s="38">
        <f>all!D213</f>
        <v>3</v>
      </c>
      <c r="E24" s="39">
        <f>all!E213</f>
        <v>9.375E-2</v>
      </c>
      <c r="F24" s="38">
        <f>all!F213</f>
        <v>8</v>
      </c>
      <c r="G24" s="39">
        <f>all!G213</f>
        <v>5.7142857142857141E-2</v>
      </c>
      <c r="H24" s="38">
        <f>all!H213</f>
        <v>39</v>
      </c>
      <c r="I24" s="39">
        <f>all!I213</f>
        <v>5.7607090103397339E-2</v>
      </c>
      <c r="J24" s="38">
        <f>all!J213</f>
        <v>15</v>
      </c>
      <c r="K24" s="39">
        <f>all!K213</f>
        <v>4.7619047619047616E-2</v>
      </c>
      <c r="L24" s="38">
        <f>all!L213</f>
        <v>40</v>
      </c>
      <c r="M24" s="39">
        <f>all!M213</f>
        <v>5.4945054945054944E-2</v>
      </c>
      <c r="N24" s="29">
        <f>all!N213</f>
        <v>127</v>
      </c>
      <c r="O24" s="39">
        <f>all!O213</f>
        <v>5.6925145674585391E-2</v>
      </c>
    </row>
    <row r="25" spans="1:15" x14ac:dyDescent="0.2">
      <c r="A25" s="26" t="str">
        <f>all!A214</f>
        <v>Very dissatisfied</v>
      </c>
      <c r="B25" s="38">
        <f>all!B214</f>
        <v>1</v>
      </c>
      <c r="C25" s="39">
        <f>all!C214</f>
        <v>2.9498525073746312E-3</v>
      </c>
      <c r="D25" s="38">
        <f>all!D214</f>
        <v>1</v>
      </c>
      <c r="E25" s="39">
        <f>all!E214</f>
        <v>3.125E-2</v>
      </c>
      <c r="F25" s="38">
        <f>all!F214</f>
        <v>1</v>
      </c>
      <c r="G25" s="39">
        <f>all!G214</f>
        <v>7.1428571428571426E-3</v>
      </c>
      <c r="H25" s="38">
        <f>all!H214</f>
        <v>5</v>
      </c>
      <c r="I25" s="39">
        <f>all!I214</f>
        <v>7.385524372230428E-3</v>
      </c>
      <c r="J25" s="38">
        <f>all!J214</f>
        <v>2</v>
      </c>
      <c r="K25" s="39">
        <f>all!K214</f>
        <v>6.3492063492063492E-3</v>
      </c>
      <c r="L25" s="38">
        <f>all!L214</f>
        <v>6</v>
      </c>
      <c r="M25" s="39">
        <f>all!M214</f>
        <v>8.241758241758242E-3</v>
      </c>
      <c r="N25" s="29">
        <f>all!N214</f>
        <v>16</v>
      </c>
      <c r="O25" s="39">
        <f>all!O214</f>
        <v>7.1716718960107579E-3</v>
      </c>
    </row>
    <row r="26" spans="1:15" s="14" customFormat="1" x14ac:dyDescent="0.2">
      <c r="A26" s="108" t="s">
        <v>1</v>
      </c>
      <c r="B26" s="139">
        <f>all!B215</f>
        <v>339</v>
      </c>
      <c r="C26" s="41">
        <f>all!C215</f>
        <v>1</v>
      </c>
      <c r="D26" s="139">
        <f>all!D215</f>
        <v>32</v>
      </c>
      <c r="E26" s="41">
        <f>all!E215</f>
        <v>1</v>
      </c>
      <c r="F26" s="139">
        <f>all!F215</f>
        <v>140</v>
      </c>
      <c r="G26" s="41">
        <f>all!G215</f>
        <v>1</v>
      </c>
      <c r="H26" s="139">
        <f>all!H215</f>
        <v>677</v>
      </c>
      <c r="I26" s="41">
        <f>all!I215</f>
        <v>0.99999999999999989</v>
      </c>
      <c r="J26" s="139">
        <f>all!J215</f>
        <v>315</v>
      </c>
      <c r="K26" s="41">
        <f>all!K215</f>
        <v>1</v>
      </c>
      <c r="L26" s="139">
        <f>all!L215</f>
        <v>728</v>
      </c>
      <c r="M26" s="41">
        <f>all!M215</f>
        <v>1</v>
      </c>
      <c r="N26" s="30">
        <f>all!N215</f>
        <v>2231</v>
      </c>
      <c r="O26" s="41">
        <f>all!O215</f>
        <v>1</v>
      </c>
    </row>
    <row r="27" spans="1:15" x14ac:dyDescent="0.2">
      <c r="A27" s="108" t="s">
        <v>117</v>
      </c>
      <c r="B27" s="25"/>
      <c r="C27" s="65">
        <f>SUM(C22:C23)</f>
        <v>0.93215339233038352</v>
      </c>
      <c r="D27" s="25"/>
      <c r="E27" s="65">
        <f>SUM(E22:E23)</f>
        <v>0.875</v>
      </c>
      <c r="F27" s="25"/>
      <c r="G27" s="65">
        <f>SUM(G22:G23)</f>
        <v>0.93571428571428572</v>
      </c>
      <c r="H27" s="25"/>
      <c r="I27" s="65">
        <f>SUM(I22:I23)</f>
        <v>0.93500738552437213</v>
      </c>
      <c r="J27" s="25"/>
      <c r="K27" s="65">
        <f>SUM(K22:K23)</f>
        <v>0.946031746031746</v>
      </c>
      <c r="L27" s="25"/>
      <c r="M27" s="65">
        <f>SUM(M22:M23)</f>
        <v>0.93681318681318682</v>
      </c>
      <c r="N27" s="30"/>
      <c r="O27" s="65">
        <f>SUM(O22:O23)</f>
        <v>0.93590318242940385</v>
      </c>
    </row>
    <row r="28" spans="1:15" x14ac:dyDescent="0.2">
      <c r="H28" s="10"/>
    </row>
    <row r="29" spans="1:15" ht="12.75" customHeight="1" x14ac:dyDescent="0.2">
      <c r="A29" s="108" t="str">
        <f>all!A218</f>
        <v>Ability to speak with clarity</v>
      </c>
      <c r="B29" s="154" t="s">
        <v>128</v>
      </c>
      <c r="C29" s="154"/>
      <c r="D29" s="154" t="s">
        <v>99</v>
      </c>
      <c r="E29" s="154"/>
      <c r="F29" s="155" t="s">
        <v>136</v>
      </c>
      <c r="G29" s="155"/>
      <c r="H29" s="154" t="s">
        <v>101</v>
      </c>
      <c r="I29" s="154"/>
      <c r="J29" s="154" t="s">
        <v>129</v>
      </c>
      <c r="K29" s="154"/>
      <c r="L29" s="154" t="s">
        <v>126</v>
      </c>
      <c r="M29" s="154"/>
      <c r="N29" s="182" t="s">
        <v>1</v>
      </c>
      <c r="O29" s="182"/>
    </row>
    <row r="30" spans="1:15" x14ac:dyDescent="0.2">
      <c r="A30" s="26" t="str">
        <f>all!A219</f>
        <v>Very satisfied</v>
      </c>
      <c r="B30" s="38">
        <f>all!B219</f>
        <v>103</v>
      </c>
      <c r="C30" s="39">
        <f>all!C219</f>
        <v>0.30294117647058821</v>
      </c>
      <c r="D30" s="38">
        <f>all!D219</f>
        <v>7</v>
      </c>
      <c r="E30" s="39">
        <f>all!E219</f>
        <v>0.22580645161290322</v>
      </c>
      <c r="F30" s="38">
        <f>all!F219</f>
        <v>39</v>
      </c>
      <c r="G30" s="39">
        <f>all!G219</f>
        <v>0.28467153284671531</v>
      </c>
      <c r="H30" s="38">
        <f>all!H219</f>
        <v>231</v>
      </c>
      <c r="I30" s="39">
        <f>all!I219</f>
        <v>0.35106382978723405</v>
      </c>
      <c r="J30" s="38">
        <f>all!J219</f>
        <v>100</v>
      </c>
      <c r="K30" s="39">
        <f>all!K219</f>
        <v>0.32051282051282054</v>
      </c>
      <c r="L30" s="38">
        <f>all!L219</f>
        <v>267</v>
      </c>
      <c r="M30" s="39">
        <f>all!M219</f>
        <v>0.3723849372384937</v>
      </c>
      <c r="N30" s="29">
        <f>all!N219</f>
        <v>747</v>
      </c>
      <c r="O30" s="39">
        <f>all!O219</f>
        <v>0.34031890660592257</v>
      </c>
    </row>
    <row r="31" spans="1:15" x14ac:dyDescent="0.2">
      <c r="A31" s="26" t="str">
        <f>all!A220</f>
        <v>Satisfied</v>
      </c>
      <c r="B31" s="38">
        <f>all!B220</f>
        <v>214</v>
      </c>
      <c r="C31" s="39">
        <f>all!C220</f>
        <v>0.62941176470588234</v>
      </c>
      <c r="D31" s="38">
        <f>all!D220</f>
        <v>21</v>
      </c>
      <c r="E31" s="39">
        <f>all!E220</f>
        <v>0.67741935483870963</v>
      </c>
      <c r="F31" s="38">
        <f>all!F220</f>
        <v>89</v>
      </c>
      <c r="G31" s="39">
        <f>all!G220</f>
        <v>0.64963503649635035</v>
      </c>
      <c r="H31" s="38">
        <f>all!H220</f>
        <v>392</v>
      </c>
      <c r="I31" s="39">
        <f>all!I220</f>
        <v>0.5957446808510638</v>
      </c>
      <c r="J31" s="38">
        <f>all!J220</f>
        <v>197</v>
      </c>
      <c r="K31" s="39">
        <f>all!K220</f>
        <v>0.63141025641025639</v>
      </c>
      <c r="L31" s="38">
        <f>all!L220</f>
        <v>396</v>
      </c>
      <c r="M31" s="39">
        <f>all!M220</f>
        <v>0.55230125523012552</v>
      </c>
      <c r="N31" s="29">
        <f>all!N220</f>
        <v>1309</v>
      </c>
      <c r="O31" s="39">
        <f>all!O220</f>
        <v>0.59635535307517085</v>
      </c>
    </row>
    <row r="32" spans="1:15" x14ac:dyDescent="0.2">
      <c r="A32" s="26" t="str">
        <f>all!A221</f>
        <v>Dissatisfied</v>
      </c>
      <c r="B32" s="38">
        <f>all!B221</f>
        <v>23</v>
      </c>
      <c r="C32" s="39">
        <f>all!C221</f>
        <v>6.7647058823529407E-2</v>
      </c>
      <c r="D32" s="38">
        <f>all!D221</f>
        <v>3</v>
      </c>
      <c r="E32" s="39">
        <f>all!E221</f>
        <v>9.6774193548387094E-2</v>
      </c>
      <c r="F32" s="38">
        <f>all!F221</f>
        <v>8</v>
      </c>
      <c r="G32" s="39">
        <f>all!G221</f>
        <v>5.8394160583941604E-2</v>
      </c>
      <c r="H32" s="38">
        <f>all!H221</f>
        <v>32</v>
      </c>
      <c r="I32" s="39">
        <f>all!I221</f>
        <v>4.8632218844984802E-2</v>
      </c>
      <c r="J32" s="38">
        <f>all!J221</f>
        <v>11</v>
      </c>
      <c r="K32" s="39">
        <f>all!K221</f>
        <v>3.5256410256410256E-2</v>
      </c>
      <c r="L32" s="38">
        <f>all!L221</f>
        <v>47</v>
      </c>
      <c r="M32" s="39">
        <f>all!M221</f>
        <v>6.555090655509066E-2</v>
      </c>
      <c r="N32" s="29">
        <f>all!N221</f>
        <v>124</v>
      </c>
      <c r="O32" s="39">
        <f>all!O221</f>
        <v>5.6492027334851938E-2</v>
      </c>
    </row>
    <row r="33" spans="1:15" x14ac:dyDescent="0.2">
      <c r="A33" s="26" t="str">
        <f>all!A222</f>
        <v>Very dissatisfied</v>
      </c>
      <c r="B33" s="38">
        <f>all!B222</f>
        <v>0</v>
      </c>
      <c r="C33" s="39">
        <f>all!C222</f>
        <v>0</v>
      </c>
      <c r="D33" s="38">
        <f>all!D222</f>
        <v>0</v>
      </c>
      <c r="E33" s="39">
        <f>all!E222</f>
        <v>0</v>
      </c>
      <c r="F33" s="38">
        <f>all!F222</f>
        <v>1</v>
      </c>
      <c r="G33" s="39">
        <f>all!G222</f>
        <v>7.2992700729927005E-3</v>
      </c>
      <c r="H33" s="38">
        <f>all!H222</f>
        <v>3</v>
      </c>
      <c r="I33" s="39">
        <f>all!I222</f>
        <v>4.559270516717325E-3</v>
      </c>
      <c r="J33" s="38">
        <f>all!J222</f>
        <v>4</v>
      </c>
      <c r="K33" s="39">
        <f>all!K222</f>
        <v>1.282051282051282E-2</v>
      </c>
      <c r="L33" s="38">
        <f>all!L222</f>
        <v>7</v>
      </c>
      <c r="M33" s="39">
        <f>all!M222</f>
        <v>9.7629009762900971E-3</v>
      </c>
      <c r="N33" s="29">
        <f>all!N222</f>
        <v>15</v>
      </c>
      <c r="O33" s="39">
        <f>all!O222</f>
        <v>6.8337129840546698E-3</v>
      </c>
    </row>
    <row r="34" spans="1:15" s="14" customFormat="1" x14ac:dyDescent="0.2">
      <c r="A34" s="108" t="s">
        <v>1</v>
      </c>
      <c r="B34" s="139">
        <f>all!B223</f>
        <v>340</v>
      </c>
      <c r="C34" s="41">
        <f>all!C223</f>
        <v>1</v>
      </c>
      <c r="D34" s="139">
        <f>all!D223</f>
        <v>31</v>
      </c>
      <c r="E34" s="41">
        <f>all!E223</f>
        <v>1</v>
      </c>
      <c r="F34" s="139">
        <f>all!F223</f>
        <v>137</v>
      </c>
      <c r="G34" s="41">
        <f>all!G223</f>
        <v>1</v>
      </c>
      <c r="H34" s="139">
        <f>all!H223</f>
        <v>658</v>
      </c>
      <c r="I34" s="41">
        <f>all!I223</f>
        <v>1</v>
      </c>
      <c r="J34" s="139">
        <f>all!J223</f>
        <v>312</v>
      </c>
      <c r="K34" s="41">
        <f>all!K223</f>
        <v>0.99999999999999989</v>
      </c>
      <c r="L34" s="139">
        <f>all!L223</f>
        <v>717</v>
      </c>
      <c r="M34" s="41">
        <f>all!M223</f>
        <v>0.99999999999999989</v>
      </c>
      <c r="N34" s="30">
        <f>all!N223</f>
        <v>2195</v>
      </c>
      <c r="O34" s="41">
        <f>all!O223</f>
        <v>1</v>
      </c>
    </row>
    <row r="35" spans="1:15" x14ac:dyDescent="0.2">
      <c r="A35" s="108" t="s">
        <v>117</v>
      </c>
      <c r="B35" s="25"/>
      <c r="C35" s="65">
        <f>SUM(C30:C31)</f>
        <v>0.93235294117647061</v>
      </c>
      <c r="D35" s="25"/>
      <c r="E35" s="65">
        <f>SUM(E30:E31)</f>
        <v>0.90322580645161288</v>
      </c>
      <c r="F35" s="25"/>
      <c r="G35" s="65">
        <f>SUM(G30:G31)</f>
        <v>0.93430656934306566</v>
      </c>
      <c r="H35" s="25"/>
      <c r="I35" s="65">
        <f>SUM(I30:I31)</f>
        <v>0.94680851063829785</v>
      </c>
      <c r="J35" s="25"/>
      <c r="K35" s="65">
        <f>SUM(K30:K31)</f>
        <v>0.95192307692307687</v>
      </c>
      <c r="L35" s="25"/>
      <c r="M35" s="65">
        <f>SUM(M30:M31)</f>
        <v>0.92468619246861916</v>
      </c>
      <c r="N35" s="30"/>
      <c r="O35" s="65">
        <f>SUM(O30:O31)</f>
        <v>0.93667425968109341</v>
      </c>
    </row>
    <row r="36" spans="1:15" x14ac:dyDescent="0.2">
      <c r="H36" s="10"/>
    </row>
    <row r="37" spans="1:15" ht="12.75" customHeight="1" x14ac:dyDescent="0.2">
      <c r="A37" s="108" t="str">
        <f>all!A226</f>
        <v>Ability and skills in problem solving</v>
      </c>
      <c r="B37" s="154" t="s">
        <v>128</v>
      </c>
      <c r="C37" s="154"/>
      <c r="D37" s="154" t="s">
        <v>99</v>
      </c>
      <c r="E37" s="154"/>
      <c r="F37" s="155" t="s">
        <v>136</v>
      </c>
      <c r="G37" s="155"/>
      <c r="H37" s="154" t="s">
        <v>101</v>
      </c>
      <c r="I37" s="154"/>
      <c r="J37" s="154" t="s">
        <v>129</v>
      </c>
      <c r="K37" s="154"/>
      <c r="L37" s="154" t="s">
        <v>126</v>
      </c>
      <c r="M37" s="154"/>
      <c r="N37" s="182" t="s">
        <v>1</v>
      </c>
      <c r="O37" s="182"/>
    </row>
    <row r="38" spans="1:15" x14ac:dyDescent="0.2">
      <c r="A38" s="26" t="str">
        <f>all!A227</f>
        <v>Very satisfied</v>
      </c>
      <c r="B38" s="38">
        <f>all!B227</f>
        <v>104</v>
      </c>
      <c r="C38" s="39">
        <f>all!C227</f>
        <v>0.30498533724340177</v>
      </c>
      <c r="D38" s="38">
        <f>all!D227</f>
        <v>6</v>
      </c>
      <c r="E38" s="39">
        <f>all!E227</f>
        <v>0.19354838709677419</v>
      </c>
      <c r="F38" s="38">
        <f>all!F227</f>
        <v>44</v>
      </c>
      <c r="G38" s="39">
        <f>all!G227</f>
        <v>0.33587786259541985</v>
      </c>
      <c r="H38" s="38">
        <f>all!H227</f>
        <v>246</v>
      </c>
      <c r="I38" s="39">
        <f>all!I227</f>
        <v>0.36607142857142855</v>
      </c>
      <c r="J38" s="38">
        <f>all!J227</f>
        <v>100</v>
      </c>
      <c r="K38" s="39">
        <f>all!K227</f>
        <v>0.32362459546925565</v>
      </c>
      <c r="L38" s="38">
        <f>all!L227</f>
        <v>284</v>
      </c>
      <c r="M38" s="39">
        <f>all!M227</f>
        <v>0.39335180055401664</v>
      </c>
      <c r="N38" s="29">
        <f>all!N227</f>
        <v>784</v>
      </c>
      <c r="O38" s="39">
        <f>all!O227</f>
        <v>0.35539437896645515</v>
      </c>
    </row>
    <row r="39" spans="1:15" x14ac:dyDescent="0.2">
      <c r="A39" s="26" t="str">
        <f>all!A228</f>
        <v>Satisfied</v>
      </c>
      <c r="B39" s="38">
        <f>all!B228</f>
        <v>218</v>
      </c>
      <c r="C39" s="39">
        <f>all!C228</f>
        <v>0.63929618768328444</v>
      </c>
      <c r="D39" s="38">
        <f>all!D228</f>
        <v>22</v>
      </c>
      <c r="E39" s="39">
        <f>all!E228</f>
        <v>0.70967741935483875</v>
      </c>
      <c r="F39" s="38">
        <f>all!F228</f>
        <v>83</v>
      </c>
      <c r="G39" s="39">
        <f>all!G228</f>
        <v>0.63358778625954193</v>
      </c>
      <c r="H39" s="38">
        <f>all!H228</f>
        <v>397</v>
      </c>
      <c r="I39" s="39">
        <f>all!I228</f>
        <v>0.59077380952380953</v>
      </c>
      <c r="J39" s="38">
        <f>all!J228</f>
        <v>194</v>
      </c>
      <c r="K39" s="39">
        <f>all!K228</f>
        <v>0.62783171521035597</v>
      </c>
      <c r="L39" s="38">
        <f>all!L228</f>
        <v>396</v>
      </c>
      <c r="M39" s="39">
        <f>all!M228</f>
        <v>0.54847645429362879</v>
      </c>
      <c r="N39" s="29">
        <f>all!N228</f>
        <v>1310</v>
      </c>
      <c r="O39" s="39">
        <f>all!O228</f>
        <v>0.59383499546690843</v>
      </c>
    </row>
    <row r="40" spans="1:15" x14ac:dyDescent="0.2">
      <c r="A40" s="26" t="str">
        <f>all!A229</f>
        <v>Dissatisfied</v>
      </c>
      <c r="B40" s="38">
        <f>all!B229</f>
        <v>18</v>
      </c>
      <c r="C40" s="39">
        <f>all!C229</f>
        <v>5.2785923753665691E-2</v>
      </c>
      <c r="D40" s="38">
        <f>all!D229</f>
        <v>2</v>
      </c>
      <c r="E40" s="39">
        <f>all!E229</f>
        <v>6.4516129032258063E-2</v>
      </c>
      <c r="F40" s="38">
        <f>all!F229</f>
        <v>4</v>
      </c>
      <c r="G40" s="39">
        <f>all!G229</f>
        <v>3.0534351145038167E-2</v>
      </c>
      <c r="H40" s="38">
        <f>all!H229</f>
        <v>24</v>
      </c>
      <c r="I40" s="39">
        <f>all!I229</f>
        <v>3.5714285714285712E-2</v>
      </c>
      <c r="J40" s="38">
        <f>all!J229</f>
        <v>11</v>
      </c>
      <c r="K40" s="39">
        <f>all!K229</f>
        <v>3.5598705501618123E-2</v>
      </c>
      <c r="L40" s="38">
        <f>all!L229</f>
        <v>36</v>
      </c>
      <c r="M40" s="39">
        <f>all!M229</f>
        <v>4.9861495844875349E-2</v>
      </c>
      <c r="N40" s="29">
        <f>all!N229</f>
        <v>95</v>
      </c>
      <c r="O40" s="39">
        <f>all!O229</f>
        <v>4.3064369900271987E-2</v>
      </c>
    </row>
    <row r="41" spans="1:15" x14ac:dyDescent="0.2">
      <c r="A41" s="26" t="str">
        <f>all!A230</f>
        <v>Very dissatisfied</v>
      </c>
      <c r="B41" s="38">
        <f>all!B230</f>
        <v>1</v>
      </c>
      <c r="C41" s="39">
        <f>all!C230</f>
        <v>2.9325513196480938E-3</v>
      </c>
      <c r="D41" s="38">
        <f>all!D230</f>
        <v>1</v>
      </c>
      <c r="E41" s="39">
        <f>all!E230</f>
        <v>3.2258064516129031E-2</v>
      </c>
      <c r="F41" s="38">
        <f>all!F230</f>
        <v>0</v>
      </c>
      <c r="G41" s="39">
        <f>all!G230</f>
        <v>0</v>
      </c>
      <c r="H41" s="38">
        <f>all!H230</f>
        <v>5</v>
      </c>
      <c r="I41" s="39">
        <f>all!I230</f>
        <v>7.4404761904761901E-3</v>
      </c>
      <c r="J41" s="38">
        <f>all!J230</f>
        <v>4</v>
      </c>
      <c r="K41" s="39">
        <f>all!K230</f>
        <v>1.2944983818770227E-2</v>
      </c>
      <c r="L41" s="38">
        <f>all!L230</f>
        <v>6</v>
      </c>
      <c r="M41" s="39">
        <f>all!M230</f>
        <v>8.3102493074792248E-3</v>
      </c>
      <c r="N41" s="29">
        <f>all!N230</f>
        <v>17</v>
      </c>
      <c r="O41" s="39">
        <f>all!O230</f>
        <v>7.7062556663644605E-3</v>
      </c>
    </row>
    <row r="42" spans="1:15" s="14" customFormat="1" x14ac:dyDescent="0.2">
      <c r="A42" s="108" t="s">
        <v>1</v>
      </c>
      <c r="B42" s="139">
        <f>all!B231</f>
        <v>341</v>
      </c>
      <c r="C42" s="41">
        <f>all!C231</f>
        <v>1</v>
      </c>
      <c r="D42" s="139">
        <f>all!D231</f>
        <v>31</v>
      </c>
      <c r="E42" s="41">
        <f>all!E231</f>
        <v>1</v>
      </c>
      <c r="F42" s="139">
        <f>all!F231</f>
        <v>131</v>
      </c>
      <c r="G42" s="41">
        <f>all!G231</f>
        <v>1</v>
      </c>
      <c r="H42" s="139">
        <f>all!H231</f>
        <v>672</v>
      </c>
      <c r="I42" s="41">
        <f>all!I231</f>
        <v>1</v>
      </c>
      <c r="J42" s="139">
        <f>all!J231</f>
        <v>309</v>
      </c>
      <c r="K42" s="41">
        <f>all!K231</f>
        <v>1</v>
      </c>
      <c r="L42" s="139">
        <f>all!L231</f>
        <v>722</v>
      </c>
      <c r="M42" s="41">
        <f>all!M231</f>
        <v>1</v>
      </c>
      <c r="N42" s="30">
        <f>all!N231</f>
        <v>2206</v>
      </c>
      <c r="O42" s="41">
        <f>all!O231</f>
        <v>1</v>
      </c>
    </row>
    <row r="43" spans="1:15" x14ac:dyDescent="0.2">
      <c r="A43" s="108" t="s">
        <v>117</v>
      </c>
      <c r="B43" s="25"/>
      <c r="C43" s="65">
        <f>SUM(C38:C39)</f>
        <v>0.94428152492668627</v>
      </c>
      <c r="D43" s="25"/>
      <c r="E43" s="65">
        <f>SUM(E38:E39)</f>
        <v>0.90322580645161299</v>
      </c>
      <c r="F43" s="25"/>
      <c r="G43" s="65">
        <f>SUM(G38:G39)</f>
        <v>0.96946564885496178</v>
      </c>
      <c r="H43" s="25"/>
      <c r="I43" s="65">
        <f>SUM(I38:I39)</f>
        <v>0.95684523809523814</v>
      </c>
      <c r="J43" s="25"/>
      <c r="K43" s="65">
        <f>SUM(K38:K39)</f>
        <v>0.95145631067961167</v>
      </c>
      <c r="L43" s="25"/>
      <c r="M43" s="65">
        <f>SUM(M38:M39)</f>
        <v>0.94182825484764543</v>
      </c>
      <c r="N43" s="30"/>
      <c r="O43" s="65">
        <f>SUM(O38:O39)</f>
        <v>0.94922937443336353</v>
      </c>
    </row>
    <row r="44" spans="1:15" x14ac:dyDescent="0.2">
      <c r="H44" s="10"/>
    </row>
    <row r="45" spans="1:15" ht="24" x14ac:dyDescent="0.2">
      <c r="A45" s="108" t="str">
        <f>all!A234</f>
        <v>Knowledge of methods &amp; achievements in the social sciences</v>
      </c>
      <c r="B45" s="154" t="s">
        <v>128</v>
      </c>
      <c r="C45" s="154"/>
      <c r="D45" s="154" t="s">
        <v>99</v>
      </c>
      <c r="E45" s="154"/>
      <c r="F45" s="155" t="s">
        <v>136</v>
      </c>
      <c r="G45" s="155"/>
      <c r="H45" s="154" t="s">
        <v>101</v>
      </c>
      <c r="I45" s="154"/>
      <c r="J45" s="154" t="s">
        <v>129</v>
      </c>
      <c r="K45" s="154"/>
      <c r="L45" s="154" t="s">
        <v>126</v>
      </c>
      <c r="M45" s="154"/>
      <c r="N45" s="182" t="s">
        <v>1</v>
      </c>
      <c r="O45" s="182"/>
    </row>
    <row r="46" spans="1:15" x14ac:dyDescent="0.2">
      <c r="A46" s="26" t="str">
        <f>all!A235</f>
        <v>Very satisfied</v>
      </c>
      <c r="B46" s="38">
        <f>all!B235</f>
        <v>103</v>
      </c>
      <c r="C46" s="39">
        <f>all!C235</f>
        <v>0.28611111111111109</v>
      </c>
      <c r="D46" s="38">
        <f>all!D235</f>
        <v>8</v>
      </c>
      <c r="E46" s="39">
        <f>all!E235</f>
        <v>0.25806451612903225</v>
      </c>
      <c r="F46" s="38">
        <f>all!F235</f>
        <v>40</v>
      </c>
      <c r="G46" s="39">
        <f>all!G235</f>
        <v>0.29197080291970801</v>
      </c>
      <c r="H46" s="38">
        <f>all!H235</f>
        <v>226</v>
      </c>
      <c r="I46" s="39">
        <f>all!I235</f>
        <v>0.31966053748231965</v>
      </c>
      <c r="J46" s="38">
        <f>all!J235</f>
        <v>90</v>
      </c>
      <c r="K46" s="39">
        <f>all!K235</f>
        <v>0.26162790697674421</v>
      </c>
      <c r="L46" s="38">
        <f>all!L235</f>
        <v>231</v>
      </c>
      <c r="M46" s="39">
        <f>all!M235</f>
        <v>0.30474934036939316</v>
      </c>
      <c r="N46" s="29">
        <f>all!N235</f>
        <v>698</v>
      </c>
      <c r="O46" s="39">
        <f>all!O235</f>
        <v>0.29867351305091999</v>
      </c>
    </row>
    <row r="47" spans="1:15" x14ac:dyDescent="0.2">
      <c r="A47" s="26" t="str">
        <f>all!A236</f>
        <v>Satisfied</v>
      </c>
      <c r="B47" s="38">
        <f>all!B236</f>
        <v>232</v>
      </c>
      <c r="C47" s="39">
        <f>all!C236</f>
        <v>0.64444444444444449</v>
      </c>
      <c r="D47" s="38">
        <f>all!D236</f>
        <v>22</v>
      </c>
      <c r="E47" s="39">
        <f>all!E236</f>
        <v>0.70967741935483875</v>
      </c>
      <c r="F47" s="38">
        <f>all!F236</f>
        <v>91</v>
      </c>
      <c r="G47" s="39">
        <f>all!G236</f>
        <v>0.66423357664233573</v>
      </c>
      <c r="H47" s="38">
        <f>all!H236</f>
        <v>431</v>
      </c>
      <c r="I47" s="39">
        <f>all!I236</f>
        <v>0.60961810466760957</v>
      </c>
      <c r="J47" s="38">
        <f>all!J236</f>
        <v>235</v>
      </c>
      <c r="K47" s="39">
        <f>all!K236</f>
        <v>0.68313953488372092</v>
      </c>
      <c r="L47" s="38">
        <f>all!L236</f>
        <v>452</v>
      </c>
      <c r="M47" s="39">
        <f>all!M236</f>
        <v>0.59630606860158308</v>
      </c>
      <c r="N47" s="29">
        <f>all!N236</f>
        <v>1463</v>
      </c>
      <c r="O47" s="39">
        <f>all!O236</f>
        <v>0.62601626016260159</v>
      </c>
    </row>
    <row r="48" spans="1:15" x14ac:dyDescent="0.2">
      <c r="A48" s="26" t="str">
        <f>all!A237</f>
        <v>Dissatisfied</v>
      </c>
      <c r="B48" s="38">
        <f>all!B237</f>
        <v>22</v>
      </c>
      <c r="C48" s="39">
        <f>all!C237</f>
        <v>6.1111111111111109E-2</v>
      </c>
      <c r="D48" s="38">
        <f>all!D237</f>
        <v>1</v>
      </c>
      <c r="E48" s="39">
        <f>all!E237</f>
        <v>3.2258064516129031E-2</v>
      </c>
      <c r="F48" s="38">
        <f>all!F237</f>
        <v>6</v>
      </c>
      <c r="G48" s="39">
        <f>all!G237</f>
        <v>4.3795620437956206E-2</v>
      </c>
      <c r="H48" s="38">
        <f>all!H237</f>
        <v>40</v>
      </c>
      <c r="I48" s="39">
        <f>all!I237</f>
        <v>5.6577086280056574E-2</v>
      </c>
      <c r="J48" s="38">
        <f>all!J237</f>
        <v>15</v>
      </c>
      <c r="K48" s="39">
        <f>all!K237</f>
        <v>4.3604651162790699E-2</v>
      </c>
      <c r="L48" s="38">
        <f>all!L237</f>
        <v>68</v>
      </c>
      <c r="M48" s="39">
        <f>all!M237</f>
        <v>8.9709762532981532E-2</v>
      </c>
      <c r="N48" s="29">
        <f>all!N237</f>
        <v>152</v>
      </c>
      <c r="O48" s="39">
        <f>all!O237</f>
        <v>6.5040650406504072E-2</v>
      </c>
    </row>
    <row r="49" spans="1:15" x14ac:dyDescent="0.2">
      <c r="A49" s="26" t="str">
        <f>all!A238</f>
        <v>Very dissatisfied</v>
      </c>
      <c r="B49" s="38">
        <f>all!B238</f>
        <v>3</v>
      </c>
      <c r="C49" s="39">
        <f>all!C238</f>
        <v>8.3333333333333332E-3</v>
      </c>
      <c r="D49" s="38">
        <f>all!D238</f>
        <v>0</v>
      </c>
      <c r="E49" s="39">
        <f>all!E238</f>
        <v>0</v>
      </c>
      <c r="F49" s="38">
        <f>all!F238</f>
        <v>0</v>
      </c>
      <c r="G49" s="39">
        <f>all!G238</f>
        <v>0</v>
      </c>
      <c r="H49" s="38">
        <f>all!H238</f>
        <v>10</v>
      </c>
      <c r="I49" s="39">
        <f>all!I238</f>
        <v>1.4144271570014143E-2</v>
      </c>
      <c r="J49" s="38">
        <f>all!J238</f>
        <v>4</v>
      </c>
      <c r="K49" s="39">
        <f>all!K238</f>
        <v>1.1627906976744186E-2</v>
      </c>
      <c r="L49" s="38">
        <f>all!L238</f>
        <v>7</v>
      </c>
      <c r="M49" s="39">
        <f>all!M238</f>
        <v>9.2348284960422165E-3</v>
      </c>
      <c r="N49" s="29">
        <f>all!N238</f>
        <v>24</v>
      </c>
      <c r="O49" s="39">
        <f>all!O238</f>
        <v>1.0269576379974325E-2</v>
      </c>
    </row>
    <row r="50" spans="1:15" s="14" customFormat="1" x14ac:dyDescent="0.2">
      <c r="A50" s="108" t="s">
        <v>1</v>
      </c>
      <c r="B50" s="139">
        <f>all!B239</f>
        <v>360</v>
      </c>
      <c r="C50" s="41">
        <f>all!C239</f>
        <v>1</v>
      </c>
      <c r="D50" s="139">
        <f>all!D239</f>
        <v>31</v>
      </c>
      <c r="E50" s="41">
        <f>all!E239</f>
        <v>1</v>
      </c>
      <c r="F50" s="139">
        <f>all!F239</f>
        <v>137</v>
      </c>
      <c r="G50" s="41">
        <f>all!G239</f>
        <v>1</v>
      </c>
      <c r="H50" s="139">
        <f>all!H239</f>
        <v>707</v>
      </c>
      <c r="I50" s="41">
        <f>all!I239</f>
        <v>1</v>
      </c>
      <c r="J50" s="139">
        <f>all!J239</f>
        <v>344</v>
      </c>
      <c r="K50" s="41">
        <f>all!K239</f>
        <v>1</v>
      </c>
      <c r="L50" s="139">
        <f>all!L239</f>
        <v>758</v>
      </c>
      <c r="M50" s="41">
        <f>all!M239</f>
        <v>1</v>
      </c>
      <c r="N50" s="30">
        <f>all!N239</f>
        <v>2337</v>
      </c>
      <c r="O50" s="41">
        <f>all!O239</f>
        <v>0.99999999999999989</v>
      </c>
    </row>
    <row r="51" spans="1:15" x14ac:dyDescent="0.2">
      <c r="A51" s="108" t="s">
        <v>117</v>
      </c>
      <c r="B51" s="25"/>
      <c r="C51" s="65">
        <f>SUM(C46:C47)</f>
        <v>0.93055555555555558</v>
      </c>
      <c r="D51" s="25"/>
      <c r="E51" s="65">
        <f>SUM(E46:E47)</f>
        <v>0.967741935483871</v>
      </c>
      <c r="F51" s="25"/>
      <c r="G51" s="65">
        <f>SUM(G46:G47)</f>
        <v>0.95620437956204374</v>
      </c>
      <c r="H51" s="25"/>
      <c r="I51" s="65">
        <f>SUM(I46:I47)</f>
        <v>0.92927864214992928</v>
      </c>
      <c r="J51" s="25"/>
      <c r="K51" s="65">
        <f>SUM(K46:K47)</f>
        <v>0.94476744186046513</v>
      </c>
      <c r="L51" s="25"/>
      <c r="M51" s="65">
        <f>SUM(M46:M47)</f>
        <v>0.90105540897097625</v>
      </c>
      <c r="N51" s="30"/>
      <c r="O51" s="65">
        <f>SUM(O46:O47)</f>
        <v>0.92468977321352153</v>
      </c>
    </row>
    <row r="52" spans="1:15" x14ac:dyDescent="0.2">
      <c r="H52" s="10"/>
    </row>
    <row r="53" spans="1:15" ht="24" x14ac:dyDescent="0.2">
      <c r="A53" s="108" t="str">
        <f>all!A242</f>
        <v>Knowledge of methods &amp; achievements in science</v>
      </c>
      <c r="B53" s="154" t="s">
        <v>128</v>
      </c>
      <c r="C53" s="154"/>
      <c r="D53" s="154" t="s">
        <v>99</v>
      </c>
      <c r="E53" s="154"/>
      <c r="F53" s="155" t="s">
        <v>136</v>
      </c>
      <c r="G53" s="155"/>
      <c r="H53" s="154" t="s">
        <v>101</v>
      </c>
      <c r="I53" s="154"/>
      <c r="J53" s="154" t="s">
        <v>129</v>
      </c>
      <c r="K53" s="154"/>
      <c r="L53" s="154" t="s">
        <v>126</v>
      </c>
      <c r="M53" s="154"/>
      <c r="N53" s="182" t="s">
        <v>1</v>
      </c>
      <c r="O53" s="182"/>
    </row>
    <row r="54" spans="1:15" x14ac:dyDescent="0.2">
      <c r="A54" s="26" t="str">
        <f>all!A243</f>
        <v>Very satisfied</v>
      </c>
      <c r="B54" s="38">
        <f>all!B243</f>
        <v>94</v>
      </c>
      <c r="C54" s="39">
        <f>all!C243</f>
        <v>0.25405405405405407</v>
      </c>
      <c r="D54" s="38">
        <f>all!D243</f>
        <v>5</v>
      </c>
      <c r="E54" s="39">
        <f>all!E243</f>
        <v>0.17857142857142858</v>
      </c>
      <c r="F54" s="38">
        <f>all!F243</f>
        <v>36</v>
      </c>
      <c r="G54" s="39">
        <f>all!G243</f>
        <v>0.25174825174825177</v>
      </c>
      <c r="H54" s="38">
        <f>all!H243</f>
        <v>216</v>
      </c>
      <c r="I54" s="39">
        <f>all!I243</f>
        <v>0.2983425414364641</v>
      </c>
      <c r="J54" s="38">
        <f>all!J243</f>
        <v>76</v>
      </c>
      <c r="K54" s="39">
        <f>all!K243</f>
        <v>0.22960725075528701</v>
      </c>
      <c r="L54" s="38">
        <f>all!L243</f>
        <v>215</v>
      </c>
      <c r="M54" s="39">
        <f>all!M243</f>
        <v>0.27813712807244501</v>
      </c>
      <c r="N54" s="29">
        <f>all!N243</f>
        <v>642</v>
      </c>
      <c r="O54" s="39">
        <f>all!O243</f>
        <v>0.27100042211903758</v>
      </c>
    </row>
    <row r="55" spans="1:15" x14ac:dyDescent="0.2">
      <c r="A55" s="26" t="str">
        <f>all!A244</f>
        <v>Satisfied</v>
      </c>
      <c r="B55" s="38">
        <f>all!B244</f>
        <v>240</v>
      </c>
      <c r="C55" s="39">
        <f>all!C244</f>
        <v>0.64864864864864868</v>
      </c>
      <c r="D55" s="38">
        <f>all!D244</f>
        <v>20</v>
      </c>
      <c r="E55" s="39">
        <f>all!E244</f>
        <v>0.7142857142857143</v>
      </c>
      <c r="F55" s="38">
        <f>all!F244</f>
        <v>94</v>
      </c>
      <c r="G55" s="39">
        <f>all!G244</f>
        <v>0.65734265734265729</v>
      </c>
      <c r="H55" s="38">
        <f>all!H244</f>
        <v>436</v>
      </c>
      <c r="I55" s="39">
        <f>all!I244</f>
        <v>0.60220994475138123</v>
      </c>
      <c r="J55" s="38">
        <f>all!J244</f>
        <v>227</v>
      </c>
      <c r="K55" s="39">
        <f>all!K244</f>
        <v>0.6858006042296072</v>
      </c>
      <c r="L55" s="38">
        <f>all!L244</f>
        <v>456</v>
      </c>
      <c r="M55" s="39">
        <f>all!M244</f>
        <v>0.58990944372574383</v>
      </c>
      <c r="N55" s="29">
        <f>all!N244</f>
        <v>1473</v>
      </c>
      <c r="O55" s="39">
        <f>all!O244</f>
        <v>0.62178134233853943</v>
      </c>
    </row>
    <row r="56" spans="1:15" x14ac:dyDescent="0.2">
      <c r="A56" s="26" t="str">
        <f>all!A245</f>
        <v>Dissatisfied</v>
      </c>
      <c r="B56" s="38">
        <f>all!B245</f>
        <v>31</v>
      </c>
      <c r="C56" s="39">
        <f>all!C245</f>
        <v>8.3783783783783788E-2</v>
      </c>
      <c r="D56" s="38">
        <f>all!D245</f>
        <v>3</v>
      </c>
      <c r="E56" s="39">
        <f>all!E245</f>
        <v>0.10714285714285714</v>
      </c>
      <c r="F56" s="38">
        <f>all!F245</f>
        <v>13</v>
      </c>
      <c r="G56" s="39">
        <f>all!G245</f>
        <v>9.0909090909090912E-2</v>
      </c>
      <c r="H56" s="38">
        <f>all!H245</f>
        <v>59</v>
      </c>
      <c r="I56" s="39">
        <f>all!I245</f>
        <v>8.1491712707182321E-2</v>
      </c>
      <c r="J56" s="38">
        <f>all!J245</f>
        <v>23</v>
      </c>
      <c r="K56" s="39">
        <f>all!K245</f>
        <v>6.9486404833836862E-2</v>
      </c>
      <c r="L56" s="38">
        <f>all!L245</f>
        <v>85</v>
      </c>
      <c r="M56" s="39">
        <f>all!M245</f>
        <v>0.10996119016817593</v>
      </c>
      <c r="N56" s="29">
        <f>all!N245</f>
        <v>214</v>
      </c>
      <c r="O56" s="39">
        <f>all!O245</f>
        <v>9.0333474039679187E-2</v>
      </c>
    </row>
    <row r="57" spans="1:15" x14ac:dyDescent="0.2">
      <c r="A57" s="26" t="str">
        <f>all!A246</f>
        <v>Very dissatisfied</v>
      </c>
      <c r="B57" s="38">
        <f>all!B246</f>
        <v>5</v>
      </c>
      <c r="C57" s="39">
        <f>all!C246</f>
        <v>1.3513513513513514E-2</v>
      </c>
      <c r="D57" s="38">
        <f>all!D246</f>
        <v>0</v>
      </c>
      <c r="E57" s="39">
        <f>all!E246</f>
        <v>0</v>
      </c>
      <c r="F57" s="38">
        <f>all!F246</f>
        <v>0</v>
      </c>
      <c r="G57" s="39">
        <f>all!G246</f>
        <v>0</v>
      </c>
      <c r="H57" s="38">
        <f>all!H246</f>
        <v>13</v>
      </c>
      <c r="I57" s="39">
        <f>all!I246</f>
        <v>1.7955801104972375E-2</v>
      </c>
      <c r="J57" s="38">
        <f>all!J246</f>
        <v>5</v>
      </c>
      <c r="K57" s="39">
        <f>all!K246</f>
        <v>1.5105740181268883E-2</v>
      </c>
      <c r="L57" s="38">
        <f>all!L246</f>
        <v>17</v>
      </c>
      <c r="M57" s="39">
        <f>all!M246</f>
        <v>2.1992238033635189E-2</v>
      </c>
      <c r="N57" s="29">
        <f>all!N246</f>
        <v>40</v>
      </c>
      <c r="O57" s="39">
        <f>all!O246</f>
        <v>1.6884761502743775E-2</v>
      </c>
    </row>
    <row r="58" spans="1:15" s="14" customFormat="1" x14ac:dyDescent="0.2">
      <c r="A58" s="108" t="s">
        <v>1</v>
      </c>
      <c r="B58" s="139">
        <f>all!B247</f>
        <v>370</v>
      </c>
      <c r="C58" s="41">
        <f>all!C247</f>
        <v>1.0000000000000002</v>
      </c>
      <c r="D58" s="139">
        <f>all!D247</f>
        <v>28</v>
      </c>
      <c r="E58" s="41">
        <f>all!E247</f>
        <v>1</v>
      </c>
      <c r="F58" s="139">
        <f>all!F247</f>
        <v>143</v>
      </c>
      <c r="G58" s="41">
        <f>all!G247</f>
        <v>1</v>
      </c>
      <c r="H58" s="139">
        <f>all!H247</f>
        <v>724</v>
      </c>
      <c r="I58" s="41">
        <f>all!I247</f>
        <v>1</v>
      </c>
      <c r="J58" s="139">
        <f>all!J247</f>
        <v>331</v>
      </c>
      <c r="K58" s="41">
        <f>all!K247</f>
        <v>0.99999999999999989</v>
      </c>
      <c r="L58" s="139">
        <f>all!L247</f>
        <v>773</v>
      </c>
      <c r="M58" s="41">
        <f>all!M247</f>
        <v>1</v>
      </c>
      <c r="N58" s="30">
        <f>all!N247</f>
        <v>2369</v>
      </c>
      <c r="O58" s="41">
        <f>all!O247</f>
        <v>1</v>
      </c>
    </row>
    <row r="59" spans="1:15" x14ac:dyDescent="0.2">
      <c r="A59" s="108" t="s">
        <v>117</v>
      </c>
      <c r="B59" s="25"/>
      <c r="C59" s="65">
        <f>SUM(C54:C55)</f>
        <v>0.90270270270270281</v>
      </c>
      <c r="D59" s="25"/>
      <c r="E59" s="65">
        <f>SUM(E54:E55)</f>
        <v>0.8928571428571429</v>
      </c>
      <c r="F59" s="25"/>
      <c r="G59" s="65">
        <f>SUM(G54:G55)</f>
        <v>0.90909090909090906</v>
      </c>
      <c r="H59" s="25"/>
      <c r="I59" s="65">
        <f>SUM(I54:I55)</f>
        <v>0.90055248618784534</v>
      </c>
      <c r="J59" s="25"/>
      <c r="K59" s="65">
        <f>SUM(K54:K55)</f>
        <v>0.91540785498489419</v>
      </c>
      <c r="L59" s="25"/>
      <c r="M59" s="65">
        <f>SUM(M54:M55)</f>
        <v>0.86804657179818889</v>
      </c>
      <c r="N59" s="30"/>
      <c r="O59" s="65">
        <f>SUM(O54:O55)</f>
        <v>0.89278176445757707</v>
      </c>
    </row>
    <row r="60" spans="1:15" x14ac:dyDescent="0.2">
      <c r="H60" s="10"/>
    </row>
    <row r="61" spans="1:15" ht="12.75" customHeight="1" x14ac:dyDescent="0.2">
      <c r="A61" s="108" t="str">
        <f>all!A250</f>
        <v>Knowledge &amp; skills in mathematics</v>
      </c>
      <c r="B61" s="154" t="s">
        <v>128</v>
      </c>
      <c r="C61" s="154"/>
      <c r="D61" s="154" t="s">
        <v>99</v>
      </c>
      <c r="E61" s="154"/>
      <c r="F61" s="155" t="s">
        <v>136</v>
      </c>
      <c r="G61" s="155"/>
      <c r="H61" s="154" t="s">
        <v>101</v>
      </c>
      <c r="I61" s="154"/>
      <c r="J61" s="154" t="s">
        <v>129</v>
      </c>
      <c r="K61" s="154"/>
      <c r="L61" s="154" t="s">
        <v>126</v>
      </c>
      <c r="M61" s="154"/>
      <c r="N61" s="182" t="s">
        <v>1</v>
      </c>
      <c r="O61" s="182"/>
    </row>
    <row r="62" spans="1:15" x14ac:dyDescent="0.2">
      <c r="A62" s="26" t="str">
        <f>all!A251</f>
        <v>Very satisfied</v>
      </c>
      <c r="B62" s="38">
        <f>all!B251</f>
        <v>101</v>
      </c>
      <c r="C62" s="39">
        <f>all!C251</f>
        <v>0.27900552486187846</v>
      </c>
      <c r="D62" s="38">
        <f>all!D251</f>
        <v>8</v>
      </c>
      <c r="E62" s="39">
        <f>all!E251</f>
        <v>0.25806451612903225</v>
      </c>
      <c r="F62" s="38">
        <f>all!F251</f>
        <v>30</v>
      </c>
      <c r="G62" s="39">
        <f>all!G251</f>
        <v>0.2</v>
      </c>
      <c r="H62" s="38">
        <f>all!H251</f>
        <v>212</v>
      </c>
      <c r="I62" s="39">
        <f>all!I251</f>
        <v>0.2965034965034965</v>
      </c>
      <c r="J62" s="38">
        <f>all!J251</f>
        <v>84</v>
      </c>
      <c r="K62" s="39">
        <f>all!K251</f>
        <v>0.24852071005917159</v>
      </c>
      <c r="L62" s="38">
        <f>all!L251</f>
        <v>245</v>
      </c>
      <c r="M62" s="39">
        <f>all!M251</f>
        <v>0.31572164948453607</v>
      </c>
      <c r="N62" s="29">
        <f>all!N251</f>
        <v>680</v>
      </c>
      <c r="O62" s="39">
        <f>all!O251</f>
        <v>0.28667790893760542</v>
      </c>
    </row>
    <row r="63" spans="1:15" x14ac:dyDescent="0.2">
      <c r="A63" s="26" t="str">
        <f>all!A252</f>
        <v>Satisfied</v>
      </c>
      <c r="B63" s="38">
        <f>all!B252</f>
        <v>207</v>
      </c>
      <c r="C63" s="39">
        <f>all!C252</f>
        <v>0.57182320441988954</v>
      </c>
      <c r="D63" s="38">
        <f>all!D252</f>
        <v>19</v>
      </c>
      <c r="E63" s="39">
        <f>all!E252</f>
        <v>0.61290322580645162</v>
      </c>
      <c r="F63" s="38">
        <f>all!F252</f>
        <v>104</v>
      </c>
      <c r="G63" s="39">
        <f>all!G252</f>
        <v>0.69333333333333336</v>
      </c>
      <c r="H63" s="38">
        <f>all!H252</f>
        <v>390</v>
      </c>
      <c r="I63" s="39">
        <f>all!I252</f>
        <v>0.54545454545454541</v>
      </c>
      <c r="J63" s="38">
        <f>all!J252</f>
        <v>213</v>
      </c>
      <c r="K63" s="39">
        <f>all!K252</f>
        <v>0.63017751479289941</v>
      </c>
      <c r="L63" s="38">
        <f>all!L252</f>
        <v>400</v>
      </c>
      <c r="M63" s="39">
        <f>all!M252</f>
        <v>0.51546391752577314</v>
      </c>
      <c r="N63" s="29">
        <f>all!N252</f>
        <v>1333</v>
      </c>
      <c r="O63" s="39">
        <f>all!O252</f>
        <v>0.56197301854974702</v>
      </c>
    </row>
    <row r="64" spans="1:15" x14ac:dyDescent="0.2">
      <c r="A64" s="26" t="str">
        <f>all!A253</f>
        <v>Dissatisfied</v>
      </c>
      <c r="B64" s="38">
        <f>all!B253</f>
        <v>45</v>
      </c>
      <c r="C64" s="39">
        <f>all!C253</f>
        <v>0.12430939226519337</v>
      </c>
      <c r="D64" s="38">
        <f>all!D253</f>
        <v>4</v>
      </c>
      <c r="E64" s="39">
        <f>all!E253</f>
        <v>0.12903225806451613</v>
      </c>
      <c r="F64" s="38">
        <f>all!F253</f>
        <v>14</v>
      </c>
      <c r="G64" s="39">
        <f>all!G253</f>
        <v>9.3333333333333338E-2</v>
      </c>
      <c r="H64" s="38">
        <f>all!H253</f>
        <v>81</v>
      </c>
      <c r="I64" s="39">
        <f>all!I253</f>
        <v>0.11328671328671329</v>
      </c>
      <c r="J64" s="38">
        <f>all!J253</f>
        <v>32</v>
      </c>
      <c r="K64" s="39">
        <f>all!K253</f>
        <v>9.4674556213017749E-2</v>
      </c>
      <c r="L64" s="38">
        <f>all!L253</f>
        <v>97</v>
      </c>
      <c r="M64" s="39">
        <f>all!M253</f>
        <v>0.125</v>
      </c>
      <c r="N64" s="29">
        <f>all!N253</f>
        <v>273</v>
      </c>
      <c r="O64" s="39">
        <f>all!O253</f>
        <v>0.11509274873524451</v>
      </c>
    </row>
    <row r="65" spans="1:15" x14ac:dyDescent="0.2">
      <c r="A65" s="26" t="str">
        <f>all!A254</f>
        <v>Very dissatisfied</v>
      </c>
      <c r="B65" s="38">
        <f>all!B254</f>
        <v>9</v>
      </c>
      <c r="C65" s="39">
        <f>all!C254</f>
        <v>2.4861878453038673E-2</v>
      </c>
      <c r="D65" s="38">
        <f>all!D254</f>
        <v>0</v>
      </c>
      <c r="E65" s="39">
        <f>all!E254</f>
        <v>0</v>
      </c>
      <c r="F65" s="38">
        <f>all!F254</f>
        <v>2</v>
      </c>
      <c r="G65" s="39">
        <f>all!G254</f>
        <v>1.3333333333333334E-2</v>
      </c>
      <c r="H65" s="38">
        <f>all!H254</f>
        <v>32</v>
      </c>
      <c r="I65" s="39">
        <f>all!I254</f>
        <v>4.4755244755244755E-2</v>
      </c>
      <c r="J65" s="38">
        <f>all!J254</f>
        <v>9</v>
      </c>
      <c r="K65" s="39">
        <f>all!K254</f>
        <v>2.6627218934911243E-2</v>
      </c>
      <c r="L65" s="38">
        <f>all!L254</f>
        <v>34</v>
      </c>
      <c r="M65" s="39">
        <f>all!M254</f>
        <v>4.3814432989690719E-2</v>
      </c>
      <c r="N65" s="29">
        <f>all!N254</f>
        <v>86</v>
      </c>
      <c r="O65" s="39">
        <f>all!O254</f>
        <v>3.6256323777403038E-2</v>
      </c>
    </row>
    <row r="66" spans="1:15" s="14" customFormat="1" x14ac:dyDescent="0.2">
      <c r="A66" s="108" t="s">
        <v>1</v>
      </c>
      <c r="B66" s="139">
        <f>all!B255</f>
        <v>362</v>
      </c>
      <c r="C66" s="41">
        <f>all!C255</f>
        <v>1</v>
      </c>
      <c r="D66" s="139">
        <f>all!D255</f>
        <v>31</v>
      </c>
      <c r="E66" s="41">
        <f>all!E255</f>
        <v>1</v>
      </c>
      <c r="F66" s="139">
        <f>all!F255</f>
        <v>150</v>
      </c>
      <c r="G66" s="41">
        <f>all!G255</f>
        <v>1</v>
      </c>
      <c r="H66" s="139">
        <f>all!H255</f>
        <v>715</v>
      </c>
      <c r="I66" s="41">
        <f>all!I255</f>
        <v>0.99999999999999989</v>
      </c>
      <c r="J66" s="139">
        <f>all!J255</f>
        <v>338</v>
      </c>
      <c r="K66" s="41">
        <f>all!K255</f>
        <v>1</v>
      </c>
      <c r="L66" s="139">
        <f>all!L255</f>
        <v>776</v>
      </c>
      <c r="M66" s="41">
        <f>all!M255</f>
        <v>0.99999999999999989</v>
      </c>
      <c r="N66" s="30">
        <f>all!N255</f>
        <v>2372</v>
      </c>
      <c r="O66" s="41">
        <f>all!O255</f>
        <v>1</v>
      </c>
    </row>
    <row r="67" spans="1:15" x14ac:dyDescent="0.2">
      <c r="A67" s="108" t="s">
        <v>117</v>
      </c>
      <c r="B67" s="25"/>
      <c r="C67" s="65">
        <f>SUM(C62:C63)</f>
        <v>0.850828729281768</v>
      </c>
      <c r="D67" s="25"/>
      <c r="E67" s="65">
        <f>SUM(E62:E63)</f>
        <v>0.87096774193548387</v>
      </c>
      <c r="F67" s="25"/>
      <c r="G67" s="65">
        <f>SUM(G62:G63)</f>
        <v>0.89333333333333331</v>
      </c>
      <c r="H67" s="25"/>
      <c r="I67" s="65">
        <f>SUM(I62:I63)</f>
        <v>0.84195804195804191</v>
      </c>
      <c r="J67" s="25"/>
      <c r="K67" s="65">
        <f>SUM(K62:K63)</f>
        <v>0.87869822485207094</v>
      </c>
      <c r="L67" s="25"/>
      <c r="M67" s="65">
        <f>SUM(M62:M63)</f>
        <v>0.83118556701030921</v>
      </c>
      <c r="N67" s="30"/>
      <c r="O67" s="65">
        <f>SUM(O62:O63)</f>
        <v>0.84865092748735238</v>
      </c>
    </row>
    <row r="68" spans="1:15" x14ac:dyDescent="0.2">
      <c r="H68" s="10"/>
    </row>
    <row r="69" spans="1:15" ht="24" x14ac:dyDescent="0.2">
      <c r="A69" s="108" t="str">
        <f>all!A258</f>
        <v>Awareness &amp; appreciation of the arts and humanities</v>
      </c>
      <c r="B69" s="154" t="s">
        <v>128</v>
      </c>
      <c r="C69" s="154"/>
      <c r="D69" s="154" t="s">
        <v>99</v>
      </c>
      <c r="E69" s="154"/>
      <c r="F69" s="155" t="s">
        <v>136</v>
      </c>
      <c r="G69" s="155"/>
      <c r="H69" s="154" t="s">
        <v>101</v>
      </c>
      <c r="I69" s="154"/>
      <c r="J69" s="154" t="s">
        <v>129</v>
      </c>
      <c r="K69" s="154"/>
      <c r="L69" s="154" t="s">
        <v>126</v>
      </c>
      <c r="M69" s="154"/>
      <c r="N69" s="182" t="s">
        <v>1</v>
      </c>
      <c r="O69" s="182"/>
    </row>
    <row r="70" spans="1:15" x14ac:dyDescent="0.2">
      <c r="A70" s="26" t="str">
        <f>all!A259</f>
        <v>Very satisfied</v>
      </c>
      <c r="B70" s="38">
        <f>all!B259</f>
        <v>115</v>
      </c>
      <c r="C70" s="39">
        <f>all!C259</f>
        <v>0.32763532763532766</v>
      </c>
      <c r="D70" s="38">
        <f>all!D259</f>
        <v>8</v>
      </c>
      <c r="E70" s="39">
        <f>all!E259</f>
        <v>0.26666666666666666</v>
      </c>
      <c r="F70" s="38">
        <f>all!F259</f>
        <v>38</v>
      </c>
      <c r="G70" s="39">
        <f>all!G259</f>
        <v>0.27737226277372262</v>
      </c>
      <c r="H70" s="38">
        <f>all!H259</f>
        <v>219</v>
      </c>
      <c r="I70" s="39">
        <f>all!I259</f>
        <v>0.31924198250728864</v>
      </c>
      <c r="J70" s="38">
        <f>all!J259</f>
        <v>91</v>
      </c>
      <c r="K70" s="39">
        <f>all!K259</f>
        <v>0.28000000000000003</v>
      </c>
      <c r="L70" s="38">
        <f>all!L259</f>
        <v>242</v>
      </c>
      <c r="M70" s="39">
        <f>all!M259</f>
        <v>0.32970027247956402</v>
      </c>
      <c r="N70" s="29">
        <f>all!N259</f>
        <v>713</v>
      </c>
      <c r="O70" s="39">
        <f>all!O259</f>
        <v>0.31506849315068491</v>
      </c>
    </row>
    <row r="71" spans="1:15" x14ac:dyDescent="0.2">
      <c r="A71" s="26" t="str">
        <f>all!A260</f>
        <v>Satisfied</v>
      </c>
      <c r="B71" s="38">
        <f>all!B260</f>
        <v>212</v>
      </c>
      <c r="C71" s="39">
        <f>all!C260</f>
        <v>0.60398860398860399</v>
      </c>
      <c r="D71" s="38">
        <f>all!D260</f>
        <v>20</v>
      </c>
      <c r="E71" s="39">
        <f>all!E260</f>
        <v>0.66666666666666663</v>
      </c>
      <c r="F71" s="38">
        <f>all!F260</f>
        <v>91</v>
      </c>
      <c r="G71" s="39">
        <f>all!G260</f>
        <v>0.66423357664233573</v>
      </c>
      <c r="H71" s="38">
        <f>all!H260</f>
        <v>426</v>
      </c>
      <c r="I71" s="39">
        <f>all!I260</f>
        <v>0.62099125364431484</v>
      </c>
      <c r="J71" s="38">
        <f>all!J260</f>
        <v>212</v>
      </c>
      <c r="K71" s="39">
        <f>all!K260</f>
        <v>0.65230769230769226</v>
      </c>
      <c r="L71" s="38">
        <f>all!L260</f>
        <v>415</v>
      </c>
      <c r="M71" s="39">
        <f>all!M260</f>
        <v>0.56539509536784738</v>
      </c>
      <c r="N71" s="29">
        <f>all!N260</f>
        <v>1376</v>
      </c>
      <c r="O71" s="39">
        <f>all!O260</f>
        <v>0.60804242156429522</v>
      </c>
    </row>
    <row r="72" spans="1:15" x14ac:dyDescent="0.2">
      <c r="A72" s="26" t="str">
        <f>all!A261</f>
        <v>Dissatisfied</v>
      </c>
      <c r="B72" s="38">
        <f>all!B261</f>
        <v>21</v>
      </c>
      <c r="C72" s="39">
        <f>all!C261</f>
        <v>5.9829059829059832E-2</v>
      </c>
      <c r="D72" s="38">
        <f>all!D261</f>
        <v>2</v>
      </c>
      <c r="E72" s="39">
        <f>all!E261</f>
        <v>6.6666666666666666E-2</v>
      </c>
      <c r="F72" s="38">
        <f>all!F261</f>
        <v>8</v>
      </c>
      <c r="G72" s="39">
        <f>all!G261</f>
        <v>5.8394160583941604E-2</v>
      </c>
      <c r="H72" s="38">
        <f>all!H261</f>
        <v>31</v>
      </c>
      <c r="I72" s="39">
        <f>all!I261</f>
        <v>4.5189504373177841E-2</v>
      </c>
      <c r="J72" s="38">
        <f>all!J261</f>
        <v>17</v>
      </c>
      <c r="K72" s="39">
        <f>all!K261</f>
        <v>5.2307692307692305E-2</v>
      </c>
      <c r="L72" s="38">
        <f>all!L261</f>
        <v>67</v>
      </c>
      <c r="M72" s="39">
        <f>all!M261</f>
        <v>9.128065395095368E-2</v>
      </c>
      <c r="N72" s="29">
        <f>all!N261</f>
        <v>146</v>
      </c>
      <c r="O72" s="39">
        <f>all!O261</f>
        <v>6.4516129032258063E-2</v>
      </c>
    </row>
    <row r="73" spans="1:15" x14ac:dyDescent="0.2">
      <c r="A73" s="26" t="str">
        <f>all!A262</f>
        <v>Very dissatisfied</v>
      </c>
      <c r="B73" s="38">
        <f>all!B262</f>
        <v>3</v>
      </c>
      <c r="C73" s="39">
        <f>all!C262</f>
        <v>8.5470085470085479E-3</v>
      </c>
      <c r="D73" s="38">
        <f>all!D262</f>
        <v>0</v>
      </c>
      <c r="E73" s="39">
        <f>all!E262</f>
        <v>0</v>
      </c>
      <c r="F73" s="38">
        <f>all!F262</f>
        <v>0</v>
      </c>
      <c r="G73" s="39">
        <f>all!G262</f>
        <v>0</v>
      </c>
      <c r="H73" s="38">
        <f>all!H262</f>
        <v>10</v>
      </c>
      <c r="I73" s="39">
        <f>all!I262</f>
        <v>1.4577259475218658E-2</v>
      </c>
      <c r="J73" s="38">
        <f>all!J262</f>
        <v>5</v>
      </c>
      <c r="K73" s="39">
        <f>all!K262</f>
        <v>1.5384615384615385E-2</v>
      </c>
      <c r="L73" s="38">
        <f>all!L262</f>
        <v>10</v>
      </c>
      <c r="M73" s="39">
        <f>all!M262</f>
        <v>1.3623978201634877E-2</v>
      </c>
      <c r="N73" s="29">
        <f>all!N262</f>
        <v>28</v>
      </c>
      <c r="O73" s="39">
        <f>all!O262</f>
        <v>1.2372956252761821E-2</v>
      </c>
    </row>
    <row r="74" spans="1:15" s="14" customFormat="1" x14ac:dyDescent="0.2">
      <c r="A74" s="108" t="s">
        <v>1</v>
      </c>
      <c r="B74" s="139">
        <f>all!B263</f>
        <v>351</v>
      </c>
      <c r="C74" s="41">
        <f>all!C263</f>
        <v>1</v>
      </c>
      <c r="D74" s="139">
        <f>all!D263</f>
        <v>30</v>
      </c>
      <c r="E74" s="41">
        <f>all!E263</f>
        <v>1</v>
      </c>
      <c r="F74" s="139">
        <f>all!F263</f>
        <v>137</v>
      </c>
      <c r="G74" s="41">
        <f>all!G263</f>
        <v>1</v>
      </c>
      <c r="H74" s="139">
        <f>all!H263</f>
        <v>686</v>
      </c>
      <c r="I74" s="41">
        <f>all!I263</f>
        <v>1</v>
      </c>
      <c r="J74" s="139">
        <f>all!J263</f>
        <v>325</v>
      </c>
      <c r="K74" s="41">
        <f>all!K263</f>
        <v>1</v>
      </c>
      <c r="L74" s="139">
        <f>all!L263</f>
        <v>734</v>
      </c>
      <c r="M74" s="41">
        <f>all!M263</f>
        <v>0.99999999999999989</v>
      </c>
      <c r="N74" s="30">
        <f>all!N263</f>
        <v>2263</v>
      </c>
      <c r="O74" s="41">
        <f>all!O263</f>
        <v>0.99999999999999989</v>
      </c>
    </row>
    <row r="75" spans="1:15" x14ac:dyDescent="0.2">
      <c r="A75" s="108" t="s">
        <v>117</v>
      </c>
      <c r="B75" s="25"/>
      <c r="C75" s="65">
        <f>SUM(C70:C71)</f>
        <v>0.93162393162393164</v>
      </c>
      <c r="D75" s="25"/>
      <c r="E75" s="65">
        <f>SUM(E70:E71)</f>
        <v>0.93333333333333335</v>
      </c>
      <c r="F75" s="25"/>
      <c r="G75" s="65">
        <f>SUM(G70:G71)</f>
        <v>0.94160583941605835</v>
      </c>
      <c r="H75" s="25"/>
      <c r="I75" s="65">
        <f>SUM(I70:I71)</f>
        <v>0.94023323615160348</v>
      </c>
      <c r="J75" s="25"/>
      <c r="K75" s="65">
        <f>SUM(K70:K71)</f>
        <v>0.93230769230769228</v>
      </c>
      <c r="L75" s="25"/>
      <c r="M75" s="65">
        <f>SUM(M70:M71)</f>
        <v>0.89509536784741139</v>
      </c>
      <c r="N75" s="30"/>
      <c r="O75" s="65">
        <f>SUM(O70:O71)</f>
        <v>0.92311091471498008</v>
      </c>
    </row>
    <row r="76" spans="1:15" x14ac:dyDescent="0.2">
      <c r="H76" s="10"/>
    </row>
    <row r="77" spans="1:15" ht="12.75" customHeight="1" x14ac:dyDescent="0.2">
      <c r="A77" s="108" t="str">
        <f>all!A266</f>
        <v>Awareness &amp; understanding of ethics</v>
      </c>
      <c r="B77" s="185" t="s">
        <v>128</v>
      </c>
      <c r="C77" s="186"/>
      <c r="D77" s="185" t="s">
        <v>99</v>
      </c>
      <c r="E77" s="186"/>
      <c r="F77" s="187" t="s">
        <v>136</v>
      </c>
      <c r="G77" s="188"/>
      <c r="H77" s="185" t="s">
        <v>101</v>
      </c>
      <c r="I77" s="186"/>
      <c r="J77" s="185" t="s">
        <v>129</v>
      </c>
      <c r="K77" s="186"/>
      <c r="L77" s="185" t="s">
        <v>126</v>
      </c>
      <c r="M77" s="186"/>
      <c r="N77" s="183" t="s">
        <v>1</v>
      </c>
      <c r="O77" s="184"/>
    </row>
    <row r="78" spans="1:15" x14ac:dyDescent="0.2">
      <c r="A78" s="26" t="str">
        <f>all!A267</f>
        <v>Very satisfied</v>
      </c>
      <c r="B78" s="38">
        <f>all!B267</f>
        <v>123</v>
      </c>
      <c r="C78" s="39">
        <f>all!C267</f>
        <v>0.35344827586206895</v>
      </c>
      <c r="D78" s="38">
        <f>all!D267</f>
        <v>11</v>
      </c>
      <c r="E78" s="39">
        <f>all!E267</f>
        <v>0.36666666666666664</v>
      </c>
      <c r="F78" s="38">
        <f>all!F267</f>
        <v>36</v>
      </c>
      <c r="G78" s="39">
        <f>all!G267</f>
        <v>0.27692307692307694</v>
      </c>
      <c r="H78" s="38">
        <f>all!H267</f>
        <v>230</v>
      </c>
      <c r="I78" s="39">
        <f>all!I267</f>
        <v>0.34795763993948564</v>
      </c>
      <c r="J78" s="38">
        <f>all!J267</f>
        <v>98</v>
      </c>
      <c r="K78" s="39">
        <f>all!K267</f>
        <v>0.30529595015576322</v>
      </c>
      <c r="L78" s="38">
        <f>all!L267</f>
        <v>250</v>
      </c>
      <c r="M78" s="39">
        <f>all!M267</f>
        <v>0.35063113604488078</v>
      </c>
      <c r="N78" s="29">
        <f>all!N267</f>
        <v>748</v>
      </c>
      <c r="O78" s="39">
        <f>all!O267</f>
        <v>0.33953699500680889</v>
      </c>
    </row>
    <row r="79" spans="1:15" x14ac:dyDescent="0.2">
      <c r="A79" s="26" t="str">
        <f>all!A268</f>
        <v>Satisfied</v>
      </c>
      <c r="B79" s="38">
        <f>all!B268</f>
        <v>203</v>
      </c>
      <c r="C79" s="39">
        <f>all!C268</f>
        <v>0.58333333333333337</v>
      </c>
      <c r="D79" s="38">
        <f>all!D268</f>
        <v>17</v>
      </c>
      <c r="E79" s="39">
        <f>all!E268</f>
        <v>0.56666666666666665</v>
      </c>
      <c r="F79" s="38">
        <f>all!F268</f>
        <v>87</v>
      </c>
      <c r="G79" s="39">
        <f>all!G268</f>
        <v>0.66923076923076918</v>
      </c>
      <c r="H79" s="38">
        <f>all!H268</f>
        <v>389</v>
      </c>
      <c r="I79" s="39">
        <f>all!I268</f>
        <v>0.5885022692889561</v>
      </c>
      <c r="J79" s="38">
        <f>all!J268</f>
        <v>207</v>
      </c>
      <c r="K79" s="39">
        <f>all!K268</f>
        <v>0.64485981308411211</v>
      </c>
      <c r="L79" s="38">
        <f>all!L268</f>
        <v>404</v>
      </c>
      <c r="M79" s="39">
        <f>all!M268</f>
        <v>0.56661991584852733</v>
      </c>
      <c r="N79" s="29">
        <f>all!N268</f>
        <v>1307</v>
      </c>
      <c r="O79" s="39">
        <f>all!O268</f>
        <v>0.5932818883340899</v>
      </c>
    </row>
    <row r="80" spans="1:15" x14ac:dyDescent="0.2">
      <c r="A80" s="26" t="str">
        <f>all!A269</f>
        <v>Dissatisfied</v>
      </c>
      <c r="B80" s="38">
        <f>all!B269</f>
        <v>19</v>
      </c>
      <c r="C80" s="39">
        <f>all!C269</f>
        <v>5.459770114942529E-2</v>
      </c>
      <c r="D80" s="38">
        <f>all!D269</f>
        <v>2</v>
      </c>
      <c r="E80" s="39">
        <f>all!E269</f>
        <v>6.6666666666666666E-2</v>
      </c>
      <c r="F80" s="38">
        <f>all!F269</f>
        <v>7</v>
      </c>
      <c r="G80" s="39">
        <f>all!G269</f>
        <v>5.3846153846153849E-2</v>
      </c>
      <c r="H80" s="38">
        <f>all!H269</f>
        <v>34</v>
      </c>
      <c r="I80" s="39">
        <f>all!I269</f>
        <v>5.1437216338880487E-2</v>
      </c>
      <c r="J80" s="38">
        <f>all!J269</f>
        <v>13</v>
      </c>
      <c r="K80" s="39">
        <f>all!K269</f>
        <v>4.0498442367601244E-2</v>
      </c>
      <c r="L80" s="38">
        <f>all!L269</f>
        <v>51</v>
      </c>
      <c r="M80" s="39">
        <f>all!M269</f>
        <v>7.1528751753155678E-2</v>
      </c>
      <c r="N80" s="29">
        <f>all!N269</f>
        <v>126</v>
      </c>
      <c r="O80" s="39">
        <f>all!O269</f>
        <v>5.7194734453018613E-2</v>
      </c>
    </row>
    <row r="81" spans="1:15" x14ac:dyDescent="0.2">
      <c r="A81" s="26" t="str">
        <f>all!A270</f>
        <v>Very dissatisfied</v>
      </c>
      <c r="B81" s="38">
        <f>all!B270</f>
        <v>3</v>
      </c>
      <c r="C81" s="39">
        <f>all!C270</f>
        <v>8.6206896551724137E-3</v>
      </c>
      <c r="D81" s="38">
        <f>all!D270</f>
        <v>0</v>
      </c>
      <c r="E81" s="39">
        <f>all!E270</f>
        <v>0</v>
      </c>
      <c r="F81" s="38">
        <f>all!F270</f>
        <v>0</v>
      </c>
      <c r="G81" s="39">
        <f>all!G270</f>
        <v>0</v>
      </c>
      <c r="H81" s="38">
        <f>all!H270</f>
        <v>8</v>
      </c>
      <c r="I81" s="39">
        <f>all!I270</f>
        <v>1.2102874432677761E-2</v>
      </c>
      <c r="J81" s="38">
        <f>all!J270</f>
        <v>3</v>
      </c>
      <c r="K81" s="39">
        <f>all!K270</f>
        <v>9.3457943925233638E-3</v>
      </c>
      <c r="L81" s="38">
        <f>all!L270</f>
        <v>8</v>
      </c>
      <c r="M81" s="39">
        <f>all!M270</f>
        <v>1.1220196353436185E-2</v>
      </c>
      <c r="N81" s="29">
        <f>all!N270</f>
        <v>22</v>
      </c>
      <c r="O81" s="39">
        <f>all!O270</f>
        <v>9.9863822060826148E-3</v>
      </c>
    </row>
    <row r="82" spans="1:15" s="14" customFormat="1" x14ac:dyDescent="0.2">
      <c r="A82" s="108" t="s">
        <v>1</v>
      </c>
      <c r="B82" s="139">
        <f>all!B271</f>
        <v>348</v>
      </c>
      <c r="C82" s="41">
        <f>all!C271</f>
        <v>1</v>
      </c>
      <c r="D82" s="139">
        <f>all!D271</f>
        <v>30</v>
      </c>
      <c r="E82" s="41">
        <f>all!E271</f>
        <v>1</v>
      </c>
      <c r="F82" s="139">
        <f>all!F271</f>
        <v>130</v>
      </c>
      <c r="G82" s="41">
        <f>all!G271</f>
        <v>1</v>
      </c>
      <c r="H82" s="139">
        <f>all!H271</f>
        <v>661</v>
      </c>
      <c r="I82" s="41">
        <f>all!I271</f>
        <v>1</v>
      </c>
      <c r="J82" s="139">
        <f>all!J271</f>
        <v>321</v>
      </c>
      <c r="K82" s="41">
        <f>all!K271</f>
        <v>1</v>
      </c>
      <c r="L82" s="139">
        <f>all!L271</f>
        <v>713</v>
      </c>
      <c r="M82" s="41">
        <f>all!M271</f>
        <v>0.99999999999999989</v>
      </c>
      <c r="N82" s="30">
        <f>all!N271</f>
        <v>2203</v>
      </c>
      <c r="O82" s="41">
        <f>all!O271</f>
        <v>1</v>
      </c>
    </row>
    <row r="83" spans="1:15" x14ac:dyDescent="0.2">
      <c r="A83" s="108" t="s">
        <v>117</v>
      </c>
      <c r="B83" s="25"/>
      <c r="C83" s="65">
        <f>SUM(C78:C79)</f>
        <v>0.93678160919540232</v>
      </c>
      <c r="D83" s="25"/>
      <c r="E83" s="65">
        <f>SUM(E78:E79)</f>
        <v>0.93333333333333335</v>
      </c>
      <c r="F83" s="25"/>
      <c r="G83" s="65">
        <f>SUM(G78:G79)</f>
        <v>0.94615384615384612</v>
      </c>
      <c r="H83" s="25"/>
      <c r="I83" s="65">
        <f>SUM(I78:I79)</f>
        <v>0.9364599092284418</v>
      </c>
      <c r="J83" s="25"/>
      <c r="K83" s="65">
        <f>SUM(K78:K79)</f>
        <v>0.95015576323987538</v>
      </c>
      <c r="L83" s="25"/>
      <c r="M83" s="65">
        <f>SUM(M78:M79)</f>
        <v>0.91725105189340805</v>
      </c>
      <c r="N83" s="30"/>
      <c r="O83" s="65">
        <f>SUM(O78:O79)</f>
        <v>0.9328188833408988</v>
      </c>
    </row>
    <row r="84" spans="1:15" x14ac:dyDescent="0.2">
      <c r="H84" s="10"/>
    </row>
    <row r="104" spans="4:4" x14ac:dyDescent="0.2">
      <c r="D104" s="17" t="s">
        <v>0</v>
      </c>
    </row>
  </sheetData>
  <mergeCells count="70">
    <mergeCell ref="L69:M69"/>
    <mergeCell ref="N69:O69"/>
    <mergeCell ref="B69:C69"/>
    <mergeCell ref="D69:E69"/>
    <mergeCell ref="F69:G69"/>
    <mergeCell ref="H69:I69"/>
    <mergeCell ref="J69:K69"/>
    <mergeCell ref="N77:O77"/>
    <mergeCell ref="B77:C77"/>
    <mergeCell ref="D77:E77"/>
    <mergeCell ref="F77:G77"/>
    <mergeCell ref="H77:I77"/>
    <mergeCell ref="J77:K77"/>
    <mergeCell ref="L77:M77"/>
    <mergeCell ref="D61:E61"/>
    <mergeCell ref="F61:G61"/>
    <mergeCell ref="H61:I61"/>
    <mergeCell ref="J61:K61"/>
    <mergeCell ref="N61:O61"/>
    <mergeCell ref="L61:M61"/>
    <mergeCell ref="L53:M53"/>
    <mergeCell ref="N53:O53"/>
    <mergeCell ref="L45:M45"/>
    <mergeCell ref="N13:O13"/>
    <mergeCell ref="L21:M21"/>
    <mergeCell ref="N21:O21"/>
    <mergeCell ref="L13:M13"/>
    <mergeCell ref="D45:E45"/>
    <mergeCell ref="F45:G45"/>
    <mergeCell ref="H45:I45"/>
    <mergeCell ref="J45:K45"/>
    <mergeCell ref="N45:O45"/>
    <mergeCell ref="B53:C53"/>
    <mergeCell ref="D53:E53"/>
    <mergeCell ref="F53:G53"/>
    <mergeCell ref="H53:I53"/>
    <mergeCell ref="J53:K53"/>
    <mergeCell ref="B61:C61"/>
    <mergeCell ref="N29:O29"/>
    <mergeCell ref="B37:C37"/>
    <mergeCell ref="D37:E37"/>
    <mergeCell ref="F37:G37"/>
    <mergeCell ref="H37:I37"/>
    <mergeCell ref="J37:K37"/>
    <mergeCell ref="L37:M37"/>
    <mergeCell ref="N37:O37"/>
    <mergeCell ref="B29:C29"/>
    <mergeCell ref="D29:E29"/>
    <mergeCell ref="F29:G29"/>
    <mergeCell ref="H29:I29"/>
    <mergeCell ref="J29:K29"/>
    <mergeCell ref="L29:M29"/>
    <mergeCell ref="B45:C45"/>
    <mergeCell ref="B21:C21"/>
    <mergeCell ref="D21:E21"/>
    <mergeCell ref="F21:G21"/>
    <mergeCell ref="H21:I21"/>
    <mergeCell ref="J21:K21"/>
    <mergeCell ref="B13:C13"/>
    <mergeCell ref="D13:E13"/>
    <mergeCell ref="F13:G13"/>
    <mergeCell ref="H13:I13"/>
    <mergeCell ref="J13:K13"/>
    <mergeCell ref="N5:O5"/>
    <mergeCell ref="B5:C5"/>
    <mergeCell ref="D5:E5"/>
    <mergeCell ref="F5:G5"/>
    <mergeCell ref="H5:I5"/>
    <mergeCell ref="J5:K5"/>
    <mergeCell ref="L5:M5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
11/12/2010-kw&amp;C&amp;F&amp;R&amp;P of &amp;N</oddFooter>
  </headerFooter>
  <rowBreaks count="2" manualBreakCount="2">
    <brk id="36" max="16383" man="1"/>
    <brk id="6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3"/>
  <sheetViews>
    <sheetView zoomScaleNormal="100" workbookViewId="0">
      <selection activeCell="B13" sqref="B13:C13"/>
    </sheetView>
  </sheetViews>
  <sheetFormatPr defaultRowHeight="12.75" x14ac:dyDescent="0.2"/>
  <cols>
    <col min="1" max="1" width="33.42578125" style="21" customWidth="1"/>
    <col min="2" max="7" width="7.28515625" style="10" customWidth="1"/>
    <col min="8" max="8" width="7.28515625" style="11" customWidth="1"/>
    <col min="9" max="15" width="7.28515625" style="10" customWidth="1"/>
    <col min="16" max="16" width="9.140625" style="12"/>
    <col min="17" max="17" width="31.7109375" style="12" customWidth="1"/>
    <col min="18" max="16384" width="9.140625" style="12"/>
  </cols>
  <sheetData>
    <row r="1" spans="1:24" ht="15.75" x14ac:dyDescent="0.2">
      <c r="A1" s="127" t="s">
        <v>220</v>
      </c>
    </row>
    <row r="2" spans="1:24" x14ac:dyDescent="0.2">
      <c r="A2" s="82" t="s">
        <v>234</v>
      </c>
    </row>
    <row r="3" spans="1:24" x14ac:dyDescent="0.2">
      <c r="A3" s="20"/>
      <c r="B3" s="1"/>
      <c r="C3" s="2"/>
      <c r="D3" s="1"/>
      <c r="E3" s="2"/>
      <c r="F3" s="1"/>
      <c r="G3" s="2"/>
      <c r="H3" s="1"/>
      <c r="I3" s="2"/>
      <c r="J3" s="1"/>
      <c r="K3" s="2"/>
      <c r="L3" s="1"/>
      <c r="M3" s="2"/>
      <c r="N3" s="15"/>
    </row>
    <row r="4" spans="1:24" x14ac:dyDescent="0.2">
      <c r="A4" s="9" t="s">
        <v>76</v>
      </c>
      <c r="H4" s="10"/>
    </row>
    <row r="5" spans="1:24" ht="24" x14ac:dyDescent="0.2">
      <c r="A5" s="28" t="str">
        <f>all!A275</f>
        <v>Admission/registration procedures</v>
      </c>
      <c r="B5" s="154" t="s">
        <v>128</v>
      </c>
      <c r="C5" s="154"/>
      <c r="D5" s="154" t="s">
        <v>99</v>
      </c>
      <c r="E5" s="154"/>
      <c r="F5" s="155" t="s">
        <v>136</v>
      </c>
      <c r="G5" s="155"/>
      <c r="H5" s="154" t="s">
        <v>101</v>
      </c>
      <c r="I5" s="154"/>
      <c r="J5" s="154" t="s">
        <v>129</v>
      </c>
      <c r="K5" s="154"/>
      <c r="L5" s="154" t="s">
        <v>126</v>
      </c>
      <c r="M5" s="154"/>
      <c r="N5" s="182" t="s">
        <v>1</v>
      </c>
      <c r="O5" s="182"/>
      <c r="Q5" s="97" t="s">
        <v>138</v>
      </c>
      <c r="R5" s="74" t="s">
        <v>128</v>
      </c>
      <c r="S5" s="74" t="s">
        <v>99</v>
      </c>
      <c r="T5" s="74" t="s">
        <v>136</v>
      </c>
      <c r="U5" s="74" t="s">
        <v>101</v>
      </c>
      <c r="V5" s="74" t="s">
        <v>129</v>
      </c>
      <c r="W5" s="74" t="s">
        <v>126</v>
      </c>
      <c r="X5" s="75" t="s">
        <v>1</v>
      </c>
    </row>
    <row r="6" spans="1:24" x14ac:dyDescent="0.2">
      <c r="A6" s="26" t="str">
        <f>all!A276</f>
        <v>Very good</v>
      </c>
      <c r="B6" s="38">
        <f>all!B276</f>
        <v>193</v>
      </c>
      <c r="C6" s="39">
        <f>all!C276</f>
        <v>0.43370786516853932</v>
      </c>
      <c r="D6" s="38">
        <f>all!D276</f>
        <v>14</v>
      </c>
      <c r="E6" s="39">
        <f>all!E276</f>
        <v>0.4</v>
      </c>
      <c r="F6" s="38">
        <f>all!F276</f>
        <v>69</v>
      </c>
      <c r="G6" s="39">
        <f>all!G276</f>
        <v>0.39884393063583817</v>
      </c>
      <c r="H6" s="38">
        <f>all!H276</f>
        <v>301</v>
      </c>
      <c r="I6" s="39">
        <f>all!I276</f>
        <v>0.37023370233702335</v>
      </c>
      <c r="J6" s="38">
        <f>all!J276</f>
        <v>153</v>
      </c>
      <c r="K6" s="39">
        <f>all!K276</f>
        <v>0.39331619537275064</v>
      </c>
      <c r="L6" s="38">
        <f>all!L276</f>
        <v>381</v>
      </c>
      <c r="M6" s="39">
        <f>all!M276</f>
        <v>0.42760942760942761</v>
      </c>
      <c r="N6" s="29">
        <f>all!N276</f>
        <v>1111</v>
      </c>
      <c r="O6" s="39">
        <f>all!O276</f>
        <v>0.40458849235251276</v>
      </c>
      <c r="Q6" s="98" t="str">
        <f>A5</f>
        <v>Admission/registration procedures</v>
      </c>
      <c r="R6" s="92">
        <f>C11</f>
        <v>0.9438202247191011</v>
      </c>
      <c r="S6" s="92">
        <f>E11</f>
        <v>0.91428571428571426</v>
      </c>
      <c r="T6" s="92">
        <f>G11</f>
        <v>0.91329479768786137</v>
      </c>
      <c r="U6" s="92">
        <f>I11</f>
        <v>0.91512915129151284</v>
      </c>
      <c r="V6" s="92">
        <f>K11</f>
        <v>0.92802056555269918</v>
      </c>
      <c r="W6" s="92">
        <f>M11</f>
        <v>0.91021324354657684</v>
      </c>
      <c r="X6" s="92">
        <f>O11</f>
        <v>0.91988346686088862</v>
      </c>
    </row>
    <row r="7" spans="1:24" x14ac:dyDescent="0.2">
      <c r="A7" s="26" t="str">
        <f>all!A277</f>
        <v>Good</v>
      </c>
      <c r="B7" s="38">
        <f>all!B277</f>
        <v>227</v>
      </c>
      <c r="C7" s="39">
        <f>all!C277</f>
        <v>0.51011235955056178</v>
      </c>
      <c r="D7" s="38">
        <f>all!D277</f>
        <v>18</v>
      </c>
      <c r="E7" s="39">
        <f>all!E277</f>
        <v>0.51428571428571423</v>
      </c>
      <c r="F7" s="38">
        <f>all!F277</f>
        <v>89</v>
      </c>
      <c r="G7" s="39">
        <f>all!G277</f>
        <v>0.51445086705202314</v>
      </c>
      <c r="H7" s="38">
        <f>all!H277</f>
        <v>443</v>
      </c>
      <c r="I7" s="39">
        <f>all!I277</f>
        <v>0.54489544895448949</v>
      </c>
      <c r="J7" s="38">
        <f>all!J277</f>
        <v>208</v>
      </c>
      <c r="K7" s="39">
        <f>all!K277</f>
        <v>0.53470437017994854</v>
      </c>
      <c r="L7" s="38">
        <f>all!L277</f>
        <v>430</v>
      </c>
      <c r="M7" s="39">
        <f>all!M277</f>
        <v>0.48260381593714929</v>
      </c>
      <c r="N7" s="29">
        <f>all!N277</f>
        <v>1415</v>
      </c>
      <c r="O7" s="39">
        <f>all!O277</f>
        <v>0.5152949745083758</v>
      </c>
      <c r="Q7" s="98" t="str">
        <f>A13</f>
        <v>Career counseling</v>
      </c>
      <c r="R7" s="93">
        <f>C19</f>
        <v>0.85159010600706708</v>
      </c>
      <c r="S7" s="92">
        <f>E19</f>
        <v>0.93333333333333335</v>
      </c>
      <c r="T7" s="93">
        <f>G19</f>
        <v>0.82000000000000006</v>
      </c>
      <c r="U7" s="93">
        <f>I19</f>
        <v>0.75486381322957197</v>
      </c>
      <c r="V7" s="93">
        <f>K19</f>
        <v>0.81276595744680846</v>
      </c>
      <c r="W7" s="93">
        <f>M19</f>
        <v>0.7662116040955631</v>
      </c>
      <c r="X7" s="93">
        <f>O19</f>
        <v>0.7889016018306636</v>
      </c>
    </row>
    <row r="8" spans="1:24" x14ac:dyDescent="0.2">
      <c r="A8" s="26" t="str">
        <f>all!A278</f>
        <v>Poor</v>
      </c>
      <c r="B8" s="38">
        <f>all!B278</f>
        <v>19</v>
      </c>
      <c r="C8" s="39">
        <f>all!C278</f>
        <v>4.2696629213483148E-2</v>
      </c>
      <c r="D8" s="38">
        <f>all!D278</f>
        <v>3</v>
      </c>
      <c r="E8" s="39">
        <f>all!E278</f>
        <v>8.5714285714285715E-2</v>
      </c>
      <c r="F8" s="38">
        <f>all!F278</f>
        <v>8</v>
      </c>
      <c r="G8" s="39">
        <f>all!G278</f>
        <v>4.6242774566473986E-2</v>
      </c>
      <c r="H8" s="38">
        <f>all!H278</f>
        <v>42</v>
      </c>
      <c r="I8" s="39">
        <f>all!I278</f>
        <v>5.1660516605166053E-2</v>
      </c>
      <c r="J8" s="38">
        <f>all!J278</f>
        <v>22</v>
      </c>
      <c r="K8" s="39">
        <f>all!K278</f>
        <v>5.6555269922879174E-2</v>
      </c>
      <c r="L8" s="38">
        <f>all!L278</f>
        <v>58</v>
      </c>
      <c r="M8" s="39">
        <f>all!M278</f>
        <v>6.5095398428731757E-2</v>
      </c>
      <c r="N8" s="29">
        <f>all!N278</f>
        <v>152</v>
      </c>
      <c r="O8" s="39">
        <f>all!O278</f>
        <v>5.5353241077931534E-2</v>
      </c>
      <c r="Q8" s="98" t="str">
        <f>A21</f>
        <v>Academic advising</v>
      </c>
      <c r="R8" s="93">
        <f>C27</f>
        <v>0.8488063660477454</v>
      </c>
      <c r="S8" s="93">
        <f>E27</f>
        <v>0.875</v>
      </c>
      <c r="T8" s="93">
        <f>G27</f>
        <v>0.78787878787878785</v>
      </c>
      <c r="U8" s="93">
        <f>I27</f>
        <v>0.75539568345323738</v>
      </c>
      <c r="V8" s="93">
        <f>K27</f>
        <v>0.80503144654088055</v>
      </c>
      <c r="W8" s="93">
        <f>M27</f>
        <v>0.74837027379400256</v>
      </c>
      <c r="X8" s="93">
        <f>O27</f>
        <v>0.77854373115036624</v>
      </c>
    </row>
    <row r="9" spans="1:24" x14ac:dyDescent="0.2">
      <c r="A9" s="26" t="str">
        <f>all!A279</f>
        <v>Very poor</v>
      </c>
      <c r="B9" s="38">
        <f>all!B279</f>
        <v>6</v>
      </c>
      <c r="C9" s="39">
        <f>all!C279</f>
        <v>1.3483146067415731E-2</v>
      </c>
      <c r="D9" s="38">
        <f>all!D279</f>
        <v>0</v>
      </c>
      <c r="E9" s="39">
        <f>all!E279</f>
        <v>0</v>
      </c>
      <c r="F9" s="38">
        <f>all!F279</f>
        <v>7</v>
      </c>
      <c r="G9" s="39">
        <f>all!G279</f>
        <v>4.046242774566474E-2</v>
      </c>
      <c r="H9" s="38">
        <f>all!H279</f>
        <v>27</v>
      </c>
      <c r="I9" s="39">
        <f>all!I279</f>
        <v>3.3210332103321034E-2</v>
      </c>
      <c r="J9" s="38">
        <f>all!J279</f>
        <v>6</v>
      </c>
      <c r="K9" s="39">
        <f>all!K279</f>
        <v>1.5424164524421594E-2</v>
      </c>
      <c r="L9" s="38">
        <f>all!L279</f>
        <v>22</v>
      </c>
      <c r="M9" s="39">
        <f>all!M279</f>
        <v>2.4691358024691357E-2</v>
      </c>
      <c r="N9" s="29">
        <f>all!N279</f>
        <v>68</v>
      </c>
      <c r="O9" s="39">
        <f>all!O279</f>
        <v>2.4763292061179897E-2</v>
      </c>
      <c r="Q9" s="98" t="str">
        <f>A29</f>
        <v>Financial aid</v>
      </c>
      <c r="R9" s="93">
        <f>C35</f>
        <v>0.86445783132530118</v>
      </c>
      <c r="S9" s="93">
        <f>E35</f>
        <v>0.8666666666666667</v>
      </c>
      <c r="T9" s="93">
        <f>G35</f>
        <v>0.8125</v>
      </c>
      <c r="U9" s="93">
        <f>I35</f>
        <v>0.84031007751937992</v>
      </c>
      <c r="V9" s="93">
        <f>K35</f>
        <v>0.84690553745928332</v>
      </c>
      <c r="W9" s="93">
        <f>M35</f>
        <v>0.82714285714285718</v>
      </c>
      <c r="X9" s="93">
        <f>O35</f>
        <v>0.83920296570898978</v>
      </c>
    </row>
    <row r="10" spans="1:24" s="14" customFormat="1" x14ac:dyDescent="0.2">
      <c r="A10" s="108" t="str">
        <f>all!A280</f>
        <v>Total</v>
      </c>
      <c r="B10" s="30">
        <f t="shared" ref="B10:O10" si="0">SUM(B6:B9)</f>
        <v>445</v>
      </c>
      <c r="C10" s="41">
        <f t="shared" si="0"/>
        <v>1</v>
      </c>
      <c r="D10" s="30">
        <f t="shared" si="0"/>
        <v>35</v>
      </c>
      <c r="E10" s="41">
        <f t="shared" si="0"/>
        <v>1</v>
      </c>
      <c r="F10" s="30">
        <f t="shared" si="0"/>
        <v>173</v>
      </c>
      <c r="G10" s="41">
        <f t="shared" si="0"/>
        <v>1</v>
      </c>
      <c r="H10" s="30">
        <f t="shared" si="0"/>
        <v>813</v>
      </c>
      <c r="I10" s="41">
        <f t="shared" si="0"/>
        <v>0.99999999999999989</v>
      </c>
      <c r="J10" s="30">
        <f t="shared" si="0"/>
        <v>389</v>
      </c>
      <c r="K10" s="41">
        <f t="shared" si="0"/>
        <v>1</v>
      </c>
      <c r="L10" s="30">
        <f t="shared" si="0"/>
        <v>891</v>
      </c>
      <c r="M10" s="41">
        <f t="shared" si="0"/>
        <v>1</v>
      </c>
      <c r="N10" s="30">
        <f t="shared" si="0"/>
        <v>2746</v>
      </c>
      <c r="O10" s="41">
        <f t="shared" si="0"/>
        <v>1</v>
      </c>
      <c r="P10" s="12"/>
      <c r="Q10" s="98" t="str">
        <f>A37</f>
        <v>Veterans' services</v>
      </c>
      <c r="R10" s="92">
        <f>C43</f>
        <v>0.96</v>
      </c>
      <c r="S10" s="93">
        <f>E43</f>
        <v>0.875</v>
      </c>
      <c r="T10" s="92">
        <f>G43</f>
        <v>0.91666666666666663</v>
      </c>
      <c r="U10" s="93">
        <f>I43</f>
        <v>0.85987261146496818</v>
      </c>
      <c r="V10" s="92">
        <f>K43</f>
        <v>0.91176470588235292</v>
      </c>
      <c r="W10" s="92">
        <f>M43</f>
        <v>0.94482758620689666</v>
      </c>
      <c r="X10" s="92">
        <f>O43</f>
        <v>0.91194968553459121</v>
      </c>
    </row>
    <row r="11" spans="1:24" x14ac:dyDescent="0.2">
      <c r="A11" s="28" t="str">
        <f>all!A281</f>
        <v>Percent of Good or Very Good</v>
      </c>
      <c r="B11" s="25"/>
      <c r="C11" s="34">
        <f>SUM(C6:C7)</f>
        <v>0.9438202247191011</v>
      </c>
      <c r="D11" s="25"/>
      <c r="E11" s="34">
        <f>SUM(E6:E7)</f>
        <v>0.91428571428571426</v>
      </c>
      <c r="F11" s="25"/>
      <c r="G11" s="34">
        <f>SUM(G6:G7)</f>
        <v>0.91329479768786137</v>
      </c>
      <c r="H11" s="25"/>
      <c r="I11" s="34">
        <f>SUM(I6:I7)</f>
        <v>0.91512915129151284</v>
      </c>
      <c r="J11" s="25"/>
      <c r="K11" s="34">
        <f>SUM(K6:K7)</f>
        <v>0.92802056555269918</v>
      </c>
      <c r="L11" s="25"/>
      <c r="M11" s="34">
        <f>SUM(M6:M7)</f>
        <v>0.91021324354657684</v>
      </c>
      <c r="N11" s="27"/>
      <c r="O11" s="34">
        <f>SUM(O6:O7)</f>
        <v>0.91988346686088862</v>
      </c>
      <c r="Q11" s="98" t="str">
        <f>A45</f>
        <v>Student activities/life</v>
      </c>
      <c r="R11" s="92">
        <f>C51</f>
        <v>0.94594594594594594</v>
      </c>
      <c r="S11" s="92">
        <f>E51</f>
        <v>0.90909090909090906</v>
      </c>
      <c r="T11" s="92">
        <f>G51</f>
        <v>1</v>
      </c>
      <c r="U11" s="92">
        <f>I51</f>
        <v>0.90566037735849059</v>
      </c>
      <c r="V11" s="93">
        <f>K51</f>
        <v>0.88524590163934436</v>
      </c>
      <c r="W11" s="92">
        <f>M51</f>
        <v>0.91666666666666663</v>
      </c>
      <c r="X11" s="92">
        <f>O51</f>
        <v>0.91754385964912277</v>
      </c>
    </row>
    <row r="12" spans="1:24" x14ac:dyDescent="0.2">
      <c r="A12" s="19"/>
      <c r="B12" s="4"/>
      <c r="D12" s="1"/>
      <c r="H12" s="10"/>
      <c r="Q12" s="98" t="str">
        <f>A53</f>
        <v>Job placement</v>
      </c>
      <c r="R12" s="93">
        <f>C59</f>
        <v>0.83116883116883111</v>
      </c>
      <c r="S12" s="93">
        <f>E59</f>
        <v>0.8571428571428571</v>
      </c>
      <c r="T12" s="93">
        <f>G59</f>
        <v>0.77777777777777779</v>
      </c>
      <c r="U12" s="93">
        <f>I59</f>
        <v>0.85517241379310338</v>
      </c>
      <c r="V12" s="93">
        <f>K59</f>
        <v>0.73770491803278682</v>
      </c>
      <c r="W12" s="93">
        <f>M59</f>
        <v>0.7639751552795031</v>
      </c>
      <c r="X12" s="93">
        <f>O59</f>
        <v>0.80082135523613962</v>
      </c>
    </row>
    <row r="13" spans="1:24" ht="12.75" customHeight="1" x14ac:dyDescent="0.2">
      <c r="A13" s="28" t="str">
        <f>all!A283</f>
        <v>Career counseling</v>
      </c>
      <c r="B13" s="154" t="s">
        <v>128</v>
      </c>
      <c r="C13" s="154"/>
      <c r="D13" s="154" t="s">
        <v>99</v>
      </c>
      <c r="E13" s="154"/>
      <c r="F13" s="155" t="s">
        <v>136</v>
      </c>
      <c r="G13" s="155"/>
      <c r="H13" s="154" t="s">
        <v>101</v>
      </c>
      <c r="I13" s="154"/>
      <c r="J13" s="154" t="s">
        <v>129</v>
      </c>
      <c r="K13" s="154"/>
      <c r="L13" s="154" t="s">
        <v>126</v>
      </c>
      <c r="M13" s="154"/>
      <c r="N13" s="182" t="s">
        <v>1</v>
      </c>
      <c r="O13" s="182"/>
      <c r="Q13" s="98" t="str">
        <f>A61</f>
        <v>Special services</v>
      </c>
      <c r="R13" s="92">
        <f>C67</f>
        <v>0.90625</v>
      </c>
      <c r="S13" s="93">
        <f>E67</f>
        <v>0.8</v>
      </c>
      <c r="T13" s="92">
        <f>G67</f>
        <v>0.94285714285714284</v>
      </c>
      <c r="U13" s="92">
        <f>I67</f>
        <v>0.90857142857142859</v>
      </c>
      <c r="V13" s="93">
        <f>K67</f>
        <v>0.85245901639344268</v>
      </c>
      <c r="W13" s="93">
        <f>M67</f>
        <v>0.89175257731958757</v>
      </c>
      <c r="X13" s="92">
        <f>O67</f>
        <v>0.89667250437828372</v>
      </c>
    </row>
    <row r="14" spans="1:24" x14ac:dyDescent="0.2">
      <c r="A14" s="26" t="str">
        <f>all!A284</f>
        <v>Very good</v>
      </c>
      <c r="B14" s="38">
        <f>all!B284</f>
        <v>92</v>
      </c>
      <c r="C14" s="39">
        <f>all!C284</f>
        <v>0.32508833922261482</v>
      </c>
      <c r="D14" s="38">
        <f>all!D284</f>
        <v>14</v>
      </c>
      <c r="E14" s="39">
        <f>all!E284</f>
        <v>0.46666666666666667</v>
      </c>
      <c r="F14" s="38">
        <f>all!F284</f>
        <v>33</v>
      </c>
      <c r="G14" s="39">
        <f>all!G284</f>
        <v>0.33</v>
      </c>
      <c r="H14" s="38">
        <f>all!H284</f>
        <v>160</v>
      </c>
      <c r="I14" s="39">
        <f>all!I284</f>
        <v>0.31128404669260701</v>
      </c>
      <c r="J14" s="38">
        <f>all!J284</f>
        <v>64</v>
      </c>
      <c r="K14" s="39">
        <f>all!K284</f>
        <v>0.2723404255319149</v>
      </c>
      <c r="L14" s="38">
        <f>all!L284</f>
        <v>165</v>
      </c>
      <c r="M14" s="39">
        <f>all!M284</f>
        <v>0.28156996587030719</v>
      </c>
      <c r="N14" s="29">
        <f>all!N284</f>
        <v>528</v>
      </c>
      <c r="O14" s="39">
        <f>all!O284</f>
        <v>0.30205949656750575</v>
      </c>
      <c r="Q14" s="98" t="str">
        <f>A69</f>
        <v>Library</v>
      </c>
      <c r="R14" s="92">
        <f>C75</f>
        <v>0.90526315789473677</v>
      </c>
      <c r="S14" s="92">
        <f>E75</f>
        <v>0.95652173913043481</v>
      </c>
      <c r="T14" s="92">
        <f>G75</f>
        <v>0.97560975609756095</v>
      </c>
      <c r="U14" s="92">
        <f>I75</f>
        <v>0.94856278366111946</v>
      </c>
      <c r="V14" s="92">
        <f>K75</f>
        <v>0.97169811320754718</v>
      </c>
      <c r="W14" s="92">
        <f>M75</f>
        <v>0.95827338129496398</v>
      </c>
      <c r="X14" s="92">
        <f>O75</f>
        <v>0.949438202247191</v>
      </c>
    </row>
    <row r="15" spans="1:24" x14ac:dyDescent="0.2">
      <c r="A15" s="26" t="str">
        <f>all!A285</f>
        <v>Good</v>
      </c>
      <c r="B15" s="38">
        <f>all!B285</f>
        <v>149</v>
      </c>
      <c r="C15" s="39">
        <f>all!C285</f>
        <v>0.52650176678445226</v>
      </c>
      <c r="D15" s="38">
        <f>all!D285</f>
        <v>14</v>
      </c>
      <c r="E15" s="39">
        <f>all!E285</f>
        <v>0.46666666666666667</v>
      </c>
      <c r="F15" s="38">
        <f>all!F285</f>
        <v>49</v>
      </c>
      <c r="G15" s="39">
        <f>all!G285</f>
        <v>0.49</v>
      </c>
      <c r="H15" s="38">
        <f>all!H285</f>
        <v>228</v>
      </c>
      <c r="I15" s="39">
        <f>all!I285</f>
        <v>0.44357976653696496</v>
      </c>
      <c r="J15" s="38">
        <f>all!J285</f>
        <v>127</v>
      </c>
      <c r="K15" s="39">
        <f>all!K285</f>
        <v>0.54042553191489362</v>
      </c>
      <c r="L15" s="38">
        <f>all!L285</f>
        <v>284</v>
      </c>
      <c r="M15" s="39">
        <f>all!M285</f>
        <v>0.48464163822525597</v>
      </c>
      <c r="N15" s="29">
        <f>all!N285</f>
        <v>851</v>
      </c>
      <c r="O15" s="39">
        <f>all!O285</f>
        <v>0.48684210526315791</v>
      </c>
      <c r="Q15" s="98" t="str">
        <f>A77</f>
        <v>Tutoring services</v>
      </c>
      <c r="R15" s="92">
        <f>C83</f>
        <v>0.91489361702127669</v>
      </c>
      <c r="S15" s="92">
        <f>E83</f>
        <v>1</v>
      </c>
      <c r="T15" s="93">
        <f>G83</f>
        <v>0.88888888888888884</v>
      </c>
      <c r="U15" s="93">
        <f>I83</f>
        <v>0.87730061349693256</v>
      </c>
      <c r="V15" s="93">
        <f>K83</f>
        <v>0.87068965517241381</v>
      </c>
      <c r="W15" s="93">
        <f>M83</f>
        <v>0.88472622478386165</v>
      </c>
      <c r="X15" s="93">
        <f>O83</f>
        <v>0.88803088803088803</v>
      </c>
    </row>
    <row r="16" spans="1:24" ht="12.75" customHeight="1" x14ac:dyDescent="0.2">
      <c r="A16" s="26" t="str">
        <f>all!A286</f>
        <v>Poor</v>
      </c>
      <c r="B16" s="38">
        <f>all!B286</f>
        <v>36</v>
      </c>
      <c r="C16" s="39">
        <f>all!C286</f>
        <v>0.12720848056537101</v>
      </c>
      <c r="D16" s="38">
        <f>all!D286</f>
        <v>1</v>
      </c>
      <c r="E16" s="39">
        <f>all!E286</f>
        <v>3.3333333333333333E-2</v>
      </c>
      <c r="F16" s="38">
        <f>all!F286</f>
        <v>12</v>
      </c>
      <c r="G16" s="39">
        <f>all!G286</f>
        <v>0.12</v>
      </c>
      <c r="H16" s="38">
        <f>all!H286</f>
        <v>94</v>
      </c>
      <c r="I16" s="39">
        <f>all!I286</f>
        <v>0.1828793774319066</v>
      </c>
      <c r="J16" s="38">
        <f>all!J286</f>
        <v>33</v>
      </c>
      <c r="K16" s="39">
        <f>all!K286</f>
        <v>0.14042553191489363</v>
      </c>
      <c r="L16" s="38">
        <f>all!L286</f>
        <v>108</v>
      </c>
      <c r="M16" s="39">
        <f>all!M286</f>
        <v>0.18430034129692832</v>
      </c>
      <c r="N16" s="29">
        <f>all!N286</f>
        <v>284</v>
      </c>
      <c r="O16" s="39">
        <f>all!O286</f>
        <v>0.16247139588100687</v>
      </c>
      <c r="Q16" s="102" t="str">
        <f>A85</f>
        <v>Educational development courses/basic skills center</v>
      </c>
      <c r="R16" s="24">
        <f>C91</f>
        <v>0.95161290322580649</v>
      </c>
      <c r="S16" s="24">
        <f>E91</f>
        <v>0.92307692307692313</v>
      </c>
      <c r="T16" s="24">
        <f>G91</f>
        <v>0.97368421052631582</v>
      </c>
      <c r="U16" s="24">
        <f>I91</f>
        <v>0.92519685039370081</v>
      </c>
      <c r="V16" s="24">
        <f>K91</f>
        <v>0.93023255813953487</v>
      </c>
      <c r="W16" s="24">
        <f>M91</f>
        <v>0.95070422535211274</v>
      </c>
      <c r="X16" s="24">
        <f>O91</f>
        <v>0.94117647058823528</v>
      </c>
    </row>
    <row r="17" spans="1:24" ht="12.75" customHeight="1" x14ac:dyDescent="0.2">
      <c r="A17" s="26" t="str">
        <f>all!A287</f>
        <v>Very poor</v>
      </c>
      <c r="B17" s="38">
        <f>all!B287</f>
        <v>6</v>
      </c>
      <c r="C17" s="39">
        <f>all!C287</f>
        <v>2.1201413427561839E-2</v>
      </c>
      <c r="D17" s="38">
        <f>all!D287</f>
        <v>1</v>
      </c>
      <c r="E17" s="39">
        <f>all!E287</f>
        <v>3.3333333333333333E-2</v>
      </c>
      <c r="F17" s="38">
        <f>all!F287</f>
        <v>6</v>
      </c>
      <c r="G17" s="39">
        <f>all!G287</f>
        <v>0.06</v>
      </c>
      <c r="H17" s="38">
        <f>all!H287</f>
        <v>32</v>
      </c>
      <c r="I17" s="39">
        <f>all!I287</f>
        <v>6.2256809338521402E-2</v>
      </c>
      <c r="J17" s="38">
        <f>all!J287</f>
        <v>11</v>
      </c>
      <c r="K17" s="39">
        <f>all!K287</f>
        <v>4.6808510638297871E-2</v>
      </c>
      <c r="L17" s="38">
        <f>all!L287</f>
        <v>29</v>
      </c>
      <c r="M17" s="39">
        <f>all!M287</f>
        <v>4.9488054607508533E-2</v>
      </c>
      <c r="N17" s="29">
        <f>all!N287</f>
        <v>85</v>
      </c>
      <c r="O17" s="39">
        <f>all!O287</f>
        <v>4.8627002288329522E-2</v>
      </c>
      <c r="Q17" s="102" t="str">
        <f>A93</f>
        <v>Overall Evaluation of Student Services</v>
      </c>
      <c r="R17" s="24">
        <f>C99</f>
        <v>0.94629156010230187</v>
      </c>
      <c r="S17" s="99">
        <f>E99</f>
        <v>0.87096774193548376</v>
      </c>
      <c r="T17" s="99">
        <f>G99</f>
        <v>0.88590604026845632</v>
      </c>
      <c r="U17" s="24">
        <f>I99</f>
        <v>0.91424802110817949</v>
      </c>
      <c r="V17" s="24">
        <f>K99</f>
        <v>0.90532544378698232</v>
      </c>
      <c r="W17" s="24">
        <f>M99</f>
        <v>0.90628853267570908</v>
      </c>
      <c r="X17" s="24">
        <f>O99</f>
        <v>0.91323648103309119</v>
      </c>
    </row>
    <row r="18" spans="1:24" s="14" customFormat="1" x14ac:dyDescent="0.2">
      <c r="A18" s="108" t="str">
        <f>all!A288</f>
        <v>Total</v>
      </c>
      <c r="B18" s="30">
        <f t="shared" ref="B18:O18" si="1">SUM(B14:B17)</f>
        <v>283</v>
      </c>
      <c r="C18" s="41">
        <f t="shared" si="1"/>
        <v>1</v>
      </c>
      <c r="D18" s="30">
        <f t="shared" si="1"/>
        <v>30</v>
      </c>
      <c r="E18" s="41">
        <f t="shared" si="1"/>
        <v>1</v>
      </c>
      <c r="F18" s="30">
        <f t="shared" si="1"/>
        <v>100</v>
      </c>
      <c r="G18" s="41">
        <f t="shared" si="1"/>
        <v>1</v>
      </c>
      <c r="H18" s="30">
        <f t="shared" si="1"/>
        <v>514</v>
      </c>
      <c r="I18" s="41">
        <f t="shared" si="1"/>
        <v>1</v>
      </c>
      <c r="J18" s="30">
        <f t="shared" si="1"/>
        <v>235</v>
      </c>
      <c r="K18" s="41">
        <f t="shared" si="1"/>
        <v>0.99999999999999989</v>
      </c>
      <c r="L18" s="30">
        <f t="shared" si="1"/>
        <v>586</v>
      </c>
      <c r="M18" s="41">
        <f t="shared" si="1"/>
        <v>0.99999999999999989</v>
      </c>
      <c r="N18" s="30">
        <f t="shared" si="1"/>
        <v>1748</v>
      </c>
      <c r="O18" s="41">
        <f t="shared" si="1"/>
        <v>1</v>
      </c>
      <c r="P18" s="12"/>
      <c r="Q18" s="103"/>
      <c r="R18" s="37"/>
      <c r="S18" s="37"/>
      <c r="T18" s="37"/>
      <c r="U18" s="37"/>
      <c r="V18" s="37"/>
      <c r="W18" s="37"/>
      <c r="X18" s="37"/>
    </row>
    <row r="19" spans="1:24" ht="25.5" x14ac:dyDescent="0.2">
      <c r="A19" s="28" t="str">
        <f>all!A289</f>
        <v>Percent of Good or Very Good</v>
      </c>
      <c r="B19" s="25"/>
      <c r="C19" s="34">
        <f>SUM(C14:C15)</f>
        <v>0.85159010600706708</v>
      </c>
      <c r="D19" s="25"/>
      <c r="E19" s="34">
        <f>SUM(E14:E15)</f>
        <v>0.93333333333333335</v>
      </c>
      <c r="F19" s="25"/>
      <c r="G19" s="34">
        <f>SUM(G14:G15)</f>
        <v>0.82000000000000006</v>
      </c>
      <c r="H19" s="25"/>
      <c r="I19" s="34">
        <f>SUM(I14:I15)</f>
        <v>0.75486381322957197</v>
      </c>
      <c r="J19" s="25"/>
      <c r="K19" s="34">
        <f>SUM(K14:K15)</f>
        <v>0.81276595744680846</v>
      </c>
      <c r="L19" s="25"/>
      <c r="M19" s="34">
        <f>SUM(M14:M15)</f>
        <v>0.7662116040955631</v>
      </c>
      <c r="N19" s="27"/>
      <c r="O19" s="34">
        <f>SUM(O14:O15)</f>
        <v>0.7889016018306636</v>
      </c>
      <c r="Q19" s="95" t="s">
        <v>139</v>
      </c>
      <c r="R19" s="109" t="s">
        <v>128</v>
      </c>
      <c r="S19" s="109" t="s">
        <v>99</v>
      </c>
      <c r="T19" s="109" t="s">
        <v>136</v>
      </c>
      <c r="U19" s="109" t="s">
        <v>101</v>
      </c>
      <c r="V19" s="109" t="s">
        <v>129</v>
      </c>
      <c r="W19" s="109" t="s">
        <v>126</v>
      </c>
      <c r="X19" s="75" t="s">
        <v>1</v>
      </c>
    </row>
    <row r="20" spans="1:24" x14ac:dyDescent="0.2">
      <c r="H20" s="10"/>
      <c r="Q20" s="104" t="str">
        <f>A102</f>
        <v>Bookstore</v>
      </c>
      <c r="R20" s="100">
        <f>C108</f>
        <v>0.86265060240963853</v>
      </c>
      <c r="S20" s="100">
        <f>E108</f>
        <v>0.80645161290322576</v>
      </c>
      <c r="T20" s="100">
        <f>G108</f>
        <v>0.86330935251798557</v>
      </c>
      <c r="U20" s="100">
        <f>I108</f>
        <v>0.85479797979797978</v>
      </c>
      <c r="V20" s="100">
        <f>K108</f>
        <v>0.86931818181818188</v>
      </c>
      <c r="W20" s="100">
        <f>M108</f>
        <v>0.85535307517084269</v>
      </c>
      <c r="X20" s="100">
        <f>O108</f>
        <v>0.85807441503644033</v>
      </c>
    </row>
    <row r="21" spans="1:24" ht="12.75" customHeight="1" x14ac:dyDescent="0.2">
      <c r="A21" s="28" t="str">
        <f>all!A291</f>
        <v>Academic advising</v>
      </c>
      <c r="B21" s="154" t="s">
        <v>128</v>
      </c>
      <c r="C21" s="154"/>
      <c r="D21" s="154" t="s">
        <v>99</v>
      </c>
      <c r="E21" s="154"/>
      <c r="F21" s="155" t="s">
        <v>136</v>
      </c>
      <c r="G21" s="155"/>
      <c r="H21" s="154" t="s">
        <v>101</v>
      </c>
      <c r="I21" s="154"/>
      <c r="J21" s="154" t="s">
        <v>129</v>
      </c>
      <c r="K21" s="154"/>
      <c r="L21" s="154" t="s">
        <v>126</v>
      </c>
      <c r="M21" s="154"/>
      <c r="N21" s="182" t="s">
        <v>1</v>
      </c>
      <c r="O21" s="182"/>
      <c r="Q21" s="105" t="str">
        <f>A110</f>
        <v>Cashier</v>
      </c>
      <c r="R21" s="101">
        <f>C116</f>
        <v>0.95454545454545459</v>
      </c>
      <c r="S21" s="100">
        <f>E116</f>
        <v>0.86363636363636365</v>
      </c>
      <c r="T21" s="101">
        <f>G116</f>
        <v>0.93805309734513276</v>
      </c>
      <c r="U21" s="101">
        <f>I116</f>
        <v>0.93623639191290819</v>
      </c>
      <c r="V21" s="101">
        <f>K116</f>
        <v>0.90769230769230769</v>
      </c>
      <c r="W21" s="101">
        <f>M116</f>
        <v>0.95207667731629386</v>
      </c>
      <c r="X21" s="101">
        <f>O116</f>
        <v>0.93965517241379315</v>
      </c>
    </row>
    <row r="22" spans="1:24" x14ac:dyDescent="0.2">
      <c r="A22" s="26" t="str">
        <f>all!A292</f>
        <v>Very good</v>
      </c>
      <c r="B22" s="38">
        <f>all!B292</f>
        <v>130</v>
      </c>
      <c r="C22" s="39">
        <f>all!C292</f>
        <v>0.34482758620689657</v>
      </c>
      <c r="D22" s="38">
        <f>all!D292</f>
        <v>14</v>
      </c>
      <c r="E22" s="39">
        <f>all!E292</f>
        <v>0.4375</v>
      </c>
      <c r="F22" s="38">
        <f>all!F292</f>
        <v>34</v>
      </c>
      <c r="G22" s="39">
        <f>all!G292</f>
        <v>0.25757575757575757</v>
      </c>
      <c r="H22" s="38">
        <f>all!H292</f>
        <v>205</v>
      </c>
      <c r="I22" s="39">
        <f>all!I292</f>
        <v>0.29496402877697842</v>
      </c>
      <c r="J22" s="38">
        <f>all!J292</f>
        <v>86</v>
      </c>
      <c r="K22" s="39">
        <f>all!K292</f>
        <v>0.27044025157232704</v>
      </c>
      <c r="L22" s="38">
        <f>all!L292</f>
        <v>222</v>
      </c>
      <c r="M22" s="39">
        <f>all!M292</f>
        <v>0.28943937418513688</v>
      </c>
      <c r="N22" s="29">
        <f>all!N292</f>
        <v>691</v>
      </c>
      <c r="O22" s="39">
        <f>all!O292</f>
        <v>0.29771650150797069</v>
      </c>
      <c r="Q22" s="105" t="str">
        <f>A118</f>
        <v>Food services</v>
      </c>
      <c r="R22" s="100">
        <f>C124</f>
        <v>0.77542372881355925</v>
      </c>
      <c r="S22" s="100">
        <f>E124</f>
        <v>0.6</v>
      </c>
      <c r="T22" s="100">
        <f>G124</f>
        <v>0.8214285714285714</v>
      </c>
      <c r="U22" s="100">
        <f>I124</f>
        <v>0.81481481481481477</v>
      </c>
      <c r="V22" s="100">
        <f>K124</f>
        <v>0.84426229508196726</v>
      </c>
      <c r="W22" s="100">
        <f>M124</f>
        <v>0.80483271375464682</v>
      </c>
      <c r="X22" s="100">
        <f>O124</f>
        <v>0.80640941792020926</v>
      </c>
    </row>
    <row r="23" spans="1:24" ht="12.75" customHeight="1" x14ac:dyDescent="0.2">
      <c r="A23" s="26" t="str">
        <f>all!A293</f>
        <v>Good</v>
      </c>
      <c r="B23" s="38">
        <f>all!B293</f>
        <v>190</v>
      </c>
      <c r="C23" s="39">
        <f>all!C293</f>
        <v>0.50397877984084882</v>
      </c>
      <c r="D23" s="38">
        <f>all!D293</f>
        <v>14</v>
      </c>
      <c r="E23" s="39">
        <f>all!E293</f>
        <v>0.4375</v>
      </c>
      <c r="F23" s="38">
        <f>all!F293</f>
        <v>70</v>
      </c>
      <c r="G23" s="39">
        <f>all!G293</f>
        <v>0.53030303030303028</v>
      </c>
      <c r="H23" s="38">
        <f>all!H293</f>
        <v>320</v>
      </c>
      <c r="I23" s="39">
        <f>all!I293</f>
        <v>0.46043165467625902</v>
      </c>
      <c r="J23" s="38">
        <f>all!J293</f>
        <v>170</v>
      </c>
      <c r="K23" s="39">
        <f>all!K293</f>
        <v>0.53459119496855345</v>
      </c>
      <c r="L23" s="38">
        <f>all!L293</f>
        <v>352</v>
      </c>
      <c r="M23" s="39">
        <f>all!M293</f>
        <v>0.45893089960886568</v>
      </c>
      <c r="N23" s="29">
        <f>all!N293</f>
        <v>1116</v>
      </c>
      <c r="O23" s="39">
        <f>all!O293</f>
        <v>0.48082722964239549</v>
      </c>
      <c r="Q23" s="105" t="str">
        <f>A126</f>
        <v>Overall Evaluation of Business Services</v>
      </c>
      <c r="R23" s="101">
        <f>C132</f>
        <v>0.95026178010471207</v>
      </c>
      <c r="S23" s="100">
        <f>E132</f>
        <v>0.88461538461538458</v>
      </c>
      <c r="T23" s="100">
        <f>G132</f>
        <v>0.89147286821705429</v>
      </c>
      <c r="U23" s="101">
        <f>I132</f>
        <v>0.91321762349799729</v>
      </c>
      <c r="V23" s="101">
        <f>K132</f>
        <v>0.89969604863221886</v>
      </c>
      <c r="W23" s="101">
        <f>M132</f>
        <v>0.91381495564005066</v>
      </c>
      <c r="X23" s="101">
        <f>O132</f>
        <v>0.91597337770382692</v>
      </c>
    </row>
    <row r="24" spans="1:24" x14ac:dyDescent="0.2">
      <c r="A24" s="26" t="str">
        <f>all!A294</f>
        <v>Poor</v>
      </c>
      <c r="B24" s="38">
        <f>all!B294</f>
        <v>49</v>
      </c>
      <c r="C24" s="39">
        <f>all!C294</f>
        <v>0.129973474801061</v>
      </c>
      <c r="D24" s="38">
        <f>all!D294</f>
        <v>3</v>
      </c>
      <c r="E24" s="39">
        <f>all!E294</f>
        <v>9.375E-2</v>
      </c>
      <c r="F24" s="38">
        <f>all!F294</f>
        <v>19</v>
      </c>
      <c r="G24" s="39">
        <f>all!G294</f>
        <v>0.14393939393939395</v>
      </c>
      <c r="H24" s="38">
        <f>all!H294</f>
        <v>122</v>
      </c>
      <c r="I24" s="39">
        <f>all!I294</f>
        <v>0.17553956834532375</v>
      </c>
      <c r="J24" s="38">
        <f>all!J294</f>
        <v>51</v>
      </c>
      <c r="K24" s="39">
        <f>all!K294</f>
        <v>0.16037735849056603</v>
      </c>
      <c r="L24" s="38">
        <f>all!L294</f>
        <v>154</v>
      </c>
      <c r="M24" s="39">
        <f>all!M294</f>
        <v>0.20078226857887874</v>
      </c>
      <c r="N24" s="29">
        <f>all!N294</f>
        <v>398</v>
      </c>
      <c r="O24" s="39">
        <f>all!O294</f>
        <v>0.17147781128823783</v>
      </c>
    </row>
    <row r="25" spans="1:24" x14ac:dyDescent="0.2">
      <c r="A25" s="26" t="str">
        <f>all!A295</f>
        <v>Very poor</v>
      </c>
      <c r="B25" s="38">
        <f>all!B295</f>
        <v>8</v>
      </c>
      <c r="C25" s="39">
        <f>all!C295</f>
        <v>2.1220159151193633E-2</v>
      </c>
      <c r="D25" s="38">
        <f>all!D295</f>
        <v>1</v>
      </c>
      <c r="E25" s="39">
        <f>all!E295</f>
        <v>3.125E-2</v>
      </c>
      <c r="F25" s="38">
        <f>all!F295</f>
        <v>9</v>
      </c>
      <c r="G25" s="39">
        <f>all!G295</f>
        <v>6.8181818181818177E-2</v>
      </c>
      <c r="H25" s="38">
        <f>all!H295</f>
        <v>48</v>
      </c>
      <c r="I25" s="39">
        <f>all!I295</f>
        <v>6.9064748201438847E-2</v>
      </c>
      <c r="J25" s="38">
        <f>all!J295</f>
        <v>11</v>
      </c>
      <c r="K25" s="39">
        <f>all!K295</f>
        <v>3.4591194968553458E-2</v>
      </c>
      <c r="L25" s="38">
        <f>all!L295</f>
        <v>39</v>
      </c>
      <c r="M25" s="39">
        <f>all!M295</f>
        <v>5.0847457627118647E-2</v>
      </c>
      <c r="N25" s="29">
        <f>all!N295</f>
        <v>116</v>
      </c>
      <c r="O25" s="39">
        <f>all!O295</f>
        <v>4.9978457561395948E-2</v>
      </c>
    </row>
    <row r="26" spans="1:24" s="14" customFormat="1" x14ac:dyDescent="0.2">
      <c r="A26" s="108" t="str">
        <f>all!A296</f>
        <v>Total</v>
      </c>
      <c r="B26" s="30">
        <f t="shared" ref="B26:O26" si="2">SUM(B22:B25)</f>
        <v>377</v>
      </c>
      <c r="C26" s="41">
        <f t="shared" si="2"/>
        <v>1</v>
      </c>
      <c r="D26" s="30">
        <f t="shared" si="2"/>
        <v>32</v>
      </c>
      <c r="E26" s="41">
        <f t="shared" si="2"/>
        <v>1</v>
      </c>
      <c r="F26" s="30">
        <f t="shared" si="2"/>
        <v>132</v>
      </c>
      <c r="G26" s="41">
        <f t="shared" si="2"/>
        <v>1</v>
      </c>
      <c r="H26" s="30">
        <f t="shared" si="2"/>
        <v>695</v>
      </c>
      <c r="I26" s="41">
        <f t="shared" si="2"/>
        <v>1</v>
      </c>
      <c r="J26" s="30">
        <f t="shared" si="2"/>
        <v>318</v>
      </c>
      <c r="K26" s="41">
        <f t="shared" si="2"/>
        <v>1</v>
      </c>
      <c r="L26" s="30">
        <f t="shared" si="2"/>
        <v>767</v>
      </c>
      <c r="M26" s="41">
        <f t="shared" si="2"/>
        <v>0.99999999999999989</v>
      </c>
      <c r="N26" s="30">
        <f t="shared" si="2"/>
        <v>2321</v>
      </c>
      <c r="O26" s="41">
        <f t="shared" si="2"/>
        <v>1</v>
      </c>
    </row>
    <row r="27" spans="1:24" x14ac:dyDescent="0.2">
      <c r="A27" s="28" t="str">
        <f>all!A297</f>
        <v>Percent of Good or Very Good</v>
      </c>
      <c r="B27" s="25"/>
      <c r="C27" s="34">
        <f>SUM(C22:C23)</f>
        <v>0.8488063660477454</v>
      </c>
      <c r="D27" s="25"/>
      <c r="E27" s="34">
        <f>SUM(E22:E23)</f>
        <v>0.875</v>
      </c>
      <c r="F27" s="25"/>
      <c r="G27" s="34">
        <f>SUM(G22:G23)</f>
        <v>0.78787878787878785</v>
      </c>
      <c r="H27" s="25"/>
      <c r="I27" s="34">
        <f>SUM(I22:I23)</f>
        <v>0.75539568345323738</v>
      </c>
      <c r="J27" s="25"/>
      <c r="K27" s="34">
        <f>SUM(K22:K23)</f>
        <v>0.80503144654088055</v>
      </c>
      <c r="L27" s="25"/>
      <c r="M27" s="34">
        <f>SUM(M22:M23)</f>
        <v>0.74837027379400256</v>
      </c>
      <c r="N27" s="27"/>
      <c r="O27" s="34">
        <f>SUM(O22:O23)</f>
        <v>0.77854373115036624</v>
      </c>
    </row>
    <row r="28" spans="1:24" x14ac:dyDescent="0.2">
      <c r="H28" s="10"/>
    </row>
    <row r="29" spans="1:24" ht="12.75" customHeight="1" x14ac:dyDescent="0.2">
      <c r="A29" s="28" t="str">
        <f>all!A299</f>
        <v>Financial aid</v>
      </c>
      <c r="B29" s="154" t="s">
        <v>128</v>
      </c>
      <c r="C29" s="154"/>
      <c r="D29" s="154" t="s">
        <v>99</v>
      </c>
      <c r="E29" s="154"/>
      <c r="F29" s="155" t="s">
        <v>136</v>
      </c>
      <c r="G29" s="155"/>
      <c r="H29" s="154" t="s">
        <v>101</v>
      </c>
      <c r="I29" s="154"/>
      <c r="J29" s="154" t="s">
        <v>129</v>
      </c>
      <c r="K29" s="154"/>
      <c r="L29" s="154" t="s">
        <v>126</v>
      </c>
      <c r="M29" s="154"/>
      <c r="N29" s="182" t="s">
        <v>1</v>
      </c>
      <c r="O29" s="182"/>
    </row>
    <row r="30" spans="1:24" x14ac:dyDescent="0.2">
      <c r="A30" s="26" t="str">
        <f>all!A300</f>
        <v>Very good</v>
      </c>
      <c r="B30" s="38">
        <f>all!B300</f>
        <v>127</v>
      </c>
      <c r="C30" s="39">
        <f>all!C300</f>
        <v>0.38253012048192769</v>
      </c>
      <c r="D30" s="38">
        <f>all!D300</f>
        <v>11</v>
      </c>
      <c r="E30" s="39">
        <f>all!E300</f>
        <v>0.36666666666666664</v>
      </c>
      <c r="F30" s="38">
        <f>all!F300</f>
        <v>53</v>
      </c>
      <c r="G30" s="39">
        <f>all!G300</f>
        <v>0.36805555555555558</v>
      </c>
      <c r="H30" s="38">
        <f>all!H300</f>
        <v>229</v>
      </c>
      <c r="I30" s="39">
        <f>all!I300</f>
        <v>0.35503875968992249</v>
      </c>
      <c r="J30" s="38">
        <f>all!J300</f>
        <v>115</v>
      </c>
      <c r="K30" s="39">
        <f>all!K300</f>
        <v>0.3745928338762215</v>
      </c>
      <c r="L30" s="38">
        <f>all!L300</f>
        <v>249</v>
      </c>
      <c r="M30" s="39">
        <f>all!M300</f>
        <v>0.35571428571428571</v>
      </c>
      <c r="N30" s="29">
        <f>all!N300</f>
        <v>784</v>
      </c>
      <c r="O30" s="39">
        <f>all!O300</f>
        <v>0.36329935125115848</v>
      </c>
    </row>
    <row r="31" spans="1:24" x14ac:dyDescent="0.2">
      <c r="A31" s="26" t="str">
        <f>all!A301</f>
        <v>Good</v>
      </c>
      <c r="B31" s="38">
        <f>all!B301</f>
        <v>160</v>
      </c>
      <c r="C31" s="39">
        <f>all!C301</f>
        <v>0.48192771084337349</v>
      </c>
      <c r="D31" s="38">
        <f>all!D301</f>
        <v>15</v>
      </c>
      <c r="E31" s="39">
        <f>all!E301</f>
        <v>0.5</v>
      </c>
      <c r="F31" s="38">
        <f>all!F301</f>
        <v>64</v>
      </c>
      <c r="G31" s="39">
        <f>all!G301</f>
        <v>0.44444444444444442</v>
      </c>
      <c r="H31" s="38">
        <f>all!H301</f>
        <v>313</v>
      </c>
      <c r="I31" s="39">
        <f>all!I301</f>
        <v>0.48527131782945737</v>
      </c>
      <c r="J31" s="38">
        <f>all!J301</f>
        <v>145</v>
      </c>
      <c r="K31" s="39">
        <f>all!K301</f>
        <v>0.47231270358306188</v>
      </c>
      <c r="L31" s="38">
        <f>all!L301</f>
        <v>330</v>
      </c>
      <c r="M31" s="39">
        <f>all!M301</f>
        <v>0.47142857142857142</v>
      </c>
      <c r="N31" s="29">
        <f>all!N301</f>
        <v>1027</v>
      </c>
      <c r="O31" s="39">
        <f>all!O301</f>
        <v>0.4759036144578313</v>
      </c>
    </row>
    <row r="32" spans="1:24" x14ac:dyDescent="0.2">
      <c r="A32" s="26" t="str">
        <f>all!A302</f>
        <v>Poor</v>
      </c>
      <c r="B32" s="38">
        <f>all!B302</f>
        <v>30</v>
      </c>
      <c r="C32" s="39">
        <f>all!C302</f>
        <v>9.036144578313253E-2</v>
      </c>
      <c r="D32" s="38">
        <f>all!D302</f>
        <v>3</v>
      </c>
      <c r="E32" s="39">
        <f>all!E302</f>
        <v>0.1</v>
      </c>
      <c r="F32" s="38">
        <f>all!F302</f>
        <v>15</v>
      </c>
      <c r="G32" s="39">
        <f>all!G302</f>
        <v>0.10416666666666667</v>
      </c>
      <c r="H32" s="38">
        <f>all!H302</f>
        <v>61</v>
      </c>
      <c r="I32" s="39">
        <f>all!I302</f>
        <v>9.4573643410852712E-2</v>
      </c>
      <c r="J32" s="38">
        <f>all!J302</f>
        <v>29</v>
      </c>
      <c r="K32" s="39">
        <f>all!K302</f>
        <v>9.4462540716612378E-2</v>
      </c>
      <c r="L32" s="38">
        <f>all!L302</f>
        <v>81</v>
      </c>
      <c r="M32" s="39">
        <f>all!M302</f>
        <v>0.11571428571428571</v>
      </c>
      <c r="N32" s="29">
        <f>all!N302</f>
        <v>219</v>
      </c>
      <c r="O32" s="39">
        <f>all!O302</f>
        <v>0.10148285449490269</v>
      </c>
    </row>
    <row r="33" spans="1:15" x14ac:dyDescent="0.2">
      <c r="A33" s="26" t="str">
        <f>all!A303</f>
        <v>Very poor</v>
      </c>
      <c r="B33" s="38">
        <f>all!B303</f>
        <v>15</v>
      </c>
      <c r="C33" s="39">
        <f>all!C303</f>
        <v>4.5180722891566265E-2</v>
      </c>
      <c r="D33" s="38">
        <f>all!D303</f>
        <v>1</v>
      </c>
      <c r="E33" s="39">
        <f>all!E303</f>
        <v>3.3333333333333333E-2</v>
      </c>
      <c r="F33" s="38">
        <f>all!F303</f>
        <v>12</v>
      </c>
      <c r="G33" s="39">
        <f>all!G303</f>
        <v>8.3333333333333329E-2</v>
      </c>
      <c r="H33" s="38">
        <f>all!H303</f>
        <v>42</v>
      </c>
      <c r="I33" s="39">
        <f>all!I303</f>
        <v>6.5116279069767441E-2</v>
      </c>
      <c r="J33" s="38">
        <f>all!J303</f>
        <v>18</v>
      </c>
      <c r="K33" s="39">
        <f>all!K303</f>
        <v>5.8631921824104233E-2</v>
      </c>
      <c r="L33" s="38">
        <f>all!L303</f>
        <v>40</v>
      </c>
      <c r="M33" s="39">
        <f>all!M303</f>
        <v>5.7142857142857141E-2</v>
      </c>
      <c r="N33" s="29">
        <f>all!N303</f>
        <v>128</v>
      </c>
      <c r="O33" s="39">
        <f>all!O303</f>
        <v>5.9314179796107508E-2</v>
      </c>
    </row>
    <row r="34" spans="1:15" s="14" customFormat="1" x14ac:dyDescent="0.2">
      <c r="A34" s="108" t="str">
        <f>all!A304</f>
        <v>Total</v>
      </c>
      <c r="B34" s="30">
        <f t="shared" ref="B34:O34" si="3">SUM(B30:B33)</f>
        <v>332</v>
      </c>
      <c r="C34" s="41">
        <f t="shared" si="3"/>
        <v>1</v>
      </c>
      <c r="D34" s="30">
        <f t="shared" si="3"/>
        <v>30</v>
      </c>
      <c r="E34" s="41">
        <f t="shared" si="3"/>
        <v>1</v>
      </c>
      <c r="F34" s="30">
        <f t="shared" si="3"/>
        <v>144</v>
      </c>
      <c r="G34" s="41">
        <f t="shared" si="3"/>
        <v>1</v>
      </c>
      <c r="H34" s="30">
        <f t="shared" si="3"/>
        <v>645</v>
      </c>
      <c r="I34" s="41">
        <f t="shared" si="3"/>
        <v>1</v>
      </c>
      <c r="J34" s="30">
        <f t="shared" si="3"/>
        <v>307</v>
      </c>
      <c r="K34" s="41">
        <f t="shared" si="3"/>
        <v>1</v>
      </c>
      <c r="L34" s="30">
        <f t="shared" si="3"/>
        <v>700</v>
      </c>
      <c r="M34" s="41">
        <f t="shared" si="3"/>
        <v>1</v>
      </c>
      <c r="N34" s="30">
        <f t="shared" si="3"/>
        <v>2158</v>
      </c>
      <c r="O34" s="41">
        <f t="shared" si="3"/>
        <v>1</v>
      </c>
    </row>
    <row r="35" spans="1:15" x14ac:dyDescent="0.2">
      <c r="A35" s="28" t="str">
        <f>all!A305</f>
        <v>Percent of Good or Very Good</v>
      </c>
      <c r="B35" s="25"/>
      <c r="C35" s="34">
        <f>SUM(C30:C31)</f>
        <v>0.86445783132530118</v>
      </c>
      <c r="D35" s="25"/>
      <c r="E35" s="34">
        <f>SUM(E30:E31)</f>
        <v>0.8666666666666667</v>
      </c>
      <c r="F35" s="25"/>
      <c r="G35" s="34">
        <f>SUM(G30:G31)</f>
        <v>0.8125</v>
      </c>
      <c r="H35" s="25"/>
      <c r="I35" s="34">
        <f>SUM(I30:I31)</f>
        <v>0.84031007751937992</v>
      </c>
      <c r="J35" s="25"/>
      <c r="K35" s="34">
        <f>SUM(K30:K31)</f>
        <v>0.84690553745928332</v>
      </c>
      <c r="L35" s="25"/>
      <c r="M35" s="34">
        <f>SUM(M30:M31)</f>
        <v>0.82714285714285718</v>
      </c>
      <c r="N35" s="27"/>
      <c r="O35" s="34">
        <f>SUM(O30:O31)</f>
        <v>0.83920296570898978</v>
      </c>
    </row>
    <row r="36" spans="1:15" x14ac:dyDescent="0.2">
      <c r="H36" s="10"/>
    </row>
    <row r="37" spans="1:15" ht="12.75" customHeight="1" x14ac:dyDescent="0.2">
      <c r="A37" s="28" t="str">
        <f>all!A307</f>
        <v>Veterans' services</v>
      </c>
      <c r="B37" s="154" t="s">
        <v>128</v>
      </c>
      <c r="C37" s="154"/>
      <c r="D37" s="154" t="s">
        <v>99</v>
      </c>
      <c r="E37" s="154"/>
      <c r="F37" s="155" t="s">
        <v>136</v>
      </c>
      <c r="G37" s="155"/>
      <c r="H37" s="154" t="s">
        <v>101</v>
      </c>
      <c r="I37" s="154"/>
      <c r="J37" s="154" t="s">
        <v>129</v>
      </c>
      <c r="K37" s="154"/>
      <c r="L37" s="154" t="s">
        <v>126</v>
      </c>
      <c r="M37" s="154"/>
      <c r="N37" s="182" t="s">
        <v>1</v>
      </c>
      <c r="O37" s="182"/>
    </row>
    <row r="38" spans="1:15" x14ac:dyDescent="0.2">
      <c r="A38" s="26" t="str">
        <f>all!A308</f>
        <v>Very good</v>
      </c>
      <c r="B38" s="38">
        <f>all!B308</f>
        <v>22</v>
      </c>
      <c r="C38" s="39">
        <f>all!C308</f>
        <v>0.29333333333333333</v>
      </c>
      <c r="D38" s="38">
        <f>all!D308</f>
        <v>4</v>
      </c>
      <c r="E38" s="39">
        <f>all!E308</f>
        <v>0.5</v>
      </c>
      <c r="F38" s="38">
        <f>all!F308</f>
        <v>9</v>
      </c>
      <c r="G38" s="39">
        <f>all!G308</f>
        <v>0.375</v>
      </c>
      <c r="H38" s="38">
        <f>all!H308</f>
        <v>53</v>
      </c>
      <c r="I38" s="39">
        <f>all!I308</f>
        <v>0.33757961783439489</v>
      </c>
      <c r="J38" s="38">
        <f>all!J308</f>
        <v>28</v>
      </c>
      <c r="K38" s="39">
        <f>all!K308</f>
        <v>0.41176470588235292</v>
      </c>
      <c r="L38" s="38">
        <f>all!L308</f>
        <v>61</v>
      </c>
      <c r="M38" s="39">
        <f>all!M308</f>
        <v>0.4206896551724138</v>
      </c>
      <c r="N38" s="29">
        <f>all!N308</f>
        <v>177</v>
      </c>
      <c r="O38" s="39">
        <f>all!O308</f>
        <v>0.37106918238993708</v>
      </c>
    </row>
    <row r="39" spans="1:15" x14ac:dyDescent="0.2">
      <c r="A39" s="26" t="str">
        <f>all!A309</f>
        <v>Good</v>
      </c>
      <c r="B39" s="38">
        <f>all!B309</f>
        <v>50</v>
      </c>
      <c r="C39" s="39">
        <f>all!C309</f>
        <v>0.66666666666666663</v>
      </c>
      <c r="D39" s="38">
        <f>all!D309</f>
        <v>3</v>
      </c>
      <c r="E39" s="39">
        <f>all!E309</f>
        <v>0.375</v>
      </c>
      <c r="F39" s="38">
        <f>all!F309</f>
        <v>13</v>
      </c>
      <c r="G39" s="39">
        <f>all!G309</f>
        <v>0.54166666666666663</v>
      </c>
      <c r="H39" s="38">
        <f>all!H309</f>
        <v>82</v>
      </c>
      <c r="I39" s="39">
        <f>all!I309</f>
        <v>0.52229299363057324</v>
      </c>
      <c r="J39" s="38">
        <f>all!J309</f>
        <v>34</v>
      </c>
      <c r="K39" s="39">
        <f>all!K309</f>
        <v>0.5</v>
      </c>
      <c r="L39" s="38">
        <f>all!L309</f>
        <v>76</v>
      </c>
      <c r="M39" s="39">
        <f>all!M309</f>
        <v>0.52413793103448281</v>
      </c>
      <c r="N39" s="29">
        <f>all!N309</f>
        <v>258</v>
      </c>
      <c r="O39" s="39">
        <f>all!O309</f>
        <v>0.54088050314465408</v>
      </c>
    </row>
    <row r="40" spans="1:15" x14ac:dyDescent="0.2">
      <c r="A40" s="26" t="str">
        <f>all!A310</f>
        <v>Poor</v>
      </c>
      <c r="B40" s="38">
        <f>all!B310</f>
        <v>1</v>
      </c>
      <c r="C40" s="39">
        <f>all!C310</f>
        <v>1.3333333333333334E-2</v>
      </c>
      <c r="D40" s="38">
        <f>all!D310</f>
        <v>1</v>
      </c>
      <c r="E40" s="39">
        <f>all!E310</f>
        <v>0.125</v>
      </c>
      <c r="F40" s="38">
        <f>all!F310</f>
        <v>1</v>
      </c>
      <c r="G40" s="39">
        <f>all!G310</f>
        <v>4.1666666666666664E-2</v>
      </c>
      <c r="H40" s="38">
        <f>all!H310</f>
        <v>14</v>
      </c>
      <c r="I40" s="39">
        <f>all!I310</f>
        <v>8.9171974522292988E-2</v>
      </c>
      <c r="J40" s="38">
        <f>all!J310</f>
        <v>4</v>
      </c>
      <c r="K40" s="39">
        <f>all!K310</f>
        <v>5.8823529411764705E-2</v>
      </c>
      <c r="L40" s="38">
        <f>all!L310</f>
        <v>4</v>
      </c>
      <c r="M40" s="39">
        <f>all!M310</f>
        <v>2.7586206896551724E-2</v>
      </c>
      <c r="N40" s="29">
        <f>all!N310</f>
        <v>25</v>
      </c>
      <c r="O40" s="39">
        <f>all!O310</f>
        <v>5.2410901467505239E-2</v>
      </c>
    </row>
    <row r="41" spans="1:15" x14ac:dyDescent="0.2">
      <c r="A41" s="26" t="str">
        <f>all!A311</f>
        <v>Very poor</v>
      </c>
      <c r="B41" s="38">
        <f>all!B311</f>
        <v>2</v>
      </c>
      <c r="C41" s="39">
        <f>all!C311</f>
        <v>2.6666666666666668E-2</v>
      </c>
      <c r="D41" s="38">
        <f>all!D311</f>
        <v>0</v>
      </c>
      <c r="E41" s="39">
        <f>all!E311</f>
        <v>0</v>
      </c>
      <c r="F41" s="38">
        <f>all!F311</f>
        <v>1</v>
      </c>
      <c r="G41" s="39">
        <f>all!G311</f>
        <v>4.1666666666666664E-2</v>
      </c>
      <c r="H41" s="38">
        <f>all!H311</f>
        <v>8</v>
      </c>
      <c r="I41" s="39">
        <f>all!I311</f>
        <v>5.0955414012738856E-2</v>
      </c>
      <c r="J41" s="38">
        <f>all!J311</f>
        <v>2</v>
      </c>
      <c r="K41" s="39">
        <f>all!K311</f>
        <v>2.9411764705882353E-2</v>
      </c>
      <c r="L41" s="38">
        <f>all!L311</f>
        <v>4</v>
      </c>
      <c r="M41" s="39">
        <f>all!M311</f>
        <v>2.7586206896551724E-2</v>
      </c>
      <c r="N41" s="29">
        <f>all!N311</f>
        <v>17</v>
      </c>
      <c r="O41" s="39">
        <f>all!O311</f>
        <v>3.5639412997903561E-2</v>
      </c>
    </row>
    <row r="42" spans="1:15" s="14" customFormat="1" x14ac:dyDescent="0.2">
      <c r="A42" s="108" t="str">
        <f>all!A312</f>
        <v>Total</v>
      </c>
      <c r="B42" s="30">
        <f t="shared" ref="B42:O42" si="4">SUM(B38:B41)</f>
        <v>75</v>
      </c>
      <c r="C42" s="41">
        <f t="shared" si="4"/>
        <v>0.99999999999999989</v>
      </c>
      <c r="D42" s="30">
        <f t="shared" si="4"/>
        <v>8</v>
      </c>
      <c r="E42" s="41">
        <f t="shared" si="4"/>
        <v>1</v>
      </c>
      <c r="F42" s="30">
        <f t="shared" si="4"/>
        <v>24</v>
      </c>
      <c r="G42" s="41">
        <f t="shared" si="4"/>
        <v>0.99999999999999989</v>
      </c>
      <c r="H42" s="30">
        <f t="shared" si="4"/>
        <v>157</v>
      </c>
      <c r="I42" s="41">
        <f t="shared" si="4"/>
        <v>1</v>
      </c>
      <c r="J42" s="30">
        <f t="shared" si="4"/>
        <v>68</v>
      </c>
      <c r="K42" s="41">
        <f t="shared" si="4"/>
        <v>1</v>
      </c>
      <c r="L42" s="30">
        <f t="shared" si="4"/>
        <v>145</v>
      </c>
      <c r="M42" s="41">
        <f t="shared" si="4"/>
        <v>1.0000000000000002</v>
      </c>
      <c r="N42" s="30">
        <f t="shared" si="4"/>
        <v>477</v>
      </c>
      <c r="O42" s="41">
        <f t="shared" si="4"/>
        <v>1</v>
      </c>
    </row>
    <row r="43" spans="1:15" x14ac:dyDescent="0.2">
      <c r="A43" s="28" t="str">
        <f>all!A313</f>
        <v>Percent of Good or Very Good</v>
      </c>
      <c r="B43" s="25"/>
      <c r="C43" s="34">
        <f>SUM(C38:C39)</f>
        <v>0.96</v>
      </c>
      <c r="D43" s="25"/>
      <c r="E43" s="34">
        <f>SUM(E38:E39)</f>
        <v>0.875</v>
      </c>
      <c r="F43" s="25"/>
      <c r="G43" s="34">
        <f>SUM(G38:G39)</f>
        <v>0.91666666666666663</v>
      </c>
      <c r="H43" s="25"/>
      <c r="I43" s="34">
        <f>SUM(I38:I39)</f>
        <v>0.85987261146496818</v>
      </c>
      <c r="J43" s="25"/>
      <c r="K43" s="34">
        <f>SUM(K38:K39)</f>
        <v>0.91176470588235292</v>
      </c>
      <c r="L43" s="25"/>
      <c r="M43" s="34">
        <f>SUM(M38:M39)</f>
        <v>0.94482758620689666</v>
      </c>
      <c r="N43" s="27"/>
      <c r="O43" s="34">
        <f>SUM(O38:O39)</f>
        <v>0.91194968553459121</v>
      </c>
    </row>
    <row r="44" spans="1:15" x14ac:dyDescent="0.2">
      <c r="H44" s="10"/>
    </row>
    <row r="45" spans="1:15" ht="12.75" customHeight="1" x14ac:dyDescent="0.2">
      <c r="A45" s="28" t="str">
        <f>all!A315</f>
        <v>Student activities/life</v>
      </c>
      <c r="B45" s="154" t="s">
        <v>128</v>
      </c>
      <c r="C45" s="154"/>
      <c r="D45" s="154" t="s">
        <v>99</v>
      </c>
      <c r="E45" s="154"/>
      <c r="F45" s="155" t="s">
        <v>136</v>
      </c>
      <c r="G45" s="155"/>
      <c r="H45" s="154" t="s">
        <v>101</v>
      </c>
      <c r="I45" s="154"/>
      <c r="J45" s="154" t="s">
        <v>129</v>
      </c>
      <c r="K45" s="154"/>
      <c r="L45" s="154" t="s">
        <v>126</v>
      </c>
      <c r="M45" s="154"/>
      <c r="N45" s="182" t="s">
        <v>1</v>
      </c>
      <c r="O45" s="182"/>
    </row>
    <row r="46" spans="1:15" x14ac:dyDescent="0.2">
      <c r="A46" s="26" t="str">
        <f>all!A316</f>
        <v>Very good</v>
      </c>
      <c r="B46" s="38">
        <f>all!B316</f>
        <v>56</v>
      </c>
      <c r="C46" s="39">
        <f>all!C316</f>
        <v>0.30270270270270272</v>
      </c>
      <c r="D46" s="38">
        <f>all!D316</f>
        <v>4</v>
      </c>
      <c r="E46" s="39">
        <f>all!E316</f>
        <v>0.36363636363636365</v>
      </c>
      <c r="F46" s="38">
        <f>all!F316</f>
        <v>17</v>
      </c>
      <c r="G46" s="39">
        <f>all!G316</f>
        <v>0.39534883720930231</v>
      </c>
      <c r="H46" s="38">
        <f>all!H316</f>
        <v>125</v>
      </c>
      <c r="I46" s="39">
        <f>all!I316</f>
        <v>0.33692722371967654</v>
      </c>
      <c r="J46" s="38">
        <f>all!J316</f>
        <v>41</v>
      </c>
      <c r="K46" s="39">
        <f>all!K316</f>
        <v>0.33606557377049179</v>
      </c>
      <c r="L46" s="38">
        <f>all!L316</f>
        <v>142</v>
      </c>
      <c r="M46" s="39">
        <f>all!M316</f>
        <v>0.34803921568627449</v>
      </c>
      <c r="N46" s="29">
        <f>all!N316</f>
        <v>385</v>
      </c>
      <c r="O46" s="39">
        <f>all!O316</f>
        <v>0.33771929824561403</v>
      </c>
    </row>
    <row r="47" spans="1:15" x14ac:dyDescent="0.2">
      <c r="A47" s="26" t="str">
        <f>all!A317</f>
        <v>Good</v>
      </c>
      <c r="B47" s="38">
        <f>all!B317</f>
        <v>119</v>
      </c>
      <c r="C47" s="39">
        <f>all!C317</f>
        <v>0.64324324324324322</v>
      </c>
      <c r="D47" s="38">
        <f>all!D317</f>
        <v>6</v>
      </c>
      <c r="E47" s="39">
        <f>all!E317</f>
        <v>0.54545454545454541</v>
      </c>
      <c r="F47" s="38">
        <f>all!F317</f>
        <v>26</v>
      </c>
      <c r="G47" s="39">
        <f>all!G317</f>
        <v>0.60465116279069764</v>
      </c>
      <c r="H47" s="38">
        <f>all!H317</f>
        <v>211</v>
      </c>
      <c r="I47" s="39">
        <f>all!I317</f>
        <v>0.56873315363881405</v>
      </c>
      <c r="J47" s="38">
        <f>all!J317</f>
        <v>67</v>
      </c>
      <c r="K47" s="39">
        <f>all!K317</f>
        <v>0.54918032786885251</v>
      </c>
      <c r="L47" s="38">
        <f>all!L317</f>
        <v>232</v>
      </c>
      <c r="M47" s="39">
        <f>all!M317</f>
        <v>0.56862745098039214</v>
      </c>
      <c r="N47" s="29">
        <f>all!N317</f>
        <v>661</v>
      </c>
      <c r="O47" s="39">
        <f>all!O317</f>
        <v>0.5798245614035088</v>
      </c>
    </row>
    <row r="48" spans="1:15" x14ac:dyDescent="0.2">
      <c r="A48" s="26" t="str">
        <f>all!A318</f>
        <v>Poor</v>
      </c>
      <c r="B48" s="38">
        <f>all!B318</f>
        <v>6</v>
      </c>
      <c r="C48" s="39">
        <f>all!C318</f>
        <v>3.2432432432432434E-2</v>
      </c>
      <c r="D48" s="38">
        <f>all!D318</f>
        <v>1</v>
      </c>
      <c r="E48" s="39">
        <f>all!E318</f>
        <v>9.0909090909090912E-2</v>
      </c>
      <c r="F48" s="38">
        <f>all!F318</f>
        <v>0</v>
      </c>
      <c r="G48" s="39">
        <f>all!G318</f>
        <v>0</v>
      </c>
      <c r="H48" s="38">
        <f>all!H318</f>
        <v>28</v>
      </c>
      <c r="I48" s="39">
        <f>all!I318</f>
        <v>7.5471698113207544E-2</v>
      </c>
      <c r="J48" s="38">
        <f>all!J318</f>
        <v>12</v>
      </c>
      <c r="K48" s="39">
        <f>all!K318</f>
        <v>9.8360655737704916E-2</v>
      </c>
      <c r="L48" s="38">
        <f>all!L318</f>
        <v>26</v>
      </c>
      <c r="M48" s="39">
        <f>all!M318</f>
        <v>6.3725490196078427E-2</v>
      </c>
      <c r="N48" s="29">
        <f>all!N318</f>
        <v>73</v>
      </c>
      <c r="O48" s="39">
        <f>all!O318</f>
        <v>6.403508771929825E-2</v>
      </c>
    </row>
    <row r="49" spans="1:15" x14ac:dyDescent="0.2">
      <c r="A49" s="26" t="str">
        <f>all!A319</f>
        <v>Very poor</v>
      </c>
      <c r="B49" s="38">
        <f>all!B319</f>
        <v>4</v>
      </c>
      <c r="C49" s="39">
        <f>all!C319</f>
        <v>2.1621621621621623E-2</v>
      </c>
      <c r="D49" s="38">
        <f>all!D319</f>
        <v>0</v>
      </c>
      <c r="E49" s="39">
        <f>all!E319</f>
        <v>0</v>
      </c>
      <c r="F49" s="38">
        <f>all!F319</f>
        <v>0</v>
      </c>
      <c r="G49" s="39">
        <f>all!G319</f>
        <v>0</v>
      </c>
      <c r="H49" s="38">
        <f>all!H319</f>
        <v>7</v>
      </c>
      <c r="I49" s="39">
        <f>all!I319</f>
        <v>1.8867924528301886E-2</v>
      </c>
      <c r="J49" s="38">
        <f>all!J319</f>
        <v>2</v>
      </c>
      <c r="K49" s="39">
        <f>all!K319</f>
        <v>1.6393442622950821E-2</v>
      </c>
      <c r="L49" s="38">
        <f>all!L319</f>
        <v>8</v>
      </c>
      <c r="M49" s="39">
        <f>all!M319</f>
        <v>1.9607843137254902E-2</v>
      </c>
      <c r="N49" s="29">
        <f>all!N319</f>
        <v>21</v>
      </c>
      <c r="O49" s="39">
        <f>all!O319</f>
        <v>1.8421052631578946E-2</v>
      </c>
    </row>
    <row r="50" spans="1:15" s="14" customFormat="1" x14ac:dyDescent="0.2">
      <c r="A50" s="108" t="str">
        <f>all!A320</f>
        <v>Total</v>
      </c>
      <c r="B50" s="30">
        <f t="shared" ref="B50:O50" si="5">SUM(B46:B49)</f>
        <v>185</v>
      </c>
      <c r="C50" s="41">
        <f t="shared" si="5"/>
        <v>1</v>
      </c>
      <c r="D50" s="30">
        <f t="shared" si="5"/>
        <v>11</v>
      </c>
      <c r="E50" s="41">
        <f t="shared" si="5"/>
        <v>1</v>
      </c>
      <c r="F50" s="30">
        <f t="shared" si="5"/>
        <v>43</v>
      </c>
      <c r="G50" s="41">
        <f t="shared" si="5"/>
        <v>1</v>
      </c>
      <c r="H50" s="30">
        <f t="shared" si="5"/>
        <v>371</v>
      </c>
      <c r="I50" s="41">
        <f t="shared" si="5"/>
        <v>1</v>
      </c>
      <c r="J50" s="30">
        <f t="shared" si="5"/>
        <v>122</v>
      </c>
      <c r="K50" s="41">
        <f t="shared" si="5"/>
        <v>1</v>
      </c>
      <c r="L50" s="30">
        <f t="shared" si="5"/>
        <v>408</v>
      </c>
      <c r="M50" s="41">
        <f t="shared" si="5"/>
        <v>1</v>
      </c>
      <c r="N50" s="30">
        <f t="shared" si="5"/>
        <v>1140</v>
      </c>
      <c r="O50" s="41">
        <f t="shared" si="5"/>
        <v>0.99999999999999989</v>
      </c>
    </row>
    <row r="51" spans="1:15" x14ac:dyDescent="0.2">
      <c r="A51" s="28" t="str">
        <f>all!A321</f>
        <v>Percent of Good or Very Good</v>
      </c>
      <c r="B51" s="25"/>
      <c r="C51" s="34">
        <f>SUM(C46:C47)</f>
        <v>0.94594594594594594</v>
      </c>
      <c r="D51" s="25"/>
      <c r="E51" s="34">
        <f>SUM(E46:E47)</f>
        <v>0.90909090909090906</v>
      </c>
      <c r="F51" s="25"/>
      <c r="G51" s="34">
        <f>SUM(G46:G47)</f>
        <v>1</v>
      </c>
      <c r="H51" s="25"/>
      <c r="I51" s="34">
        <f>SUM(I46:I47)</f>
        <v>0.90566037735849059</v>
      </c>
      <c r="J51" s="25"/>
      <c r="K51" s="34">
        <f>SUM(K46:K47)</f>
        <v>0.88524590163934436</v>
      </c>
      <c r="L51" s="25"/>
      <c r="M51" s="34">
        <f>SUM(M46:M47)</f>
        <v>0.91666666666666663</v>
      </c>
      <c r="N51" s="27"/>
      <c r="O51" s="34">
        <f>SUM(O46:O47)</f>
        <v>0.91754385964912277</v>
      </c>
    </row>
    <row r="52" spans="1:15" x14ac:dyDescent="0.2">
      <c r="H52" s="10"/>
    </row>
    <row r="53" spans="1:15" ht="12.75" customHeight="1" x14ac:dyDescent="0.2">
      <c r="A53" s="28" t="str">
        <f>all!A323</f>
        <v>Job placement</v>
      </c>
      <c r="B53" s="154" t="s">
        <v>128</v>
      </c>
      <c r="C53" s="154"/>
      <c r="D53" s="154" t="s">
        <v>99</v>
      </c>
      <c r="E53" s="154"/>
      <c r="F53" s="155" t="s">
        <v>136</v>
      </c>
      <c r="G53" s="155"/>
      <c r="H53" s="154" t="s">
        <v>101</v>
      </c>
      <c r="I53" s="154"/>
      <c r="J53" s="154" t="s">
        <v>129</v>
      </c>
      <c r="K53" s="154"/>
      <c r="L53" s="154" t="s">
        <v>126</v>
      </c>
      <c r="M53" s="154"/>
      <c r="N53" s="182" t="s">
        <v>1</v>
      </c>
      <c r="O53" s="182"/>
    </row>
    <row r="54" spans="1:15" x14ac:dyDescent="0.2">
      <c r="A54" s="26" t="str">
        <f>all!A324</f>
        <v>Very good</v>
      </c>
      <c r="B54" s="38">
        <f>all!B324</f>
        <v>18</v>
      </c>
      <c r="C54" s="39">
        <f>all!C324</f>
        <v>0.23376623376623376</v>
      </c>
      <c r="D54" s="38">
        <f>all!D324</f>
        <v>4</v>
      </c>
      <c r="E54" s="39">
        <f>all!E324</f>
        <v>0.5714285714285714</v>
      </c>
      <c r="F54" s="38">
        <f>all!F324</f>
        <v>8</v>
      </c>
      <c r="G54" s="39">
        <f>all!G324</f>
        <v>0.22222222222222221</v>
      </c>
      <c r="H54" s="38">
        <f>all!H324</f>
        <v>43</v>
      </c>
      <c r="I54" s="39">
        <f>all!I324</f>
        <v>0.29655172413793102</v>
      </c>
      <c r="J54" s="38">
        <f>all!J324</f>
        <v>16</v>
      </c>
      <c r="K54" s="39">
        <f>all!K324</f>
        <v>0.26229508196721313</v>
      </c>
      <c r="L54" s="38">
        <f>all!L324</f>
        <v>43</v>
      </c>
      <c r="M54" s="39">
        <f>all!M324</f>
        <v>0.26708074534161491</v>
      </c>
      <c r="N54" s="29">
        <f>all!N324</f>
        <v>132</v>
      </c>
      <c r="O54" s="39">
        <f>all!O324</f>
        <v>0.27104722792607805</v>
      </c>
    </row>
    <row r="55" spans="1:15" x14ac:dyDescent="0.2">
      <c r="A55" s="26" t="str">
        <f>all!A325</f>
        <v>Good</v>
      </c>
      <c r="B55" s="38">
        <f>all!B325</f>
        <v>46</v>
      </c>
      <c r="C55" s="39">
        <f>all!C325</f>
        <v>0.59740259740259738</v>
      </c>
      <c r="D55" s="38">
        <f>all!D325</f>
        <v>2</v>
      </c>
      <c r="E55" s="39">
        <f>all!E325</f>
        <v>0.2857142857142857</v>
      </c>
      <c r="F55" s="38">
        <f>all!F325</f>
        <v>20</v>
      </c>
      <c r="G55" s="39">
        <f>all!G325</f>
        <v>0.55555555555555558</v>
      </c>
      <c r="H55" s="38">
        <f>all!H325</f>
        <v>81</v>
      </c>
      <c r="I55" s="39">
        <f>all!I325</f>
        <v>0.55862068965517242</v>
      </c>
      <c r="J55" s="38">
        <f>all!J325</f>
        <v>29</v>
      </c>
      <c r="K55" s="39">
        <f>all!K325</f>
        <v>0.47540983606557374</v>
      </c>
      <c r="L55" s="38">
        <f>all!L325</f>
        <v>80</v>
      </c>
      <c r="M55" s="39">
        <f>all!M325</f>
        <v>0.49689440993788819</v>
      </c>
      <c r="N55" s="29">
        <f>all!N325</f>
        <v>258</v>
      </c>
      <c r="O55" s="39">
        <f>all!O325</f>
        <v>0.52977412731006157</v>
      </c>
    </row>
    <row r="56" spans="1:15" x14ac:dyDescent="0.2">
      <c r="A56" s="26" t="str">
        <f>all!A326</f>
        <v>Poor</v>
      </c>
      <c r="B56" s="38">
        <f>all!B326</f>
        <v>4</v>
      </c>
      <c r="C56" s="39">
        <f>all!C326</f>
        <v>5.1948051948051951E-2</v>
      </c>
      <c r="D56" s="38">
        <f>all!D326</f>
        <v>1</v>
      </c>
      <c r="E56" s="39">
        <f>all!E326</f>
        <v>0.14285714285714285</v>
      </c>
      <c r="F56" s="38">
        <f>all!F326</f>
        <v>3</v>
      </c>
      <c r="G56" s="39">
        <f>all!G326</f>
        <v>8.3333333333333329E-2</v>
      </c>
      <c r="H56" s="38">
        <f>all!H326</f>
        <v>16</v>
      </c>
      <c r="I56" s="39">
        <f>all!I326</f>
        <v>0.1103448275862069</v>
      </c>
      <c r="J56" s="38">
        <f>all!J326</f>
        <v>8</v>
      </c>
      <c r="K56" s="39">
        <f>all!K326</f>
        <v>0.13114754098360656</v>
      </c>
      <c r="L56" s="38">
        <f>all!L326</f>
        <v>28</v>
      </c>
      <c r="M56" s="39">
        <f>all!M326</f>
        <v>0.17391304347826086</v>
      </c>
      <c r="N56" s="29">
        <f>all!N326</f>
        <v>60</v>
      </c>
      <c r="O56" s="39">
        <f>all!O326</f>
        <v>0.12320328542094455</v>
      </c>
    </row>
    <row r="57" spans="1:15" x14ac:dyDescent="0.2">
      <c r="A57" s="26" t="str">
        <f>all!A327</f>
        <v>Very poor</v>
      </c>
      <c r="B57" s="38">
        <f>all!B327</f>
        <v>9</v>
      </c>
      <c r="C57" s="39">
        <f>all!C327</f>
        <v>0.11688311688311688</v>
      </c>
      <c r="D57" s="38">
        <f>all!D327</f>
        <v>0</v>
      </c>
      <c r="E57" s="39">
        <f>all!E327</f>
        <v>0</v>
      </c>
      <c r="F57" s="38">
        <f>all!F327</f>
        <v>5</v>
      </c>
      <c r="G57" s="39">
        <f>all!G327</f>
        <v>0.1388888888888889</v>
      </c>
      <c r="H57" s="38">
        <f>all!H327</f>
        <v>5</v>
      </c>
      <c r="I57" s="39">
        <f>all!I327</f>
        <v>3.4482758620689655E-2</v>
      </c>
      <c r="J57" s="38">
        <f>all!J327</f>
        <v>8</v>
      </c>
      <c r="K57" s="39">
        <f>all!K327</f>
        <v>0.13114754098360656</v>
      </c>
      <c r="L57" s="38">
        <f>all!L327</f>
        <v>10</v>
      </c>
      <c r="M57" s="39">
        <f>all!M327</f>
        <v>6.2111801242236024E-2</v>
      </c>
      <c r="N57" s="29">
        <f>all!N327</f>
        <v>37</v>
      </c>
      <c r="O57" s="39">
        <f>all!O327</f>
        <v>7.5975359342915813E-2</v>
      </c>
    </row>
    <row r="58" spans="1:15" s="14" customFormat="1" x14ac:dyDescent="0.2">
      <c r="A58" s="108" t="str">
        <f>all!A328</f>
        <v>Total</v>
      </c>
      <c r="B58" s="30">
        <f t="shared" ref="B58:O58" si="6">SUM(B54:B57)</f>
        <v>77</v>
      </c>
      <c r="C58" s="41">
        <f t="shared" si="6"/>
        <v>1</v>
      </c>
      <c r="D58" s="30">
        <f t="shared" si="6"/>
        <v>7</v>
      </c>
      <c r="E58" s="41">
        <f t="shared" si="6"/>
        <v>1</v>
      </c>
      <c r="F58" s="30">
        <f t="shared" si="6"/>
        <v>36</v>
      </c>
      <c r="G58" s="41">
        <f t="shared" si="6"/>
        <v>1</v>
      </c>
      <c r="H58" s="30">
        <f t="shared" si="6"/>
        <v>145</v>
      </c>
      <c r="I58" s="41">
        <f t="shared" si="6"/>
        <v>0.99999999999999989</v>
      </c>
      <c r="J58" s="30">
        <f t="shared" si="6"/>
        <v>61</v>
      </c>
      <c r="K58" s="41">
        <f t="shared" si="6"/>
        <v>1</v>
      </c>
      <c r="L58" s="30">
        <f t="shared" si="6"/>
        <v>161</v>
      </c>
      <c r="M58" s="41">
        <f t="shared" si="6"/>
        <v>1</v>
      </c>
      <c r="N58" s="30">
        <f t="shared" si="6"/>
        <v>487</v>
      </c>
      <c r="O58" s="41">
        <f t="shared" si="6"/>
        <v>1</v>
      </c>
    </row>
    <row r="59" spans="1:15" x14ac:dyDescent="0.2">
      <c r="A59" s="28" t="str">
        <f>all!A329</f>
        <v>Percent of Good or Very Good</v>
      </c>
      <c r="B59" s="25"/>
      <c r="C59" s="34">
        <f>SUM(C54:C55)</f>
        <v>0.83116883116883111</v>
      </c>
      <c r="D59" s="25"/>
      <c r="E59" s="34">
        <f>SUM(E54:E55)</f>
        <v>0.8571428571428571</v>
      </c>
      <c r="F59" s="25"/>
      <c r="G59" s="34">
        <f>SUM(G54:G55)</f>
        <v>0.77777777777777779</v>
      </c>
      <c r="H59" s="25"/>
      <c r="I59" s="34">
        <f>SUM(I54:I55)</f>
        <v>0.85517241379310338</v>
      </c>
      <c r="J59" s="25"/>
      <c r="K59" s="34">
        <f>SUM(K54:K55)</f>
        <v>0.73770491803278682</v>
      </c>
      <c r="L59" s="25"/>
      <c r="M59" s="34">
        <f>SUM(M54:M55)</f>
        <v>0.7639751552795031</v>
      </c>
      <c r="N59" s="27"/>
      <c r="O59" s="34">
        <f>SUM(O54:O55)</f>
        <v>0.80082135523613962</v>
      </c>
    </row>
    <row r="60" spans="1:15" x14ac:dyDescent="0.2">
      <c r="A60" s="19"/>
      <c r="B60" s="4"/>
      <c r="D60" s="1"/>
      <c r="H60" s="10"/>
    </row>
    <row r="61" spans="1:15" ht="12.75" customHeight="1" x14ac:dyDescent="0.2">
      <c r="A61" s="28" t="str">
        <f>all!A331</f>
        <v>Special services</v>
      </c>
      <c r="B61" s="154" t="s">
        <v>128</v>
      </c>
      <c r="C61" s="154"/>
      <c r="D61" s="154" t="s">
        <v>99</v>
      </c>
      <c r="E61" s="154"/>
      <c r="F61" s="155" t="s">
        <v>136</v>
      </c>
      <c r="G61" s="155"/>
      <c r="H61" s="154" t="s">
        <v>101</v>
      </c>
      <c r="I61" s="154"/>
      <c r="J61" s="154" t="s">
        <v>129</v>
      </c>
      <c r="K61" s="154"/>
      <c r="L61" s="154" t="s">
        <v>126</v>
      </c>
      <c r="M61" s="154"/>
      <c r="N61" s="182" t="s">
        <v>1</v>
      </c>
      <c r="O61" s="182"/>
    </row>
    <row r="62" spans="1:15" x14ac:dyDescent="0.2">
      <c r="A62" s="26" t="str">
        <f>all!A332</f>
        <v>Very good</v>
      </c>
      <c r="B62" s="38">
        <f>all!B332</f>
        <v>36</v>
      </c>
      <c r="C62" s="39">
        <f>all!C332</f>
        <v>0.375</v>
      </c>
      <c r="D62" s="38">
        <f>all!D332</f>
        <v>3</v>
      </c>
      <c r="E62" s="39">
        <f>all!E332</f>
        <v>0.3</v>
      </c>
      <c r="F62" s="38">
        <f>all!F332</f>
        <v>16</v>
      </c>
      <c r="G62" s="39">
        <f>all!G332</f>
        <v>0.45714285714285713</v>
      </c>
      <c r="H62" s="38">
        <f>all!H332</f>
        <v>77</v>
      </c>
      <c r="I62" s="39">
        <f>all!I332</f>
        <v>0.44</v>
      </c>
      <c r="J62" s="38">
        <f>all!J332</f>
        <v>19</v>
      </c>
      <c r="K62" s="39">
        <f>all!K332</f>
        <v>0.31147540983606559</v>
      </c>
      <c r="L62" s="38">
        <f>all!L332</f>
        <v>73</v>
      </c>
      <c r="M62" s="39">
        <f>all!M332</f>
        <v>0.37628865979381443</v>
      </c>
      <c r="N62" s="29">
        <f>all!N332</f>
        <v>224</v>
      </c>
      <c r="O62" s="39">
        <f>all!O332</f>
        <v>0.39229422066549913</v>
      </c>
    </row>
    <row r="63" spans="1:15" x14ac:dyDescent="0.2">
      <c r="A63" s="26" t="str">
        <f>all!A333</f>
        <v>Good</v>
      </c>
      <c r="B63" s="38">
        <f>all!B333</f>
        <v>51</v>
      </c>
      <c r="C63" s="39">
        <f>all!C333</f>
        <v>0.53125</v>
      </c>
      <c r="D63" s="38">
        <f>all!D333</f>
        <v>5</v>
      </c>
      <c r="E63" s="39">
        <f>all!E333</f>
        <v>0.5</v>
      </c>
      <c r="F63" s="38">
        <f>all!F333</f>
        <v>17</v>
      </c>
      <c r="G63" s="39">
        <f>all!G333</f>
        <v>0.48571428571428571</v>
      </c>
      <c r="H63" s="38">
        <f>all!H333</f>
        <v>82</v>
      </c>
      <c r="I63" s="39">
        <f>all!I333</f>
        <v>0.46857142857142858</v>
      </c>
      <c r="J63" s="38">
        <f>all!J333</f>
        <v>33</v>
      </c>
      <c r="K63" s="39">
        <f>all!K333</f>
        <v>0.54098360655737709</v>
      </c>
      <c r="L63" s="38">
        <f>all!L333</f>
        <v>100</v>
      </c>
      <c r="M63" s="39">
        <f>all!M333</f>
        <v>0.51546391752577314</v>
      </c>
      <c r="N63" s="29">
        <f>all!N333</f>
        <v>288</v>
      </c>
      <c r="O63" s="39">
        <f>all!O333</f>
        <v>0.50437828371278459</v>
      </c>
    </row>
    <row r="64" spans="1:15" x14ac:dyDescent="0.2">
      <c r="A64" s="26" t="str">
        <f>all!A334</f>
        <v>Poor</v>
      </c>
      <c r="B64" s="38">
        <f>all!B334</f>
        <v>8</v>
      </c>
      <c r="C64" s="39">
        <f>all!C334</f>
        <v>8.3333333333333329E-2</v>
      </c>
      <c r="D64" s="38">
        <f>all!D334</f>
        <v>1</v>
      </c>
      <c r="E64" s="39">
        <f>all!E334</f>
        <v>0.1</v>
      </c>
      <c r="F64" s="38">
        <f>all!F334</f>
        <v>1</v>
      </c>
      <c r="G64" s="39">
        <f>all!G334</f>
        <v>2.8571428571428571E-2</v>
      </c>
      <c r="H64" s="38">
        <f>all!H334</f>
        <v>7</v>
      </c>
      <c r="I64" s="39">
        <f>all!I334</f>
        <v>0.04</v>
      </c>
      <c r="J64" s="38">
        <f>all!J334</f>
        <v>6</v>
      </c>
      <c r="K64" s="39">
        <f>all!K334</f>
        <v>9.8360655737704916E-2</v>
      </c>
      <c r="L64" s="38">
        <f>all!L334</f>
        <v>14</v>
      </c>
      <c r="M64" s="39">
        <f>all!M334</f>
        <v>7.2164948453608241E-2</v>
      </c>
      <c r="N64" s="29">
        <f>all!N334</f>
        <v>37</v>
      </c>
      <c r="O64" s="39">
        <f>all!O334</f>
        <v>6.4798598949211902E-2</v>
      </c>
    </row>
    <row r="65" spans="1:15" x14ac:dyDescent="0.2">
      <c r="A65" s="26" t="str">
        <f>all!A335</f>
        <v>Very poor</v>
      </c>
      <c r="B65" s="38">
        <f>all!B335</f>
        <v>1</v>
      </c>
      <c r="C65" s="39">
        <f>all!C335</f>
        <v>1.0416666666666666E-2</v>
      </c>
      <c r="D65" s="38">
        <f>all!D335</f>
        <v>1</v>
      </c>
      <c r="E65" s="39">
        <f>all!E335</f>
        <v>0.1</v>
      </c>
      <c r="F65" s="38">
        <f>all!F335</f>
        <v>1</v>
      </c>
      <c r="G65" s="39">
        <f>all!G335</f>
        <v>2.8571428571428571E-2</v>
      </c>
      <c r="H65" s="38">
        <f>all!H335</f>
        <v>9</v>
      </c>
      <c r="I65" s="39">
        <f>all!I335</f>
        <v>5.1428571428571428E-2</v>
      </c>
      <c r="J65" s="38">
        <f>all!J335</f>
        <v>3</v>
      </c>
      <c r="K65" s="39">
        <f>all!K335</f>
        <v>4.9180327868852458E-2</v>
      </c>
      <c r="L65" s="38">
        <f>all!L335</f>
        <v>7</v>
      </c>
      <c r="M65" s="39">
        <f>all!M335</f>
        <v>3.608247422680412E-2</v>
      </c>
      <c r="N65" s="29">
        <f>all!N335</f>
        <v>22</v>
      </c>
      <c r="O65" s="39">
        <f>all!O335</f>
        <v>3.8528896672504379E-2</v>
      </c>
    </row>
    <row r="66" spans="1:15" s="14" customFormat="1" x14ac:dyDescent="0.2">
      <c r="A66" s="108" t="str">
        <f>all!A336</f>
        <v>Total</v>
      </c>
      <c r="B66" s="30">
        <f t="shared" ref="B66:O66" si="7">SUM(B62:B65)</f>
        <v>96</v>
      </c>
      <c r="C66" s="41">
        <f t="shared" si="7"/>
        <v>1</v>
      </c>
      <c r="D66" s="30">
        <f t="shared" si="7"/>
        <v>10</v>
      </c>
      <c r="E66" s="41">
        <f t="shared" si="7"/>
        <v>1</v>
      </c>
      <c r="F66" s="30">
        <f t="shared" si="7"/>
        <v>35</v>
      </c>
      <c r="G66" s="41">
        <f t="shared" si="7"/>
        <v>1</v>
      </c>
      <c r="H66" s="30">
        <f t="shared" si="7"/>
        <v>175</v>
      </c>
      <c r="I66" s="41">
        <f t="shared" si="7"/>
        <v>1</v>
      </c>
      <c r="J66" s="30">
        <f t="shared" si="7"/>
        <v>61</v>
      </c>
      <c r="K66" s="41">
        <f t="shared" si="7"/>
        <v>1</v>
      </c>
      <c r="L66" s="30">
        <f t="shared" si="7"/>
        <v>194</v>
      </c>
      <c r="M66" s="41">
        <f t="shared" si="7"/>
        <v>0.99999999999999989</v>
      </c>
      <c r="N66" s="30">
        <f t="shared" si="7"/>
        <v>571</v>
      </c>
      <c r="O66" s="41">
        <f t="shared" si="7"/>
        <v>1</v>
      </c>
    </row>
    <row r="67" spans="1:15" x14ac:dyDescent="0.2">
      <c r="A67" s="28" t="str">
        <f>all!A337</f>
        <v>Percent of Good or Very Good</v>
      </c>
      <c r="B67" s="25"/>
      <c r="C67" s="34">
        <f>SUM(C62:C63)</f>
        <v>0.90625</v>
      </c>
      <c r="D67" s="25"/>
      <c r="E67" s="34">
        <f>SUM(E62:E63)</f>
        <v>0.8</v>
      </c>
      <c r="F67" s="25"/>
      <c r="G67" s="34">
        <f>SUM(G62:G63)</f>
        <v>0.94285714285714284</v>
      </c>
      <c r="H67" s="25"/>
      <c r="I67" s="34">
        <f>SUM(I62:I63)</f>
        <v>0.90857142857142859</v>
      </c>
      <c r="J67" s="25"/>
      <c r="K67" s="34">
        <f>SUM(K62:K63)</f>
        <v>0.85245901639344268</v>
      </c>
      <c r="L67" s="25"/>
      <c r="M67" s="34">
        <f>SUM(M62:M63)</f>
        <v>0.89175257731958757</v>
      </c>
      <c r="N67" s="27"/>
      <c r="O67" s="34">
        <f>SUM(O62:O63)</f>
        <v>0.89667250437828372</v>
      </c>
    </row>
    <row r="68" spans="1:15" x14ac:dyDescent="0.2">
      <c r="A68" s="19"/>
      <c r="B68" s="4"/>
      <c r="D68" s="1"/>
      <c r="H68" s="10"/>
    </row>
    <row r="69" spans="1:15" ht="12.75" customHeight="1" x14ac:dyDescent="0.2">
      <c r="A69" s="28" t="str">
        <f>all!A339</f>
        <v>Library</v>
      </c>
      <c r="B69" s="154" t="s">
        <v>128</v>
      </c>
      <c r="C69" s="154"/>
      <c r="D69" s="154" t="s">
        <v>99</v>
      </c>
      <c r="E69" s="154"/>
      <c r="F69" s="155" t="s">
        <v>136</v>
      </c>
      <c r="G69" s="155"/>
      <c r="H69" s="154" t="s">
        <v>101</v>
      </c>
      <c r="I69" s="154"/>
      <c r="J69" s="154" t="s">
        <v>129</v>
      </c>
      <c r="K69" s="154"/>
      <c r="L69" s="154" t="s">
        <v>126</v>
      </c>
      <c r="M69" s="154"/>
      <c r="N69" s="182" t="s">
        <v>1</v>
      </c>
      <c r="O69" s="182"/>
    </row>
    <row r="70" spans="1:15" x14ac:dyDescent="0.2">
      <c r="A70" s="26" t="str">
        <f>all!A340</f>
        <v>Very good</v>
      </c>
      <c r="B70" s="38">
        <f>all!B340</f>
        <v>118</v>
      </c>
      <c r="C70" s="39">
        <f>all!C340</f>
        <v>0.41403508771929826</v>
      </c>
      <c r="D70" s="38">
        <f>all!D340</f>
        <v>12</v>
      </c>
      <c r="E70" s="39">
        <f>all!E340</f>
        <v>0.52173913043478259</v>
      </c>
      <c r="F70" s="38">
        <f>all!F340</f>
        <v>37</v>
      </c>
      <c r="G70" s="39">
        <f>all!G340</f>
        <v>0.45121951219512196</v>
      </c>
      <c r="H70" s="38">
        <f>all!H340</f>
        <v>314</v>
      </c>
      <c r="I70" s="39">
        <f>all!I340</f>
        <v>0.4750378214826021</v>
      </c>
      <c r="J70" s="38">
        <f>all!J340</f>
        <v>75</v>
      </c>
      <c r="K70" s="39">
        <f>all!K340</f>
        <v>0.35377358490566035</v>
      </c>
      <c r="L70" s="38">
        <f>all!L340</f>
        <v>312</v>
      </c>
      <c r="M70" s="39">
        <f>all!M340</f>
        <v>0.44892086330935249</v>
      </c>
      <c r="N70" s="29">
        <f>all!N340</f>
        <v>868</v>
      </c>
      <c r="O70" s="39">
        <f>all!O340</f>
        <v>0.44330949948927478</v>
      </c>
    </row>
    <row r="71" spans="1:15" x14ac:dyDescent="0.2">
      <c r="A71" s="26" t="str">
        <f>all!A341</f>
        <v>Good</v>
      </c>
      <c r="B71" s="38">
        <f>all!B341</f>
        <v>140</v>
      </c>
      <c r="C71" s="39">
        <f>all!C341</f>
        <v>0.49122807017543857</v>
      </c>
      <c r="D71" s="38">
        <f>all!D341</f>
        <v>10</v>
      </c>
      <c r="E71" s="39">
        <f>all!E341</f>
        <v>0.43478260869565216</v>
      </c>
      <c r="F71" s="38">
        <f>all!F341</f>
        <v>43</v>
      </c>
      <c r="G71" s="39">
        <f>all!G341</f>
        <v>0.52439024390243905</v>
      </c>
      <c r="H71" s="38">
        <f>all!H341</f>
        <v>313</v>
      </c>
      <c r="I71" s="39">
        <f>all!I341</f>
        <v>0.47352496217851742</v>
      </c>
      <c r="J71" s="38">
        <f>all!J341</f>
        <v>131</v>
      </c>
      <c r="K71" s="39">
        <f>all!K341</f>
        <v>0.61792452830188682</v>
      </c>
      <c r="L71" s="38">
        <f>all!L341</f>
        <v>354</v>
      </c>
      <c r="M71" s="39">
        <f>all!M341</f>
        <v>0.50935251798561154</v>
      </c>
      <c r="N71" s="29">
        <f>all!N341</f>
        <v>991</v>
      </c>
      <c r="O71" s="39">
        <f>all!O341</f>
        <v>0.50612870275791622</v>
      </c>
    </row>
    <row r="72" spans="1:15" x14ac:dyDescent="0.2">
      <c r="A72" s="26" t="str">
        <f>all!A342</f>
        <v>Poor</v>
      </c>
      <c r="B72" s="38">
        <f>all!B342</f>
        <v>22</v>
      </c>
      <c r="C72" s="39">
        <f>all!C342</f>
        <v>7.7192982456140355E-2</v>
      </c>
      <c r="D72" s="38">
        <f>all!D342</f>
        <v>1</v>
      </c>
      <c r="E72" s="39">
        <f>all!E342</f>
        <v>4.3478260869565216E-2</v>
      </c>
      <c r="F72" s="38">
        <f>all!F342</f>
        <v>1</v>
      </c>
      <c r="G72" s="39">
        <f>all!G342</f>
        <v>1.2195121951219513E-2</v>
      </c>
      <c r="H72" s="38">
        <f>all!H342</f>
        <v>27</v>
      </c>
      <c r="I72" s="39">
        <f>all!I342</f>
        <v>4.084720121028744E-2</v>
      </c>
      <c r="J72" s="38">
        <f>all!J342</f>
        <v>6</v>
      </c>
      <c r="K72" s="39">
        <f>all!K342</f>
        <v>2.8301886792452831E-2</v>
      </c>
      <c r="L72" s="38">
        <f>all!L342</f>
        <v>24</v>
      </c>
      <c r="M72" s="39">
        <f>all!M342</f>
        <v>3.4532374100719423E-2</v>
      </c>
      <c r="N72" s="29">
        <f>all!N342</f>
        <v>81</v>
      </c>
      <c r="O72" s="39">
        <f>all!O342</f>
        <v>4.1368743615934629E-2</v>
      </c>
    </row>
    <row r="73" spans="1:15" x14ac:dyDescent="0.2">
      <c r="A73" s="26" t="str">
        <f>all!A343</f>
        <v>Very poor</v>
      </c>
      <c r="B73" s="38">
        <f>all!B343</f>
        <v>5</v>
      </c>
      <c r="C73" s="39">
        <f>all!C343</f>
        <v>1.7543859649122806E-2</v>
      </c>
      <c r="D73" s="38">
        <f>all!D343</f>
        <v>0</v>
      </c>
      <c r="E73" s="39">
        <f>all!E343</f>
        <v>0</v>
      </c>
      <c r="F73" s="38">
        <f>all!F343</f>
        <v>1</v>
      </c>
      <c r="G73" s="39">
        <f>all!G343</f>
        <v>1.2195121951219513E-2</v>
      </c>
      <c r="H73" s="38">
        <f>all!H343</f>
        <v>7</v>
      </c>
      <c r="I73" s="39">
        <f>all!I343</f>
        <v>1.059001512859304E-2</v>
      </c>
      <c r="J73" s="38">
        <f>all!J343</f>
        <v>0</v>
      </c>
      <c r="K73" s="39">
        <f>all!K343</f>
        <v>0</v>
      </c>
      <c r="L73" s="38">
        <f>all!L343</f>
        <v>5</v>
      </c>
      <c r="M73" s="39">
        <f>all!M343</f>
        <v>7.1942446043165471E-3</v>
      </c>
      <c r="N73" s="29">
        <f>all!N343</f>
        <v>18</v>
      </c>
      <c r="O73" s="39">
        <f>all!O343</f>
        <v>9.1930541368743617E-3</v>
      </c>
    </row>
    <row r="74" spans="1:15" s="14" customFormat="1" x14ac:dyDescent="0.2">
      <c r="A74" s="108" t="str">
        <f>all!A344</f>
        <v>Total</v>
      </c>
      <c r="B74" s="30">
        <f t="shared" ref="B74:O74" si="8">SUM(B70:B73)</f>
        <v>285</v>
      </c>
      <c r="C74" s="41">
        <f t="shared" si="8"/>
        <v>1</v>
      </c>
      <c r="D74" s="30">
        <f t="shared" si="8"/>
        <v>23</v>
      </c>
      <c r="E74" s="41">
        <f t="shared" si="8"/>
        <v>1</v>
      </c>
      <c r="F74" s="30">
        <f t="shared" si="8"/>
        <v>82</v>
      </c>
      <c r="G74" s="41">
        <f t="shared" si="8"/>
        <v>1</v>
      </c>
      <c r="H74" s="30">
        <f t="shared" si="8"/>
        <v>661</v>
      </c>
      <c r="I74" s="41">
        <f t="shared" si="8"/>
        <v>0.99999999999999989</v>
      </c>
      <c r="J74" s="30">
        <f t="shared" si="8"/>
        <v>212</v>
      </c>
      <c r="K74" s="41">
        <f t="shared" si="8"/>
        <v>1</v>
      </c>
      <c r="L74" s="30">
        <f t="shared" si="8"/>
        <v>695</v>
      </c>
      <c r="M74" s="41">
        <f t="shared" si="8"/>
        <v>0.99999999999999989</v>
      </c>
      <c r="N74" s="30">
        <f t="shared" si="8"/>
        <v>1958</v>
      </c>
      <c r="O74" s="41">
        <f t="shared" si="8"/>
        <v>1</v>
      </c>
    </row>
    <row r="75" spans="1:15" x14ac:dyDescent="0.2">
      <c r="A75" s="28" t="str">
        <f>all!A345</f>
        <v>Percent of Good or Very Good</v>
      </c>
      <c r="B75" s="25"/>
      <c r="C75" s="34">
        <f>SUM(C70:C71)</f>
        <v>0.90526315789473677</v>
      </c>
      <c r="D75" s="25"/>
      <c r="E75" s="34">
        <f>SUM(E70:E71)</f>
        <v>0.95652173913043481</v>
      </c>
      <c r="F75" s="25"/>
      <c r="G75" s="34">
        <f>SUM(G70:G71)</f>
        <v>0.97560975609756095</v>
      </c>
      <c r="H75" s="25"/>
      <c r="I75" s="34">
        <f>SUM(I70:I71)</f>
        <v>0.94856278366111946</v>
      </c>
      <c r="J75" s="25"/>
      <c r="K75" s="34">
        <f>SUM(K70:K71)</f>
        <v>0.97169811320754718</v>
      </c>
      <c r="L75" s="25"/>
      <c r="M75" s="34">
        <f>SUM(M70:M71)</f>
        <v>0.95827338129496398</v>
      </c>
      <c r="N75" s="27"/>
      <c r="O75" s="34">
        <f>SUM(O70:O71)</f>
        <v>0.949438202247191</v>
      </c>
    </row>
    <row r="76" spans="1:15" x14ac:dyDescent="0.2">
      <c r="A76" s="19"/>
      <c r="B76" s="4"/>
      <c r="D76" s="1"/>
      <c r="H76" s="10"/>
    </row>
    <row r="77" spans="1:15" ht="12.75" customHeight="1" x14ac:dyDescent="0.2">
      <c r="A77" s="28" t="str">
        <f>all!A347</f>
        <v>Tutoring services</v>
      </c>
      <c r="B77" s="154" t="s">
        <v>128</v>
      </c>
      <c r="C77" s="154"/>
      <c r="D77" s="154" t="s">
        <v>99</v>
      </c>
      <c r="E77" s="154"/>
      <c r="F77" s="155" t="s">
        <v>136</v>
      </c>
      <c r="G77" s="155"/>
      <c r="H77" s="154" t="s">
        <v>101</v>
      </c>
      <c r="I77" s="154"/>
      <c r="J77" s="154" t="s">
        <v>129</v>
      </c>
      <c r="K77" s="154"/>
      <c r="L77" s="154" t="s">
        <v>126</v>
      </c>
      <c r="M77" s="154"/>
      <c r="N77" s="182" t="s">
        <v>1</v>
      </c>
      <c r="O77" s="182"/>
    </row>
    <row r="78" spans="1:15" x14ac:dyDescent="0.2">
      <c r="A78" s="26" t="str">
        <f>all!A348</f>
        <v>Very good</v>
      </c>
      <c r="B78" s="38">
        <f>all!B348</f>
        <v>79</v>
      </c>
      <c r="C78" s="39">
        <f>all!C348</f>
        <v>0.42021276595744683</v>
      </c>
      <c r="D78" s="38">
        <f>all!D348</f>
        <v>4</v>
      </c>
      <c r="E78" s="39">
        <f>all!E348</f>
        <v>0.2857142857142857</v>
      </c>
      <c r="F78" s="38">
        <f>all!F348</f>
        <v>14</v>
      </c>
      <c r="G78" s="39">
        <f>all!G348</f>
        <v>0.31111111111111112</v>
      </c>
      <c r="H78" s="38">
        <f>all!H348</f>
        <v>123</v>
      </c>
      <c r="I78" s="39">
        <f>all!I348</f>
        <v>0.3773006134969325</v>
      </c>
      <c r="J78" s="38">
        <f>all!J348</f>
        <v>38</v>
      </c>
      <c r="K78" s="39">
        <f>all!K348</f>
        <v>0.32758620689655171</v>
      </c>
      <c r="L78" s="38">
        <f>all!L348</f>
        <v>134</v>
      </c>
      <c r="M78" s="39">
        <f>all!M348</f>
        <v>0.3861671469740634</v>
      </c>
      <c r="N78" s="29">
        <f>all!N348</f>
        <v>392</v>
      </c>
      <c r="O78" s="39">
        <f>all!O348</f>
        <v>0.3783783783783784</v>
      </c>
    </row>
    <row r="79" spans="1:15" x14ac:dyDescent="0.2">
      <c r="A79" s="26" t="str">
        <f>all!A349</f>
        <v>Good</v>
      </c>
      <c r="B79" s="38">
        <f>all!B349</f>
        <v>93</v>
      </c>
      <c r="C79" s="39">
        <f>all!C349</f>
        <v>0.49468085106382981</v>
      </c>
      <c r="D79" s="38">
        <f>all!D349</f>
        <v>10</v>
      </c>
      <c r="E79" s="39">
        <f>all!E349</f>
        <v>0.7142857142857143</v>
      </c>
      <c r="F79" s="38">
        <f>all!F349</f>
        <v>26</v>
      </c>
      <c r="G79" s="39">
        <f>all!G349</f>
        <v>0.57777777777777772</v>
      </c>
      <c r="H79" s="38">
        <f>all!H349</f>
        <v>163</v>
      </c>
      <c r="I79" s="39">
        <f>all!I349</f>
        <v>0.5</v>
      </c>
      <c r="J79" s="38">
        <f>all!J349</f>
        <v>63</v>
      </c>
      <c r="K79" s="39">
        <f>all!K349</f>
        <v>0.5431034482758621</v>
      </c>
      <c r="L79" s="38">
        <f>all!L349</f>
        <v>173</v>
      </c>
      <c r="M79" s="39">
        <f>all!M349</f>
        <v>0.49855907780979825</v>
      </c>
      <c r="N79" s="29">
        <f>all!N349</f>
        <v>528</v>
      </c>
      <c r="O79" s="39">
        <f>all!O349</f>
        <v>0.50965250965250963</v>
      </c>
    </row>
    <row r="80" spans="1:15" x14ac:dyDescent="0.2">
      <c r="A80" s="26" t="str">
        <f>all!A350</f>
        <v>Poor</v>
      </c>
      <c r="B80" s="38">
        <f>all!B350</f>
        <v>11</v>
      </c>
      <c r="C80" s="39">
        <f>all!C350</f>
        <v>5.8510638297872342E-2</v>
      </c>
      <c r="D80" s="38">
        <f>all!D350</f>
        <v>0</v>
      </c>
      <c r="E80" s="39">
        <f>all!E350</f>
        <v>0</v>
      </c>
      <c r="F80" s="38">
        <f>all!F350</f>
        <v>3</v>
      </c>
      <c r="G80" s="39">
        <f>all!G350</f>
        <v>6.6666666666666666E-2</v>
      </c>
      <c r="H80" s="38">
        <f>all!H350</f>
        <v>30</v>
      </c>
      <c r="I80" s="39">
        <f>all!I350</f>
        <v>9.202453987730061E-2</v>
      </c>
      <c r="J80" s="38">
        <f>all!J350</f>
        <v>14</v>
      </c>
      <c r="K80" s="39">
        <f>all!K350</f>
        <v>0.1206896551724138</v>
      </c>
      <c r="L80" s="38">
        <f>all!L350</f>
        <v>32</v>
      </c>
      <c r="M80" s="39">
        <f>all!M350</f>
        <v>9.2219020172910657E-2</v>
      </c>
      <c r="N80" s="29">
        <f>all!N350</f>
        <v>90</v>
      </c>
      <c r="O80" s="39">
        <f>all!O350</f>
        <v>8.6872586872586879E-2</v>
      </c>
    </row>
    <row r="81" spans="1:15" x14ac:dyDescent="0.2">
      <c r="A81" s="26" t="str">
        <f>all!A351</f>
        <v>Very poor</v>
      </c>
      <c r="B81" s="38">
        <f>all!B351</f>
        <v>5</v>
      </c>
      <c r="C81" s="39">
        <f>all!C351</f>
        <v>2.6595744680851064E-2</v>
      </c>
      <c r="D81" s="38">
        <f>all!D351</f>
        <v>0</v>
      </c>
      <c r="E81" s="39">
        <f>all!E351</f>
        <v>0</v>
      </c>
      <c r="F81" s="38">
        <f>all!F351</f>
        <v>2</v>
      </c>
      <c r="G81" s="39">
        <f>all!G351</f>
        <v>4.4444444444444446E-2</v>
      </c>
      <c r="H81" s="38">
        <f>all!H351</f>
        <v>10</v>
      </c>
      <c r="I81" s="39">
        <f>all!I351</f>
        <v>3.0674846625766871E-2</v>
      </c>
      <c r="J81" s="38">
        <f>all!J351</f>
        <v>1</v>
      </c>
      <c r="K81" s="39">
        <f>all!K351</f>
        <v>8.6206896551724137E-3</v>
      </c>
      <c r="L81" s="38">
        <f>all!L351</f>
        <v>8</v>
      </c>
      <c r="M81" s="39">
        <f>all!M351</f>
        <v>2.3054755043227664E-2</v>
      </c>
      <c r="N81" s="29">
        <f>all!N351</f>
        <v>26</v>
      </c>
      <c r="O81" s="39">
        <f>all!O351</f>
        <v>2.5096525096525095E-2</v>
      </c>
    </row>
    <row r="82" spans="1:15" s="14" customFormat="1" x14ac:dyDescent="0.2">
      <c r="A82" s="108" t="str">
        <f>all!A352</f>
        <v>Total</v>
      </c>
      <c r="B82" s="30">
        <f t="shared" ref="B82:O82" si="9">SUM(B78:B81)</f>
        <v>188</v>
      </c>
      <c r="C82" s="41">
        <f t="shared" si="9"/>
        <v>1.0000000000000002</v>
      </c>
      <c r="D82" s="30">
        <f t="shared" si="9"/>
        <v>14</v>
      </c>
      <c r="E82" s="41">
        <f t="shared" si="9"/>
        <v>1</v>
      </c>
      <c r="F82" s="30">
        <f t="shared" si="9"/>
        <v>45</v>
      </c>
      <c r="G82" s="41">
        <f t="shared" si="9"/>
        <v>0.99999999999999989</v>
      </c>
      <c r="H82" s="30">
        <f t="shared" si="9"/>
        <v>326</v>
      </c>
      <c r="I82" s="41">
        <f t="shared" si="9"/>
        <v>1</v>
      </c>
      <c r="J82" s="30">
        <f t="shared" si="9"/>
        <v>116</v>
      </c>
      <c r="K82" s="41">
        <f t="shared" si="9"/>
        <v>1</v>
      </c>
      <c r="L82" s="30">
        <f t="shared" si="9"/>
        <v>347</v>
      </c>
      <c r="M82" s="41">
        <f t="shared" si="9"/>
        <v>0.99999999999999989</v>
      </c>
      <c r="N82" s="30">
        <f t="shared" si="9"/>
        <v>1036</v>
      </c>
      <c r="O82" s="41">
        <f t="shared" si="9"/>
        <v>1</v>
      </c>
    </row>
    <row r="83" spans="1:15" x14ac:dyDescent="0.2">
      <c r="A83" s="28" t="str">
        <f>all!A353</f>
        <v>Percent of Good or Very Good</v>
      </c>
      <c r="B83" s="25"/>
      <c r="C83" s="34">
        <f>SUM(C78:C79)</f>
        <v>0.91489361702127669</v>
      </c>
      <c r="D83" s="25"/>
      <c r="E83" s="34">
        <f>SUM(E78:E79)</f>
        <v>1</v>
      </c>
      <c r="F83" s="25"/>
      <c r="G83" s="34">
        <f>SUM(G78:G79)</f>
        <v>0.88888888888888884</v>
      </c>
      <c r="H83" s="25"/>
      <c r="I83" s="34">
        <f>SUM(I78:I79)</f>
        <v>0.87730061349693256</v>
      </c>
      <c r="J83" s="25"/>
      <c r="K83" s="34">
        <f>SUM(K78:K79)</f>
        <v>0.87068965517241381</v>
      </c>
      <c r="L83" s="25"/>
      <c r="M83" s="34">
        <f>SUM(M78:M79)</f>
        <v>0.88472622478386165</v>
      </c>
      <c r="N83" s="27"/>
      <c r="O83" s="34">
        <f>SUM(O78:O79)</f>
        <v>0.88803088803088803</v>
      </c>
    </row>
    <row r="84" spans="1:15" x14ac:dyDescent="0.2">
      <c r="A84" s="19"/>
      <c r="B84" s="4"/>
      <c r="D84" s="1"/>
      <c r="H84" s="10"/>
    </row>
    <row r="85" spans="1:15" ht="24" x14ac:dyDescent="0.2">
      <c r="A85" s="28" t="str">
        <f>all!A355</f>
        <v>Educational development courses/basic skills center</v>
      </c>
      <c r="B85" s="154" t="s">
        <v>128</v>
      </c>
      <c r="C85" s="154"/>
      <c r="D85" s="154" t="s">
        <v>99</v>
      </c>
      <c r="E85" s="154"/>
      <c r="F85" s="155" t="s">
        <v>136</v>
      </c>
      <c r="G85" s="155"/>
      <c r="H85" s="154" t="s">
        <v>101</v>
      </c>
      <c r="I85" s="154"/>
      <c r="J85" s="154" t="s">
        <v>129</v>
      </c>
      <c r="K85" s="154"/>
      <c r="L85" s="154" t="s">
        <v>126</v>
      </c>
      <c r="M85" s="154"/>
      <c r="N85" s="182" t="s">
        <v>1</v>
      </c>
      <c r="O85" s="182"/>
    </row>
    <row r="86" spans="1:15" x14ac:dyDescent="0.2">
      <c r="A86" s="26" t="str">
        <f>all!A356</f>
        <v>Very good</v>
      </c>
      <c r="B86" s="38">
        <f>all!B356</f>
        <v>47</v>
      </c>
      <c r="C86" s="39">
        <f>all!C356</f>
        <v>0.37903225806451613</v>
      </c>
      <c r="D86" s="38">
        <f>all!D356</f>
        <v>4</v>
      </c>
      <c r="E86" s="39">
        <f>all!E356</f>
        <v>0.30769230769230771</v>
      </c>
      <c r="F86" s="38">
        <f>all!F356</f>
        <v>11</v>
      </c>
      <c r="G86" s="39">
        <f>all!G356</f>
        <v>0.28947368421052633</v>
      </c>
      <c r="H86" s="38">
        <f>all!H356</f>
        <v>93</v>
      </c>
      <c r="I86" s="39">
        <f>all!I356</f>
        <v>0.36614173228346458</v>
      </c>
      <c r="J86" s="38">
        <f>all!J356</f>
        <v>26</v>
      </c>
      <c r="K86" s="39">
        <f>all!K356</f>
        <v>0.30232558139534882</v>
      </c>
      <c r="L86" s="38">
        <f>all!L356</f>
        <v>116</v>
      </c>
      <c r="M86" s="39">
        <f>all!M356</f>
        <v>0.40845070422535212</v>
      </c>
      <c r="N86" s="29">
        <f>all!N356</f>
        <v>297</v>
      </c>
      <c r="O86" s="39">
        <f>all!O356</f>
        <v>0.37171464330413018</v>
      </c>
    </row>
    <row r="87" spans="1:15" x14ac:dyDescent="0.2">
      <c r="A87" s="26" t="str">
        <f>all!A357</f>
        <v>Good</v>
      </c>
      <c r="B87" s="38">
        <f>all!B357</f>
        <v>71</v>
      </c>
      <c r="C87" s="39">
        <f>all!C357</f>
        <v>0.57258064516129037</v>
      </c>
      <c r="D87" s="38">
        <f>all!D357</f>
        <v>8</v>
      </c>
      <c r="E87" s="39">
        <f>all!E357</f>
        <v>0.61538461538461542</v>
      </c>
      <c r="F87" s="38">
        <f>all!F357</f>
        <v>26</v>
      </c>
      <c r="G87" s="39">
        <f>all!G357</f>
        <v>0.68421052631578949</v>
      </c>
      <c r="H87" s="38">
        <f>all!H357</f>
        <v>142</v>
      </c>
      <c r="I87" s="39">
        <f>all!I357</f>
        <v>0.55905511811023623</v>
      </c>
      <c r="J87" s="38">
        <f>all!J357</f>
        <v>54</v>
      </c>
      <c r="K87" s="39">
        <f>all!K357</f>
        <v>0.62790697674418605</v>
      </c>
      <c r="L87" s="38">
        <f>all!L357</f>
        <v>154</v>
      </c>
      <c r="M87" s="39">
        <f>all!M357</f>
        <v>0.54225352112676062</v>
      </c>
      <c r="N87" s="29">
        <f>all!N357</f>
        <v>455</v>
      </c>
      <c r="O87" s="39">
        <f>all!O357</f>
        <v>0.5694618272841051</v>
      </c>
    </row>
    <row r="88" spans="1:15" x14ac:dyDescent="0.2">
      <c r="A88" s="26" t="str">
        <f>all!A358</f>
        <v>Poor</v>
      </c>
      <c r="B88" s="38">
        <f>all!B358</f>
        <v>5</v>
      </c>
      <c r="C88" s="39">
        <f>all!C358</f>
        <v>4.0322580645161289E-2</v>
      </c>
      <c r="D88" s="38">
        <f>all!D358</f>
        <v>1</v>
      </c>
      <c r="E88" s="39">
        <f>all!E358</f>
        <v>7.6923076923076927E-2</v>
      </c>
      <c r="F88" s="38">
        <f>all!F358</f>
        <v>0</v>
      </c>
      <c r="G88" s="39">
        <f>all!G358</f>
        <v>0</v>
      </c>
      <c r="H88" s="38">
        <f>all!H358</f>
        <v>14</v>
      </c>
      <c r="I88" s="39">
        <f>all!I358</f>
        <v>5.5118110236220472E-2</v>
      </c>
      <c r="J88" s="38">
        <f>all!J358</f>
        <v>5</v>
      </c>
      <c r="K88" s="39">
        <f>all!K358</f>
        <v>5.8139534883720929E-2</v>
      </c>
      <c r="L88" s="38">
        <f>all!L358</f>
        <v>12</v>
      </c>
      <c r="M88" s="39">
        <f>all!M358</f>
        <v>4.2253521126760563E-2</v>
      </c>
      <c r="N88" s="29">
        <f>all!N358</f>
        <v>37</v>
      </c>
      <c r="O88" s="39">
        <f>all!O358</f>
        <v>4.630788485607009E-2</v>
      </c>
    </row>
    <row r="89" spans="1:15" x14ac:dyDescent="0.2">
      <c r="A89" s="26" t="str">
        <f>all!A359</f>
        <v>Very poor</v>
      </c>
      <c r="B89" s="38">
        <f>all!B359</f>
        <v>1</v>
      </c>
      <c r="C89" s="39">
        <f>all!C359</f>
        <v>8.0645161290322578E-3</v>
      </c>
      <c r="D89" s="38">
        <f>all!D359</f>
        <v>0</v>
      </c>
      <c r="E89" s="39">
        <f>all!E359</f>
        <v>0</v>
      </c>
      <c r="F89" s="38">
        <f>all!F359</f>
        <v>1</v>
      </c>
      <c r="G89" s="39">
        <f>all!G359</f>
        <v>2.6315789473684209E-2</v>
      </c>
      <c r="H89" s="38">
        <f>all!H359</f>
        <v>5</v>
      </c>
      <c r="I89" s="39">
        <f>all!I359</f>
        <v>1.968503937007874E-2</v>
      </c>
      <c r="J89" s="38">
        <f>all!J359</f>
        <v>1</v>
      </c>
      <c r="K89" s="39">
        <f>all!K359</f>
        <v>1.1627906976744186E-2</v>
      </c>
      <c r="L89" s="38">
        <f>all!L359</f>
        <v>2</v>
      </c>
      <c r="M89" s="39">
        <f>all!M359</f>
        <v>7.0422535211267607E-3</v>
      </c>
      <c r="N89" s="29">
        <f>all!N359</f>
        <v>10</v>
      </c>
      <c r="O89" s="39">
        <f>all!O359</f>
        <v>1.2515644555694618E-2</v>
      </c>
    </row>
    <row r="90" spans="1:15" s="14" customFormat="1" x14ac:dyDescent="0.2">
      <c r="A90" s="108" t="str">
        <f>all!A360</f>
        <v>Total</v>
      </c>
      <c r="B90" s="30">
        <f t="shared" ref="B90:O90" si="10">SUM(B86:B89)</f>
        <v>124</v>
      </c>
      <c r="C90" s="41">
        <f t="shared" si="10"/>
        <v>1</v>
      </c>
      <c r="D90" s="30">
        <f t="shared" si="10"/>
        <v>13</v>
      </c>
      <c r="E90" s="41">
        <f t="shared" si="10"/>
        <v>1</v>
      </c>
      <c r="F90" s="30">
        <f t="shared" si="10"/>
        <v>38</v>
      </c>
      <c r="G90" s="41">
        <f t="shared" si="10"/>
        <v>1</v>
      </c>
      <c r="H90" s="30">
        <f t="shared" si="10"/>
        <v>254</v>
      </c>
      <c r="I90" s="41">
        <f t="shared" si="10"/>
        <v>1</v>
      </c>
      <c r="J90" s="30">
        <f t="shared" si="10"/>
        <v>86</v>
      </c>
      <c r="K90" s="41">
        <f t="shared" si="10"/>
        <v>1</v>
      </c>
      <c r="L90" s="30">
        <f t="shared" si="10"/>
        <v>284</v>
      </c>
      <c r="M90" s="41">
        <f t="shared" si="10"/>
        <v>1</v>
      </c>
      <c r="N90" s="30">
        <f t="shared" si="10"/>
        <v>799</v>
      </c>
      <c r="O90" s="41">
        <f t="shared" si="10"/>
        <v>1</v>
      </c>
    </row>
    <row r="91" spans="1:15" x14ac:dyDescent="0.2">
      <c r="A91" s="28" t="str">
        <f>all!A361</f>
        <v>Percent of Good or Very Good</v>
      </c>
      <c r="B91" s="25"/>
      <c r="C91" s="34">
        <f>SUM(C86:C87)</f>
        <v>0.95161290322580649</v>
      </c>
      <c r="D91" s="25"/>
      <c r="E91" s="34">
        <f>SUM(E86:E87)</f>
        <v>0.92307692307692313</v>
      </c>
      <c r="F91" s="25"/>
      <c r="G91" s="34">
        <f>SUM(G86:G87)</f>
        <v>0.97368421052631582</v>
      </c>
      <c r="H91" s="25"/>
      <c r="I91" s="34">
        <f>SUM(I86:I87)</f>
        <v>0.92519685039370081</v>
      </c>
      <c r="J91" s="25"/>
      <c r="K91" s="34">
        <f>SUM(K86:K87)</f>
        <v>0.93023255813953487</v>
      </c>
      <c r="L91" s="25"/>
      <c r="M91" s="34">
        <f>SUM(M86:M87)</f>
        <v>0.95070422535211274</v>
      </c>
      <c r="N91" s="27"/>
      <c r="O91" s="34">
        <f>SUM(O86:O87)</f>
        <v>0.94117647058823528</v>
      </c>
    </row>
    <row r="92" spans="1:15" x14ac:dyDescent="0.2">
      <c r="A92" s="19"/>
      <c r="B92" s="4"/>
      <c r="D92" s="1"/>
      <c r="H92" s="10"/>
    </row>
    <row r="93" spans="1:15" ht="12.75" customHeight="1" x14ac:dyDescent="0.2">
      <c r="A93" s="28" t="str">
        <f>all!A363</f>
        <v>Overall Evaluation of Student Services</v>
      </c>
      <c r="B93" s="154" t="s">
        <v>128</v>
      </c>
      <c r="C93" s="154"/>
      <c r="D93" s="154" t="s">
        <v>99</v>
      </c>
      <c r="E93" s="154"/>
      <c r="F93" s="155" t="s">
        <v>136</v>
      </c>
      <c r="G93" s="155"/>
      <c r="H93" s="154" t="s">
        <v>101</v>
      </c>
      <c r="I93" s="154"/>
      <c r="J93" s="154" t="s">
        <v>129</v>
      </c>
      <c r="K93" s="154"/>
      <c r="L93" s="154" t="s">
        <v>126</v>
      </c>
      <c r="M93" s="154"/>
      <c r="N93" s="182" t="s">
        <v>1</v>
      </c>
      <c r="O93" s="182"/>
    </row>
    <row r="94" spans="1:15" x14ac:dyDescent="0.2">
      <c r="A94" s="26" t="str">
        <f>all!A364</f>
        <v>Very good</v>
      </c>
      <c r="B94" s="38">
        <f>all!B364</f>
        <v>105</v>
      </c>
      <c r="C94" s="39">
        <f>all!C364</f>
        <v>0.26854219948849106</v>
      </c>
      <c r="D94" s="38">
        <f>all!D364</f>
        <v>10</v>
      </c>
      <c r="E94" s="39">
        <f>all!E364</f>
        <v>0.32258064516129031</v>
      </c>
      <c r="F94" s="38">
        <f>all!F364</f>
        <v>35</v>
      </c>
      <c r="G94" s="39">
        <f>all!G364</f>
        <v>0.2348993288590604</v>
      </c>
      <c r="H94" s="38">
        <f>all!H364</f>
        <v>225</v>
      </c>
      <c r="I94" s="39">
        <f>all!I364</f>
        <v>0.29683377308707126</v>
      </c>
      <c r="J94" s="38">
        <f>all!J364</f>
        <v>83</v>
      </c>
      <c r="K94" s="39">
        <f>all!K364</f>
        <v>0.2455621301775148</v>
      </c>
      <c r="L94" s="38">
        <f>all!L364</f>
        <v>252</v>
      </c>
      <c r="M94" s="39">
        <f>all!M364</f>
        <v>0.31072749691738594</v>
      </c>
      <c r="N94" s="29">
        <f>all!N364</f>
        <v>710</v>
      </c>
      <c r="O94" s="39">
        <f>all!O364</f>
        <v>0.28652138821630346</v>
      </c>
    </row>
    <row r="95" spans="1:15" x14ac:dyDescent="0.2">
      <c r="A95" s="26" t="str">
        <f>all!A365</f>
        <v>Good</v>
      </c>
      <c r="B95" s="38">
        <f>all!B365</f>
        <v>265</v>
      </c>
      <c r="C95" s="39">
        <f>all!C365</f>
        <v>0.67774936061381075</v>
      </c>
      <c r="D95" s="38">
        <f>all!D365</f>
        <v>17</v>
      </c>
      <c r="E95" s="39">
        <f>all!E365</f>
        <v>0.54838709677419351</v>
      </c>
      <c r="F95" s="38">
        <f>all!F365</f>
        <v>97</v>
      </c>
      <c r="G95" s="39">
        <f>all!G365</f>
        <v>0.65100671140939592</v>
      </c>
      <c r="H95" s="38">
        <f>all!H365</f>
        <v>468</v>
      </c>
      <c r="I95" s="39">
        <f>all!I365</f>
        <v>0.61741424802110823</v>
      </c>
      <c r="J95" s="38">
        <f>all!J365</f>
        <v>223</v>
      </c>
      <c r="K95" s="39">
        <f>all!K365</f>
        <v>0.65976331360946749</v>
      </c>
      <c r="L95" s="38">
        <f>all!L365</f>
        <v>483</v>
      </c>
      <c r="M95" s="39">
        <f>all!M365</f>
        <v>0.59556103575832309</v>
      </c>
      <c r="N95" s="29">
        <f>all!N365</f>
        <v>1553</v>
      </c>
      <c r="O95" s="39">
        <f>all!O365</f>
        <v>0.62671509281678772</v>
      </c>
    </row>
    <row r="96" spans="1:15" x14ac:dyDescent="0.2">
      <c r="A96" s="26" t="str">
        <f>all!A366</f>
        <v>Poor</v>
      </c>
      <c r="B96" s="38">
        <f>all!B366</f>
        <v>18</v>
      </c>
      <c r="C96" s="39">
        <f>all!C366</f>
        <v>4.6035805626598467E-2</v>
      </c>
      <c r="D96" s="38">
        <f>all!D366</f>
        <v>4</v>
      </c>
      <c r="E96" s="39">
        <f>all!E366</f>
        <v>0.12903225806451613</v>
      </c>
      <c r="F96" s="38">
        <f>all!F366</f>
        <v>13</v>
      </c>
      <c r="G96" s="39">
        <f>all!G366</f>
        <v>8.7248322147651006E-2</v>
      </c>
      <c r="H96" s="38">
        <f>all!H366</f>
        <v>54</v>
      </c>
      <c r="I96" s="39">
        <f>all!I366</f>
        <v>7.1240105540897103E-2</v>
      </c>
      <c r="J96" s="38">
        <f>all!J366</f>
        <v>29</v>
      </c>
      <c r="K96" s="39">
        <f>all!K366</f>
        <v>8.5798816568047331E-2</v>
      </c>
      <c r="L96" s="38">
        <f>all!L366</f>
        <v>62</v>
      </c>
      <c r="M96" s="39">
        <f>all!M366</f>
        <v>7.6448828606658442E-2</v>
      </c>
      <c r="N96" s="29">
        <f>all!N366</f>
        <v>180</v>
      </c>
      <c r="O96" s="39">
        <f>all!O366</f>
        <v>7.2639225181598058E-2</v>
      </c>
    </row>
    <row r="97" spans="1:15" x14ac:dyDescent="0.2">
      <c r="A97" s="26" t="str">
        <f>all!A367</f>
        <v>Very poor</v>
      </c>
      <c r="B97" s="38">
        <f>all!B367</f>
        <v>3</v>
      </c>
      <c r="C97" s="39">
        <f>all!C367</f>
        <v>7.6726342710997444E-3</v>
      </c>
      <c r="D97" s="38">
        <f>all!D367</f>
        <v>0</v>
      </c>
      <c r="E97" s="39">
        <f>all!E367</f>
        <v>0</v>
      </c>
      <c r="F97" s="38">
        <f>all!F367</f>
        <v>4</v>
      </c>
      <c r="G97" s="39">
        <f>all!G367</f>
        <v>2.6845637583892617E-2</v>
      </c>
      <c r="H97" s="38">
        <f>all!H367</f>
        <v>11</v>
      </c>
      <c r="I97" s="39">
        <f>all!I367</f>
        <v>1.4511873350923483E-2</v>
      </c>
      <c r="J97" s="38">
        <f>all!J367</f>
        <v>3</v>
      </c>
      <c r="K97" s="39">
        <f>all!K367</f>
        <v>8.8757396449704144E-3</v>
      </c>
      <c r="L97" s="38">
        <f>all!L367</f>
        <v>14</v>
      </c>
      <c r="M97" s="39">
        <f>all!M367</f>
        <v>1.7262638717632551E-2</v>
      </c>
      <c r="N97" s="29">
        <f>all!N367</f>
        <v>35</v>
      </c>
      <c r="O97" s="39">
        <f>all!O367</f>
        <v>1.4124293785310734E-2</v>
      </c>
    </row>
    <row r="98" spans="1:15" s="14" customFormat="1" x14ac:dyDescent="0.2">
      <c r="A98" s="108" t="str">
        <f>all!A368</f>
        <v>Total</v>
      </c>
      <c r="B98" s="30">
        <f t="shared" ref="B98:O98" si="11">SUM(B94:B97)</f>
        <v>391</v>
      </c>
      <c r="C98" s="41">
        <f t="shared" si="11"/>
        <v>1</v>
      </c>
      <c r="D98" s="30">
        <f t="shared" si="11"/>
        <v>31</v>
      </c>
      <c r="E98" s="41">
        <f t="shared" si="11"/>
        <v>0.99999999999999989</v>
      </c>
      <c r="F98" s="30">
        <f t="shared" si="11"/>
        <v>149</v>
      </c>
      <c r="G98" s="41">
        <f t="shared" si="11"/>
        <v>0.99999999999999989</v>
      </c>
      <c r="H98" s="30">
        <f t="shared" si="11"/>
        <v>758</v>
      </c>
      <c r="I98" s="41">
        <f t="shared" si="11"/>
        <v>1</v>
      </c>
      <c r="J98" s="30">
        <f t="shared" si="11"/>
        <v>338</v>
      </c>
      <c r="K98" s="41">
        <f t="shared" si="11"/>
        <v>1</v>
      </c>
      <c r="L98" s="30">
        <f t="shared" si="11"/>
        <v>811</v>
      </c>
      <c r="M98" s="41">
        <f t="shared" si="11"/>
        <v>1</v>
      </c>
      <c r="N98" s="30">
        <f t="shared" si="11"/>
        <v>2478</v>
      </c>
      <c r="O98" s="41">
        <f t="shared" si="11"/>
        <v>1</v>
      </c>
    </row>
    <row r="99" spans="1:15" x14ac:dyDescent="0.2">
      <c r="A99" s="28" t="str">
        <f>all!A369</f>
        <v>Percent of Good or Very Good</v>
      </c>
      <c r="B99" s="25"/>
      <c r="C99" s="34">
        <f>SUM(C94:C95)</f>
        <v>0.94629156010230187</v>
      </c>
      <c r="D99" s="25"/>
      <c r="E99" s="34">
        <f>SUM(E94:E95)</f>
        <v>0.87096774193548376</v>
      </c>
      <c r="F99" s="25"/>
      <c r="G99" s="34">
        <f>SUM(G94:G95)</f>
        <v>0.88590604026845632</v>
      </c>
      <c r="H99" s="25"/>
      <c r="I99" s="34">
        <f>SUM(I94:I95)</f>
        <v>0.91424802110817949</v>
      </c>
      <c r="J99" s="25"/>
      <c r="K99" s="34">
        <f>SUM(K94:K95)</f>
        <v>0.90532544378698232</v>
      </c>
      <c r="L99" s="25"/>
      <c r="M99" s="34">
        <f>SUM(M94:M95)</f>
        <v>0.90628853267570908</v>
      </c>
      <c r="N99" s="27"/>
      <c r="O99" s="34">
        <f>SUM(O94:O95)</f>
        <v>0.91323648103309119</v>
      </c>
    </row>
    <row r="100" spans="1:15" x14ac:dyDescent="0.2">
      <c r="A100" s="19"/>
      <c r="B100" s="4"/>
      <c r="D100" s="1"/>
      <c r="H100" s="10"/>
    </row>
    <row r="101" spans="1:15" x14ac:dyDescent="0.2">
      <c r="A101" s="9" t="s">
        <v>92</v>
      </c>
      <c r="H101" s="10"/>
    </row>
    <row r="102" spans="1:15" ht="12.75" customHeight="1" x14ac:dyDescent="0.2">
      <c r="A102" s="28" t="str">
        <f>all!A372</f>
        <v>Bookstore</v>
      </c>
      <c r="B102" s="154" t="s">
        <v>128</v>
      </c>
      <c r="C102" s="154"/>
      <c r="D102" s="154" t="s">
        <v>99</v>
      </c>
      <c r="E102" s="154"/>
      <c r="F102" s="155" t="s">
        <v>136</v>
      </c>
      <c r="G102" s="155"/>
      <c r="H102" s="154" t="s">
        <v>101</v>
      </c>
      <c r="I102" s="154"/>
      <c r="J102" s="154" t="s">
        <v>129</v>
      </c>
      <c r="K102" s="154"/>
      <c r="L102" s="154" t="s">
        <v>126</v>
      </c>
      <c r="M102" s="154"/>
      <c r="N102" s="182" t="s">
        <v>1</v>
      </c>
      <c r="O102" s="182"/>
    </row>
    <row r="103" spans="1:15" x14ac:dyDescent="0.2">
      <c r="A103" s="26" t="str">
        <f>all!A373</f>
        <v>Very good</v>
      </c>
      <c r="B103" s="38">
        <f>all!B373</f>
        <v>109</v>
      </c>
      <c r="C103" s="39">
        <f>all!C373</f>
        <v>0.26265060240963856</v>
      </c>
      <c r="D103" s="38">
        <f>all!D373</f>
        <v>11</v>
      </c>
      <c r="E103" s="39">
        <f>all!E373</f>
        <v>0.35483870967741937</v>
      </c>
      <c r="F103" s="38">
        <f>all!F373</f>
        <v>38</v>
      </c>
      <c r="G103" s="39">
        <f>all!G373</f>
        <v>0.2733812949640288</v>
      </c>
      <c r="H103" s="38">
        <f>all!H373</f>
        <v>242</v>
      </c>
      <c r="I103" s="39">
        <f>all!I373</f>
        <v>0.30555555555555558</v>
      </c>
      <c r="J103" s="38">
        <f>all!J373</f>
        <v>97</v>
      </c>
      <c r="K103" s="39">
        <f>all!K373</f>
        <v>0.27556818181818182</v>
      </c>
      <c r="L103" s="38">
        <f>all!L373</f>
        <v>268</v>
      </c>
      <c r="M103" s="39">
        <f>all!M373</f>
        <v>0.30523917995444189</v>
      </c>
      <c r="N103" s="29">
        <f>all!N373</f>
        <v>765</v>
      </c>
      <c r="O103" s="39">
        <f>all!O373</f>
        <v>0.29344073647871116</v>
      </c>
    </row>
    <row r="104" spans="1:15" x14ac:dyDescent="0.2">
      <c r="A104" s="26" t="str">
        <f>all!A374</f>
        <v>Good</v>
      </c>
      <c r="B104" s="38">
        <f>all!B374</f>
        <v>249</v>
      </c>
      <c r="C104" s="39">
        <f>all!C374</f>
        <v>0.6</v>
      </c>
      <c r="D104" s="38">
        <f>all!D374</f>
        <v>14</v>
      </c>
      <c r="E104" s="39">
        <f>all!E374</f>
        <v>0.45161290322580644</v>
      </c>
      <c r="F104" s="38">
        <f>all!F374</f>
        <v>82</v>
      </c>
      <c r="G104" s="39">
        <f>all!G374</f>
        <v>0.58992805755395683</v>
      </c>
      <c r="H104" s="38">
        <f>all!H374</f>
        <v>435</v>
      </c>
      <c r="I104" s="39">
        <f>all!I374</f>
        <v>0.5492424242424242</v>
      </c>
      <c r="J104" s="38">
        <f>all!J374</f>
        <v>209</v>
      </c>
      <c r="K104" s="39">
        <f>all!K374</f>
        <v>0.59375</v>
      </c>
      <c r="L104" s="38">
        <f>all!L374</f>
        <v>483</v>
      </c>
      <c r="M104" s="39">
        <f>all!M374</f>
        <v>0.55011389521640086</v>
      </c>
      <c r="N104" s="29">
        <f>all!N374</f>
        <v>1472</v>
      </c>
      <c r="O104" s="39">
        <f>all!O374</f>
        <v>0.56463367855772917</v>
      </c>
    </row>
    <row r="105" spans="1:15" x14ac:dyDescent="0.2">
      <c r="A105" s="26" t="str">
        <f>all!A375</f>
        <v>Poor</v>
      </c>
      <c r="B105" s="38">
        <f>all!B375</f>
        <v>45</v>
      </c>
      <c r="C105" s="39">
        <f>all!C375</f>
        <v>0.10843373493975904</v>
      </c>
      <c r="D105" s="38">
        <f>all!D375</f>
        <v>6</v>
      </c>
      <c r="E105" s="39">
        <f>all!E375</f>
        <v>0.19354838709677419</v>
      </c>
      <c r="F105" s="38">
        <f>all!F375</f>
        <v>13</v>
      </c>
      <c r="G105" s="39">
        <f>all!G375</f>
        <v>9.3525179856115109E-2</v>
      </c>
      <c r="H105" s="38">
        <f>all!H375</f>
        <v>87</v>
      </c>
      <c r="I105" s="39">
        <f>all!I375</f>
        <v>0.10984848484848485</v>
      </c>
      <c r="J105" s="38">
        <f>all!J375</f>
        <v>34</v>
      </c>
      <c r="K105" s="39">
        <f>all!K375</f>
        <v>9.6590909090909088E-2</v>
      </c>
      <c r="L105" s="38">
        <f>all!L375</f>
        <v>96</v>
      </c>
      <c r="M105" s="39">
        <f>all!M375</f>
        <v>0.10933940774487472</v>
      </c>
      <c r="N105" s="29">
        <f>all!N375</f>
        <v>281</v>
      </c>
      <c r="O105" s="39">
        <f>all!O375</f>
        <v>0.1077867280398926</v>
      </c>
    </row>
    <row r="106" spans="1:15" x14ac:dyDescent="0.2">
      <c r="A106" s="26" t="str">
        <f>all!A376</f>
        <v>Very poor</v>
      </c>
      <c r="B106" s="38">
        <f>all!B376</f>
        <v>12</v>
      </c>
      <c r="C106" s="39">
        <f>all!C376</f>
        <v>2.891566265060241E-2</v>
      </c>
      <c r="D106" s="38">
        <f>all!D376</f>
        <v>0</v>
      </c>
      <c r="E106" s="39">
        <f>all!E376</f>
        <v>0</v>
      </c>
      <c r="F106" s="38">
        <f>all!F376</f>
        <v>6</v>
      </c>
      <c r="G106" s="39">
        <f>all!G376</f>
        <v>4.3165467625899283E-2</v>
      </c>
      <c r="H106" s="38">
        <f>all!H376</f>
        <v>28</v>
      </c>
      <c r="I106" s="39">
        <f>all!I376</f>
        <v>3.5353535353535352E-2</v>
      </c>
      <c r="J106" s="38">
        <f>all!J376</f>
        <v>12</v>
      </c>
      <c r="K106" s="39">
        <f>all!K376</f>
        <v>3.4090909090909088E-2</v>
      </c>
      <c r="L106" s="38">
        <f>all!L376</f>
        <v>31</v>
      </c>
      <c r="M106" s="39">
        <f>all!M376</f>
        <v>3.530751708428246E-2</v>
      </c>
      <c r="N106" s="29">
        <f>all!N376</f>
        <v>89</v>
      </c>
      <c r="O106" s="39">
        <f>all!O376</f>
        <v>3.4138856923667048E-2</v>
      </c>
    </row>
    <row r="107" spans="1:15" s="14" customFormat="1" x14ac:dyDescent="0.2">
      <c r="A107" s="108" t="str">
        <f>all!A377</f>
        <v>Total</v>
      </c>
      <c r="B107" s="30">
        <f t="shared" ref="B107:O107" si="12">SUM(B103:B106)</f>
        <v>415</v>
      </c>
      <c r="C107" s="41">
        <f t="shared" si="12"/>
        <v>1</v>
      </c>
      <c r="D107" s="30">
        <f t="shared" si="12"/>
        <v>31</v>
      </c>
      <c r="E107" s="41">
        <f t="shared" si="12"/>
        <v>1</v>
      </c>
      <c r="F107" s="30">
        <f t="shared" si="12"/>
        <v>139</v>
      </c>
      <c r="G107" s="41">
        <f t="shared" si="12"/>
        <v>0.99999999999999989</v>
      </c>
      <c r="H107" s="30">
        <f t="shared" si="12"/>
        <v>792</v>
      </c>
      <c r="I107" s="41">
        <f t="shared" si="12"/>
        <v>1</v>
      </c>
      <c r="J107" s="30">
        <f t="shared" si="12"/>
        <v>352</v>
      </c>
      <c r="K107" s="41">
        <f t="shared" si="12"/>
        <v>1</v>
      </c>
      <c r="L107" s="30">
        <f t="shared" si="12"/>
        <v>878</v>
      </c>
      <c r="M107" s="41">
        <f t="shared" si="12"/>
        <v>0.99999999999999989</v>
      </c>
      <c r="N107" s="30">
        <f t="shared" si="12"/>
        <v>2607</v>
      </c>
      <c r="O107" s="41">
        <f t="shared" si="12"/>
        <v>1</v>
      </c>
    </row>
    <row r="108" spans="1:15" x14ac:dyDescent="0.2">
      <c r="A108" s="28" t="str">
        <f>all!A378</f>
        <v>Percent of Good or Very Good</v>
      </c>
      <c r="B108" s="25"/>
      <c r="C108" s="34">
        <f>SUM(C103:C104)</f>
        <v>0.86265060240963853</v>
      </c>
      <c r="D108" s="25"/>
      <c r="E108" s="34">
        <f>SUM(E103:E104)</f>
        <v>0.80645161290322576</v>
      </c>
      <c r="F108" s="25"/>
      <c r="G108" s="34">
        <f>SUM(G103:G104)</f>
        <v>0.86330935251798557</v>
      </c>
      <c r="H108" s="25"/>
      <c r="I108" s="34">
        <f>SUM(I103:I104)</f>
        <v>0.85479797979797978</v>
      </c>
      <c r="J108" s="25"/>
      <c r="K108" s="34">
        <f>SUM(K103:K104)</f>
        <v>0.86931818181818188</v>
      </c>
      <c r="L108" s="25"/>
      <c r="M108" s="34">
        <f>SUM(M103:M104)</f>
        <v>0.85535307517084269</v>
      </c>
      <c r="N108" s="27"/>
      <c r="O108" s="34">
        <f>SUM(O103:O104)</f>
        <v>0.85807441503644033</v>
      </c>
    </row>
    <row r="109" spans="1:15" x14ac:dyDescent="0.2">
      <c r="A109" s="19"/>
      <c r="B109" s="4"/>
      <c r="D109" s="1"/>
      <c r="H109" s="10"/>
    </row>
    <row r="110" spans="1:15" ht="12.75" customHeight="1" x14ac:dyDescent="0.2">
      <c r="A110" s="28" t="str">
        <f>all!A380</f>
        <v>Cashier</v>
      </c>
      <c r="B110" s="154" t="s">
        <v>128</v>
      </c>
      <c r="C110" s="154"/>
      <c r="D110" s="154" t="s">
        <v>99</v>
      </c>
      <c r="E110" s="154"/>
      <c r="F110" s="155" t="s">
        <v>136</v>
      </c>
      <c r="G110" s="155"/>
      <c r="H110" s="154" t="s">
        <v>101</v>
      </c>
      <c r="I110" s="154"/>
      <c r="J110" s="154" t="s">
        <v>129</v>
      </c>
      <c r="K110" s="154"/>
      <c r="L110" s="154" t="s">
        <v>126</v>
      </c>
      <c r="M110" s="154"/>
      <c r="N110" s="182" t="s">
        <v>1</v>
      </c>
      <c r="O110" s="182"/>
    </row>
    <row r="111" spans="1:15" x14ac:dyDescent="0.2">
      <c r="A111" s="26" t="str">
        <f>all!A381</f>
        <v>Very good</v>
      </c>
      <c r="B111" s="38">
        <f>all!B381</f>
        <v>90</v>
      </c>
      <c r="C111" s="39">
        <f>all!C381</f>
        <v>0.29220779220779219</v>
      </c>
      <c r="D111" s="38">
        <f>all!D381</f>
        <v>5</v>
      </c>
      <c r="E111" s="39">
        <f>all!E381</f>
        <v>0.22727272727272727</v>
      </c>
      <c r="F111" s="38">
        <f>all!F381</f>
        <v>34</v>
      </c>
      <c r="G111" s="39">
        <f>all!G381</f>
        <v>0.30088495575221241</v>
      </c>
      <c r="H111" s="38">
        <f>all!H381</f>
        <v>203</v>
      </c>
      <c r="I111" s="39">
        <f>all!I381</f>
        <v>0.31570762052877138</v>
      </c>
      <c r="J111" s="38">
        <f>all!J381</f>
        <v>81</v>
      </c>
      <c r="K111" s="39">
        <f>all!K381</f>
        <v>0.31153846153846154</v>
      </c>
      <c r="L111" s="38">
        <f>all!L381</f>
        <v>206</v>
      </c>
      <c r="M111" s="39">
        <f>all!M381</f>
        <v>0.32907348242811502</v>
      </c>
      <c r="N111" s="29">
        <f>all!N381</f>
        <v>619</v>
      </c>
      <c r="O111" s="39">
        <f>all!O381</f>
        <v>0.31389452332657203</v>
      </c>
    </row>
    <row r="112" spans="1:15" x14ac:dyDescent="0.2">
      <c r="A112" s="26" t="str">
        <f>all!A382</f>
        <v>Good</v>
      </c>
      <c r="B112" s="38">
        <f>all!B382</f>
        <v>204</v>
      </c>
      <c r="C112" s="39">
        <f>all!C382</f>
        <v>0.66233766233766234</v>
      </c>
      <c r="D112" s="38">
        <f>all!D382</f>
        <v>14</v>
      </c>
      <c r="E112" s="39">
        <f>all!E382</f>
        <v>0.63636363636363635</v>
      </c>
      <c r="F112" s="38">
        <f>all!F382</f>
        <v>72</v>
      </c>
      <c r="G112" s="39">
        <f>all!G382</f>
        <v>0.63716814159292035</v>
      </c>
      <c r="H112" s="38">
        <f>all!H382</f>
        <v>399</v>
      </c>
      <c r="I112" s="39">
        <f>all!I382</f>
        <v>0.62052877138413687</v>
      </c>
      <c r="J112" s="38">
        <f>all!J382</f>
        <v>155</v>
      </c>
      <c r="K112" s="39">
        <f>all!K382</f>
        <v>0.59615384615384615</v>
      </c>
      <c r="L112" s="38">
        <f>all!L382</f>
        <v>390</v>
      </c>
      <c r="M112" s="39">
        <f>all!M382</f>
        <v>0.6230031948881789</v>
      </c>
      <c r="N112" s="29">
        <f>all!N382</f>
        <v>1234</v>
      </c>
      <c r="O112" s="39">
        <f>all!O382</f>
        <v>0.62576064908722107</v>
      </c>
    </row>
    <row r="113" spans="1:15" x14ac:dyDescent="0.2">
      <c r="A113" s="26" t="str">
        <f>all!A383</f>
        <v>Poor</v>
      </c>
      <c r="B113" s="38">
        <f>all!B383</f>
        <v>10</v>
      </c>
      <c r="C113" s="39">
        <f>all!C383</f>
        <v>3.2467532467532464E-2</v>
      </c>
      <c r="D113" s="38">
        <f>all!D383</f>
        <v>3</v>
      </c>
      <c r="E113" s="39">
        <f>all!E383</f>
        <v>0.13636363636363635</v>
      </c>
      <c r="F113" s="38">
        <f>all!F383</f>
        <v>4</v>
      </c>
      <c r="G113" s="39">
        <f>all!G383</f>
        <v>3.5398230088495575E-2</v>
      </c>
      <c r="H113" s="38">
        <f>all!H383</f>
        <v>28</v>
      </c>
      <c r="I113" s="39">
        <f>all!I383</f>
        <v>4.3545878693623641E-2</v>
      </c>
      <c r="J113" s="38">
        <f>all!J383</f>
        <v>20</v>
      </c>
      <c r="K113" s="39">
        <f>all!K383</f>
        <v>7.6923076923076927E-2</v>
      </c>
      <c r="L113" s="38">
        <f>all!L383</f>
        <v>20</v>
      </c>
      <c r="M113" s="39">
        <f>all!M383</f>
        <v>3.1948881789137379E-2</v>
      </c>
      <c r="N113" s="29">
        <f>all!N383</f>
        <v>85</v>
      </c>
      <c r="O113" s="39">
        <f>all!O383</f>
        <v>4.3103448275862072E-2</v>
      </c>
    </row>
    <row r="114" spans="1:15" x14ac:dyDescent="0.2">
      <c r="A114" s="26" t="str">
        <f>all!A384</f>
        <v>Very poor</v>
      </c>
      <c r="B114" s="38">
        <f>all!B384</f>
        <v>4</v>
      </c>
      <c r="C114" s="39">
        <f>all!C384</f>
        <v>1.2987012987012988E-2</v>
      </c>
      <c r="D114" s="38">
        <f>all!D384</f>
        <v>0</v>
      </c>
      <c r="E114" s="39">
        <f>all!E384</f>
        <v>0</v>
      </c>
      <c r="F114" s="38">
        <f>all!F384</f>
        <v>3</v>
      </c>
      <c r="G114" s="39">
        <f>all!G384</f>
        <v>2.6548672566371681E-2</v>
      </c>
      <c r="H114" s="38">
        <f>all!H384</f>
        <v>13</v>
      </c>
      <c r="I114" s="39">
        <f>all!I384</f>
        <v>2.0217729393468119E-2</v>
      </c>
      <c r="J114" s="38">
        <f>all!J384</f>
        <v>4</v>
      </c>
      <c r="K114" s="39">
        <f>all!K384</f>
        <v>1.5384615384615385E-2</v>
      </c>
      <c r="L114" s="38">
        <f>all!L384</f>
        <v>10</v>
      </c>
      <c r="M114" s="39">
        <f>all!M384</f>
        <v>1.5974440894568689E-2</v>
      </c>
      <c r="N114" s="29">
        <f>all!N384</f>
        <v>34</v>
      </c>
      <c r="O114" s="39">
        <f>all!O384</f>
        <v>1.7241379310344827E-2</v>
      </c>
    </row>
    <row r="115" spans="1:15" s="14" customFormat="1" x14ac:dyDescent="0.2">
      <c r="A115" s="108" t="str">
        <f>all!A385</f>
        <v>Total</v>
      </c>
      <c r="B115" s="30">
        <f t="shared" ref="B115:O115" si="13">SUM(B111:B114)</f>
        <v>308</v>
      </c>
      <c r="C115" s="41">
        <f t="shared" si="13"/>
        <v>1</v>
      </c>
      <c r="D115" s="30">
        <f t="shared" si="13"/>
        <v>22</v>
      </c>
      <c r="E115" s="41">
        <f t="shared" si="13"/>
        <v>1</v>
      </c>
      <c r="F115" s="30">
        <f t="shared" si="13"/>
        <v>113</v>
      </c>
      <c r="G115" s="41">
        <f t="shared" si="13"/>
        <v>1</v>
      </c>
      <c r="H115" s="30">
        <f t="shared" si="13"/>
        <v>643</v>
      </c>
      <c r="I115" s="41">
        <f t="shared" si="13"/>
        <v>0.99999999999999989</v>
      </c>
      <c r="J115" s="30">
        <f t="shared" si="13"/>
        <v>260</v>
      </c>
      <c r="K115" s="41">
        <f t="shared" si="13"/>
        <v>1</v>
      </c>
      <c r="L115" s="30">
        <f t="shared" si="13"/>
        <v>626</v>
      </c>
      <c r="M115" s="41">
        <f t="shared" si="13"/>
        <v>0.99999999999999989</v>
      </c>
      <c r="N115" s="30">
        <f t="shared" si="13"/>
        <v>1972</v>
      </c>
      <c r="O115" s="41">
        <f t="shared" si="13"/>
        <v>1</v>
      </c>
    </row>
    <row r="116" spans="1:15" x14ac:dyDescent="0.2">
      <c r="A116" s="28" t="str">
        <f>all!A386</f>
        <v>Percent of Good or Very Good</v>
      </c>
      <c r="B116" s="25"/>
      <c r="C116" s="34">
        <f>SUM(C111:C112)</f>
        <v>0.95454545454545459</v>
      </c>
      <c r="D116" s="25"/>
      <c r="E116" s="34">
        <f>SUM(E111:E112)</f>
        <v>0.86363636363636365</v>
      </c>
      <c r="F116" s="25"/>
      <c r="G116" s="34">
        <f>SUM(G111:G112)</f>
        <v>0.93805309734513276</v>
      </c>
      <c r="H116" s="25"/>
      <c r="I116" s="34">
        <f>SUM(I111:I112)</f>
        <v>0.93623639191290819</v>
      </c>
      <c r="J116" s="25"/>
      <c r="K116" s="34">
        <f>SUM(K111:K112)</f>
        <v>0.90769230769230769</v>
      </c>
      <c r="L116" s="25"/>
      <c r="M116" s="34">
        <f>SUM(M111:M112)</f>
        <v>0.95207667731629386</v>
      </c>
      <c r="N116" s="27"/>
      <c r="O116" s="34">
        <f>SUM(O111:O112)</f>
        <v>0.93965517241379315</v>
      </c>
    </row>
    <row r="117" spans="1:15" x14ac:dyDescent="0.2">
      <c r="A117" s="19"/>
      <c r="B117" s="4"/>
      <c r="D117" s="1"/>
      <c r="H117" s="10"/>
    </row>
    <row r="118" spans="1:15" ht="12.75" customHeight="1" x14ac:dyDescent="0.2">
      <c r="A118" s="28" t="str">
        <f>all!A388</f>
        <v>Food services</v>
      </c>
      <c r="B118" s="154" t="s">
        <v>128</v>
      </c>
      <c r="C118" s="154"/>
      <c r="D118" s="154" t="s">
        <v>99</v>
      </c>
      <c r="E118" s="154"/>
      <c r="F118" s="155" t="s">
        <v>136</v>
      </c>
      <c r="G118" s="155"/>
      <c r="H118" s="154" t="s">
        <v>101</v>
      </c>
      <c r="I118" s="154"/>
      <c r="J118" s="154" t="s">
        <v>129</v>
      </c>
      <c r="K118" s="154"/>
      <c r="L118" s="154" t="s">
        <v>126</v>
      </c>
      <c r="M118" s="154"/>
      <c r="N118" s="182" t="s">
        <v>1</v>
      </c>
      <c r="O118" s="182"/>
    </row>
    <row r="119" spans="1:15" x14ac:dyDescent="0.2">
      <c r="A119" s="26" t="str">
        <f>all!A389</f>
        <v>Very good</v>
      </c>
      <c r="B119" s="38">
        <f>all!B389</f>
        <v>65</v>
      </c>
      <c r="C119" s="39">
        <f>all!C389</f>
        <v>0.27542372881355931</v>
      </c>
      <c r="D119" s="38">
        <f>all!D389</f>
        <v>3</v>
      </c>
      <c r="E119" s="39">
        <f>all!E389</f>
        <v>0.3</v>
      </c>
      <c r="F119" s="38">
        <f>all!F389</f>
        <v>15</v>
      </c>
      <c r="G119" s="39">
        <f>all!G389</f>
        <v>0.26785714285714285</v>
      </c>
      <c r="H119" s="38">
        <f>all!H389</f>
        <v>146</v>
      </c>
      <c r="I119" s="39">
        <f>all!I389</f>
        <v>0.25749559082892415</v>
      </c>
      <c r="J119" s="38">
        <f>all!J389</f>
        <v>37</v>
      </c>
      <c r="K119" s="39">
        <f>all!K389</f>
        <v>0.30327868852459017</v>
      </c>
      <c r="L119" s="38">
        <f>all!L389</f>
        <v>152</v>
      </c>
      <c r="M119" s="39">
        <f>all!M389</f>
        <v>0.28252788104089221</v>
      </c>
      <c r="N119" s="29">
        <f>all!N389</f>
        <v>418</v>
      </c>
      <c r="O119" s="39">
        <f>all!O389</f>
        <v>0.2733812949640288</v>
      </c>
    </row>
    <row r="120" spans="1:15" x14ac:dyDescent="0.2">
      <c r="A120" s="26" t="str">
        <f>all!A390</f>
        <v>Good</v>
      </c>
      <c r="B120" s="38">
        <f>all!B390</f>
        <v>118</v>
      </c>
      <c r="C120" s="39">
        <f>all!C390</f>
        <v>0.5</v>
      </c>
      <c r="D120" s="38">
        <f>all!D390</f>
        <v>3</v>
      </c>
      <c r="E120" s="39">
        <f>all!E390</f>
        <v>0.3</v>
      </c>
      <c r="F120" s="38">
        <f>all!F390</f>
        <v>31</v>
      </c>
      <c r="G120" s="39">
        <f>all!G390</f>
        <v>0.5535714285714286</v>
      </c>
      <c r="H120" s="38">
        <f>all!H390</f>
        <v>316</v>
      </c>
      <c r="I120" s="39">
        <f>all!I390</f>
        <v>0.55731922398589062</v>
      </c>
      <c r="J120" s="38">
        <f>all!J390</f>
        <v>66</v>
      </c>
      <c r="K120" s="39">
        <f>all!K390</f>
        <v>0.54098360655737709</v>
      </c>
      <c r="L120" s="38">
        <f>all!L390</f>
        <v>281</v>
      </c>
      <c r="M120" s="39">
        <f>all!M390</f>
        <v>0.52230483271375461</v>
      </c>
      <c r="N120" s="29">
        <f>all!N390</f>
        <v>815</v>
      </c>
      <c r="O120" s="39">
        <f>all!O390</f>
        <v>0.53302812295618052</v>
      </c>
    </row>
    <row r="121" spans="1:15" x14ac:dyDescent="0.2">
      <c r="A121" s="26" t="str">
        <f>all!A391</f>
        <v>Poor</v>
      </c>
      <c r="B121" s="38">
        <f>all!B391</f>
        <v>34</v>
      </c>
      <c r="C121" s="39">
        <f>all!C391</f>
        <v>0.1440677966101695</v>
      </c>
      <c r="D121" s="38">
        <f>all!D391</f>
        <v>3</v>
      </c>
      <c r="E121" s="39">
        <f>all!E391</f>
        <v>0.3</v>
      </c>
      <c r="F121" s="38">
        <f>all!F391</f>
        <v>7</v>
      </c>
      <c r="G121" s="39">
        <f>all!G391</f>
        <v>0.125</v>
      </c>
      <c r="H121" s="38">
        <f>all!H391</f>
        <v>76</v>
      </c>
      <c r="I121" s="39">
        <f>all!I391</f>
        <v>0.13403880070546736</v>
      </c>
      <c r="J121" s="38">
        <f>all!J391</f>
        <v>17</v>
      </c>
      <c r="K121" s="39">
        <f>all!K391</f>
        <v>0.13934426229508196</v>
      </c>
      <c r="L121" s="38">
        <f>all!L391</f>
        <v>74</v>
      </c>
      <c r="M121" s="39">
        <f>all!M391</f>
        <v>0.13754646840148699</v>
      </c>
      <c r="N121" s="29">
        <f>all!N391</f>
        <v>211</v>
      </c>
      <c r="O121" s="39">
        <f>all!O391</f>
        <v>0.1379986919555265</v>
      </c>
    </row>
    <row r="122" spans="1:15" x14ac:dyDescent="0.2">
      <c r="A122" s="26" t="str">
        <f>all!A392</f>
        <v>Very poor</v>
      </c>
      <c r="B122" s="38">
        <f>all!B392</f>
        <v>19</v>
      </c>
      <c r="C122" s="39">
        <f>all!C392</f>
        <v>8.050847457627118E-2</v>
      </c>
      <c r="D122" s="38">
        <f>all!D392</f>
        <v>1</v>
      </c>
      <c r="E122" s="39">
        <f>all!E392</f>
        <v>0.1</v>
      </c>
      <c r="F122" s="38">
        <f>all!F392</f>
        <v>3</v>
      </c>
      <c r="G122" s="39">
        <f>all!G392</f>
        <v>5.3571428571428568E-2</v>
      </c>
      <c r="H122" s="38">
        <f>all!H392</f>
        <v>29</v>
      </c>
      <c r="I122" s="39">
        <f>all!I392</f>
        <v>5.114638447971781E-2</v>
      </c>
      <c r="J122" s="38">
        <f>all!J392</f>
        <v>2</v>
      </c>
      <c r="K122" s="39">
        <f>all!K392</f>
        <v>1.6393442622950821E-2</v>
      </c>
      <c r="L122" s="38">
        <f>all!L392</f>
        <v>31</v>
      </c>
      <c r="M122" s="39">
        <f>all!M392</f>
        <v>5.7620817843866169E-2</v>
      </c>
      <c r="N122" s="29">
        <f>all!N392</f>
        <v>85</v>
      </c>
      <c r="O122" s="39">
        <f>all!O392</f>
        <v>5.5591890124264222E-2</v>
      </c>
    </row>
    <row r="123" spans="1:15" s="14" customFormat="1" x14ac:dyDescent="0.2">
      <c r="A123" s="108" t="str">
        <f>all!A393</f>
        <v>Total</v>
      </c>
      <c r="B123" s="30">
        <f t="shared" ref="B123:O123" si="14">SUM(B119:B122)</f>
        <v>236</v>
      </c>
      <c r="C123" s="41">
        <f t="shared" si="14"/>
        <v>1</v>
      </c>
      <c r="D123" s="30">
        <f t="shared" si="14"/>
        <v>10</v>
      </c>
      <c r="E123" s="41">
        <f t="shared" si="14"/>
        <v>0.99999999999999989</v>
      </c>
      <c r="F123" s="30">
        <f t="shared" si="14"/>
        <v>56</v>
      </c>
      <c r="G123" s="41">
        <f t="shared" si="14"/>
        <v>1</v>
      </c>
      <c r="H123" s="30">
        <f t="shared" si="14"/>
        <v>567</v>
      </c>
      <c r="I123" s="41">
        <f t="shared" si="14"/>
        <v>1</v>
      </c>
      <c r="J123" s="30">
        <f t="shared" si="14"/>
        <v>122</v>
      </c>
      <c r="K123" s="41">
        <f t="shared" si="14"/>
        <v>1</v>
      </c>
      <c r="L123" s="30">
        <f t="shared" si="14"/>
        <v>538</v>
      </c>
      <c r="M123" s="41">
        <f t="shared" si="14"/>
        <v>1</v>
      </c>
      <c r="N123" s="30">
        <f t="shared" si="14"/>
        <v>1529</v>
      </c>
      <c r="O123" s="41">
        <f t="shared" si="14"/>
        <v>1</v>
      </c>
    </row>
    <row r="124" spans="1:15" x14ac:dyDescent="0.2">
      <c r="A124" s="28" t="str">
        <f>all!A394</f>
        <v>Percent of Good or Very Good</v>
      </c>
      <c r="B124" s="25"/>
      <c r="C124" s="34">
        <f>SUM(C119:C120)</f>
        <v>0.77542372881355925</v>
      </c>
      <c r="D124" s="25"/>
      <c r="E124" s="34">
        <f>SUM(E119:E120)</f>
        <v>0.6</v>
      </c>
      <c r="F124" s="25"/>
      <c r="G124" s="34">
        <f>SUM(G119:G120)</f>
        <v>0.8214285714285714</v>
      </c>
      <c r="H124" s="25"/>
      <c r="I124" s="34">
        <f>SUM(I119:I120)</f>
        <v>0.81481481481481477</v>
      </c>
      <c r="J124" s="25"/>
      <c r="K124" s="34">
        <f>SUM(K119:K120)</f>
        <v>0.84426229508196726</v>
      </c>
      <c r="L124" s="25"/>
      <c r="M124" s="34">
        <f>SUM(M119:M120)</f>
        <v>0.80483271375464682</v>
      </c>
      <c r="N124" s="27"/>
      <c r="O124" s="34">
        <f>SUM(O119:O120)</f>
        <v>0.80640941792020926</v>
      </c>
    </row>
    <row r="125" spans="1:15" x14ac:dyDescent="0.2">
      <c r="A125" s="19"/>
      <c r="B125" s="4"/>
      <c r="D125" s="1"/>
      <c r="H125" s="10"/>
    </row>
    <row r="126" spans="1:15" ht="24" x14ac:dyDescent="0.2">
      <c r="A126" s="28" t="str">
        <f>all!A396</f>
        <v>Overall Evaluation of Business Services</v>
      </c>
      <c r="B126" s="154" t="s">
        <v>128</v>
      </c>
      <c r="C126" s="154"/>
      <c r="D126" s="154" t="s">
        <v>99</v>
      </c>
      <c r="E126" s="154"/>
      <c r="F126" s="155" t="s">
        <v>136</v>
      </c>
      <c r="G126" s="155"/>
      <c r="H126" s="154" t="s">
        <v>101</v>
      </c>
      <c r="I126" s="154"/>
      <c r="J126" s="154" t="s">
        <v>129</v>
      </c>
      <c r="K126" s="154"/>
      <c r="L126" s="154" t="s">
        <v>126</v>
      </c>
      <c r="M126" s="154"/>
      <c r="N126" s="182" t="s">
        <v>1</v>
      </c>
      <c r="O126" s="182"/>
    </row>
    <row r="127" spans="1:15" x14ac:dyDescent="0.2">
      <c r="A127" s="26" t="str">
        <f>all!A397</f>
        <v>Very good</v>
      </c>
      <c r="B127" s="38">
        <f>all!B397</f>
        <v>94</v>
      </c>
      <c r="C127" s="39">
        <f>all!C397</f>
        <v>0.24607329842931938</v>
      </c>
      <c r="D127" s="38">
        <f>all!D397</f>
        <v>6</v>
      </c>
      <c r="E127" s="39">
        <f>all!E397</f>
        <v>0.23076923076923078</v>
      </c>
      <c r="F127" s="38">
        <f>all!F397</f>
        <v>29</v>
      </c>
      <c r="G127" s="39">
        <f>all!G397</f>
        <v>0.22480620155038761</v>
      </c>
      <c r="H127" s="38">
        <f>all!H397</f>
        <v>195</v>
      </c>
      <c r="I127" s="39">
        <f>all!I397</f>
        <v>0.26034712950600802</v>
      </c>
      <c r="J127" s="38">
        <f>all!J397</f>
        <v>77</v>
      </c>
      <c r="K127" s="39">
        <f>all!K397</f>
        <v>0.23404255319148937</v>
      </c>
      <c r="L127" s="38">
        <f>all!L397</f>
        <v>206</v>
      </c>
      <c r="M127" s="39">
        <f>all!M397</f>
        <v>0.26108998732572875</v>
      </c>
      <c r="N127" s="29">
        <f>all!N397</f>
        <v>607</v>
      </c>
      <c r="O127" s="39">
        <f>all!O397</f>
        <v>0.25249584026622296</v>
      </c>
    </row>
    <row r="128" spans="1:15" x14ac:dyDescent="0.2">
      <c r="A128" s="26" t="str">
        <f>all!A398</f>
        <v>Good</v>
      </c>
      <c r="B128" s="38">
        <f>all!B398</f>
        <v>269</v>
      </c>
      <c r="C128" s="39">
        <f>all!C398</f>
        <v>0.70418848167539272</v>
      </c>
      <c r="D128" s="38">
        <f>all!D398</f>
        <v>17</v>
      </c>
      <c r="E128" s="39">
        <f>all!E398</f>
        <v>0.65384615384615385</v>
      </c>
      <c r="F128" s="38">
        <f>all!F398</f>
        <v>86</v>
      </c>
      <c r="G128" s="39">
        <f>all!G398</f>
        <v>0.66666666666666663</v>
      </c>
      <c r="H128" s="38">
        <f>all!H398</f>
        <v>489</v>
      </c>
      <c r="I128" s="39">
        <f>all!I398</f>
        <v>0.65287049399198926</v>
      </c>
      <c r="J128" s="38">
        <f>all!J398</f>
        <v>219</v>
      </c>
      <c r="K128" s="39">
        <f>all!K398</f>
        <v>0.66565349544072949</v>
      </c>
      <c r="L128" s="38">
        <f>all!L398</f>
        <v>515</v>
      </c>
      <c r="M128" s="39">
        <f>all!M398</f>
        <v>0.65272496831432192</v>
      </c>
      <c r="N128" s="29">
        <f>all!N398</f>
        <v>1595</v>
      </c>
      <c r="O128" s="39">
        <f>all!O398</f>
        <v>0.66347753743760396</v>
      </c>
    </row>
    <row r="129" spans="1:15" x14ac:dyDescent="0.2">
      <c r="A129" s="26" t="str">
        <f>all!A399</f>
        <v>Poor</v>
      </c>
      <c r="B129" s="38">
        <f>all!B399</f>
        <v>17</v>
      </c>
      <c r="C129" s="39">
        <f>all!C399</f>
        <v>4.4502617801047119E-2</v>
      </c>
      <c r="D129" s="38">
        <f>all!D399</f>
        <v>3</v>
      </c>
      <c r="E129" s="39">
        <f>all!E399</f>
        <v>0.11538461538461539</v>
      </c>
      <c r="F129" s="38">
        <f>all!F399</f>
        <v>12</v>
      </c>
      <c r="G129" s="39">
        <f>all!G399</f>
        <v>9.3023255813953487E-2</v>
      </c>
      <c r="H129" s="38">
        <f>all!H399</f>
        <v>54</v>
      </c>
      <c r="I129" s="39">
        <f>all!I399</f>
        <v>7.209612817089453E-2</v>
      </c>
      <c r="J129" s="38">
        <f>all!J399</f>
        <v>27</v>
      </c>
      <c r="K129" s="39">
        <f>all!K399</f>
        <v>8.2066869300911852E-2</v>
      </c>
      <c r="L129" s="38">
        <f>all!L399</f>
        <v>56</v>
      </c>
      <c r="M129" s="39">
        <f>all!M399</f>
        <v>7.0975918884664133E-2</v>
      </c>
      <c r="N129" s="29">
        <f>all!N399</f>
        <v>169</v>
      </c>
      <c r="O129" s="39">
        <f>all!O399</f>
        <v>7.0299500831946748E-2</v>
      </c>
    </row>
    <row r="130" spans="1:15" x14ac:dyDescent="0.2">
      <c r="A130" s="26" t="str">
        <f>all!A400</f>
        <v>Very poor</v>
      </c>
      <c r="B130" s="38">
        <f>all!B400</f>
        <v>2</v>
      </c>
      <c r="C130" s="39">
        <f>all!C400</f>
        <v>5.235602094240838E-3</v>
      </c>
      <c r="D130" s="38">
        <f>all!D400</f>
        <v>0</v>
      </c>
      <c r="E130" s="39">
        <f>all!E400</f>
        <v>0</v>
      </c>
      <c r="F130" s="38">
        <f>all!F400</f>
        <v>2</v>
      </c>
      <c r="G130" s="39">
        <f>all!G400</f>
        <v>1.5503875968992248E-2</v>
      </c>
      <c r="H130" s="38">
        <f>all!H400</f>
        <v>11</v>
      </c>
      <c r="I130" s="39">
        <f>all!I400</f>
        <v>1.4686248331108143E-2</v>
      </c>
      <c r="J130" s="38">
        <f>all!J400</f>
        <v>6</v>
      </c>
      <c r="K130" s="39">
        <f>all!K400</f>
        <v>1.82370820668693E-2</v>
      </c>
      <c r="L130" s="38">
        <f>all!L400</f>
        <v>12</v>
      </c>
      <c r="M130" s="39">
        <f>all!M400</f>
        <v>1.5209125475285171E-2</v>
      </c>
      <c r="N130" s="29">
        <f>all!N400</f>
        <v>33</v>
      </c>
      <c r="O130" s="39">
        <f>all!O400</f>
        <v>1.3727121464226289E-2</v>
      </c>
    </row>
    <row r="131" spans="1:15" s="14" customFormat="1" x14ac:dyDescent="0.2">
      <c r="A131" s="108" t="str">
        <f>all!A401</f>
        <v>Total</v>
      </c>
      <c r="B131" s="30">
        <f t="shared" ref="B131:O131" si="15">SUM(B127:B130)</f>
        <v>382</v>
      </c>
      <c r="C131" s="41">
        <f t="shared" si="15"/>
        <v>1</v>
      </c>
      <c r="D131" s="30">
        <f t="shared" si="15"/>
        <v>26</v>
      </c>
      <c r="E131" s="41">
        <f t="shared" si="15"/>
        <v>1</v>
      </c>
      <c r="F131" s="30">
        <f t="shared" si="15"/>
        <v>129</v>
      </c>
      <c r="G131" s="41">
        <f t="shared" si="15"/>
        <v>1</v>
      </c>
      <c r="H131" s="30">
        <f t="shared" si="15"/>
        <v>749</v>
      </c>
      <c r="I131" s="41">
        <f t="shared" si="15"/>
        <v>0.99999999999999989</v>
      </c>
      <c r="J131" s="30">
        <f t="shared" si="15"/>
        <v>329</v>
      </c>
      <c r="K131" s="41">
        <f t="shared" si="15"/>
        <v>1</v>
      </c>
      <c r="L131" s="30">
        <f t="shared" si="15"/>
        <v>789</v>
      </c>
      <c r="M131" s="41">
        <f t="shared" si="15"/>
        <v>1</v>
      </c>
      <c r="N131" s="30">
        <f t="shared" si="15"/>
        <v>2404</v>
      </c>
      <c r="O131" s="41">
        <f t="shared" si="15"/>
        <v>1</v>
      </c>
    </row>
    <row r="132" spans="1:15" x14ac:dyDescent="0.2">
      <c r="A132" s="28" t="str">
        <f>all!A402</f>
        <v>Percent of Good or Very Good</v>
      </c>
      <c r="B132" s="25"/>
      <c r="C132" s="34">
        <f>SUM(C127:C128)</f>
        <v>0.95026178010471207</v>
      </c>
      <c r="D132" s="25"/>
      <c r="E132" s="34">
        <f>SUM(E127:E128)</f>
        <v>0.88461538461538458</v>
      </c>
      <c r="F132" s="25"/>
      <c r="G132" s="34">
        <f>SUM(G127:G128)</f>
        <v>0.89147286821705429</v>
      </c>
      <c r="H132" s="25"/>
      <c r="I132" s="34">
        <f>SUM(I127:I128)</f>
        <v>0.91321762349799729</v>
      </c>
      <c r="J132" s="25"/>
      <c r="K132" s="34">
        <f>SUM(K127:K128)</f>
        <v>0.89969604863221886</v>
      </c>
      <c r="L132" s="25"/>
      <c r="M132" s="34">
        <f>SUM(M127:M128)</f>
        <v>0.91381495564005066</v>
      </c>
      <c r="N132" s="27"/>
      <c r="O132" s="34">
        <f>SUM(O127:O128)</f>
        <v>0.91597337770382692</v>
      </c>
    </row>
    <row r="133" spans="1:15" x14ac:dyDescent="0.2">
      <c r="H133" s="10"/>
    </row>
  </sheetData>
  <mergeCells count="112">
    <mergeCell ref="N126:O126"/>
    <mergeCell ref="B126:C126"/>
    <mergeCell ref="D126:E126"/>
    <mergeCell ref="F126:G126"/>
    <mergeCell ref="H126:I126"/>
    <mergeCell ref="J126:K126"/>
    <mergeCell ref="L126:M126"/>
    <mergeCell ref="N110:O110"/>
    <mergeCell ref="B118:C118"/>
    <mergeCell ref="D118:E118"/>
    <mergeCell ref="F118:G118"/>
    <mergeCell ref="H118:I118"/>
    <mergeCell ref="J118:K118"/>
    <mergeCell ref="L118:M118"/>
    <mergeCell ref="N118:O118"/>
    <mergeCell ref="B110:C110"/>
    <mergeCell ref="D110:E110"/>
    <mergeCell ref="F110:G110"/>
    <mergeCell ref="H110:I110"/>
    <mergeCell ref="J110:K110"/>
    <mergeCell ref="L110:M110"/>
    <mergeCell ref="N93:O93"/>
    <mergeCell ref="B102:C102"/>
    <mergeCell ref="D102:E102"/>
    <mergeCell ref="F102:G102"/>
    <mergeCell ref="H102:I102"/>
    <mergeCell ref="J102:K102"/>
    <mergeCell ref="L102:M102"/>
    <mergeCell ref="N102:O102"/>
    <mergeCell ref="B93:C93"/>
    <mergeCell ref="D93:E93"/>
    <mergeCell ref="F93:G93"/>
    <mergeCell ref="H93:I93"/>
    <mergeCell ref="J93:K93"/>
    <mergeCell ref="L93:M93"/>
    <mergeCell ref="N77:O77"/>
    <mergeCell ref="B85:C85"/>
    <mergeCell ref="D85:E85"/>
    <mergeCell ref="F85:G85"/>
    <mergeCell ref="H85:I85"/>
    <mergeCell ref="J85:K85"/>
    <mergeCell ref="L85:M85"/>
    <mergeCell ref="N85:O85"/>
    <mergeCell ref="B77:C77"/>
    <mergeCell ref="D77:E77"/>
    <mergeCell ref="F77:G77"/>
    <mergeCell ref="H77:I77"/>
    <mergeCell ref="J77:K77"/>
    <mergeCell ref="L77:M77"/>
    <mergeCell ref="N61:O61"/>
    <mergeCell ref="B69:C69"/>
    <mergeCell ref="D69:E69"/>
    <mergeCell ref="F69:G69"/>
    <mergeCell ref="H69:I69"/>
    <mergeCell ref="J69:K69"/>
    <mergeCell ref="L69:M69"/>
    <mergeCell ref="N69:O69"/>
    <mergeCell ref="B61:C61"/>
    <mergeCell ref="D61:E61"/>
    <mergeCell ref="F61:G61"/>
    <mergeCell ref="H61:I61"/>
    <mergeCell ref="J61:K61"/>
    <mergeCell ref="L61:M61"/>
    <mergeCell ref="N45:O45"/>
    <mergeCell ref="B53:C53"/>
    <mergeCell ref="D53:E53"/>
    <mergeCell ref="F53:G53"/>
    <mergeCell ref="H53:I53"/>
    <mergeCell ref="J53:K53"/>
    <mergeCell ref="L53:M53"/>
    <mergeCell ref="N53:O53"/>
    <mergeCell ref="B45:C45"/>
    <mergeCell ref="D45:E45"/>
    <mergeCell ref="F45:G45"/>
    <mergeCell ref="H45:I45"/>
    <mergeCell ref="J45:K45"/>
    <mergeCell ref="L45:M45"/>
    <mergeCell ref="N29:O29"/>
    <mergeCell ref="B37:C37"/>
    <mergeCell ref="D37:E37"/>
    <mergeCell ref="F37:G37"/>
    <mergeCell ref="H37:I37"/>
    <mergeCell ref="J37:K37"/>
    <mergeCell ref="L37:M37"/>
    <mergeCell ref="N37:O37"/>
    <mergeCell ref="B29:C29"/>
    <mergeCell ref="D29:E29"/>
    <mergeCell ref="F29:G29"/>
    <mergeCell ref="H29:I29"/>
    <mergeCell ref="J29:K29"/>
    <mergeCell ref="L29:M29"/>
    <mergeCell ref="B5:C5"/>
    <mergeCell ref="D5:E5"/>
    <mergeCell ref="F5:G5"/>
    <mergeCell ref="H5:I5"/>
    <mergeCell ref="J5:K5"/>
    <mergeCell ref="L5:M5"/>
    <mergeCell ref="N5:O5"/>
    <mergeCell ref="N13:O13"/>
    <mergeCell ref="B21:C21"/>
    <mergeCell ref="D21:E21"/>
    <mergeCell ref="F21:G21"/>
    <mergeCell ref="H21:I21"/>
    <mergeCell ref="J21:K21"/>
    <mergeCell ref="L21:M21"/>
    <mergeCell ref="N21:O21"/>
    <mergeCell ref="B13:C13"/>
    <mergeCell ref="D13:E13"/>
    <mergeCell ref="F13:G13"/>
    <mergeCell ref="H13:I13"/>
    <mergeCell ref="J13:K13"/>
    <mergeCell ref="L13:M13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
11/12/2010-kw&amp;C&amp;F&amp;R&amp;P of &amp;N</oddFooter>
  </headerFooter>
  <rowBreaks count="2" manualBreakCount="2">
    <brk id="36" max="16383" man="1"/>
    <brk id="10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zoomScaleNormal="100" workbookViewId="0">
      <selection activeCell="B33" sqref="B33"/>
    </sheetView>
  </sheetViews>
  <sheetFormatPr defaultRowHeight="12.75" x14ac:dyDescent="0.2"/>
  <cols>
    <col min="1" max="1" width="39.28515625" style="21" customWidth="1"/>
    <col min="2" max="2" width="6.5703125" style="10" bestFit="1" customWidth="1"/>
    <col min="3" max="3" width="7.140625" style="141" bestFit="1" customWidth="1"/>
    <col min="4" max="4" width="5.5703125" style="10" customWidth="1"/>
    <col min="5" max="5" width="5.7109375" style="141" bestFit="1" customWidth="1"/>
    <col min="6" max="6" width="4.7109375" style="10" bestFit="1" customWidth="1"/>
    <col min="7" max="7" width="5.42578125" style="141" bestFit="1" customWidth="1"/>
    <col min="8" max="8" width="5.42578125" style="11" bestFit="1" customWidth="1"/>
    <col min="9" max="9" width="5.42578125" style="141" bestFit="1" customWidth="1"/>
    <col min="10" max="10" width="5.42578125" style="10" bestFit="1" customWidth="1"/>
    <col min="11" max="11" width="5.42578125" style="141" bestFit="1" customWidth="1"/>
    <col min="12" max="12" width="6.42578125" style="10" customWidth="1"/>
    <col min="13" max="13" width="6.42578125" style="141" customWidth="1"/>
    <col min="14" max="14" width="5.5703125" style="10" bestFit="1" customWidth="1"/>
    <col min="15" max="15" width="5.42578125" style="141" bestFit="1" customWidth="1"/>
    <col min="16" max="16" width="5.42578125" style="10" bestFit="1" customWidth="1"/>
    <col min="17" max="16384" width="9.140625" style="12"/>
  </cols>
  <sheetData>
    <row r="1" spans="1:17" ht="15.75" x14ac:dyDescent="0.2">
      <c r="A1" s="127" t="s">
        <v>221</v>
      </c>
    </row>
    <row r="2" spans="1:17" x14ac:dyDescent="0.2">
      <c r="A2" s="20"/>
      <c r="B2" s="1"/>
      <c r="C2" s="140"/>
      <c r="D2" s="1"/>
      <c r="E2" s="140"/>
      <c r="F2" s="1"/>
      <c r="G2" s="140"/>
      <c r="H2" s="1"/>
      <c r="I2" s="140"/>
      <c r="J2" s="1"/>
      <c r="K2" s="140"/>
      <c r="L2" s="1"/>
      <c r="M2" s="140"/>
      <c r="N2" s="15"/>
    </row>
    <row r="3" spans="1:17" x14ac:dyDescent="0.2">
      <c r="A3" s="6" t="s">
        <v>135</v>
      </c>
    </row>
    <row r="4" spans="1:17" x14ac:dyDescent="0.2">
      <c r="A4" s="6" t="s">
        <v>0</v>
      </c>
      <c r="H4" s="10"/>
    </row>
    <row r="5" spans="1:17" ht="24" x14ac:dyDescent="0.2">
      <c r="A5" s="22" t="s">
        <v>29</v>
      </c>
      <c r="B5" s="154" t="s">
        <v>128</v>
      </c>
      <c r="C5" s="154"/>
      <c r="D5" s="154" t="s">
        <v>99</v>
      </c>
      <c r="E5" s="154"/>
      <c r="F5" s="155" t="s">
        <v>136</v>
      </c>
      <c r="G5" s="155"/>
      <c r="H5" s="154" t="s">
        <v>101</v>
      </c>
      <c r="I5" s="154"/>
      <c r="J5" s="154" t="s">
        <v>129</v>
      </c>
      <c r="K5" s="154"/>
      <c r="L5" s="154" t="s">
        <v>126</v>
      </c>
      <c r="M5" s="154"/>
      <c r="N5" s="182" t="s">
        <v>1</v>
      </c>
      <c r="O5" s="182"/>
      <c r="Q5" s="12" t="s">
        <v>0</v>
      </c>
    </row>
    <row r="6" spans="1:17" x14ac:dyDescent="0.2">
      <c r="A6" s="26" t="str">
        <f>all!A408</f>
        <v>Class schedule mailed to home or office</v>
      </c>
      <c r="B6" s="23">
        <f>all!B408</f>
        <v>28</v>
      </c>
      <c r="C6" s="83">
        <f>all!C408</f>
        <v>5.7494866529774126E-2</v>
      </c>
      <c r="D6" s="23">
        <f>all!D408</f>
        <v>2</v>
      </c>
      <c r="E6" s="83">
        <f>all!E408</f>
        <v>5.2631578947368418E-2</v>
      </c>
      <c r="F6" s="23">
        <f>all!F408</f>
        <v>12</v>
      </c>
      <c r="G6" s="83">
        <f>all!G408</f>
        <v>5.9701492537313432E-2</v>
      </c>
      <c r="H6" s="23">
        <f>all!H408</f>
        <v>21</v>
      </c>
      <c r="I6" s="83">
        <f>all!I408</f>
        <v>2.3359288097886542E-2</v>
      </c>
      <c r="J6" s="23">
        <f>all!J408</f>
        <v>32</v>
      </c>
      <c r="K6" s="83">
        <f>all!K408</f>
        <v>7.5471698113207544E-2</v>
      </c>
      <c r="L6" s="23">
        <f>all!L408</f>
        <v>53</v>
      </c>
      <c r="M6" s="83">
        <f>all!M408</f>
        <v>5.4136874361593465E-2</v>
      </c>
      <c r="N6" s="23">
        <f>all!N408</f>
        <v>148</v>
      </c>
      <c r="O6" s="83">
        <f>all!O408</f>
        <v>4.8877146631439897E-2</v>
      </c>
    </row>
    <row r="7" spans="1:17" x14ac:dyDescent="0.2">
      <c r="A7" s="26" t="str">
        <f>all!A409</f>
        <v>Class schedule picked up at other location</v>
      </c>
      <c r="B7" s="23">
        <f>all!B409</f>
        <v>20</v>
      </c>
      <c r="C7" s="83">
        <f>all!C409</f>
        <v>4.1067761806981518E-2</v>
      </c>
      <c r="D7" s="23">
        <f>all!D409</f>
        <v>1</v>
      </c>
      <c r="E7" s="83">
        <f>all!E409</f>
        <v>2.6315789473684209E-2</v>
      </c>
      <c r="F7" s="23">
        <f>all!F409</f>
        <v>14</v>
      </c>
      <c r="G7" s="83">
        <f>all!G409</f>
        <v>6.965174129353234E-2</v>
      </c>
      <c r="H7" s="23">
        <f>all!H409</f>
        <v>38</v>
      </c>
      <c r="I7" s="83">
        <f>all!I409</f>
        <v>4.2269187986651836E-2</v>
      </c>
      <c r="J7" s="23">
        <f>all!J409</f>
        <v>18</v>
      </c>
      <c r="K7" s="83">
        <f>all!K409</f>
        <v>4.2452830188679243E-2</v>
      </c>
      <c r="L7" s="23">
        <f>all!L409</f>
        <v>27</v>
      </c>
      <c r="M7" s="83">
        <f>all!M409</f>
        <v>2.7579162410623085E-2</v>
      </c>
      <c r="N7" s="23">
        <f>all!N409</f>
        <v>118</v>
      </c>
      <c r="O7" s="83">
        <f>all!O409</f>
        <v>3.8969616908850729E-2</v>
      </c>
    </row>
    <row r="8" spans="1:17" x14ac:dyDescent="0.2">
      <c r="A8" s="26" t="str">
        <f>all!A410</f>
        <v xml:space="preserve"> Newspaper articles or advertisements</v>
      </c>
      <c r="B8" s="23">
        <f>all!B410</f>
        <v>24</v>
      </c>
      <c r="C8" s="83">
        <f>all!C410</f>
        <v>4.9281314168377825E-2</v>
      </c>
      <c r="D8" s="23">
        <f>all!D410</f>
        <v>1</v>
      </c>
      <c r="E8" s="83">
        <f>all!E410</f>
        <v>2.6315789473684209E-2</v>
      </c>
      <c r="F8" s="23">
        <f>all!F410</f>
        <v>6</v>
      </c>
      <c r="G8" s="83">
        <f>all!G410</f>
        <v>2.9850746268656716E-2</v>
      </c>
      <c r="H8" s="23">
        <f>all!H410</f>
        <v>22</v>
      </c>
      <c r="I8" s="83">
        <f>all!I410</f>
        <v>2.4471635150166853E-2</v>
      </c>
      <c r="J8" s="23">
        <f>all!J410</f>
        <v>9</v>
      </c>
      <c r="K8" s="83">
        <f>all!K410</f>
        <v>2.1226415094339621E-2</v>
      </c>
      <c r="L8" s="23">
        <f>all!L410</f>
        <v>38</v>
      </c>
      <c r="M8" s="83">
        <f>all!M410</f>
        <v>3.8815117466802863E-2</v>
      </c>
      <c r="N8" s="23">
        <f>all!N410</f>
        <v>100</v>
      </c>
      <c r="O8" s="83">
        <f>all!O410</f>
        <v>3.3025099075297229E-2</v>
      </c>
    </row>
    <row r="9" spans="1:17" x14ac:dyDescent="0.2">
      <c r="A9" s="26" t="str">
        <f>all!A411</f>
        <v>Viewbook, catalog, or other brochures</v>
      </c>
      <c r="B9" s="23">
        <f>all!B411</f>
        <v>36</v>
      </c>
      <c r="C9" s="83">
        <f>all!C411</f>
        <v>7.3921971252566734E-2</v>
      </c>
      <c r="D9" s="23">
        <f>all!D411</f>
        <v>1</v>
      </c>
      <c r="E9" s="83">
        <f>all!E411</f>
        <v>2.6315789473684209E-2</v>
      </c>
      <c r="F9" s="23">
        <f>all!F411</f>
        <v>18</v>
      </c>
      <c r="G9" s="83">
        <f>all!G411</f>
        <v>8.9552238805970144E-2</v>
      </c>
      <c r="H9" s="23">
        <f>all!H411</f>
        <v>59</v>
      </c>
      <c r="I9" s="83">
        <f>all!I411</f>
        <v>6.5628476084538381E-2</v>
      </c>
      <c r="J9" s="23">
        <f>all!J411</f>
        <v>29</v>
      </c>
      <c r="K9" s="83">
        <f>all!K411</f>
        <v>6.8396226415094338E-2</v>
      </c>
      <c r="L9" s="23">
        <f>all!L411</f>
        <v>81</v>
      </c>
      <c r="M9" s="83">
        <f>all!M411</f>
        <v>8.2737487231869258E-2</v>
      </c>
      <c r="N9" s="23">
        <f>all!N411</f>
        <v>224</v>
      </c>
      <c r="O9" s="83">
        <f>all!O411</f>
        <v>7.3976221928665792E-2</v>
      </c>
    </row>
    <row r="10" spans="1:17" x14ac:dyDescent="0.2">
      <c r="A10" s="26" t="str">
        <f>all!A412</f>
        <v>Parents</v>
      </c>
      <c r="B10" s="23">
        <f>all!B412</f>
        <v>60</v>
      </c>
      <c r="C10" s="83">
        <f>all!C412</f>
        <v>0.12320328542094455</v>
      </c>
      <c r="D10" s="23">
        <f>all!D412</f>
        <v>0</v>
      </c>
      <c r="E10" s="83">
        <f>all!E412</f>
        <v>0</v>
      </c>
      <c r="F10" s="23">
        <f>all!F412</f>
        <v>15</v>
      </c>
      <c r="G10" s="83">
        <f>all!G412</f>
        <v>7.4626865671641784E-2</v>
      </c>
      <c r="H10" s="23">
        <f>all!H412</f>
        <v>122</v>
      </c>
      <c r="I10" s="83">
        <f>all!I412</f>
        <v>0.13570634037819801</v>
      </c>
      <c r="J10" s="23">
        <f>all!J412</f>
        <v>37</v>
      </c>
      <c r="K10" s="83">
        <f>all!K412</f>
        <v>8.7264150943396221E-2</v>
      </c>
      <c r="L10" s="23">
        <f>all!L412</f>
        <v>125</v>
      </c>
      <c r="M10" s="83">
        <f>all!M412</f>
        <v>0.12768130745658834</v>
      </c>
      <c r="N10" s="23">
        <f>all!N412</f>
        <v>359</v>
      </c>
      <c r="O10" s="83">
        <f>all!O412</f>
        <v>0.11856010568031704</v>
      </c>
    </row>
    <row r="11" spans="1:17" x14ac:dyDescent="0.2">
      <c r="A11" s="26" t="str">
        <f>all!A413</f>
        <v>High school teacher or counselor</v>
      </c>
      <c r="B11" s="23">
        <f>all!B413</f>
        <v>65</v>
      </c>
      <c r="C11" s="83">
        <f>all!C413</f>
        <v>0.13347022587268995</v>
      </c>
      <c r="D11" s="23">
        <f>all!D413</f>
        <v>5</v>
      </c>
      <c r="E11" s="83">
        <f>all!E413</f>
        <v>0.13157894736842105</v>
      </c>
      <c r="F11" s="23">
        <f>all!F413</f>
        <v>14</v>
      </c>
      <c r="G11" s="83">
        <f>all!G413</f>
        <v>6.965174129353234E-2</v>
      </c>
      <c r="H11" s="23">
        <f>all!H413</f>
        <v>163</v>
      </c>
      <c r="I11" s="83">
        <f>all!I413</f>
        <v>0.18131256952169078</v>
      </c>
      <c r="J11" s="23">
        <f>all!J413</f>
        <v>37</v>
      </c>
      <c r="K11" s="83">
        <f>all!K413</f>
        <v>8.7264150943396221E-2</v>
      </c>
      <c r="L11" s="23">
        <f>all!L413</f>
        <v>152</v>
      </c>
      <c r="M11" s="83">
        <f>all!M413</f>
        <v>0.15526046986721145</v>
      </c>
      <c r="N11" s="23">
        <f>all!N413</f>
        <v>436</v>
      </c>
      <c r="O11" s="83">
        <f>all!O413</f>
        <v>0.14398943196829592</v>
      </c>
    </row>
    <row r="12" spans="1:17" x14ac:dyDescent="0.2">
      <c r="A12" s="26" t="str">
        <f>all!A414</f>
        <v>Friend or another FRCC student</v>
      </c>
      <c r="B12" s="23">
        <f>all!B414</f>
        <v>160</v>
      </c>
      <c r="C12" s="83">
        <f>all!C414</f>
        <v>0.32854209445585214</v>
      </c>
      <c r="D12" s="23">
        <f>all!D414</f>
        <v>13</v>
      </c>
      <c r="E12" s="83">
        <f>all!E414</f>
        <v>0.34210526315789475</v>
      </c>
      <c r="F12" s="23">
        <f>all!F414</f>
        <v>62</v>
      </c>
      <c r="G12" s="83">
        <f>all!G414</f>
        <v>0.30845771144278605</v>
      </c>
      <c r="H12" s="23">
        <f>all!H414</f>
        <v>286</v>
      </c>
      <c r="I12" s="83">
        <f>all!I414</f>
        <v>0.31813125695216909</v>
      </c>
      <c r="J12" s="23">
        <f>all!J414</f>
        <v>131</v>
      </c>
      <c r="K12" s="83">
        <f>all!K414</f>
        <v>0.30896226415094341</v>
      </c>
      <c r="L12" s="23">
        <f>all!L414</f>
        <v>306</v>
      </c>
      <c r="M12" s="83">
        <f>all!M414</f>
        <v>0.31256384065372828</v>
      </c>
      <c r="N12" s="23">
        <f>all!N414</f>
        <v>958</v>
      </c>
      <c r="O12" s="83">
        <f>all!O414</f>
        <v>0.31638044914134744</v>
      </c>
    </row>
    <row r="13" spans="1:17" x14ac:dyDescent="0.2">
      <c r="A13" s="26" t="str">
        <f>all!A415</f>
        <v>Visit to high school by FRCC staff</v>
      </c>
      <c r="B13" s="23">
        <f>all!B415</f>
        <v>13</v>
      </c>
      <c r="C13" s="83">
        <f>all!C415</f>
        <v>2.6694045174537988E-2</v>
      </c>
      <c r="D13" s="23">
        <f>all!D415</f>
        <v>2</v>
      </c>
      <c r="E13" s="83">
        <f>all!E415</f>
        <v>5.2631578947368418E-2</v>
      </c>
      <c r="F13" s="23">
        <f>all!F415</f>
        <v>3</v>
      </c>
      <c r="G13" s="83">
        <f>all!G415</f>
        <v>1.4925373134328358E-2</v>
      </c>
      <c r="H13" s="23">
        <f>all!H415</f>
        <v>43</v>
      </c>
      <c r="I13" s="83">
        <f>all!I415</f>
        <v>4.7830923248053395E-2</v>
      </c>
      <c r="J13" s="23">
        <f>all!J415</f>
        <v>8</v>
      </c>
      <c r="K13" s="83">
        <f>all!K415</f>
        <v>1.8867924528301886E-2</v>
      </c>
      <c r="L13" s="23">
        <f>all!L415</f>
        <v>28</v>
      </c>
      <c r="M13" s="83">
        <f>all!M415</f>
        <v>2.8600612870275793E-2</v>
      </c>
      <c r="N13" s="23">
        <f>all!N415</f>
        <v>97</v>
      </c>
      <c r="O13" s="83">
        <f>all!O415</f>
        <v>3.2034346103038312E-2</v>
      </c>
    </row>
    <row r="14" spans="1:17" x14ac:dyDescent="0.2">
      <c r="A14" s="26" t="str">
        <f>all!A416</f>
        <v>Sought out closest college</v>
      </c>
      <c r="B14" s="23">
        <f>all!B416</f>
        <v>178</v>
      </c>
      <c r="C14" s="83">
        <f>all!C416</f>
        <v>0.3655030800821355</v>
      </c>
      <c r="D14" s="23">
        <f>all!D416</f>
        <v>13</v>
      </c>
      <c r="E14" s="83">
        <f>all!E416</f>
        <v>0.34210526315789475</v>
      </c>
      <c r="F14" s="23">
        <f>all!F416</f>
        <v>58</v>
      </c>
      <c r="G14" s="83">
        <f>all!G416</f>
        <v>0.28855721393034828</v>
      </c>
      <c r="H14" s="23">
        <f>all!H416</f>
        <v>318</v>
      </c>
      <c r="I14" s="83">
        <f>all!I416</f>
        <v>0.35372636262513907</v>
      </c>
      <c r="J14" s="23">
        <f>all!J416</f>
        <v>139</v>
      </c>
      <c r="K14" s="83">
        <f>all!K416</f>
        <v>0.32783018867924529</v>
      </c>
      <c r="L14" s="23">
        <f>all!L416</f>
        <v>361</v>
      </c>
      <c r="M14" s="83">
        <f>all!M416</f>
        <v>0.36874361593462718</v>
      </c>
      <c r="N14" s="23">
        <f>all!N416</f>
        <v>1067</v>
      </c>
      <c r="O14" s="83">
        <f>all!O416</f>
        <v>0.35237780713342143</v>
      </c>
    </row>
    <row r="15" spans="1:17" x14ac:dyDescent="0.2">
      <c r="A15" s="26" t="str">
        <f>all!A417</f>
        <v>FRCC web site</v>
      </c>
      <c r="B15" s="23">
        <f>all!B417</f>
        <v>151</v>
      </c>
      <c r="C15" s="83">
        <f>all!C417</f>
        <v>0.31006160164271046</v>
      </c>
      <c r="D15" s="23">
        <f>all!D417</f>
        <v>7</v>
      </c>
      <c r="E15" s="83">
        <f>all!E417</f>
        <v>0.18421052631578946</v>
      </c>
      <c r="F15" s="23">
        <f>all!F417</f>
        <v>67</v>
      </c>
      <c r="G15" s="83">
        <f>all!G417</f>
        <v>0.33333333333333331</v>
      </c>
      <c r="H15" s="23">
        <f>all!H417</f>
        <v>228</v>
      </c>
      <c r="I15" s="83">
        <f>all!I417</f>
        <v>0.25361512791991103</v>
      </c>
      <c r="J15" s="23">
        <f>all!J417</f>
        <v>157</v>
      </c>
      <c r="K15" s="83">
        <f>all!K417</f>
        <v>0.37028301886792453</v>
      </c>
      <c r="L15" s="23">
        <f>all!L417</f>
        <v>271</v>
      </c>
      <c r="M15" s="83">
        <f>all!M417</f>
        <v>0.27681307456588355</v>
      </c>
      <c r="N15" s="23">
        <f>all!N417</f>
        <v>881</v>
      </c>
      <c r="O15" s="83">
        <f>all!O417</f>
        <v>0.29095112285336855</v>
      </c>
    </row>
    <row r="16" spans="1:17" x14ac:dyDescent="0.2">
      <c r="A16" s="19"/>
      <c r="B16" s="1"/>
      <c r="C16" s="140"/>
      <c r="D16" s="1"/>
      <c r="E16" s="140"/>
      <c r="F16" s="1"/>
      <c r="G16" s="140"/>
      <c r="H16" s="1"/>
      <c r="I16" s="140"/>
      <c r="J16" s="1"/>
      <c r="K16" s="140"/>
      <c r="L16" s="1"/>
      <c r="M16" s="140"/>
      <c r="N16" s="1"/>
      <c r="O16" s="140"/>
    </row>
    <row r="17" spans="1:16" x14ac:dyDescent="0.2">
      <c r="A17" s="10"/>
      <c r="G17" s="143"/>
      <c r="H17" s="10"/>
    </row>
    <row r="18" spans="1:16" ht="24" x14ac:dyDescent="0.2">
      <c r="A18" s="108" t="str">
        <f>all!A420</f>
        <v>What are the main reasons that you chose or are continuing at FRCC (multiple answers)</v>
      </c>
      <c r="B18" s="154" t="s">
        <v>128</v>
      </c>
      <c r="C18" s="154"/>
      <c r="D18" s="154" t="s">
        <v>99</v>
      </c>
      <c r="E18" s="154"/>
      <c r="F18" s="155" t="s">
        <v>136</v>
      </c>
      <c r="G18" s="155"/>
      <c r="H18" s="154" t="s">
        <v>101</v>
      </c>
      <c r="I18" s="154"/>
      <c r="J18" s="154" t="s">
        <v>129</v>
      </c>
      <c r="K18" s="154"/>
      <c r="L18" s="154" t="s">
        <v>126</v>
      </c>
      <c r="M18" s="154"/>
      <c r="N18" s="182" t="s">
        <v>1</v>
      </c>
      <c r="O18" s="182"/>
    </row>
    <row r="19" spans="1:16" x14ac:dyDescent="0.2">
      <c r="A19" s="26" t="str">
        <f>all!A421</f>
        <v>Quality of instruction</v>
      </c>
      <c r="B19" s="23">
        <f>all!B421</f>
        <v>179</v>
      </c>
      <c r="C19" s="83">
        <f>all!C421</f>
        <v>0.36755646817248461</v>
      </c>
      <c r="D19" s="23">
        <f>all!D421</f>
        <v>11</v>
      </c>
      <c r="E19" s="83">
        <f>all!E421</f>
        <v>0.28947368421052633</v>
      </c>
      <c r="F19" s="23">
        <f>all!F421</f>
        <v>44</v>
      </c>
      <c r="G19" s="83">
        <f>all!G421</f>
        <v>0.21890547263681592</v>
      </c>
      <c r="H19" s="23">
        <f>all!H421</f>
        <v>323</v>
      </c>
      <c r="I19" s="83">
        <f>all!I421</f>
        <v>0.35928809788654059</v>
      </c>
      <c r="J19" s="23">
        <f>all!J421</f>
        <v>101</v>
      </c>
      <c r="K19" s="83">
        <f>all!K421</f>
        <v>0.23820754716981132</v>
      </c>
      <c r="L19" s="23">
        <f>all!L421</f>
        <v>318</v>
      </c>
      <c r="M19" s="83">
        <f>all!M421</f>
        <v>0.32482124616956076</v>
      </c>
      <c r="N19" s="23">
        <f>all!N421</f>
        <v>976</v>
      </c>
      <c r="O19" s="83">
        <f>all!O421</f>
        <v>0.32232496697490093</v>
      </c>
    </row>
    <row r="20" spans="1:16" x14ac:dyDescent="0.2">
      <c r="A20" s="26" t="str">
        <f>all!A422</f>
        <v>Close to home or work</v>
      </c>
      <c r="B20" s="23">
        <f>all!B422</f>
        <v>316</v>
      </c>
      <c r="C20" s="83">
        <f>all!C422</f>
        <v>0.64887063655030797</v>
      </c>
      <c r="D20" s="23">
        <f>all!D422</f>
        <v>27</v>
      </c>
      <c r="E20" s="83">
        <f>all!E422</f>
        <v>0.71052631578947367</v>
      </c>
      <c r="F20" s="23">
        <f>all!F422</f>
        <v>99</v>
      </c>
      <c r="G20" s="83">
        <f>all!G422</f>
        <v>0.4925373134328358</v>
      </c>
      <c r="H20" s="23">
        <f>all!H422</f>
        <v>526</v>
      </c>
      <c r="I20" s="83">
        <f>all!I422</f>
        <v>0.58509454949944384</v>
      </c>
      <c r="J20" s="23">
        <f>all!J422</f>
        <v>225</v>
      </c>
      <c r="K20" s="83">
        <f>all!K422</f>
        <v>0.53066037735849059</v>
      </c>
      <c r="L20" s="23">
        <f>all!L422</f>
        <v>684</v>
      </c>
      <c r="M20" s="83">
        <f>all!M422</f>
        <v>0.69867211440245147</v>
      </c>
      <c r="N20" s="23">
        <f>all!N422</f>
        <v>1877</v>
      </c>
      <c r="O20" s="83">
        <f>all!O422</f>
        <v>0.61988110964332888</v>
      </c>
    </row>
    <row r="21" spans="1:16" x14ac:dyDescent="0.2">
      <c r="A21" s="26" t="str">
        <f>all!A423</f>
        <v>Low cost</v>
      </c>
      <c r="B21" s="23">
        <f>all!B423</f>
        <v>339</v>
      </c>
      <c r="C21" s="83">
        <f>all!C423</f>
        <v>0.6960985626283368</v>
      </c>
      <c r="D21" s="23">
        <f>all!D423</f>
        <v>21</v>
      </c>
      <c r="E21" s="83">
        <f>all!E423</f>
        <v>0.55263157894736847</v>
      </c>
      <c r="F21" s="23">
        <f>all!F423</f>
        <v>120</v>
      </c>
      <c r="G21" s="83">
        <f>all!G423</f>
        <v>0.59701492537313428</v>
      </c>
      <c r="H21" s="23">
        <f>all!H423</f>
        <v>637</v>
      </c>
      <c r="I21" s="83">
        <f>all!I423</f>
        <v>0.70856507230255839</v>
      </c>
      <c r="J21" s="23">
        <f>all!J423</f>
        <v>256</v>
      </c>
      <c r="K21" s="83">
        <f>all!K423</f>
        <v>0.60377358490566035</v>
      </c>
      <c r="L21" s="23">
        <f>all!L423</f>
        <v>684</v>
      </c>
      <c r="M21" s="83">
        <f>all!M423</f>
        <v>0.69867211440245147</v>
      </c>
      <c r="N21" s="23">
        <f>all!N423</f>
        <v>2057</v>
      </c>
      <c r="O21" s="83">
        <f>all!O423</f>
        <v>0.67932628797886396</v>
      </c>
    </row>
    <row r="22" spans="1:16" s="10" customFormat="1" x14ac:dyDescent="0.2">
      <c r="A22" s="26" t="str">
        <f>all!A424</f>
        <v>Courses or programs meet my needs</v>
      </c>
      <c r="B22" s="23">
        <f>all!B424</f>
        <v>302</v>
      </c>
      <c r="C22" s="83">
        <f>all!C424</f>
        <v>0.62012320328542092</v>
      </c>
      <c r="D22" s="23">
        <f>all!D424</f>
        <v>19</v>
      </c>
      <c r="E22" s="83">
        <f>all!E424</f>
        <v>0.5</v>
      </c>
      <c r="F22" s="23">
        <f>all!F424</f>
        <v>124</v>
      </c>
      <c r="G22" s="83">
        <f>all!G424</f>
        <v>0.61691542288557211</v>
      </c>
      <c r="H22" s="23">
        <f>all!H424</f>
        <v>557</v>
      </c>
      <c r="I22" s="83">
        <f>all!I424</f>
        <v>0.61957730812013345</v>
      </c>
      <c r="J22" s="23">
        <f>all!J424</f>
        <v>249</v>
      </c>
      <c r="K22" s="83">
        <f>all!K424</f>
        <v>0.58726415094339623</v>
      </c>
      <c r="L22" s="23">
        <f>all!L424</f>
        <v>587</v>
      </c>
      <c r="M22" s="83">
        <f>all!M424</f>
        <v>0.59959141981613895</v>
      </c>
      <c r="N22" s="23">
        <f>all!N424</f>
        <v>1838</v>
      </c>
      <c r="O22" s="83">
        <f>all!O424</f>
        <v>0.60700132100396298</v>
      </c>
    </row>
    <row r="23" spans="1:16" s="10" customFormat="1" x14ac:dyDescent="0.2">
      <c r="A23" s="26" t="str">
        <f>all!A425</f>
        <v>Small classes</v>
      </c>
      <c r="B23" s="23">
        <f>all!B425</f>
        <v>254</v>
      </c>
      <c r="C23" s="83">
        <f>all!C425</f>
        <v>0.52156057494866526</v>
      </c>
      <c r="D23" s="23">
        <f>all!D425</f>
        <v>20</v>
      </c>
      <c r="E23" s="83">
        <f>all!E425</f>
        <v>0.52631578947368418</v>
      </c>
      <c r="F23" s="23">
        <f>all!F425</f>
        <v>40</v>
      </c>
      <c r="G23" s="83">
        <f>all!G425</f>
        <v>0.19900497512437812</v>
      </c>
      <c r="H23" s="23">
        <f>all!H425</f>
        <v>462</v>
      </c>
      <c r="I23" s="83">
        <f>all!I425</f>
        <v>0.51390433815350389</v>
      </c>
      <c r="J23" s="23">
        <f>all!J425</f>
        <v>95</v>
      </c>
      <c r="K23" s="83">
        <f>all!K425</f>
        <v>0.22405660377358491</v>
      </c>
      <c r="L23" s="23">
        <f>all!L425</f>
        <v>445</v>
      </c>
      <c r="M23" s="83">
        <f>all!M425</f>
        <v>0.45454545454545453</v>
      </c>
      <c r="N23" s="23">
        <f>all!N425</f>
        <v>1316</v>
      </c>
      <c r="O23" s="83">
        <f>all!O425</f>
        <v>0.43461030383091148</v>
      </c>
    </row>
    <row r="24" spans="1:16" s="10" customFormat="1" x14ac:dyDescent="0.2">
      <c r="A24" s="26" t="str">
        <f>all!A426</f>
        <v>Supportive staff</v>
      </c>
      <c r="B24" s="23">
        <f>all!B426</f>
        <v>166</v>
      </c>
      <c r="C24" s="83">
        <f>all!C426</f>
        <v>0.34086242299794661</v>
      </c>
      <c r="D24" s="23">
        <f>all!D426</f>
        <v>11</v>
      </c>
      <c r="E24" s="83">
        <f>all!E426</f>
        <v>0.28947368421052633</v>
      </c>
      <c r="F24" s="23">
        <f>all!F426</f>
        <v>27</v>
      </c>
      <c r="G24" s="83">
        <f>all!G426</f>
        <v>0.13432835820895522</v>
      </c>
      <c r="H24" s="23">
        <f>all!H426</f>
        <v>296</v>
      </c>
      <c r="I24" s="83">
        <f>all!I426</f>
        <v>0.3292547274749722</v>
      </c>
      <c r="J24" s="23">
        <f>all!J426</f>
        <v>73</v>
      </c>
      <c r="K24" s="83">
        <f>all!K426</f>
        <v>0.17216981132075471</v>
      </c>
      <c r="L24" s="23">
        <f>all!L426</f>
        <v>282</v>
      </c>
      <c r="M24" s="83">
        <f>all!M426</f>
        <v>0.28804902962206336</v>
      </c>
      <c r="N24" s="23">
        <f>all!N426</f>
        <v>855</v>
      </c>
      <c r="O24" s="83">
        <f>all!O426</f>
        <v>0.2823645970937913</v>
      </c>
    </row>
    <row r="25" spans="1:16" s="10" customFormat="1" x14ac:dyDescent="0.2">
      <c r="A25" s="26" t="str">
        <f>all!A427</f>
        <v>Friends or relatives advice</v>
      </c>
      <c r="B25" s="23">
        <f>all!B427</f>
        <v>62</v>
      </c>
      <c r="C25" s="83">
        <f>all!C427</f>
        <v>0.12731006160164271</v>
      </c>
      <c r="D25" s="23">
        <f>all!D427</f>
        <v>3</v>
      </c>
      <c r="E25" s="83">
        <f>all!E427</f>
        <v>7.8947368421052627E-2</v>
      </c>
      <c r="F25" s="23">
        <f>all!F427</f>
        <v>20</v>
      </c>
      <c r="G25" s="83">
        <f>all!G427</f>
        <v>9.950248756218906E-2</v>
      </c>
      <c r="H25" s="23">
        <f>all!H427</f>
        <v>132</v>
      </c>
      <c r="I25" s="83">
        <f>all!I427</f>
        <v>0.14682981090100111</v>
      </c>
      <c r="J25" s="23">
        <f>all!J427</f>
        <v>41</v>
      </c>
      <c r="K25" s="83">
        <f>all!K427</f>
        <v>9.6698113207547176E-2</v>
      </c>
      <c r="L25" s="23">
        <f>all!L427</f>
        <v>124</v>
      </c>
      <c r="M25" s="83">
        <f>all!M427</f>
        <v>0.12665985699693566</v>
      </c>
      <c r="N25" s="23">
        <f>all!N427</f>
        <v>382</v>
      </c>
      <c r="O25" s="83">
        <f>all!O427</f>
        <v>0.1261558784676354</v>
      </c>
    </row>
    <row r="26" spans="1:16" s="10" customFormat="1" ht="24" x14ac:dyDescent="0.2">
      <c r="A26" s="26" t="str">
        <f>all!A428</f>
        <v>Admission or registration procedures made FRCC easier to attend</v>
      </c>
      <c r="B26" s="23">
        <f>all!B428</f>
        <v>116</v>
      </c>
      <c r="C26" s="83">
        <f>all!C428</f>
        <v>0.23819301848049282</v>
      </c>
      <c r="D26" s="23">
        <f>all!D428</f>
        <v>8</v>
      </c>
      <c r="E26" s="83">
        <f>all!E428</f>
        <v>0.21052631578947367</v>
      </c>
      <c r="F26" s="23">
        <f>all!F428</f>
        <v>43</v>
      </c>
      <c r="G26" s="83">
        <f>all!G428</f>
        <v>0.21393034825870647</v>
      </c>
      <c r="H26" s="23">
        <f>all!H428</f>
        <v>215</v>
      </c>
      <c r="I26" s="83">
        <f>all!I428</f>
        <v>0.23915461624026696</v>
      </c>
      <c r="J26" s="23">
        <f>all!J428</f>
        <v>102</v>
      </c>
      <c r="K26" s="83">
        <f>all!K428</f>
        <v>0.24056603773584906</v>
      </c>
      <c r="L26" s="23">
        <f>all!L428</f>
        <v>213</v>
      </c>
      <c r="M26" s="83">
        <f>all!M428</f>
        <v>0.21756894790602654</v>
      </c>
      <c r="N26" s="23">
        <f>all!N428</f>
        <v>697</v>
      </c>
      <c r="O26" s="83">
        <f>all!O428</f>
        <v>0.23018494055482167</v>
      </c>
      <c r="P26" s="1"/>
    </row>
    <row r="27" spans="1:16" s="10" customFormat="1" x14ac:dyDescent="0.2">
      <c r="A27" s="26" t="str">
        <f>all!A429</f>
        <v>Convenient parking</v>
      </c>
      <c r="B27" s="23">
        <f>all!B429</f>
        <v>58</v>
      </c>
      <c r="C27" s="83">
        <f>all!C429</f>
        <v>0.11909650924024641</v>
      </c>
      <c r="D27" s="23">
        <f>all!D429</f>
        <v>1</v>
      </c>
      <c r="E27" s="83">
        <f>all!E429</f>
        <v>2.6315789473684209E-2</v>
      </c>
      <c r="F27" s="23">
        <f>all!F429</f>
        <v>10</v>
      </c>
      <c r="G27" s="83">
        <f>all!G429</f>
        <v>4.975124378109453E-2</v>
      </c>
      <c r="H27" s="23">
        <f>all!H429</f>
        <v>133</v>
      </c>
      <c r="I27" s="83">
        <f>all!I429</f>
        <v>0.14794215795328142</v>
      </c>
      <c r="J27" s="23">
        <f>all!J429</f>
        <v>32</v>
      </c>
      <c r="K27" s="83">
        <f>all!K429</f>
        <v>7.5471698113207544E-2</v>
      </c>
      <c r="L27" s="23">
        <f>all!L429</f>
        <v>144</v>
      </c>
      <c r="M27" s="83">
        <f>all!M429</f>
        <v>0.14708886618998979</v>
      </c>
      <c r="N27" s="23">
        <f>all!N429</f>
        <v>378</v>
      </c>
      <c r="O27" s="83">
        <f>all!O429</f>
        <v>0.12483487450462351</v>
      </c>
    </row>
    <row r="28" spans="1:16" s="10" customFormat="1" x14ac:dyDescent="0.2">
      <c r="A28" s="26" t="str">
        <f>all!A430</f>
        <v>Courses offered where or when I can take them</v>
      </c>
      <c r="B28" s="23">
        <f>all!B430</f>
        <v>174</v>
      </c>
      <c r="C28" s="83">
        <f>all!C430</f>
        <v>0.35728952772073924</v>
      </c>
      <c r="D28" s="23">
        <f>all!D430</f>
        <v>15</v>
      </c>
      <c r="E28" s="83">
        <f>all!E430</f>
        <v>0.39473684210526316</v>
      </c>
      <c r="F28" s="23">
        <f>all!F430</f>
        <v>88</v>
      </c>
      <c r="G28" s="83">
        <f>all!G430</f>
        <v>0.43781094527363185</v>
      </c>
      <c r="H28" s="23">
        <f>all!H430</f>
        <v>351</v>
      </c>
      <c r="I28" s="83">
        <f>all!I430</f>
        <v>0.39043381535038935</v>
      </c>
      <c r="J28" s="23">
        <f>all!J430</f>
        <v>183</v>
      </c>
      <c r="K28" s="83">
        <f>all!K430</f>
        <v>0.43160377358490565</v>
      </c>
      <c r="L28" s="23">
        <f>all!L430</f>
        <v>365</v>
      </c>
      <c r="M28" s="83">
        <f>all!M430</f>
        <v>0.37282941777323803</v>
      </c>
      <c r="N28" s="23">
        <f>all!N430</f>
        <v>1176</v>
      </c>
      <c r="O28" s="83">
        <f>all!O430</f>
        <v>0.38837516512549536</v>
      </c>
    </row>
    <row r="29" spans="1:16" s="10" customFormat="1" x14ac:dyDescent="0.2">
      <c r="A29" s="26" t="str">
        <f>all!A431</f>
        <v>I obtained financial aid or scholarship.</v>
      </c>
      <c r="B29" s="23">
        <f>all!B431</f>
        <v>140</v>
      </c>
      <c r="C29" s="83">
        <f>all!C431</f>
        <v>0.28747433264887062</v>
      </c>
      <c r="D29" s="23">
        <f>all!D431</f>
        <v>12</v>
      </c>
      <c r="E29" s="83">
        <f>all!E431</f>
        <v>0.31578947368421051</v>
      </c>
      <c r="F29" s="23">
        <f>all!F431</f>
        <v>54</v>
      </c>
      <c r="G29" s="83">
        <f>all!G431</f>
        <v>0.26865671641791045</v>
      </c>
      <c r="H29" s="23">
        <f>all!H431</f>
        <v>241</v>
      </c>
      <c r="I29" s="83">
        <f>all!I431</f>
        <v>0.26807563959955505</v>
      </c>
      <c r="J29" s="23">
        <f>all!J431</f>
        <v>132</v>
      </c>
      <c r="K29" s="83">
        <f>all!K431</f>
        <v>0.31132075471698112</v>
      </c>
      <c r="L29" s="23">
        <f>all!L431</f>
        <v>279</v>
      </c>
      <c r="M29" s="83">
        <f>all!M431</f>
        <v>0.28498467824310519</v>
      </c>
      <c r="N29" s="23">
        <f>all!N431</f>
        <v>858</v>
      </c>
      <c r="O29" s="83">
        <f>all!O431</f>
        <v>0.28335535006605017</v>
      </c>
    </row>
    <row r="30" spans="1:16" s="10" customFormat="1" x14ac:dyDescent="0.2">
      <c r="A30" s="21"/>
      <c r="B30" s="3"/>
      <c r="C30" s="142"/>
      <c r="D30" s="3"/>
      <c r="E30" s="141"/>
      <c r="G30" s="141"/>
      <c r="H30" s="11"/>
      <c r="I30" s="141"/>
      <c r="K30" s="141"/>
      <c r="M30" s="141"/>
      <c r="O30" s="141"/>
    </row>
    <row r="31" spans="1:16" x14ac:dyDescent="0.2">
      <c r="A31" s="19"/>
      <c r="B31" s="4"/>
      <c r="G31" s="143"/>
      <c r="H31" s="10"/>
    </row>
    <row r="32" spans="1:16" x14ac:dyDescent="0.2">
      <c r="H32" s="10"/>
    </row>
    <row r="33" spans="8:9" x14ac:dyDescent="0.2">
      <c r="H33" s="10"/>
      <c r="I33" s="141" t="s">
        <v>0</v>
      </c>
    </row>
  </sheetData>
  <mergeCells count="14">
    <mergeCell ref="N5:O5"/>
    <mergeCell ref="B18:C18"/>
    <mergeCell ref="D18:E18"/>
    <mergeCell ref="F18:G18"/>
    <mergeCell ref="H18:I18"/>
    <mergeCell ref="J18:K18"/>
    <mergeCell ref="L18:M18"/>
    <mergeCell ref="N18:O18"/>
    <mergeCell ref="B5:C5"/>
    <mergeCell ref="D5:E5"/>
    <mergeCell ref="F5:G5"/>
    <mergeCell ref="H5:I5"/>
    <mergeCell ref="J5:K5"/>
    <mergeCell ref="L5:M5"/>
  </mergeCells>
  <conditionalFormatting sqref="C17:C18 C1:C5 C30:C104857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:E18 E1:E5 E30:E104857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18 G1:G5 G30:G10485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:I18 I1:I5 I30:I104857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7:K18 K1:K5 K30:K104857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:M18 M1:M5 M30:M104857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O18 O1:O5 O30:O104857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C1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1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:M1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C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E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:G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:I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9:M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9:O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
11/12/2010-kw&amp;C&amp;F&amp;R&amp;P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3"/>
  <sheetViews>
    <sheetView zoomScaleNormal="100" workbookViewId="0">
      <selection activeCell="R14" sqref="R14"/>
    </sheetView>
  </sheetViews>
  <sheetFormatPr defaultRowHeight="12.75" x14ac:dyDescent="0.2"/>
  <cols>
    <col min="1" max="1" width="40.7109375" style="21" customWidth="1"/>
    <col min="2" max="2" width="6.5703125" style="10" bestFit="1" customWidth="1"/>
    <col min="3" max="3" width="7.140625" style="141" bestFit="1" customWidth="1"/>
    <col min="4" max="4" width="5.5703125" style="10" customWidth="1"/>
    <col min="5" max="5" width="5.7109375" style="141" bestFit="1" customWidth="1"/>
    <col min="6" max="6" width="4.7109375" style="10" bestFit="1" customWidth="1"/>
    <col min="7" max="7" width="5.42578125" style="141" bestFit="1" customWidth="1"/>
    <col min="8" max="8" width="5.42578125" style="11" bestFit="1" customWidth="1"/>
    <col min="9" max="9" width="5.42578125" style="141" bestFit="1" customWidth="1"/>
    <col min="10" max="10" width="5.42578125" style="10" bestFit="1" customWidth="1"/>
    <col min="11" max="11" width="5.42578125" style="141" bestFit="1" customWidth="1"/>
    <col min="12" max="12" width="6.42578125" style="10" customWidth="1"/>
    <col min="13" max="13" width="6.42578125" style="141" customWidth="1"/>
    <col min="14" max="14" width="5.5703125" style="10" bestFit="1" customWidth="1"/>
    <col min="15" max="15" width="5.42578125" style="141" bestFit="1" customWidth="1"/>
    <col min="16" max="16" width="5.42578125" style="10" bestFit="1" customWidth="1"/>
    <col min="17" max="16384" width="9.140625" style="12"/>
  </cols>
  <sheetData>
    <row r="1" spans="1:17" ht="15.75" x14ac:dyDescent="0.2">
      <c r="A1" s="127" t="s">
        <v>232</v>
      </c>
    </row>
    <row r="2" spans="1:17" x14ac:dyDescent="0.2">
      <c r="A2" s="20"/>
      <c r="B2" s="1"/>
      <c r="C2" s="140"/>
      <c r="D2" s="1"/>
      <c r="E2" s="140"/>
      <c r="F2" s="1"/>
      <c r="G2" s="140"/>
      <c r="H2" s="1"/>
      <c r="I2" s="140"/>
      <c r="J2" s="1"/>
      <c r="K2" s="140"/>
      <c r="L2" s="1"/>
      <c r="M2" s="140"/>
      <c r="N2" s="15"/>
    </row>
    <row r="3" spans="1:17" x14ac:dyDescent="0.2">
      <c r="A3" s="147" t="str">
        <f>all!A435</f>
        <v>If you are taking an online course, what are your reasons in order of impact</v>
      </c>
      <c r="B3" s="46"/>
      <c r="C3" s="46"/>
      <c r="D3" s="46"/>
      <c r="E3" s="46"/>
      <c r="F3" s="46"/>
      <c r="G3" s="46"/>
      <c r="H3" s="49" t="s">
        <v>0</v>
      </c>
      <c r="I3" s="46" t="s">
        <v>0</v>
      </c>
      <c r="J3" s="46" t="s">
        <v>0</v>
      </c>
      <c r="K3" s="46" t="s">
        <v>0</v>
      </c>
      <c r="L3" s="46" t="s">
        <v>0</v>
      </c>
      <c r="M3" s="46" t="s">
        <v>0</v>
      </c>
      <c r="N3" s="46" t="s">
        <v>0</v>
      </c>
      <c r="O3" s="46" t="s">
        <v>0</v>
      </c>
      <c r="P3" s="12" t="s">
        <v>0</v>
      </c>
      <c r="Q3" s="12" t="s">
        <v>0</v>
      </c>
    </row>
    <row r="4" spans="1:17" x14ac:dyDescent="0.2">
      <c r="A4" s="108" t="str">
        <f>all!A436</f>
        <v>Scheduling Flexibility of Online Courses</v>
      </c>
      <c r="B4" s="151" t="s">
        <v>128</v>
      </c>
      <c r="C4" s="151"/>
      <c r="D4" s="151" t="s">
        <v>99</v>
      </c>
      <c r="E4" s="151"/>
      <c r="F4" s="150" t="s">
        <v>176</v>
      </c>
      <c r="G4" s="150"/>
      <c r="H4" s="151" t="s">
        <v>101</v>
      </c>
      <c r="I4" s="151"/>
      <c r="J4" s="151" t="s">
        <v>100</v>
      </c>
      <c r="K4" s="151"/>
      <c r="L4" s="151" t="s">
        <v>126</v>
      </c>
      <c r="M4" s="151"/>
      <c r="N4" s="148" t="s">
        <v>1</v>
      </c>
      <c r="O4" s="148"/>
    </row>
    <row r="5" spans="1:17" x14ac:dyDescent="0.2">
      <c r="A5" s="26" t="str">
        <f>all!A437</f>
        <v>Most Important</v>
      </c>
      <c r="B5" s="38">
        <f>all!B437</f>
        <v>56</v>
      </c>
      <c r="C5" s="39">
        <f>all!C437</f>
        <v>0.48275862068965519</v>
      </c>
      <c r="D5" s="38">
        <f>all!D437</f>
        <v>4</v>
      </c>
      <c r="E5" s="39">
        <f>all!E437</f>
        <v>0.5</v>
      </c>
      <c r="F5" s="38">
        <f>all!F437</f>
        <v>117</v>
      </c>
      <c r="G5" s="39">
        <f>all!G437</f>
        <v>0.63934426229508201</v>
      </c>
      <c r="H5" s="38">
        <f>all!H437</f>
        <v>118</v>
      </c>
      <c r="I5" s="39">
        <f>all!I437</f>
        <v>0.53153153153153154</v>
      </c>
      <c r="J5" s="38">
        <f>all!J437</f>
        <v>259</v>
      </c>
      <c r="K5" s="39">
        <f>all!K437</f>
        <v>0.67098445595854928</v>
      </c>
      <c r="L5" s="38">
        <f>all!L437</f>
        <v>169</v>
      </c>
      <c r="M5" s="39">
        <f>all!M437</f>
        <v>0.60357142857142854</v>
      </c>
      <c r="N5" s="29">
        <f>all!N437</f>
        <v>723</v>
      </c>
      <c r="O5" s="39">
        <f>all!O437</f>
        <v>0.605020920502092</v>
      </c>
    </row>
    <row r="6" spans="1:17" x14ac:dyDescent="0.2">
      <c r="A6" s="26" t="str">
        <f>all!A438</f>
        <v>2nd Important</v>
      </c>
      <c r="B6" s="38">
        <f>all!B438</f>
        <v>48</v>
      </c>
      <c r="C6" s="39">
        <f>all!C438</f>
        <v>0.41379310344827586</v>
      </c>
      <c r="D6" s="145">
        <f>all!D438</f>
        <v>0</v>
      </c>
      <c r="E6" s="39">
        <f>all!E438</f>
        <v>0</v>
      </c>
      <c r="F6" s="38">
        <f>all!F438</f>
        <v>49</v>
      </c>
      <c r="G6" s="39">
        <f>all!G438</f>
        <v>0.26775956284153007</v>
      </c>
      <c r="H6" s="38">
        <f>all!H438</f>
        <v>65</v>
      </c>
      <c r="I6" s="39">
        <f>all!I438</f>
        <v>0.2927927927927928</v>
      </c>
      <c r="J6" s="38">
        <f>all!J438</f>
        <v>97</v>
      </c>
      <c r="K6" s="39">
        <f>all!K438</f>
        <v>0.25129533678756477</v>
      </c>
      <c r="L6" s="38">
        <f>all!L438</f>
        <v>64</v>
      </c>
      <c r="M6" s="39">
        <f>all!M438</f>
        <v>0.22857142857142856</v>
      </c>
      <c r="N6" s="29">
        <f>all!N438</f>
        <v>323</v>
      </c>
      <c r="O6" s="39">
        <f>all!O438</f>
        <v>0.27029288702928872</v>
      </c>
    </row>
    <row r="7" spans="1:17" x14ac:dyDescent="0.2">
      <c r="A7" s="26" t="str">
        <f>all!A439</f>
        <v>3rd Important</v>
      </c>
      <c r="B7" s="38">
        <f>all!B439</f>
        <v>9</v>
      </c>
      <c r="C7" s="39">
        <f>all!C439</f>
        <v>7.7586206896551727E-2</v>
      </c>
      <c r="D7" s="38">
        <f>all!D439</f>
        <v>4</v>
      </c>
      <c r="E7" s="39">
        <f>all!E439</f>
        <v>0.5</v>
      </c>
      <c r="F7" s="38">
        <f>all!F439</f>
        <v>13</v>
      </c>
      <c r="G7" s="39">
        <f>all!G439</f>
        <v>7.1038251366120214E-2</v>
      </c>
      <c r="H7" s="38">
        <f>all!H439</f>
        <v>23</v>
      </c>
      <c r="I7" s="39">
        <f>all!I439</f>
        <v>0.1036036036036036</v>
      </c>
      <c r="J7" s="38">
        <f>all!J439</f>
        <v>27</v>
      </c>
      <c r="K7" s="39">
        <f>all!K439</f>
        <v>6.9948186528497408E-2</v>
      </c>
      <c r="L7" s="38">
        <f>all!L439</f>
        <v>26</v>
      </c>
      <c r="M7" s="39">
        <f>all!M439</f>
        <v>9.285714285714286E-2</v>
      </c>
      <c r="N7" s="29">
        <f>all!N439</f>
        <v>102</v>
      </c>
      <c r="O7" s="39">
        <f>all!O439</f>
        <v>8.5355648535564849E-2</v>
      </c>
    </row>
    <row r="8" spans="1:17" x14ac:dyDescent="0.2">
      <c r="A8" s="26" t="str">
        <f>all!A440</f>
        <v>Least Important</v>
      </c>
      <c r="B8" s="38">
        <f>all!B440</f>
        <v>3</v>
      </c>
      <c r="C8" s="39">
        <f>all!C440</f>
        <v>2.5862068965517241E-2</v>
      </c>
      <c r="D8" s="145">
        <f>all!D440</f>
        <v>0</v>
      </c>
      <c r="E8" s="39">
        <f>all!E440</f>
        <v>0</v>
      </c>
      <c r="F8" s="38">
        <f>all!F440</f>
        <v>4</v>
      </c>
      <c r="G8" s="39">
        <f>all!G440</f>
        <v>2.185792349726776E-2</v>
      </c>
      <c r="H8" s="38">
        <f>all!H440</f>
        <v>16</v>
      </c>
      <c r="I8" s="39">
        <f>all!I440</f>
        <v>7.2072072072072071E-2</v>
      </c>
      <c r="J8" s="38">
        <f>all!J440</f>
        <v>3</v>
      </c>
      <c r="K8" s="39">
        <f>all!K440</f>
        <v>7.7720207253886009E-3</v>
      </c>
      <c r="L8" s="38">
        <f>all!L440</f>
        <v>21</v>
      </c>
      <c r="M8" s="39">
        <f>all!M440</f>
        <v>7.4999999999999997E-2</v>
      </c>
      <c r="N8" s="29">
        <f>all!N440</f>
        <v>47</v>
      </c>
      <c r="O8" s="39">
        <f>all!O440</f>
        <v>3.9330543933054393E-2</v>
      </c>
    </row>
    <row r="9" spans="1:17" x14ac:dyDescent="0.2">
      <c r="A9" s="108" t="str">
        <f>all!A441</f>
        <v>Total</v>
      </c>
      <c r="B9" s="30">
        <f>all!B441</f>
        <v>116</v>
      </c>
      <c r="C9" s="41">
        <f>all!C441</f>
        <v>1</v>
      </c>
      <c r="D9" s="30">
        <f>all!D441</f>
        <v>8</v>
      </c>
      <c r="E9" s="41">
        <f>all!E441</f>
        <v>1</v>
      </c>
      <c r="F9" s="30">
        <f>all!F441</f>
        <v>183</v>
      </c>
      <c r="G9" s="41">
        <f>all!G441</f>
        <v>1</v>
      </c>
      <c r="H9" s="30">
        <f>all!H441</f>
        <v>222</v>
      </c>
      <c r="I9" s="41">
        <f>all!I441</f>
        <v>1</v>
      </c>
      <c r="J9" s="30">
        <f>all!J441</f>
        <v>386</v>
      </c>
      <c r="K9" s="41">
        <f>all!K441</f>
        <v>1</v>
      </c>
      <c r="L9" s="30">
        <f>all!L441</f>
        <v>280</v>
      </c>
      <c r="M9" s="41">
        <f>all!M441</f>
        <v>0.99999999999999989</v>
      </c>
      <c r="N9" s="30">
        <f>all!N441</f>
        <v>1195</v>
      </c>
      <c r="O9" s="41">
        <f>all!O441</f>
        <v>0.99999999999999989</v>
      </c>
    </row>
    <row r="10" spans="1:17" x14ac:dyDescent="0.2">
      <c r="A10" s="108" t="str">
        <f>all!A442</f>
        <v>Percent of 1st or 2nd importance</v>
      </c>
      <c r="B10" s="38">
        <f>all!B442</f>
        <v>0</v>
      </c>
      <c r="C10" s="65">
        <f>all!C442</f>
        <v>0.89655172413793105</v>
      </c>
      <c r="D10" s="146">
        <f>all!D442</f>
        <v>0</v>
      </c>
      <c r="E10" s="65">
        <f>all!E442</f>
        <v>0.5</v>
      </c>
      <c r="F10" s="146">
        <f>all!F442</f>
        <v>0</v>
      </c>
      <c r="G10" s="65">
        <f>all!G442</f>
        <v>0.90710382513661214</v>
      </c>
      <c r="H10" s="146">
        <f>all!H442</f>
        <v>0</v>
      </c>
      <c r="I10" s="65">
        <f>all!I442</f>
        <v>0.82432432432432434</v>
      </c>
      <c r="J10" s="146">
        <f>all!J442</f>
        <v>0</v>
      </c>
      <c r="K10" s="65">
        <f>all!K442</f>
        <v>0.92227979274611405</v>
      </c>
      <c r="L10" s="146">
        <f>all!L442</f>
        <v>0</v>
      </c>
      <c r="M10" s="65">
        <f>all!M442</f>
        <v>0.83214285714285707</v>
      </c>
      <c r="N10" s="30">
        <f>all!N442</f>
        <v>0</v>
      </c>
      <c r="O10" s="65">
        <f>all!O442</f>
        <v>0.87531380753138066</v>
      </c>
    </row>
    <row r="11" spans="1:17" x14ac:dyDescent="0.2">
      <c r="A11" s="12"/>
      <c r="C11" s="10"/>
      <c r="E11" s="10"/>
      <c r="G11" s="10"/>
      <c r="H11" s="10"/>
      <c r="I11" s="10"/>
      <c r="K11" s="10"/>
      <c r="M11" s="10"/>
      <c r="O11" s="10"/>
      <c r="P11" s="12"/>
    </row>
    <row r="12" spans="1:17" x14ac:dyDescent="0.2">
      <c r="A12" s="108" t="str">
        <f>all!A444</f>
        <v>Ability to work on course from home or office</v>
      </c>
      <c r="B12" s="151" t="s">
        <v>128</v>
      </c>
      <c r="C12" s="151"/>
      <c r="D12" s="151" t="s">
        <v>99</v>
      </c>
      <c r="E12" s="151"/>
      <c r="F12" s="150" t="s">
        <v>176</v>
      </c>
      <c r="G12" s="150"/>
      <c r="H12" s="151" t="s">
        <v>101</v>
      </c>
      <c r="I12" s="151"/>
      <c r="J12" s="151" t="s">
        <v>100</v>
      </c>
      <c r="K12" s="151"/>
      <c r="L12" s="151" t="s">
        <v>126</v>
      </c>
      <c r="M12" s="151"/>
      <c r="N12" s="148" t="s">
        <v>1</v>
      </c>
      <c r="O12" s="148"/>
    </row>
    <row r="13" spans="1:17" x14ac:dyDescent="0.2">
      <c r="A13" s="26" t="str">
        <f>all!A445</f>
        <v>Most Important</v>
      </c>
      <c r="B13" s="38">
        <f>all!B445</f>
        <v>61</v>
      </c>
      <c r="C13" s="39">
        <f>all!C445</f>
        <v>0.5</v>
      </c>
      <c r="D13" s="38">
        <f>all!D445</f>
        <v>3</v>
      </c>
      <c r="E13" s="39">
        <f>all!E445</f>
        <v>0.33333333333333331</v>
      </c>
      <c r="F13" s="38">
        <f>all!F445</f>
        <v>97</v>
      </c>
      <c r="G13" s="39">
        <f>all!G445</f>
        <v>0.53888888888888886</v>
      </c>
      <c r="H13" s="38">
        <f>all!H445</f>
        <v>96</v>
      </c>
      <c r="I13" s="39">
        <f>all!I445</f>
        <v>0.42290748898678415</v>
      </c>
      <c r="J13" s="38">
        <f>all!J445</f>
        <v>199</v>
      </c>
      <c r="K13" s="39">
        <f>all!K445</f>
        <v>0.51288659793814428</v>
      </c>
      <c r="L13" s="38">
        <f>all!L445</f>
        <v>120</v>
      </c>
      <c r="M13" s="39">
        <f>all!M445</f>
        <v>0.43636363636363634</v>
      </c>
      <c r="N13" s="29">
        <f>all!N445</f>
        <v>576</v>
      </c>
      <c r="O13" s="39">
        <f>all!O445</f>
        <v>0.47960033305578686</v>
      </c>
    </row>
    <row r="14" spans="1:17" x14ac:dyDescent="0.2">
      <c r="A14" s="26" t="str">
        <f>all!A446</f>
        <v>2nd Important</v>
      </c>
      <c r="B14" s="38">
        <f>all!B446</f>
        <v>38</v>
      </c>
      <c r="C14" s="39">
        <f>all!C446</f>
        <v>0.31147540983606559</v>
      </c>
      <c r="D14" s="145">
        <f>all!D446</f>
        <v>4</v>
      </c>
      <c r="E14" s="39">
        <f>all!E446</f>
        <v>0.44444444444444442</v>
      </c>
      <c r="F14" s="38">
        <f>all!F446</f>
        <v>69</v>
      </c>
      <c r="G14" s="39">
        <f>all!G446</f>
        <v>0.38333333333333336</v>
      </c>
      <c r="H14" s="38">
        <f>all!H446</f>
        <v>77</v>
      </c>
      <c r="I14" s="39">
        <f>all!I446</f>
        <v>0.33920704845814981</v>
      </c>
      <c r="J14" s="38">
        <f>all!J446</f>
        <v>145</v>
      </c>
      <c r="K14" s="39">
        <f>all!K446</f>
        <v>0.37371134020618557</v>
      </c>
      <c r="L14" s="38">
        <f>all!L446</f>
        <v>94</v>
      </c>
      <c r="M14" s="39">
        <f>all!M446</f>
        <v>0.3418181818181818</v>
      </c>
      <c r="N14" s="29">
        <f>all!N446</f>
        <v>427</v>
      </c>
      <c r="O14" s="39">
        <f>all!O446</f>
        <v>0.35553705245628642</v>
      </c>
    </row>
    <row r="15" spans="1:17" x14ac:dyDescent="0.2">
      <c r="A15" s="26" t="str">
        <f>all!A447</f>
        <v>3rd Important</v>
      </c>
      <c r="B15" s="38">
        <f>all!B447</f>
        <v>19</v>
      </c>
      <c r="C15" s="39">
        <f>all!C447</f>
        <v>0.15573770491803279</v>
      </c>
      <c r="D15" s="38">
        <f>all!D447</f>
        <v>2</v>
      </c>
      <c r="E15" s="39">
        <f>all!E447</f>
        <v>0.22222222222222221</v>
      </c>
      <c r="F15" s="38">
        <f>all!F447</f>
        <v>14</v>
      </c>
      <c r="G15" s="39">
        <f>all!G447</f>
        <v>7.7777777777777779E-2</v>
      </c>
      <c r="H15" s="38">
        <f>all!H447</f>
        <v>44</v>
      </c>
      <c r="I15" s="39">
        <f>all!I447</f>
        <v>0.19383259911894274</v>
      </c>
      <c r="J15" s="38">
        <f>all!J447</f>
        <v>35</v>
      </c>
      <c r="K15" s="39">
        <f>all!K447</f>
        <v>9.0206185567010308E-2</v>
      </c>
      <c r="L15" s="38">
        <f>all!L447</f>
        <v>38</v>
      </c>
      <c r="M15" s="39">
        <f>all!M447</f>
        <v>0.13818181818181818</v>
      </c>
      <c r="N15" s="29">
        <f>all!N447</f>
        <v>152</v>
      </c>
      <c r="O15" s="39">
        <f>all!O447</f>
        <v>0.12656119900083265</v>
      </c>
    </row>
    <row r="16" spans="1:17" x14ac:dyDescent="0.2">
      <c r="A16" s="26" t="str">
        <f>all!A448</f>
        <v>Least Important</v>
      </c>
      <c r="B16" s="38">
        <f>all!B448</f>
        <v>4</v>
      </c>
      <c r="C16" s="39">
        <f>all!C448</f>
        <v>3.2786885245901641E-2</v>
      </c>
      <c r="D16" s="145">
        <f>all!D448</f>
        <v>0</v>
      </c>
      <c r="E16" s="39">
        <f>all!E448</f>
        <v>0</v>
      </c>
      <c r="F16" s="38">
        <f>all!F448</f>
        <v>0</v>
      </c>
      <c r="G16" s="39">
        <f>all!G448</f>
        <v>0</v>
      </c>
      <c r="H16" s="38">
        <f>all!H448</f>
        <v>10</v>
      </c>
      <c r="I16" s="39">
        <f>all!I448</f>
        <v>4.405286343612335E-2</v>
      </c>
      <c r="J16" s="38">
        <f>all!J448</f>
        <v>9</v>
      </c>
      <c r="K16" s="39">
        <f>all!K448</f>
        <v>2.3195876288659795E-2</v>
      </c>
      <c r="L16" s="38">
        <f>all!L448</f>
        <v>23</v>
      </c>
      <c r="M16" s="39">
        <f>all!M448</f>
        <v>8.3636363636363634E-2</v>
      </c>
      <c r="N16" s="29">
        <f>all!N448</f>
        <v>46</v>
      </c>
      <c r="O16" s="39">
        <f>all!O448</f>
        <v>3.8301415487094086E-2</v>
      </c>
    </row>
    <row r="17" spans="1:16" x14ac:dyDescent="0.2">
      <c r="A17" s="108" t="str">
        <f>all!A449</f>
        <v>Total</v>
      </c>
      <c r="B17" s="30">
        <f>all!B449</f>
        <v>122</v>
      </c>
      <c r="C17" s="41">
        <f>all!C449</f>
        <v>1</v>
      </c>
      <c r="D17" s="30">
        <f>all!D449</f>
        <v>9</v>
      </c>
      <c r="E17" s="41">
        <f>all!E449</f>
        <v>0.99999999999999989</v>
      </c>
      <c r="F17" s="30">
        <f>all!F449</f>
        <v>180</v>
      </c>
      <c r="G17" s="41">
        <f>all!G449</f>
        <v>1</v>
      </c>
      <c r="H17" s="30">
        <f>all!H449</f>
        <v>227</v>
      </c>
      <c r="I17" s="41">
        <f>all!I449</f>
        <v>1</v>
      </c>
      <c r="J17" s="30">
        <f>all!J449</f>
        <v>388</v>
      </c>
      <c r="K17" s="41">
        <f>all!K449</f>
        <v>1</v>
      </c>
      <c r="L17" s="30">
        <f>all!L449</f>
        <v>275</v>
      </c>
      <c r="M17" s="41">
        <f>all!M449</f>
        <v>0.99999999999999989</v>
      </c>
      <c r="N17" s="30">
        <f>all!N449</f>
        <v>1201</v>
      </c>
      <c r="O17" s="41">
        <f>all!O449</f>
        <v>1</v>
      </c>
    </row>
    <row r="18" spans="1:16" x14ac:dyDescent="0.2">
      <c r="A18" s="108" t="str">
        <f>all!A450</f>
        <v>Percent of 1st or 2nd importance</v>
      </c>
      <c r="B18" s="38">
        <f>all!B450</f>
        <v>0</v>
      </c>
      <c r="C18" s="65">
        <f>all!C450</f>
        <v>0.81147540983606559</v>
      </c>
      <c r="D18" s="146">
        <f>all!D450</f>
        <v>0</v>
      </c>
      <c r="E18" s="65">
        <f>all!E450</f>
        <v>0.77777777777777768</v>
      </c>
      <c r="F18" s="146">
        <f>all!F450</f>
        <v>0</v>
      </c>
      <c r="G18" s="65">
        <f>all!G450</f>
        <v>0.92222222222222228</v>
      </c>
      <c r="H18" s="146">
        <f>all!H450</f>
        <v>0</v>
      </c>
      <c r="I18" s="65">
        <f>all!I450</f>
        <v>0.76211453744493396</v>
      </c>
      <c r="J18" s="146">
        <f>all!J450</f>
        <v>0</v>
      </c>
      <c r="K18" s="65">
        <f>all!K450</f>
        <v>0.88659793814432986</v>
      </c>
      <c r="L18" s="146">
        <f>all!L450</f>
        <v>0</v>
      </c>
      <c r="M18" s="65">
        <f>all!M450</f>
        <v>0.77818181818181809</v>
      </c>
      <c r="N18" s="30">
        <f>all!N450</f>
        <v>0</v>
      </c>
      <c r="O18" s="65">
        <f>all!O450</f>
        <v>0.83513738551207328</v>
      </c>
    </row>
    <row r="19" spans="1:16" x14ac:dyDescent="0.2">
      <c r="A19" s="12"/>
      <c r="C19" s="10"/>
      <c r="E19" s="10"/>
      <c r="G19" s="10"/>
      <c r="H19" s="10"/>
      <c r="I19" s="10"/>
      <c r="K19" s="10"/>
      <c r="M19" s="10"/>
      <c r="O19" s="10"/>
    </row>
    <row r="20" spans="1:16" s="10" customFormat="1" x14ac:dyDescent="0.2">
      <c r="A20" s="108" t="str">
        <f>all!A452</f>
        <v>I learn best in the online environment</v>
      </c>
      <c r="B20" s="151" t="s">
        <v>128</v>
      </c>
      <c r="C20" s="151"/>
      <c r="D20" s="151" t="s">
        <v>99</v>
      </c>
      <c r="E20" s="151"/>
      <c r="F20" s="150" t="s">
        <v>176</v>
      </c>
      <c r="G20" s="150"/>
      <c r="H20" s="151" t="s">
        <v>101</v>
      </c>
      <c r="I20" s="151"/>
      <c r="J20" s="151" t="s">
        <v>100</v>
      </c>
      <c r="K20" s="151"/>
      <c r="L20" s="151" t="s">
        <v>126</v>
      </c>
      <c r="M20" s="151"/>
      <c r="N20" s="148" t="s">
        <v>1</v>
      </c>
      <c r="O20" s="148"/>
    </row>
    <row r="21" spans="1:16" s="10" customFormat="1" x14ac:dyDescent="0.2">
      <c r="A21" s="26" t="str">
        <f>all!A453</f>
        <v>Most Important</v>
      </c>
      <c r="B21" s="38">
        <f>all!B453</f>
        <v>7</v>
      </c>
      <c r="C21" s="39">
        <f>all!C453</f>
        <v>7.3684210526315783E-2</v>
      </c>
      <c r="D21" s="38">
        <f>all!D453</f>
        <v>2</v>
      </c>
      <c r="E21" s="39">
        <f>all!E453</f>
        <v>0.33333333333333331</v>
      </c>
      <c r="F21" s="38">
        <f>all!F453</f>
        <v>23</v>
      </c>
      <c r="G21" s="39">
        <f>all!G453</f>
        <v>0.14743589743589744</v>
      </c>
      <c r="H21" s="38">
        <f>all!H453</f>
        <v>12</v>
      </c>
      <c r="I21" s="39">
        <f>all!I453</f>
        <v>6.2176165803108807E-2</v>
      </c>
      <c r="J21" s="38">
        <f>all!J453</f>
        <v>53</v>
      </c>
      <c r="K21" s="39">
        <f>all!K453</f>
        <v>0.15186246418338109</v>
      </c>
      <c r="L21" s="38">
        <f>all!L453</f>
        <v>24</v>
      </c>
      <c r="M21" s="39">
        <f>all!M453</f>
        <v>0.100418410041841</v>
      </c>
      <c r="N21" s="29">
        <f>all!N453</f>
        <v>121</v>
      </c>
      <c r="O21" s="39">
        <f>all!O453</f>
        <v>0.11657032755298652</v>
      </c>
    </row>
    <row r="22" spans="1:16" s="10" customFormat="1" x14ac:dyDescent="0.2">
      <c r="A22" s="26" t="str">
        <f>all!A454</f>
        <v>2nd Important</v>
      </c>
      <c r="B22" s="38">
        <f>all!B454</f>
        <v>10</v>
      </c>
      <c r="C22" s="39">
        <f>all!C454</f>
        <v>0.10526315789473684</v>
      </c>
      <c r="D22" s="145">
        <f>all!D454</f>
        <v>0</v>
      </c>
      <c r="E22" s="39">
        <f>all!E454</f>
        <v>0</v>
      </c>
      <c r="F22" s="38">
        <f>all!F454</f>
        <v>19</v>
      </c>
      <c r="G22" s="39">
        <f>all!G454</f>
        <v>0.12179487179487179</v>
      </c>
      <c r="H22" s="38">
        <f>all!H454</f>
        <v>28</v>
      </c>
      <c r="I22" s="39">
        <f>all!I454</f>
        <v>0.14507772020725387</v>
      </c>
      <c r="J22" s="38">
        <f>all!J454</f>
        <v>36</v>
      </c>
      <c r="K22" s="39">
        <f>all!K454</f>
        <v>0.10315186246418338</v>
      </c>
      <c r="L22" s="38">
        <f>all!L454</f>
        <v>36</v>
      </c>
      <c r="M22" s="39">
        <f>all!M454</f>
        <v>0.15062761506276151</v>
      </c>
      <c r="N22" s="29">
        <f>all!N454</f>
        <v>129</v>
      </c>
      <c r="O22" s="39">
        <f>all!O454</f>
        <v>0.12427745664739884</v>
      </c>
    </row>
    <row r="23" spans="1:16" s="10" customFormat="1" x14ac:dyDescent="0.2">
      <c r="A23" s="26" t="str">
        <f>all!A455</f>
        <v>3rd Important</v>
      </c>
      <c r="B23" s="38">
        <f>all!B455</f>
        <v>24</v>
      </c>
      <c r="C23" s="39">
        <f>all!C455</f>
        <v>0.25263157894736843</v>
      </c>
      <c r="D23" s="38">
        <f>all!D455</f>
        <v>0</v>
      </c>
      <c r="E23" s="39">
        <f>all!E455</f>
        <v>0</v>
      </c>
      <c r="F23" s="38">
        <f>all!F455</f>
        <v>66</v>
      </c>
      <c r="G23" s="39">
        <f>all!G455</f>
        <v>0.42307692307692307</v>
      </c>
      <c r="H23" s="38">
        <f>all!H455</f>
        <v>48</v>
      </c>
      <c r="I23" s="39">
        <f>all!I455</f>
        <v>0.24870466321243523</v>
      </c>
      <c r="J23" s="38">
        <f>all!J455</f>
        <v>130</v>
      </c>
      <c r="K23" s="39">
        <f>all!K455</f>
        <v>0.37249283667621774</v>
      </c>
      <c r="L23" s="38">
        <f>all!L455</f>
        <v>51</v>
      </c>
      <c r="M23" s="39">
        <f>all!M455</f>
        <v>0.21338912133891214</v>
      </c>
      <c r="N23" s="29">
        <f>all!N455</f>
        <v>319</v>
      </c>
      <c r="O23" s="39">
        <f>all!O455</f>
        <v>0.30732177263969174</v>
      </c>
    </row>
    <row r="24" spans="1:16" s="10" customFormat="1" x14ac:dyDescent="0.2">
      <c r="A24" s="26" t="str">
        <f>all!A456</f>
        <v>Least Important</v>
      </c>
      <c r="B24" s="38">
        <f>all!B456</f>
        <v>54</v>
      </c>
      <c r="C24" s="39">
        <f>all!C456</f>
        <v>0.56842105263157894</v>
      </c>
      <c r="D24" s="145">
        <f>all!D456</f>
        <v>4</v>
      </c>
      <c r="E24" s="39">
        <f>all!E456</f>
        <v>0.66666666666666663</v>
      </c>
      <c r="F24" s="38">
        <f>all!F456</f>
        <v>48</v>
      </c>
      <c r="G24" s="39">
        <f>all!G456</f>
        <v>0.30769230769230771</v>
      </c>
      <c r="H24" s="38">
        <f>all!H456</f>
        <v>105</v>
      </c>
      <c r="I24" s="39">
        <f>all!I456</f>
        <v>0.54404145077720212</v>
      </c>
      <c r="J24" s="38">
        <f>all!J456</f>
        <v>130</v>
      </c>
      <c r="K24" s="39">
        <f>all!K456</f>
        <v>0.37249283667621774</v>
      </c>
      <c r="L24" s="38">
        <f>all!L456</f>
        <v>128</v>
      </c>
      <c r="M24" s="39">
        <f>all!M456</f>
        <v>0.53556485355648531</v>
      </c>
      <c r="N24" s="29">
        <f>all!N456</f>
        <v>469</v>
      </c>
      <c r="O24" s="39">
        <f>all!O456</f>
        <v>0.45183044315992293</v>
      </c>
      <c r="P24" s="1"/>
    </row>
    <row r="25" spans="1:16" s="10" customFormat="1" x14ac:dyDescent="0.2">
      <c r="A25" s="108" t="str">
        <f>all!A457</f>
        <v>Total</v>
      </c>
      <c r="B25" s="30">
        <f>all!B457</f>
        <v>95</v>
      </c>
      <c r="C25" s="41">
        <f>all!C457</f>
        <v>1</v>
      </c>
      <c r="D25" s="30">
        <f>all!D457</f>
        <v>6</v>
      </c>
      <c r="E25" s="41">
        <f>all!E457</f>
        <v>1</v>
      </c>
      <c r="F25" s="30">
        <f>all!F457</f>
        <v>156</v>
      </c>
      <c r="G25" s="41">
        <f>all!G457</f>
        <v>1</v>
      </c>
      <c r="H25" s="30">
        <f>all!H457</f>
        <v>193</v>
      </c>
      <c r="I25" s="41">
        <f>all!I457</f>
        <v>1</v>
      </c>
      <c r="J25" s="30">
        <f>all!J457</f>
        <v>349</v>
      </c>
      <c r="K25" s="41">
        <f>all!K457</f>
        <v>1</v>
      </c>
      <c r="L25" s="30">
        <f>all!L457</f>
        <v>239</v>
      </c>
      <c r="M25" s="41">
        <f>all!M457</f>
        <v>1</v>
      </c>
      <c r="N25" s="30">
        <f>all!N457</f>
        <v>1038</v>
      </c>
      <c r="O25" s="41">
        <f>all!O457</f>
        <v>1</v>
      </c>
    </row>
    <row r="26" spans="1:16" s="10" customFormat="1" x14ac:dyDescent="0.2">
      <c r="A26" s="108" t="str">
        <f>all!A458</f>
        <v>Percent of 1st or 2nd importance</v>
      </c>
      <c r="B26" s="38">
        <f>all!B458</f>
        <v>0</v>
      </c>
      <c r="C26" s="65">
        <f>all!C458</f>
        <v>0.17894736842105263</v>
      </c>
      <c r="D26" s="146">
        <f>all!D458</f>
        <v>0</v>
      </c>
      <c r="E26" s="65">
        <f>all!E458</f>
        <v>0.33333333333333331</v>
      </c>
      <c r="F26" s="146">
        <f>all!F458</f>
        <v>0</v>
      </c>
      <c r="G26" s="65">
        <f>all!G458</f>
        <v>0.26923076923076922</v>
      </c>
      <c r="H26" s="146">
        <f>all!H458</f>
        <v>0</v>
      </c>
      <c r="I26" s="65">
        <f>all!I458</f>
        <v>0.20725388601036268</v>
      </c>
      <c r="J26" s="146">
        <f>all!J458</f>
        <v>0</v>
      </c>
      <c r="K26" s="65">
        <f>all!K458</f>
        <v>0.25501432664756446</v>
      </c>
      <c r="L26" s="146">
        <f>all!L458</f>
        <v>0</v>
      </c>
      <c r="M26" s="65">
        <f>all!M458</f>
        <v>0.2510460251046025</v>
      </c>
      <c r="N26" s="30">
        <f>all!N458</f>
        <v>0</v>
      </c>
      <c r="O26" s="65">
        <f>all!O458</f>
        <v>0.24084778420038536</v>
      </c>
    </row>
    <row r="27" spans="1:16" s="10" customFormat="1" x14ac:dyDescent="0.2">
      <c r="A27" s="12"/>
    </row>
    <row r="28" spans="1:16" s="10" customFormat="1" ht="24" x14ac:dyDescent="0.2">
      <c r="A28" s="108" t="str">
        <f>all!A460</f>
        <v>I would prefer to take the course on campus but it was not offered when/where I could take it</v>
      </c>
      <c r="B28" s="151" t="s">
        <v>128</v>
      </c>
      <c r="C28" s="151"/>
      <c r="D28" s="151" t="s">
        <v>99</v>
      </c>
      <c r="E28" s="151"/>
      <c r="F28" s="150" t="s">
        <v>176</v>
      </c>
      <c r="G28" s="150"/>
      <c r="H28" s="151" t="s">
        <v>101</v>
      </c>
      <c r="I28" s="151"/>
      <c r="J28" s="151" t="s">
        <v>100</v>
      </c>
      <c r="K28" s="151"/>
      <c r="L28" s="151" t="s">
        <v>126</v>
      </c>
      <c r="M28" s="151"/>
      <c r="N28" s="148" t="s">
        <v>1</v>
      </c>
      <c r="O28" s="148"/>
    </row>
    <row r="29" spans="1:16" x14ac:dyDescent="0.2">
      <c r="A29" s="26" t="str">
        <f>all!A461</f>
        <v>Most Important</v>
      </c>
      <c r="B29" s="38">
        <f>all!B461</f>
        <v>53</v>
      </c>
      <c r="C29" s="39">
        <f>all!C461</f>
        <v>0.51960784313725494</v>
      </c>
      <c r="D29" s="38">
        <f>all!D461</f>
        <v>6</v>
      </c>
      <c r="E29" s="39">
        <f>all!E461</f>
        <v>0.6</v>
      </c>
      <c r="F29" s="38">
        <f>all!F461</f>
        <v>32</v>
      </c>
      <c r="G29" s="39">
        <f>all!G461</f>
        <v>0.27350427350427353</v>
      </c>
      <c r="H29" s="38">
        <f>all!H461</f>
        <v>102</v>
      </c>
      <c r="I29" s="39">
        <f>all!I461</f>
        <v>0.53125</v>
      </c>
      <c r="J29" s="38">
        <f>all!J461</f>
        <v>80</v>
      </c>
      <c r="K29" s="39">
        <f>all!K461</f>
        <v>0.29962546816479402</v>
      </c>
      <c r="L29" s="38">
        <f>all!L461</f>
        <v>105</v>
      </c>
      <c r="M29" s="39">
        <f>all!M461</f>
        <v>0.47297297297297297</v>
      </c>
      <c r="N29" s="29">
        <f>all!N461</f>
        <v>378</v>
      </c>
      <c r="O29" s="39">
        <f>all!O461</f>
        <v>0.41538461538461541</v>
      </c>
    </row>
    <row r="30" spans="1:16" x14ac:dyDescent="0.2">
      <c r="A30" s="26" t="str">
        <f>all!A462</f>
        <v>2nd Important</v>
      </c>
      <c r="B30" s="38">
        <f>all!B462</f>
        <v>13</v>
      </c>
      <c r="C30" s="39">
        <f>all!C462</f>
        <v>0.12745098039215685</v>
      </c>
      <c r="D30" s="145">
        <f>all!D462</f>
        <v>3</v>
      </c>
      <c r="E30" s="39">
        <f>all!E462</f>
        <v>0.3</v>
      </c>
      <c r="F30" s="38">
        <f>all!F462</f>
        <v>14</v>
      </c>
      <c r="G30" s="39">
        <f>all!G462</f>
        <v>0.11965811965811966</v>
      </c>
      <c r="H30" s="38">
        <f>all!H462</f>
        <v>21</v>
      </c>
      <c r="I30" s="39">
        <f>all!I462</f>
        <v>0.109375</v>
      </c>
      <c r="J30" s="38">
        <f>all!J462</f>
        <v>30</v>
      </c>
      <c r="K30" s="39">
        <f>all!K462</f>
        <v>0.11235955056179775</v>
      </c>
      <c r="L30" s="38">
        <f>all!L462</f>
        <v>35</v>
      </c>
      <c r="M30" s="39">
        <f>all!M462</f>
        <v>0.15765765765765766</v>
      </c>
      <c r="N30" s="29">
        <f>all!N462</f>
        <v>116</v>
      </c>
      <c r="O30" s="39">
        <f>all!O462</f>
        <v>0.12747252747252746</v>
      </c>
    </row>
    <row r="31" spans="1:16" x14ac:dyDescent="0.2">
      <c r="A31" s="26" t="str">
        <f>all!A463</f>
        <v>3rd Important</v>
      </c>
      <c r="B31" s="38">
        <f>all!B463</f>
        <v>23</v>
      </c>
      <c r="C31" s="39">
        <f>all!C463</f>
        <v>0.22549019607843138</v>
      </c>
      <c r="D31" s="38">
        <f>all!D463</f>
        <v>0</v>
      </c>
      <c r="E31" s="39">
        <f>all!E463</f>
        <v>0</v>
      </c>
      <c r="F31" s="38">
        <f>all!F463</f>
        <v>24</v>
      </c>
      <c r="G31" s="39">
        <f>all!G463</f>
        <v>0.20512820512820512</v>
      </c>
      <c r="H31" s="38">
        <f>all!H463</f>
        <v>32</v>
      </c>
      <c r="I31" s="39">
        <f>all!I463</f>
        <v>0.16666666666666666</v>
      </c>
      <c r="J31" s="38">
        <f>all!J463</f>
        <v>59</v>
      </c>
      <c r="K31" s="39">
        <f>all!K463</f>
        <v>0.22097378277153559</v>
      </c>
      <c r="L31" s="38">
        <f>all!L463</f>
        <v>50</v>
      </c>
      <c r="M31" s="39">
        <f>all!M463</f>
        <v>0.22522522522522523</v>
      </c>
      <c r="N31" s="29">
        <f>all!N463</f>
        <v>188</v>
      </c>
      <c r="O31" s="39">
        <f>all!O463</f>
        <v>0.20659340659340658</v>
      </c>
    </row>
    <row r="32" spans="1:16" x14ac:dyDescent="0.2">
      <c r="A32" s="26" t="str">
        <f>all!A464</f>
        <v>Least Important</v>
      </c>
      <c r="B32" s="38">
        <f>all!B464</f>
        <v>13</v>
      </c>
      <c r="C32" s="39">
        <f>all!C464</f>
        <v>0.12745098039215685</v>
      </c>
      <c r="D32" s="145">
        <f>all!D464</f>
        <v>1</v>
      </c>
      <c r="E32" s="39">
        <f>all!E464</f>
        <v>0.1</v>
      </c>
      <c r="F32" s="38">
        <f>all!F464</f>
        <v>47</v>
      </c>
      <c r="G32" s="39">
        <f>all!G464</f>
        <v>0.40170940170940173</v>
      </c>
      <c r="H32" s="38">
        <f>all!H464</f>
        <v>37</v>
      </c>
      <c r="I32" s="39">
        <f>all!I464</f>
        <v>0.19270833333333334</v>
      </c>
      <c r="J32" s="38">
        <f>all!J464</f>
        <v>98</v>
      </c>
      <c r="K32" s="39">
        <f>all!K464</f>
        <v>0.36704119850187267</v>
      </c>
      <c r="L32" s="38">
        <f>all!L464</f>
        <v>32</v>
      </c>
      <c r="M32" s="39">
        <f>all!M464</f>
        <v>0.14414414414414414</v>
      </c>
      <c r="N32" s="29">
        <f>all!N464</f>
        <v>228</v>
      </c>
      <c r="O32" s="39">
        <f>all!O464</f>
        <v>0.25054945054945055</v>
      </c>
    </row>
    <row r="33" spans="1:16" x14ac:dyDescent="0.2">
      <c r="A33" s="108" t="str">
        <f>all!A465</f>
        <v>Total</v>
      </c>
      <c r="B33" s="30">
        <f>all!B465</f>
        <v>102</v>
      </c>
      <c r="C33" s="41">
        <f>all!C465</f>
        <v>1</v>
      </c>
      <c r="D33" s="30">
        <f>all!D465</f>
        <v>10</v>
      </c>
      <c r="E33" s="41">
        <f>all!E465</f>
        <v>0.99999999999999989</v>
      </c>
      <c r="F33" s="30">
        <f>all!F465</f>
        <v>117</v>
      </c>
      <c r="G33" s="41">
        <f>all!G465</f>
        <v>1</v>
      </c>
      <c r="H33" s="30">
        <f>all!H465</f>
        <v>192</v>
      </c>
      <c r="I33" s="41">
        <f>all!I465</f>
        <v>1</v>
      </c>
      <c r="J33" s="30">
        <f>all!J465</f>
        <v>267</v>
      </c>
      <c r="K33" s="41">
        <f>all!K465</f>
        <v>1</v>
      </c>
      <c r="L33" s="30">
        <f>all!L465</f>
        <v>222</v>
      </c>
      <c r="M33" s="41">
        <f>all!M465</f>
        <v>1</v>
      </c>
      <c r="N33" s="30">
        <f>all!N465</f>
        <v>910</v>
      </c>
      <c r="O33" s="41">
        <f>all!O465</f>
        <v>1</v>
      </c>
    </row>
    <row r="34" spans="1:16" x14ac:dyDescent="0.2">
      <c r="A34" s="108" t="str">
        <f>all!A466</f>
        <v>Percent of 1st or 2nd importance</v>
      </c>
      <c r="B34" s="38">
        <f>all!B466</f>
        <v>0</v>
      </c>
      <c r="C34" s="65">
        <f>all!C466</f>
        <v>0.6470588235294118</v>
      </c>
      <c r="D34" s="146">
        <f>all!D466</f>
        <v>0</v>
      </c>
      <c r="E34" s="65">
        <f>all!E466</f>
        <v>0.89999999999999991</v>
      </c>
      <c r="F34" s="146">
        <f>all!F466</f>
        <v>0</v>
      </c>
      <c r="G34" s="65">
        <f>all!G466</f>
        <v>0.39316239316239321</v>
      </c>
      <c r="H34" s="146">
        <f>all!H466</f>
        <v>0</v>
      </c>
      <c r="I34" s="65">
        <f>all!I466</f>
        <v>0.640625</v>
      </c>
      <c r="J34" s="146">
        <f>all!J466</f>
        <v>0</v>
      </c>
      <c r="K34" s="65">
        <f>all!K466</f>
        <v>0.41198501872659177</v>
      </c>
      <c r="L34" s="146">
        <f>all!L466</f>
        <v>0</v>
      </c>
      <c r="M34" s="65">
        <f>all!M466</f>
        <v>0.63063063063063063</v>
      </c>
      <c r="N34" s="30">
        <f>all!N466</f>
        <v>0</v>
      </c>
      <c r="O34" s="65">
        <f>all!O466</f>
        <v>0.54285714285714293</v>
      </c>
    </row>
    <row r="35" spans="1:16" x14ac:dyDescent="0.2">
      <c r="A35" s="12"/>
      <c r="C35" s="10"/>
      <c r="E35" s="10"/>
      <c r="G35" s="10"/>
      <c r="H35" s="10"/>
      <c r="I35" s="10"/>
      <c r="K35" s="10"/>
      <c r="M35" s="10"/>
      <c r="O35" s="10"/>
    </row>
    <row r="36" spans="1:16" x14ac:dyDescent="0.2">
      <c r="A36" s="144" t="str">
        <f>all!A468</f>
        <v>If you are NOT taking an online course, what are your reasons for not doing so in order of impact</v>
      </c>
      <c r="C36" s="10"/>
      <c r="E36" s="10"/>
      <c r="G36" s="10"/>
      <c r="H36" s="10"/>
      <c r="I36" s="10"/>
      <c r="K36" s="10"/>
      <c r="M36" s="10"/>
      <c r="O36" s="10"/>
      <c r="P36" s="12"/>
    </row>
    <row r="37" spans="1:16" ht="24" x14ac:dyDescent="0.2">
      <c r="A37" s="108" t="str">
        <f>all!A469</f>
        <v>I prefer to learn with the instructor and classmates in person</v>
      </c>
      <c r="B37" s="151" t="s">
        <v>128</v>
      </c>
      <c r="C37" s="151"/>
      <c r="D37" s="151" t="s">
        <v>99</v>
      </c>
      <c r="E37" s="151"/>
      <c r="F37" s="150" t="s">
        <v>176</v>
      </c>
      <c r="G37" s="150"/>
      <c r="H37" s="151" t="s">
        <v>101</v>
      </c>
      <c r="I37" s="151"/>
      <c r="J37" s="151" t="s">
        <v>100</v>
      </c>
      <c r="K37" s="151"/>
      <c r="L37" s="151" t="s">
        <v>126</v>
      </c>
      <c r="M37" s="151"/>
      <c r="N37" s="148" t="s">
        <v>1</v>
      </c>
      <c r="O37" s="148"/>
    </row>
    <row r="38" spans="1:16" x14ac:dyDescent="0.2">
      <c r="A38" s="26" t="str">
        <f>all!A470</f>
        <v>Most Important</v>
      </c>
      <c r="B38" s="38">
        <f>all!B470</f>
        <v>300</v>
      </c>
      <c r="C38" s="39">
        <f>all!C470</f>
        <v>0.84507042253521125</v>
      </c>
      <c r="D38" s="38">
        <f>all!D470</f>
        <v>22</v>
      </c>
      <c r="E38" s="39">
        <f>all!E470</f>
        <v>0.81481481481481477</v>
      </c>
      <c r="F38" s="38">
        <f>all!F470</f>
        <v>8</v>
      </c>
      <c r="G38" s="39">
        <f>all!G470</f>
        <v>0.47058823529411764</v>
      </c>
      <c r="H38" s="38">
        <f>all!H470</f>
        <v>513</v>
      </c>
      <c r="I38" s="39">
        <f>all!I470</f>
        <v>0.83144246353322526</v>
      </c>
      <c r="J38" s="38">
        <f>all!J470</f>
        <v>33</v>
      </c>
      <c r="K38" s="39">
        <f>all!K470</f>
        <v>0.57894736842105265</v>
      </c>
      <c r="L38" s="38">
        <f>all!L470</f>
        <v>578</v>
      </c>
      <c r="M38" s="39">
        <f>all!M470</f>
        <v>0.83405483405483405</v>
      </c>
      <c r="N38" s="29">
        <f>all!N470</f>
        <v>1454</v>
      </c>
      <c r="O38" s="39">
        <f>all!O470</f>
        <v>0.82332955832389576</v>
      </c>
    </row>
    <row r="39" spans="1:16" x14ac:dyDescent="0.2">
      <c r="A39" s="26" t="str">
        <f>all!A471</f>
        <v>2nd Important</v>
      </c>
      <c r="B39" s="38">
        <f>all!B471</f>
        <v>43</v>
      </c>
      <c r="C39" s="39">
        <f>all!C471</f>
        <v>0.12112676056338029</v>
      </c>
      <c r="D39" s="145">
        <f>all!D471</f>
        <v>4</v>
      </c>
      <c r="E39" s="39">
        <f>all!E471</f>
        <v>0.14814814814814814</v>
      </c>
      <c r="F39" s="38">
        <f>all!F471</f>
        <v>4</v>
      </c>
      <c r="G39" s="39">
        <f>all!G471</f>
        <v>0.23529411764705882</v>
      </c>
      <c r="H39" s="38">
        <f>all!H471</f>
        <v>74</v>
      </c>
      <c r="I39" s="39">
        <f>all!I471</f>
        <v>0.11993517017828201</v>
      </c>
      <c r="J39" s="38">
        <f>all!J471</f>
        <v>12</v>
      </c>
      <c r="K39" s="39">
        <f>all!K471</f>
        <v>0.21052631578947367</v>
      </c>
      <c r="L39" s="38">
        <f>all!L471</f>
        <v>81</v>
      </c>
      <c r="M39" s="39">
        <f>all!M471</f>
        <v>0.11688311688311688</v>
      </c>
      <c r="N39" s="29">
        <f>all!N471</f>
        <v>218</v>
      </c>
      <c r="O39" s="39">
        <f>all!O471</f>
        <v>0.12344280860702152</v>
      </c>
    </row>
    <row r="40" spans="1:16" x14ac:dyDescent="0.2">
      <c r="A40" s="26" t="str">
        <f>all!A472</f>
        <v>3rd Important</v>
      </c>
      <c r="B40" s="38">
        <f>all!B472</f>
        <v>9</v>
      </c>
      <c r="C40" s="39">
        <f>all!C472</f>
        <v>2.5352112676056339E-2</v>
      </c>
      <c r="D40" s="38">
        <f>all!D472</f>
        <v>0</v>
      </c>
      <c r="E40" s="39">
        <f>all!E472</f>
        <v>0</v>
      </c>
      <c r="F40" s="38">
        <f>all!F472</f>
        <v>3</v>
      </c>
      <c r="G40" s="39">
        <f>all!G472</f>
        <v>0.17647058823529413</v>
      </c>
      <c r="H40" s="38">
        <f>all!H472</f>
        <v>15</v>
      </c>
      <c r="I40" s="39">
        <f>all!I472</f>
        <v>2.4311183144246355E-2</v>
      </c>
      <c r="J40" s="38">
        <f>all!J472</f>
        <v>2</v>
      </c>
      <c r="K40" s="39">
        <f>all!K472</f>
        <v>3.5087719298245612E-2</v>
      </c>
      <c r="L40" s="38">
        <f>all!L472</f>
        <v>15</v>
      </c>
      <c r="M40" s="39">
        <f>all!M472</f>
        <v>2.1645021645021644E-2</v>
      </c>
      <c r="N40" s="29">
        <f>all!N472</f>
        <v>44</v>
      </c>
      <c r="O40" s="39">
        <f>all!O472</f>
        <v>2.491506228765572E-2</v>
      </c>
    </row>
    <row r="41" spans="1:16" x14ac:dyDescent="0.2">
      <c r="A41" s="26" t="str">
        <f>all!A473</f>
        <v>Least Important</v>
      </c>
      <c r="B41" s="38">
        <f>all!B473</f>
        <v>3</v>
      </c>
      <c r="C41" s="39">
        <f>all!C473</f>
        <v>8.4507042253521118E-3</v>
      </c>
      <c r="D41" s="145">
        <f>all!D473</f>
        <v>1</v>
      </c>
      <c r="E41" s="39">
        <f>all!E473</f>
        <v>3.7037037037037035E-2</v>
      </c>
      <c r="F41" s="38">
        <f>all!F473</f>
        <v>2</v>
      </c>
      <c r="G41" s="39">
        <f>all!G473</f>
        <v>0.11764705882352941</v>
      </c>
      <c r="H41" s="38">
        <f>all!H473</f>
        <v>15</v>
      </c>
      <c r="I41" s="39">
        <f>all!I473</f>
        <v>2.4311183144246355E-2</v>
      </c>
      <c r="J41" s="38">
        <f>all!J473</f>
        <v>10</v>
      </c>
      <c r="K41" s="39">
        <f>all!K473</f>
        <v>0.17543859649122806</v>
      </c>
      <c r="L41" s="38">
        <f>all!L473</f>
        <v>19</v>
      </c>
      <c r="M41" s="39">
        <f>all!M473</f>
        <v>2.7417027417027416E-2</v>
      </c>
      <c r="N41" s="29">
        <f>all!N473</f>
        <v>50</v>
      </c>
      <c r="O41" s="39">
        <f>all!O473</f>
        <v>2.8312570781426953E-2</v>
      </c>
    </row>
    <row r="42" spans="1:16" x14ac:dyDescent="0.2">
      <c r="A42" s="108" t="str">
        <f>all!A474</f>
        <v>Total</v>
      </c>
      <c r="B42" s="30">
        <f>all!B474</f>
        <v>355</v>
      </c>
      <c r="C42" s="41">
        <f>all!C474</f>
        <v>1</v>
      </c>
      <c r="D42" s="30">
        <f>all!D474</f>
        <v>27</v>
      </c>
      <c r="E42" s="41">
        <f>all!E474</f>
        <v>1</v>
      </c>
      <c r="F42" s="30">
        <f>all!F474</f>
        <v>17</v>
      </c>
      <c r="G42" s="41">
        <f>all!G474</f>
        <v>1</v>
      </c>
      <c r="H42" s="30">
        <f>all!H474</f>
        <v>617</v>
      </c>
      <c r="I42" s="41">
        <f>all!I474</f>
        <v>1</v>
      </c>
      <c r="J42" s="30">
        <f>all!J474</f>
        <v>57</v>
      </c>
      <c r="K42" s="41">
        <f>all!K474</f>
        <v>1</v>
      </c>
      <c r="L42" s="30">
        <f>all!L474</f>
        <v>693</v>
      </c>
      <c r="M42" s="41">
        <f>all!M474</f>
        <v>1</v>
      </c>
      <c r="N42" s="30">
        <f>all!N474</f>
        <v>1766</v>
      </c>
      <c r="O42" s="41">
        <f>all!O474</f>
        <v>0.99999999999999989</v>
      </c>
    </row>
    <row r="43" spans="1:16" x14ac:dyDescent="0.2">
      <c r="A43" s="108" t="str">
        <f>all!A475</f>
        <v>Percent of 1st or 2nd importance</v>
      </c>
      <c r="B43" s="38">
        <f>all!B475</f>
        <v>0</v>
      </c>
      <c r="C43" s="65">
        <f>all!C475</f>
        <v>0.96619718309859159</v>
      </c>
      <c r="D43" s="146">
        <f>all!D475</f>
        <v>0</v>
      </c>
      <c r="E43" s="65">
        <f>all!E475</f>
        <v>0.96296296296296291</v>
      </c>
      <c r="F43" s="146">
        <f>all!F475</f>
        <v>0</v>
      </c>
      <c r="G43" s="65">
        <f>all!G475</f>
        <v>0.70588235294117641</v>
      </c>
      <c r="H43" s="146">
        <f>all!H475</f>
        <v>0</v>
      </c>
      <c r="I43" s="65">
        <f>all!I475</f>
        <v>0.9513776337115073</v>
      </c>
      <c r="J43" s="146">
        <f>all!J475</f>
        <v>0</v>
      </c>
      <c r="K43" s="65">
        <f>all!K475</f>
        <v>0.78947368421052633</v>
      </c>
      <c r="L43" s="146">
        <f>all!L475</f>
        <v>0</v>
      </c>
      <c r="M43" s="65">
        <f>all!M475</f>
        <v>0.95093795093795097</v>
      </c>
      <c r="N43" s="30">
        <f>all!N475</f>
        <v>0</v>
      </c>
      <c r="O43" s="65">
        <f>all!O475</f>
        <v>0.94677236693091726</v>
      </c>
    </row>
    <row r="44" spans="1:16" x14ac:dyDescent="0.2">
      <c r="A44" s="12"/>
      <c r="C44" s="10"/>
      <c r="E44" s="10"/>
      <c r="G44" s="10"/>
      <c r="H44" s="10"/>
      <c r="I44" s="10"/>
      <c r="K44" s="10"/>
      <c r="M44" s="10"/>
      <c r="O44" s="10"/>
    </row>
    <row r="45" spans="1:16" ht="24" x14ac:dyDescent="0.2">
      <c r="A45" s="108" t="str">
        <f>all!A477</f>
        <v>I do not have reliable computer/internet connection</v>
      </c>
      <c r="B45" s="151" t="s">
        <v>128</v>
      </c>
      <c r="C45" s="151"/>
      <c r="D45" s="151" t="s">
        <v>99</v>
      </c>
      <c r="E45" s="151"/>
      <c r="F45" s="150" t="s">
        <v>176</v>
      </c>
      <c r="G45" s="150"/>
      <c r="H45" s="151" t="s">
        <v>101</v>
      </c>
      <c r="I45" s="151"/>
      <c r="J45" s="151" t="s">
        <v>100</v>
      </c>
      <c r="K45" s="151"/>
      <c r="L45" s="151" t="s">
        <v>126</v>
      </c>
      <c r="M45" s="151"/>
      <c r="N45" s="148" t="s">
        <v>1</v>
      </c>
      <c r="O45" s="148"/>
    </row>
    <row r="46" spans="1:16" x14ac:dyDescent="0.2">
      <c r="A46" s="26" t="str">
        <f>all!A478</f>
        <v>Most Important</v>
      </c>
      <c r="B46" s="38">
        <f>all!B478</f>
        <v>18</v>
      </c>
      <c r="C46" s="39">
        <f>all!C478</f>
        <v>0.10465116279069768</v>
      </c>
      <c r="D46" s="38">
        <f>all!D478</f>
        <v>3</v>
      </c>
      <c r="E46" s="39">
        <f>all!E478</f>
        <v>0.21428571428571427</v>
      </c>
      <c r="F46" s="38">
        <f>all!F478</f>
        <v>1</v>
      </c>
      <c r="G46" s="39">
        <f>all!G478</f>
        <v>9.0909090909090912E-2</v>
      </c>
      <c r="H46" s="38">
        <f>all!H478</f>
        <v>29</v>
      </c>
      <c r="I46" s="39">
        <f>all!I478</f>
        <v>8.5798816568047331E-2</v>
      </c>
      <c r="J46" s="38">
        <f>all!J478</f>
        <v>5</v>
      </c>
      <c r="K46" s="39">
        <f>all!K478</f>
        <v>0.2</v>
      </c>
      <c r="L46" s="38">
        <f>all!L478</f>
        <v>40</v>
      </c>
      <c r="M46" s="39">
        <f>all!M478</f>
        <v>0.11661807580174927</v>
      </c>
      <c r="N46" s="29">
        <f>all!N478</f>
        <v>96</v>
      </c>
      <c r="O46" s="39">
        <f>all!O478</f>
        <v>0.10631229235880399</v>
      </c>
    </row>
    <row r="47" spans="1:16" x14ac:dyDescent="0.2">
      <c r="A47" s="26" t="str">
        <f>all!A479</f>
        <v>2nd Important</v>
      </c>
      <c r="B47" s="38">
        <f>all!B479</f>
        <v>16</v>
      </c>
      <c r="C47" s="39">
        <f>all!C479</f>
        <v>9.3023255813953487E-2</v>
      </c>
      <c r="D47" s="145">
        <f>all!D479</f>
        <v>3</v>
      </c>
      <c r="E47" s="39">
        <f>all!E479</f>
        <v>0.21428571428571427</v>
      </c>
      <c r="F47" s="38">
        <f>all!F479</f>
        <v>5</v>
      </c>
      <c r="G47" s="39">
        <f>all!G479</f>
        <v>0.45454545454545453</v>
      </c>
      <c r="H47" s="38">
        <f>all!H479</f>
        <v>42</v>
      </c>
      <c r="I47" s="39">
        <f>all!I479</f>
        <v>0.1242603550295858</v>
      </c>
      <c r="J47" s="38">
        <f>all!J479</f>
        <v>4</v>
      </c>
      <c r="K47" s="39">
        <f>all!K479</f>
        <v>0.16</v>
      </c>
      <c r="L47" s="38">
        <f>all!L479</f>
        <v>60</v>
      </c>
      <c r="M47" s="39">
        <f>all!M479</f>
        <v>0.1749271137026239</v>
      </c>
      <c r="N47" s="29">
        <f>all!N479</f>
        <v>130</v>
      </c>
      <c r="O47" s="39">
        <f>all!O479</f>
        <v>0.14396456256921372</v>
      </c>
    </row>
    <row r="48" spans="1:16" x14ac:dyDescent="0.2">
      <c r="A48" s="26" t="str">
        <f>all!A480</f>
        <v>3rd Important</v>
      </c>
      <c r="B48" s="38">
        <f>all!B480</f>
        <v>31</v>
      </c>
      <c r="C48" s="39">
        <f>all!C480</f>
        <v>0.18023255813953487</v>
      </c>
      <c r="D48" s="38">
        <f>all!D480</f>
        <v>2</v>
      </c>
      <c r="E48" s="39">
        <f>all!E480</f>
        <v>0.14285714285714285</v>
      </c>
      <c r="F48" s="38">
        <f>all!F480</f>
        <v>1</v>
      </c>
      <c r="G48" s="39">
        <f>all!G480</f>
        <v>9.0909090909090912E-2</v>
      </c>
      <c r="H48" s="38">
        <f>all!H480</f>
        <v>50</v>
      </c>
      <c r="I48" s="39">
        <f>all!I480</f>
        <v>0.14792899408284024</v>
      </c>
      <c r="J48" s="38">
        <f>all!J480</f>
        <v>2</v>
      </c>
      <c r="K48" s="39">
        <f>all!K480</f>
        <v>0.08</v>
      </c>
      <c r="L48" s="38">
        <f>all!L480</f>
        <v>38</v>
      </c>
      <c r="M48" s="39">
        <f>all!M480</f>
        <v>0.11078717201166181</v>
      </c>
      <c r="N48" s="29">
        <f>all!N480</f>
        <v>124</v>
      </c>
      <c r="O48" s="39">
        <f>all!O480</f>
        <v>0.13732004429678848</v>
      </c>
    </row>
    <row r="49" spans="1:15" x14ac:dyDescent="0.2">
      <c r="A49" s="26" t="str">
        <f>all!A481</f>
        <v>Least Important</v>
      </c>
      <c r="B49" s="38">
        <f>all!B481</f>
        <v>107</v>
      </c>
      <c r="C49" s="39">
        <f>all!C481</f>
        <v>0.62209302325581395</v>
      </c>
      <c r="D49" s="145">
        <f>all!D481</f>
        <v>6</v>
      </c>
      <c r="E49" s="39">
        <f>all!E481</f>
        <v>0.42857142857142855</v>
      </c>
      <c r="F49" s="38">
        <f>all!F481</f>
        <v>4</v>
      </c>
      <c r="G49" s="39">
        <f>all!G481</f>
        <v>0.36363636363636365</v>
      </c>
      <c r="H49" s="38">
        <f>all!H481</f>
        <v>217</v>
      </c>
      <c r="I49" s="39">
        <f>all!I481</f>
        <v>0.64201183431952658</v>
      </c>
      <c r="J49" s="38">
        <f>all!J481</f>
        <v>14</v>
      </c>
      <c r="K49" s="39">
        <f>all!K481</f>
        <v>0.56000000000000005</v>
      </c>
      <c r="L49" s="38">
        <f>all!L481</f>
        <v>205</v>
      </c>
      <c r="M49" s="39">
        <f>all!M481</f>
        <v>0.59766763848396498</v>
      </c>
      <c r="N49" s="29">
        <f>all!N481</f>
        <v>553</v>
      </c>
      <c r="O49" s="39">
        <f>all!O481</f>
        <v>0.61240310077519378</v>
      </c>
    </row>
    <row r="50" spans="1:15" x14ac:dyDescent="0.2">
      <c r="A50" s="108" t="str">
        <f>all!A482</f>
        <v>Total</v>
      </c>
      <c r="B50" s="30">
        <f>all!B482</f>
        <v>172</v>
      </c>
      <c r="C50" s="41">
        <f>all!C482</f>
        <v>1</v>
      </c>
      <c r="D50" s="30">
        <f>all!D482</f>
        <v>14</v>
      </c>
      <c r="E50" s="41">
        <f>all!E482</f>
        <v>1</v>
      </c>
      <c r="F50" s="30">
        <f>all!F482</f>
        <v>11</v>
      </c>
      <c r="G50" s="41">
        <f>all!G482</f>
        <v>1</v>
      </c>
      <c r="H50" s="30">
        <f>all!H482</f>
        <v>338</v>
      </c>
      <c r="I50" s="41">
        <f>all!I482</f>
        <v>1</v>
      </c>
      <c r="J50" s="30">
        <f>all!J482</f>
        <v>25</v>
      </c>
      <c r="K50" s="41">
        <f>all!K482</f>
        <v>1</v>
      </c>
      <c r="L50" s="30">
        <f>all!L482</f>
        <v>343</v>
      </c>
      <c r="M50" s="41">
        <f>all!M482</f>
        <v>1</v>
      </c>
      <c r="N50" s="30">
        <f>all!N482</f>
        <v>903</v>
      </c>
      <c r="O50" s="41">
        <f>all!O482</f>
        <v>1</v>
      </c>
    </row>
    <row r="51" spans="1:15" x14ac:dyDescent="0.2">
      <c r="A51" s="108" t="str">
        <f>all!A483</f>
        <v>Percent of 1st or 2nd importance</v>
      </c>
      <c r="B51" s="38">
        <f>all!B483</f>
        <v>0</v>
      </c>
      <c r="C51" s="65">
        <f>all!C483</f>
        <v>0.19767441860465118</v>
      </c>
      <c r="D51" s="146">
        <f>all!D483</f>
        <v>0</v>
      </c>
      <c r="E51" s="65">
        <f>all!E483</f>
        <v>0.42857142857142855</v>
      </c>
      <c r="F51" s="146">
        <f>all!F483</f>
        <v>0</v>
      </c>
      <c r="G51" s="65">
        <f>all!G483</f>
        <v>0.54545454545454541</v>
      </c>
      <c r="H51" s="146">
        <f>all!H483</f>
        <v>0</v>
      </c>
      <c r="I51" s="65">
        <f>all!I483</f>
        <v>0.21005917159763313</v>
      </c>
      <c r="J51" s="146">
        <f>all!J483</f>
        <v>0</v>
      </c>
      <c r="K51" s="65">
        <f>all!K483</f>
        <v>0.36</v>
      </c>
      <c r="L51" s="146">
        <f>all!L483</f>
        <v>0</v>
      </c>
      <c r="M51" s="65">
        <f>all!M483</f>
        <v>0.29154518950437314</v>
      </c>
      <c r="N51" s="30">
        <f>all!N483</f>
        <v>0</v>
      </c>
      <c r="O51" s="65">
        <f>all!O483</f>
        <v>0.25027685492801771</v>
      </c>
    </row>
    <row r="52" spans="1:15" x14ac:dyDescent="0.2">
      <c r="A52" s="12"/>
      <c r="C52" s="10"/>
      <c r="E52" s="10"/>
      <c r="G52" s="10"/>
      <c r="H52" s="10"/>
      <c r="I52" s="10"/>
      <c r="K52" s="10"/>
      <c r="M52" s="10"/>
      <c r="O52" s="10"/>
    </row>
    <row r="53" spans="1:15" x14ac:dyDescent="0.2">
      <c r="A53" s="108" t="str">
        <f>all!A485</f>
        <v>I am not comfortable using online technologies</v>
      </c>
      <c r="B53" s="151" t="s">
        <v>128</v>
      </c>
      <c r="C53" s="151"/>
      <c r="D53" s="151" t="s">
        <v>99</v>
      </c>
      <c r="E53" s="151"/>
      <c r="F53" s="150" t="s">
        <v>176</v>
      </c>
      <c r="G53" s="150"/>
      <c r="H53" s="151" t="s">
        <v>101</v>
      </c>
      <c r="I53" s="151"/>
      <c r="J53" s="151" t="s">
        <v>100</v>
      </c>
      <c r="K53" s="151"/>
      <c r="L53" s="151" t="s">
        <v>126</v>
      </c>
      <c r="M53" s="151"/>
      <c r="N53" s="148" t="s">
        <v>1</v>
      </c>
      <c r="O53" s="148"/>
    </row>
    <row r="54" spans="1:15" x14ac:dyDescent="0.2">
      <c r="A54" s="26" t="str">
        <f>all!A486</f>
        <v>Most Important</v>
      </c>
      <c r="B54" s="38">
        <f>all!B486</f>
        <v>25</v>
      </c>
      <c r="C54" s="39">
        <f>all!C486</f>
        <v>0.12437810945273632</v>
      </c>
      <c r="D54" s="38">
        <f>all!D486</f>
        <v>3</v>
      </c>
      <c r="E54" s="39">
        <f>all!E486</f>
        <v>0.2</v>
      </c>
      <c r="F54" s="38">
        <f>all!F486</f>
        <v>1</v>
      </c>
      <c r="G54" s="39">
        <f>all!G486</f>
        <v>7.6923076923076927E-2</v>
      </c>
      <c r="H54" s="38">
        <f>all!H486</f>
        <v>24</v>
      </c>
      <c r="I54" s="39">
        <f>all!I486</f>
        <v>6.4000000000000001E-2</v>
      </c>
      <c r="J54" s="38">
        <f>all!J486</f>
        <v>5</v>
      </c>
      <c r="K54" s="39">
        <f>all!K486</f>
        <v>0.16129032258064516</v>
      </c>
      <c r="L54" s="38">
        <f>all!L486</f>
        <v>45</v>
      </c>
      <c r="M54" s="39">
        <f>all!M486</f>
        <v>0.11138613861386139</v>
      </c>
      <c r="N54" s="29">
        <f>all!N486</f>
        <v>103</v>
      </c>
      <c r="O54" s="39">
        <f>all!O486</f>
        <v>9.9133782483156879E-2</v>
      </c>
    </row>
    <row r="55" spans="1:15" x14ac:dyDescent="0.2">
      <c r="A55" s="26" t="str">
        <f>all!A487</f>
        <v>2nd Important</v>
      </c>
      <c r="B55" s="38">
        <f>all!B487</f>
        <v>22</v>
      </c>
      <c r="C55" s="39">
        <f>all!C487</f>
        <v>0.10945273631840796</v>
      </c>
      <c r="D55" s="145">
        <f>all!D487</f>
        <v>2</v>
      </c>
      <c r="E55" s="39">
        <f>all!E487</f>
        <v>0.13333333333333333</v>
      </c>
      <c r="F55" s="38">
        <f>all!F487</f>
        <v>4</v>
      </c>
      <c r="G55" s="39">
        <f>all!G487</f>
        <v>0.30769230769230771</v>
      </c>
      <c r="H55" s="38">
        <f>all!H487</f>
        <v>63</v>
      </c>
      <c r="I55" s="39">
        <f>all!I487</f>
        <v>0.16800000000000001</v>
      </c>
      <c r="J55" s="38">
        <f>all!J487</f>
        <v>7</v>
      </c>
      <c r="K55" s="39">
        <f>all!K487</f>
        <v>0.22580645161290322</v>
      </c>
      <c r="L55" s="38">
        <f>all!L487</f>
        <v>76</v>
      </c>
      <c r="M55" s="39">
        <f>all!M487</f>
        <v>0.18811881188118812</v>
      </c>
      <c r="N55" s="29">
        <f>all!N487</f>
        <v>174</v>
      </c>
      <c r="O55" s="39">
        <f>all!O487</f>
        <v>0.16746871992300288</v>
      </c>
    </row>
    <row r="56" spans="1:15" x14ac:dyDescent="0.2">
      <c r="A56" s="26" t="str">
        <f>all!A488</f>
        <v>3rd Important</v>
      </c>
      <c r="B56" s="38">
        <f>all!B488</f>
        <v>51</v>
      </c>
      <c r="C56" s="39">
        <f>all!C488</f>
        <v>0.2537313432835821</v>
      </c>
      <c r="D56" s="38">
        <f>all!D488</f>
        <v>2</v>
      </c>
      <c r="E56" s="39">
        <f>all!E488</f>
        <v>0.13333333333333333</v>
      </c>
      <c r="F56" s="38">
        <f>all!F488</f>
        <v>5</v>
      </c>
      <c r="G56" s="39">
        <f>all!G488</f>
        <v>0.38461538461538464</v>
      </c>
      <c r="H56" s="38">
        <f>all!H488</f>
        <v>93</v>
      </c>
      <c r="I56" s="39">
        <f>all!I488</f>
        <v>0.248</v>
      </c>
      <c r="J56" s="38">
        <f>all!J488</f>
        <v>8</v>
      </c>
      <c r="K56" s="39">
        <f>all!K488</f>
        <v>0.25806451612903225</v>
      </c>
      <c r="L56" s="38">
        <f>all!L488</f>
        <v>97</v>
      </c>
      <c r="M56" s="39">
        <f>all!M488</f>
        <v>0.24009900990099009</v>
      </c>
      <c r="N56" s="29">
        <f>all!N488</f>
        <v>256</v>
      </c>
      <c r="O56" s="39">
        <f>all!O488</f>
        <v>0.24639076034648702</v>
      </c>
    </row>
    <row r="57" spans="1:15" x14ac:dyDescent="0.2">
      <c r="A57" s="26" t="str">
        <f>all!A489</f>
        <v>Least Important</v>
      </c>
      <c r="B57" s="38">
        <f>all!B489</f>
        <v>103</v>
      </c>
      <c r="C57" s="39">
        <f>all!C489</f>
        <v>0.51243781094527363</v>
      </c>
      <c r="D57" s="145">
        <f>all!D489</f>
        <v>8</v>
      </c>
      <c r="E57" s="39">
        <f>all!E489</f>
        <v>0.53333333333333333</v>
      </c>
      <c r="F57" s="38">
        <f>all!F489</f>
        <v>3</v>
      </c>
      <c r="G57" s="39">
        <f>all!G489</f>
        <v>0.23076923076923078</v>
      </c>
      <c r="H57" s="38">
        <f>all!H489</f>
        <v>195</v>
      </c>
      <c r="I57" s="39">
        <f>all!I489</f>
        <v>0.52</v>
      </c>
      <c r="J57" s="38">
        <f>all!J489</f>
        <v>11</v>
      </c>
      <c r="K57" s="39">
        <f>all!K489</f>
        <v>0.35483870967741937</v>
      </c>
      <c r="L57" s="38">
        <f>all!L489</f>
        <v>186</v>
      </c>
      <c r="M57" s="39">
        <f>all!M489</f>
        <v>0.46039603960396042</v>
      </c>
      <c r="N57" s="29">
        <f>all!N489</f>
        <v>506</v>
      </c>
      <c r="O57" s="39">
        <f>all!O489</f>
        <v>0.48700673724735322</v>
      </c>
    </row>
    <row r="58" spans="1:15" x14ac:dyDescent="0.2">
      <c r="A58" s="108" t="str">
        <f>all!A490</f>
        <v>Total</v>
      </c>
      <c r="B58" s="30">
        <f>all!B490</f>
        <v>201</v>
      </c>
      <c r="C58" s="41">
        <f>all!C490</f>
        <v>1</v>
      </c>
      <c r="D58" s="30">
        <f>all!D490</f>
        <v>15</v>
      </c>
      <c r="E58" s="41">
        <f>all!E490</f>
        <v>1</v>
      </c>
      <c r="F58" s="30">
        <f>all!F490</f>
        <v>13</v>
      </c>
      <c r="G58" s="41">
        <f>all!G490</f>
        <v>1</v>
      </c>
      <c r="H58" s="30">
        <f>all!H490</f>
        <v>375</v>
      </c>
      <c r="I58" s="41">
        <f>all!I490</f>
        <v>1</v>
      </c>
      <c r="J58" s="30">
        <f>all!J490</f>
        <v>31</v>
      </c>
      <c r="K58" s="41">
        <f>all!K490</f>
        <v>1</v>
      </c>
      <c r="L58" s="30">
        <f>all!L490</f>
        <v>404</v>
      </c>
      <c r="M58" s="41">
        <f>all!M490</f>
        <v>1</v>
      </c>
      <c r="N58" s="30">
        <f>all!N490</f>
        <v>1039</v>
      </c>
      <c r="O58" s="41">
        <f>all!O490</f>
        <v>1</v>
      </c>
    </row>
    <row r="59" spans="1:15" x14ac:dyDescent="0.2">
      <c r="A59" s="108" t="str">
        <f>all!A491</f>
        <v>Percent of 1st or 2nd importance</v>
      </c>
      <c r="B59" s="38"/>
      <c r="C59" s="65">
        <f>all!C491</f>
        <v>0.23383084577114427</v>
      </c>
      <c r="D59" s="146"/>
      <c r="E59" s="65">
        <f>all!E491</f>
        <v>0.33333333333333337</v>
      </c>
      <c r="F59" s="146"/>
      <c r="G59" s="65">
        <f>all!G491</f>
        <v>0.38461538461538464</v>
      </c>
      <c r="H59" s="146"/>
      <c r="I59" s="65">
        <f>all!I491</f>
        <v>0.23200000000000001</v>
      </c>
      <c r="J59" s="146"/>
      <c r="K59" s="65">
        <f>all!K491</f>
        <v>0.38709677419354838</v>
      </c>
      <c r="L59" s="146"/>
      <c r="M59" s="65">
        <f>all!M491</f>
        <v>0.29950495049504949</v>
      </c>
      <c r="N59" s="30"/>
      <c r="O59" s="65">
        <f>all!O491</f>
        <v>0.26660250240615979</v>
      </c>
    </row>
    <row r="60" spans="1:15" x14ac:dyDescent="0.2">
      <c r="A60" s="12"/>
      <c r="C60" s="10"/>
      <c r="E60" s="10"/>
      <c r="G60" s="10"/>
      <c r="H60" s="10"/>
      <c r="I60" s="10"/>
      <c r="K60" s="10"/>
      <c r="M60" s="10"/>
      <c r="O60" s="10"/>
    </row>
    <row r="61" spans="1:15" x14ac:dyDescent="0.2">
      <c r="A61" s="108" t="str">
        <f>all!A493</f>
        <v>Tuition for online courses is higher</v>
      </c>
      <c r="B61" s="151" t="s">
        <v>128</v>
      </c>
      <c r="C61" s="151"/>
      <c r="D61" s="151" t="s">
        <v>99</v>
      </c>
      <c r="E61" s="151"/>
      <c r="F61" s="150" t="s">
        <v>176</v>
      </c>
      <c r="G61" s="150"/>
      <c r="H61" s="151" t="s">
        <v>101</v>
      </c>
      <c r="I61" s="151"/>
      <c r="J61" s="151" t="s">
        <v>100</v>
      </c>
      <c r="K61" s="151"/>
      <c r="L61" s="151" t="s">
        <v>126</v>
      </c>
      <c r="M61" s="151"/>
      <c r="N61" s="148" t="s">
        <v>1</v>
      </c>
      <c r="O61" s="148"/>
    </row>
    <row r="62" spans="1:15" x14ac:dyDescent="0.2">
      <c r="A62" s="26" t="str">
        <f>all!A494</f>
        <v>Most Important</v>
      </c>
      <c r="B62" s="38">
        <f>all!B494</f>
        <v>85</v>
      </c>
      <c r="C62" s="39">
        <f>all!C494</f>
        <v>0.32567049808429116</v>
      </c>
      <c r="D62" s="38">
        <f>all!D494</f>
        <v>10</v>
      </c>
      <c r="E62" s="39">
        <f>all!E494</f>
        <v>0.58823529411764708</v>
      </c>
      <c r="F62" s="38">
        <f>all!F494</f>
        <v>5</v>
      </c>
      <c r="G62" s="39">
        <f>all!G494</f>
        <v>0.29411764705882354</v>
      </c>
      <c r="H62" s="38">
        <f>all!H494</f>
        <v>125</v>
      </c>
      <c r="I62" s="39">
        <f>all!I494</f>
        <v>0.25987525987525989</v>
      </c>
      <c r="J62" s="38">
        <f>all!J494</f>
        <v>25</v>
      </c>
      <c r="K62" s="39">
        <f>all!K494</f>
        <v>0.5</v>
      </c>
      <c r="L62" s="38">
        <f>all!L494</f>
        <v>156</v>
      </c>
      <c r="M62" s="39">
        <f>all!M494</f>
        <v>0.30409356725146197</v>
      </c>
      <c r="N62" s="29">
        <f>all!N494</f>
        <v>406</v>
      </c>
      <c r="O62" s="39">
        <f>all!O494</f>
        <v>0.3032113517550411</v>
      </c>
    </row>
    <row r="63" spans="1:15" x14ac:dyDescent="0.2">
      <c r="A63" s="26" t="str">
        <f>all!A495</f>
        <v>2nd Important</v>
      </c>
      <c r="B63" s="38">
        <f>all!B495</f>
        <v>99</v>
      </c>
      <c r="C63" s="39">
        <f>all!C495</f>
        <v>0.37931034482758619</v>
      </c>
      <c r="D63" s="145">
        <f>all!D495</f>
        <v>2</v>
      </c>
      <c r="E63" s="39">
        <f>all!E495</f>
        <v>0.11764705882352941</v>
      </c>
      <c r="F63" s="38">
        <f>all!F495</f>
        <v>7</v>
      </c>
      <c r="G63" s="39">
        <f>all!G495</f>
        <v>0.41176470588235292</v>
      </c>
      <c r="H63" s="38">
        <f>all!H495</f>
        <v>188</v>
      </c>
      <c r="I63" s="39">
        <f>all!I495</f>
        <v>0.39085239085239087</v>
      </c>
      <c r="J63" s="38">
        <f>all!J495</f>
        <v>11</v>
      </c>
      <c r="K63" s="39">
        <f>all!K495</f>
        <v>0.22</v>
      </c>
      <c r="L63" s="38">
        <f>all!L495</f>
        <v>181</v>
      </c>
      <c r="M63" s="39">
        <f>all!M495</f>
        <v>0.35282651072124754</v>
      </c>
      <c r="N63" s="29">
        <f>all!N495</f>
        <v>488</v>
      </c>
      <c r="O63" s="39">
        <f>all!O495</f>
        <v>0.36445108289768485</v>
      </c>
    </row>
    <row r="64" spans="1:15" x14ac:dyDescent="0.2">
      <c r="A64" s="26" t="str">
        <f>all!A496</f>
        <v>3rd Important</v>
      </c>
      <c r="B64" s="38">
        <f>all!B496</f>
        <v>31</v>
      </c>
      <c r="C64" s="39">
        <f>all!C496</f>
        <v>0.11877394636015326</v>
      </c>
      <c r="D64" s="38">
        <f>all!D496</f>
        <v>2</v>
      </c>
      <c r="E64" s="39">
        <f>all!E496</f>
        <v>0.11764705882352941</v>
      </c>
      <c r="F64" s="38">
        <f>all!F496</f>
        <v>2</v>
      </c>
      <c r="G64" s="39">
        <f>all!G496</f>
        <v>0.11764705882352941</v>
      </c>
      <c r="H64" s="38">
        <f>all!H496</f>
        <v>59</v>
      </c>
      <c r="I64" s="39">
        <f>all!I496</f>
        <v>0.12266112266112267</v>
      </c>
      <c r="J64" s="38">
        <f>all!J496</f>
        <v>7</v>
      </c>
      <c r="K64" s="39">
        <f>all!K496</f>
        <v>0.14000000000000001</v>
      </c>
      <c r="L64" s="38">
        <f>all!L496</f>
        <v>75</v>
      </c>
      <c r="M64" s="39">
        <f>all!M496</f>
        <v>0.14619883040935672</v>
      </c>
      <c r="N64" s="29">
        <f>all!N496</f>
        <v>176</v>
      </c>
      <c r="O64" s="39">
        <f>all!O496</f>
        <v>0.13144137415982077</v>
      </c>
    </row>
    <row r="65" spans="1:16" x14ac:dyDescent="0.2">
      <c r="A65" s="26" t="str">
        <f>all!A497</f>
        <v>Least Important</v>
      </c>
      <c r="B65" s="38">
        <f>all!B497</f>
        <v>46</v>
      </c>
      <c r="C65" s="39">
        <f>all!C497</f>
        <v>0.17624521072796934</v>
      </c>
      <c r="D65" s="145">
        <f>all!D497</f>
        <v>3</v>
      </c>
      <c r="E65" s="39">
        <f>all!E497</f>
        <v>0.17647058823529413</v>
      </c>
      <c r="F65" s="38">
        <f>all!F497</f>
        <v>3</v>
      </c>
      <c r="G65" s="39">
        <f>all!G497</f>
        <v>0.17647058823529413</v>
      </c>
      <c r="H65" s="38">
        <f>all!H497</f>
        <v>109</v>
      </c>
      <c r="I65" s="39">
        <f>all!I497</f>
        <v>0.22661122661122662</v>
      </c>
      <c r="J65" s="38">
        <f>all!J497</f>
        <v>7</v>
      </c>
      <c r="K65" s="39">
        <f>all!K497</f>
        <v>0.14000000000000001</v>
      </c>
      <c r="L65" s="38">
        <f>all!L497</f>
        <v>101</v>
      </c>
      <c r="M65" s="39">
        <f>all!M497</f>
        <v>0.19688109161793371</v>
      </c>
      <c r="N65" s="29">
        <f>all!N497</f>
        <v>269</v>
      </c>
      <c r="O65" s="39">
        <f>all!O497</f>
        <v>0.20089619118745333</v>
      </c>
    </row>
    <row r="66" spans="1:16" x14ac:dyDescent="0.2">
      <c r="A66" s="108" t="str">
        <f>all!A498</f>
        <v>Total</v>
      </c>
      <c r="B66" s="30">
        <f>all!B498</f>
        <v>261</v>
      </c>
      <c r="C66" s="41">
        <f>all!C498</f>
        <v>1</v>
      </c>
      <c r="D66" s="30">
        <f>all!D498</f>
        <v>17</v>
      </c>
      <c r="E66" s="41">
        <f>all!E498</f>
        <v>1</v>
      </c>
      <c r="F66" s="30">
        <f>all!F498</f>
        <v>17</v>
      </c>
      <c r="G66" s="41">
        <f>all!G498</f>
        <v>1</v>
      </c>
      <c r="H66" s="30">
        <f>all!H498</f>
        <v>481</v>
      </c>
      <c r="I66" s="41">
        <f>all!I498</f>
        <v>1</v>
      </c>
      <c r="J66" s="30">
        <f>all!J498</f>
        <v>50</v>
      </c>
      <c r="K66" s="41">
        <f>all!K498</f>
        <v>1</v>
      </c>
      <c r="L66" s="30">
        <f>all!L498</f>
        <v>513</v>
      </c>
      <c r="M66" s="41">
        <f>all!M498</f>
        <v>1</v>
      </c>
      <c r="N66" s="30">
        <f>all!N498</f>
        <v>1339</v>
      </c>
      <c r="O66" s="41">
        <f>all!O498</f>
        <v>1.0000000000000002</v>
      </c>
    </row>
    <row r="67" spans="1:16" x14ac:dyDescent="0.2">
      <c r="A67" s="108" t="str">
        <f>all!A499</f>
        <v>Percent of 1st or 2nd importance</v>
      </c>
      <c r="B67" s="38"/>
      <c r="C67" s="65">
        <f>all!C499</f>
        <v>0.70498084291187735</v>
      </c>
      <c r="D67" s="146"/>
      <c r="E67" s="65">
        <f>all!E499</f>
        <v>0.70588235294117652</v>
      </c>
      <c r="F67" s="146"/>
      <c r="G67" s="65">
        <f>all!G499</f>
        <v>0.70588235294117641</v>
      </c>
      <c r="H67" s="146"/>
      <c r="I67" s="65">
        <f>all!I499</f>
        <v>0.65072765072765071</v>
      </c>
      <c r="J67" s="146"/>
      <c r="K67" s="65">
        <f>all!K499</f>
        <v>0.72</v>
      </c>
      <c r="L67" s="146"/>
      <c r="M67" s="65">
        <f>all!M499</f>
        <v>0.65692007797270957</v>
      </c>
      <c r="N67" s="30"/>
      <c r="O67" s="65">
        <f>all!O499</f>
        <v>0.66766243465272601</v>
      </c>
    </row>
    <row r="68" spans="1:16" x14ac:dyDescent="0.2">
      <c r="A68" s="12"/>
      <c r="C68" s="10"/>
      <c r="E68" s="10"/>
      <c r="G68" s="10"/>
      <c r="H68" s="10"/>
      <c r="I68" s="10"/>
      <c r="K68" s="10"/>
      <c r="M68" s="10"/>
      <c r="O68" s="10"/>
    </row>
    <row r="69" spans="1:16" x14ac:dyDescent="0.2">
      <c r="A69" s="12"/>
      <c r="C69" s="10"/>
      <c r="E69" s="10"/>
      <c r="G69" s="10"/>
      <c r="H69" s="10"/>
      <c r="I69" s="10"/>
      <c r="K69" s="10"/>
      <c r="M69" s="10"/>
      <c r="O69" s="10"/>
    </row>
    <row r="70" spans="1:16" x14ac:dyDescent="0.2">
      <c r="A70" s="144" t="str">
        <f>all!A502</f>
        <v>How Often do you typically use the following technologies?</v>
      </c>
      <c r="C70" s="10"/>
      <c r="E70" s="10"/>
      <c r="G70" s="10"/>
      <c r="H70" s="10"/>
      <c r="I70" s="10"/>
      <c r="K70" s="10"/>
      <c r="M70" s="10"/>
      <c r="O70" s="10"/>
      <c r="P70" s="12"/>
    </row>
    <row r="71" spans="1:16" x14ac:dyDescent="0.2">
      <c r="A71" s="108" t="str">
        <f>all!A503</f>
        <v>Desire2Learn</v>
      </c>
      <c r="B71" s="151" t="s">
        <v>128</v>
      </c>
      <c r="C71" s="151"/>
      <c r="D71" s="151" t="s">
        <v>99</v>
      </c>
      <c r="E71" s="151"/>
      <c r="F71" s="150" t="s">
        <v>176</v>
      </c>
      <c r="G71" s="150"/>
      <c r="H71" s="151" t="s">
        <v>101</v>
      </c>
      <c r="I71" s="151"/>
      <c r="J71" s="151" t="s">
        <v>100</v>
      </c>
      <c r="K71" s="151"/>
      <c r="L71" s="151" t="s">
        <v>126</v>
      </c>
      <c r="M71" s="151"/>
      <c r="N71" s="148" t="s">
        <v>1</v>
      </c>
      <c r="O71" s="148"/>
    </row>
    <row r="72" spans="1:16" x14ac:dyDescent="0.2">
      <c r="A72" s="26" t="str">
        <f>all!A504</f>
        <v>Daily</v>
      </c>
      <c r="B72" s="38">
        <f>all!B504</f>
        <v>211</v>
      </c>
      <c r="C72" s="39">
        <f>all!C504</f>
        <v>0.47309417040358742</v>
      </c>
      <c r="D72" s="38">
        <f>all!D504</f>
        <v>13</v>
      </c>
      <c r="E72" s="39">
        <f>all!E504</f>
        <v>0.38235294117647056</v>
      </c>
      <c r="F72" s="38">
        <f>all!F504</f>
        <v>120</v>
      </c>
      <c r="G72" s="39">
        <f>all!G504</f>
        <v>0.67796610169491522</v>
      </c>
      <c r="H72" s="38">
        <f>all!H504</f>
        <v>483</v>
      </c>
      <c r="I72" s="39">
        <f>all!I504</f>
        <v>0.59409594095940954</v>
      </c>
      <c r="J72" s="38">
        <f>all!J504</f>
        <v>312</v>
      </c>
      <c r="K72" s="39">
        <f>all!K504</f>
        <v>0.7839195979899497</v>
      </c>
      <c r="L72" s="38">
        <f>all!L504</f>
        <v>507</v>
      </c>
      <c r="M72" s="39">
        <f>all!M504</f>
        <v>0.5715896279594137</v>
      </c>
      <c r="N72" s="29">
        <f>all!N504</f>
        <v>1646</v>
      </c>
      <c r="O72" s="39">
        <f>all!O504</f>
        <v>0.61235119047619047</v>
      </c>
    </row>
    <row r="73" spans="1:16" x14ac:dyDescent="0.2">
      <c r="A73" s="26" t="str">
        <f>all!A505</f>
        <v>2+ days a week</v>
      </c>
      <c r="B73" s="38">
        <f>all!B505</f>
        <v>167</v>
      </c>
      <c r="C73" s="39">
        <f>all!C505</f>
        <v>0.3744394618834081</v>
      </c>
      <c r="D73" s="38">
        <f>all!D505</f>
        <v>15</v>
      </c>
      <c r="E73" s="39">
        <f>all!E505</f>
        <v>0.44117647058823528</v>
      </c>
      <c r="F73" s="38">
        <f>all!F505</f>
        <v>47</v>
      </c>
      <c r="G73" s="39">
        <f>all!G505</f>
        <v>0.2655367231638418</v>
      </c>
      <c r="H73" s="38">
        <f>all!H505</f>
        <v>223</v>
      </c>
      <c r="I73" s="39">
        <f>all!I505</f>
        <v>0.27429274292742928</v>
      </c>
      <c r="J73" s="38">
        <f>all!J505</f>
        <v>71</v>
      </c>
      <c r="K73" s="39">
        <f>all!K505</f>
        <v>0.17839195979899497</v>
      </c>
      <c r="L73" s="38">
        <f>all!L505</f>
        <v>279</v>
      </c>
      <c r="M73" s="39">
        <f>all!M505</f>
        <v>0.31454340473506198</v>
      </c>
      <c r="N73" s="29">
        <f>all!N505</f>
        <v>802</v>
      </c>
      <c r="O73" s="39">
        <f>all!O505</f>
        <v>0.29836309523809523</v>
      </c>
    </row>
    <row r="74" spans="1:16" x14ac:dyDescent="0.2">
      <c r="A74" s="26" t="str">
        <f>all!A506</f>
        <v>Once a week</v>
      </c>
      <c r="B74" s="38">
        <f>all!B506</f>
        <v>43</v>
      </c>
      <c r="C74" s="39">
        <f>all!C506</f>
        <v>9.641255605381166E-2</v>
      </c>
      <c r="D74" s="38">
        <f>all!D506</f>
        <v>4</v>
      </c>
      <c r="E74" s="39">
        <f>all!E506</f>
        <v>0.11764705882352941</v>
      </c>
      <c r="F74" s="38">
        <f>all!F506</f>
        <v>4</v>
      </c>
      <c r="G74" s="39">
        <f>all!G506</f>
        <v>2.2598870056497175E-2</v>
      </c>
      <c r="H74" s="38">
        <f>all!H506</f>
        <v>74</v>
      </c>
      <c r="I74" s="39">
        <f>all!I506</f>
        <v>9.1020910209102093E-2</v>
      </c>
      <c r="J74" s="38">
        <f>all!J506</f>
        <v>5</v>
      </c>
      <c r="K74" s="39">
        <f>all!K506</f>
        <v>1.2562814070351759E-2</v>
      </c>
      <c r="L74" s="38">
        <f>all!L506</f>
        <v>58</v>
      </c>
      <c r="M74" s="39">
        <f>all!M506</f>
        <v>6.538895152198422E-2</v>
      </c>
      <c r="N74" s="29">
        <f>all!N506</f>
        <v>188</v>
      </c>
      <c r="O74" s="39">
        <f>all!O506</f>
        <v>6.9940476190476192E-2</v>
      </c>
    </row>
    <row r="75" spans="1:16" x14ac:dyDescent="0.2">
      <c r="A75" s="26" t="str">
        <f>all!A507</f>
        <v>Monthly</v>
      </c>
      <c r="B75" s="38">
        <f>all!B507</f>
        <v>16</v>
      </c>
      <c r="C75" s="39">
        <f>all!C507</f>
        <v>3.5874439461883408E-2</v>
      </c>
      <c r="D75" s="38">
        <f>all!D507</f>
        <v>2</v>
      </c>
      <c r="E75" s="39">
        <f>all!E507</f>
        <v>5.8823529411764705E-2</v>
      </c>
      <c r="F75" s="38">
        <f>all!F507</f>
        <v>1</v>
      </c>
      <c r="G75" s="39">
        <f>all!G507</f>
        <v>5.6497175141242938E-3</v>
      </c>
      <c r="H75" s="38">
        <f>all!H507</f>
        <v>18</v>
      </c>
      <c r="I75" s="39">
        <f>all!I507</f>
        <v>2.2140221402214021E-2</v>
      </c>
      <c r="J75" s="38">
        <f>all!J507</f>
        <v>3</v>
      </c>
      <c r="K75" s="39">
        <f>all!K507</f>
        <v>7.537688442211055E-3</v>
      </c>
      <c r="L75" s="38">
        <f>all!L507</f>
        <v>27</v>
      </c>
      <c r="M75" s="39">
        <f>all!M507</f>
        <v>3.0439684329199548E-2</v>
      </c>
      <c r="N75" s="29">
        <f>all!N507</f>
        <v>0</v>
      </c>
      <c r="O75" s="39">
        <f>all!O507</f>
        <v>0</v>
      </c>
    </row>
    <row r="76" spans="1:16" x14ac:dyDescent="0.2">
      <c r="A76" s="26" t="str">
        <f>all!A508</f>
        <v>Never</v>
      </c>
      <c r="B76" s="38">
        <f>all!B508</f>
        <v>9</v>
      </c>
      <c r="C76" s="39">
        <f>all!C508</f>
        <v>2.0179372197309416E-2</v>
      </c>
      <c r="D76" s="38">
        <f>all!D508</f>
        <v>0</v>
      </c>
      <c r="E76" s="39">
        <f>all!E508</f>
        <v>0</v>
      </c>
      <c r="F76" s="38">
        <f>all!F508</f>
        <v>5</v>
      </c>
      <c r="G76" s="39">
        <f>all!G508</f>
        <v>2.8248587570621469E-2</v>
      </c>
      <c r="H76" s="38">
        <f>all!H508</f>
        <v>15</v>
      </c>
      <c r="I76" s="39">
        <f>all!I508</f>
        <v>1.8450184501845018E-2</v>
      </c>
      <c r="J76" s="38">
        <f>all!J508</f>
        <v>7</v>
      </c>
      <c r="K76" s="39">
        <f>all!K508</f>
        <v>1.7587939698492462E-2</v>
      </c>
      <c r="L76" s="38">
        <f>all!L508</f>
        <v>16</v>
      </c>
      <c r="M76" s="39">
        <f>all!M508</f>
        <v>1.8038331454340473E-2</v>
      </c>
      <c r="N76" s="29">
        <f>all!N508</f>
        <v>52</v>
      </c>
      <c r="O76" s="39">
        <f>all!O508</f>
        <v>1.9345238095238096E-2</v>
      </c>
    </row>
    <row r="77" spans="1:16" x14ac:dyDescent="0.2">
      <c r="A77" s="108" t="str">
        <f>all!A509</f>
        <v>Total</v>
      </c>
      <c r="B77" s="38">
        <f>all!B509</f>
        <v>446</v>
      </c>
      <c r="C77" s="39">
        <f>all!C509</f>
        <v>0.99999999999999989</v>
      </c>
      <c r="D77" s="38">
        <f>all!D509</f>
        <v>34</v>
      </c>
      <c r="E77" s="39">
        <f>all!E509</f>
        <v>1</v>
      </c>
      <c r="F77" s="38">
        <f>all!F509</f>
        <v>177</v>
      </c>
      <c r="G77" s="39">
        <f>all!G509</f>
        <v>0.99999999999999989</v>
      </c>
      <c r="H77" s="38">
        <f>all!H509</f>
        <v>813</v>
      </c>
      <c r="I77" s="39">
        <f>all!I509</f>
        <v>1</v>
      </c>
      <c r="J77" s="38">
        <f>all!J509</f>
        <v>398</v>
      </c>
      <c r="K77" s="39">
        <f>all!K509</f>
        <v>1</v>
      </c>
      <c r="L77" s="38">
        <f>all!L509</f>
        <v>887</v>
      </c>
      <c r="M77" s="39">
        <f>all!M509</f>
        <v>0.99999999999999978</v>
      </c>
      <c r="N77" s="30">
        <f>all!N509</f>
        <v>2688</v>
      </c>
      <c r="O77" s="41">
        <f>all!O509</f>
        <v>1</v>
      </c>
    </row>
    <row r="78" spans="1:16" x14ac:dyDescent="0.2">
      <c r="A78" s="108" t="str">
        <f>all!A510</f>
        <v>Once a week or more</v>
      </c>
      <c r="B78" s="38"/>
      <c r="C78" s="65">
        <f>all!C510</f>
        <v>0.94394618834080712</v>
      </c>
      <c r="D78" s="38"/>
      <c r="E78" s="65">
        <f>all!E510</f>
        <v>0.94117647058823528</v>
      </c>
      <c r="F78" s="38"/>
      <c r="G78" s="65">
        <f>all!G510</f>
        <v>0.96610169491525422</v>
      </c>
      <c r="H78" s="38"/>
      <c r="I78" s="65">
        <f>all!I510</f>
        <v>0.95940959409594095</v>
      </c>
      <c r="J78" s="38"/>
      <c r="K78" s="65">
        <f>all!K510</f>
        <v>0.97487437185929648</v>
      </c>
      <c r="L78" s="38"/>
      <c r="M78" s="65">
        <f>all!M510</f>
        <v>0.95152198421645984</v>
      </c>
      <c r="N78" s="30"/>
      <c r="O78" s="65">
        <f>all!O510</f>
        <v>0.98065476190476186</v>
      </c>
    </row>
    <row r="79" spans="1:16" x14ac:dyDescent="0.2">
      <c r="A79" s="12"/>
    </row>
    <row r="80" spans="1:16" x14ac:dyDescent="0.2">
      <c r="A80" s="108" t="str">
        <f>all!A512</f>
        <v>eWolf</v>
      </c>
      <c r="B80" s="151" t="s">
        <v>128</v>
      </c>
      <c r="C80" s="151"/>
      <c r="D80" s="151" t="s">
        <v>99</v>
      </c>
      <c r="E80" s="151"/>
      <c r="F80" s="150" t="s">
        <v>176</v>
      </c>
      <c r="G80" s="150"/>
      <c r="H80" s="151" t="s">
        <v>101</v>
      </c>
      <c r="I80" s="151"/>
      <c r="J80" s="151" t="s">
        <v>100</v>
      </c>
      <c r="K80" s="151"/>
      <c r="L80" s="151" t="s">
        <v>126</v>
      </c>
      <c r="M80" s="151"/>
      <c r="N80" s="148" t="s">
        <v>1</v>
      </c>
      <c r="O80" s="148"/>
    </row>
    <row r="81" spans="1:15" x14ac:dyDescent="0.2">
      <c r="A81" s="26" t="str">
        <f>all!A513</f>
        <v>Daily</v>
      </c>
      <c r="B81" s="38">
        <f>all!B513</f>
        <v>120</v>
      </c>
      <c r="C81" s="39">
        <f>all!C513</f>
        <v>0.26905829596412556</v>
      </c>
      <c r="D81" s="38">
        <f>all!D513</f>
        <v>12</v>
      </c>
      <c r="E81" s="39">
        <f>all!E513</f>
        <v>0.35294117647058826</v>
      </c>
      <c r="F81" s="38">
        <f>all!F513</f>
        <v>92</v>
      </c>
      <c r="G81" s="39">
        <f>all!G513</f>
        <v>0.51111111111111107</v>
      </c>
      <c r="H81" s="38">
        <f>all!H513</f>
        <v>258</v>
      </c>
      <c r="I81" s="39">
        <f>all!I513</f>
        <v>0.31773399014778325</v>
      </c>
      <c r="J81" s="38">
        <f>all!J513</f>
        <v>169</v>
      </c>
      <c r="K81" s="39">
        <f>all!K513</f>
        <v>0.4256926952141058</v>
      </c>
      <c r="L81" s="38">
        <f>all!L513</f>
        <v>288</v>
      </c>
      <c r="M81" s="39">
        <f>all!M513</f>
        <v>0.32579185520361992</v>
      </c>
      <c r="N81" s="29">
        <f>all!N513</f>
        <v>939</v>
      </c>
      <c r="O81" s="39">
        <f>all!O513</f>
        <v>0.42145421903052066</v>
      </c>
    </row>
    <row r="82" spans="1:15" x14ac:dyDescent="0.2">
      <c r="A82" s="26" t="str">
        <f>all!A514</f>
        <v>2+ days a week</v>
      </c>
      <c r="B82" s="38">
        <f>all!B514</f>
        <v>130</v>
      </c>
      <c r="C82" s="39">
        <f>all!C514</f>
        <v>0.2914798206278027</v>
      </c>
      <c r="D82" s="38">
        <f>all!D514</f>
        <v>7</v>
      </c>
      <c r="E82" s="39">
        <f>all!E514</f>
        <v>0.20588235294117646</v>
      </c>
      <c r="F82" s="38">
        <f>all!F514</f>
        <v>34</v>
      </c>
      <c r="G82" s="39">
        <f>all!G514</f>
        <v>0.18888888888888888</v>
      </c>
      <c r="H82" s="38">
        <f>all!H514</f>
        <v>200</v>
      </c>
      <c r="I82" s="39">
        <f>all!I514</f>
        <v>0.24630541871921183</v>
      </c>
      <c r="J82" s="38">
        <f>all!J514</f>
        <v>66</v>
      </c>
      <c r="K82" s="39">
        <f>all!K514</f>
        <v>0.16624685138539042</v>
      </c>
      <c r="L82" s="38">
        <f>all!L514</f>
        <v>240</v>
      </c>
      <c r="M82" s="39">
        <f>all!M514</f>
        <v>0.27149321266968324</v>
      </c>
      <c r="N82" s="29">
        <f>all!N514</f>
        <v>677</v>
      </c>
      <c r="O82" s="39">
        <f>all!O514</f>
        <v>0.30385996409335725</v>
      </c>
    </row>
    <row r="83" spans="1:15" x14ac:dyDescent="0.2">
      <c r="A83" s="26" t="str">
        <f>all!A515</f>
        <v>Once a week</v>
      </c>
      <c r="B83" s="38">
        <f>all!B515</f>
        <v>101</v>
      </c>
      <c r="C83" s="39">
        <f>all!C515</f>
        <v>0.226457399103139</v>
      </c>
      <c r="D83" s="38">
        <f>all!D515</f>
        <v>5</v>
      </c>
      <c r="E83" s="39">
        <f>all!E515</f>
        <v>0.14705882352941177</v>
      </c>
      <c r="F83" s="38">
        <f>all!F515</f>
        <v>20</v>
      </c>
      <c r="G83" s="39">
        <f>all!G515</f>
        <v>0.1111111111111111</v>
      </c>
      <c r="H83" s="38">
        <f>all!H515</f>
        <v>171</v>
      </c>
      <c r="I83" s="39">
        <f>all!I515</f>
        <v>0.2105911330049261</v>
      </c>
      <c r="J83" s="38">
        <f>all!J515</f>
        <v>69</v>
      </c>
      <c r="K83" s="39">
        <f>all!K515</f>
        <v>0.17380352644836272</v>
      </c>
      <c r="L83" s="38">
        <f>all!L515</f>
        <v>174</v>
      </c>
      <c r="M83" s="39">
        <f>all!M515</f>
        <v>0.19683257918552036</v>
      </c>
      <c r="N83" s="29">
        <f>all!N515</f>
        <v>540</v>
      </c>
      <c r="O83" s="39">
        <f>all!O515</f>
        <v>0.24236983842010773</v>
      </c>
    </row>
    <row r="84" spans="1:15" x14ac:dyDescent="0.2">
      <c r="A84" s="26" t="str">
        <f>all!A516</f>
        <v>Monthly</v>
      </c>
      <c r="B84" s="38">
        <f>all!B516</f>
        <v>85</v>
      </c>
      <c r="C84" s="39">
        <f>all!C516</f>
        <v>0.1905829596412556</v>
      </c>
      <c r="D84" s="38">
        <f>all!D516</f>
        <v>8</v>
      </c>
      <c r="E84" s="39">
        <f>all!E516</f>
        <v>0.23529411764705882</v>
      </c>
      <c r="F84" s="38">
        <f>all!F516</f>
        <v>28</v>
      </c>
      <c r="G84" s="39">
        <f>all!G516</f>
        <v>0.15555555555555556</v>
      </c>
      <c r="H84" s="38">
        <f>all!H516</f>
        <v>165</v>
      </c>
      <c r="I84" s="39">
        <f>all!I516</f>
        <v>0.20320197044334976</v>
      </c>
      <c r="J84" s="38">
        <f>all!J516</f>
        <v>76</v>
      </c>
      <c r="K84" s="39">
        <f>all!K516</f>
        <v>0.19143576826196473</v>
      </c>
      <c r="L84" s="38">
        <f>all!L516</f>
        <v>163</v>
      </c>
      <c r="M84" s="39">
        <f>all!M516</f>
        <v>0.18438914027149322</v>
      </c>
      <c r="N84" s="29">
        <f>all!N516</f>
        <v>0</v>
      </c>
      <c r="O84" s="39">
        <f>all!O516</f>
        <v>0</v>
      </c>
    </row>
    <row r="85" spans="1:15" x14ac:dyDescent="0.2">
      <c r="A85" s="26" t="str">
        <f>all!A517</f>
        <v>Never</v>
      </c>
      <c r="B85" s="38">
        <f>all!B517</f>
        <v>10</v>
      </c>
      <c r="C85" s="39">
        <f>all!C517</f>
        <v>2.2421524663677129E-2</v>
      </c>
      <c r="D85" s="38">
        <f>all!D517</f>
        <v>2</v>
      </c>
      <c r="E85" s="39">
        <f>all!E517</f>
        <v>5.8823529411764705E-2</v>
      </c>
      <c r="F85" s="38">
        <f>all!F517</f>
        <v>6</v>
      </c>
      <c r="G85" s="39">
        <f>all!G517</f>
        <v>3.3333333333333333E-2</v>
      </c>
      <c r="H85" s="38">
        <f>all!H517</f>
        <v>18</v>
      </c>
      <c r="I85" s="39">
        <f>all!I517</f>
        <v>2.2167487684729065E-2</v>
      </c>
      <c r="J85" s="38">
        <f>all!J517</f>
        <v>17</v>
      </c>
      <c r="K85" s="39">
        <f>all!K517</f>
        <v>4.2821158690176324E-2</v>
      </c>
      <c r="L85" s="38">
        <f>all!L517</f>
        <v>19</v>
      </c>
      <c r="M85" s="39">
        <f>all!M517</f>
        <v>2.1493212669683258E-2</v>
      </c>
      <c r="N85" s="29">
        <f>all!N517</f>
        <v>72</v>
      </c>
      <c r="O85" s="39">
        <f>all!O517</f>
        <v>3.231597845601436E-2</v>
      </c>
    </row>
    <row r="86" spans="1:15" x14ac:dyDescent="0.2">
      <c r="A86" s="108" t="str">
        <f>all!A518</f>
        <v>Total</v>
      </c>
      <c r="B86" s="38">
        <f>all!B518</f>
        <v>446</v>
      </c>
      <c r="C86" s="39">
        <f>all!C518</f>
        <v>1</v>
      </c>
      <c r="D86" s="38">
        <f>all!D518</f>
        <v>34</v>
      </c>
      <c r="E86" s="39">
        <f>all!E518</f>
        <v>1</v>
      </c>
      <c r="F86" s="38">
        <f>all!F518</f>
        <v>180</v>
      </c>
      <c r="G86" s="39">
        <f>all!G518</f>
        <v>1</v>
      </c>
      <c r="H86" s="38">
        <f>all!H518</f>
        <v>812</v>
      </c>
      <c r="I86" s="39">
        <f>all!I518</f>
        <v>1</v>
      </c>
      <c r="J86" s="38">
        <f>all!J518</f>
        <v>397</v>
      </c>
      <c r="K86" s="39">
        <f>all!K518</f>
        <v>1</v>
      </c>
      <c r="L86" s="38">
        <f>all!L518</f>
        <v>884</v>
      </c>
      <c r="M86" s="39">
        <f>all!M518</f>
        <v>1</v>
      </c>
      <c r="N86" s="30">
        <f>all!N518</f>
        <v>2228</v>
      </c>
      <c r="O86" s="41">
        <f>all!O518</f>
        <v>1</v>
      </c>
    </row>
    <row r="87" spans="1:15" x14ac:dyDescent="0.2">
      <c r="A87" s="108" t="str">
        <f>all!A519</f>
        <v>Once a week or more</v>
      </c>
      <c r="B87" s="38"/>
      <c r="C87" s="65">
        <f>all!C519</f>
        <v>0.78699551569506732</v>
      </c>
      <c r="D87" s="38"/>
      <c r="E87" s="65">
        <f>all!E519</f>
        <v>0.70588235294117652</v>
      </c>
      <c r="F87" s="38"/>
      <c r="G87" s="65">
        <f>all!G519</f>
        <v>0.81111111111111112</v>
      </c>
      <c r="H87" s="38"/>
      <c r="I87" s="65">
        <f>all!I519</f>
        <v>0.77463054187192126</v>
      </c>
      <c r="J87" s="38"/>
      <c r="K87" s="65">
        <f>all!K519</f>
        <v>0.76574307304785894</v>
      </c>
      <c r="L87" s="38"/>
      <c r="M87" s="65">
        <f>all!M519</f>
        <v>0.79411764705882348</v>
      </c>
      <c r="N87" s="30"/>
      <c r="O87" s="65">
        <f>all!O519</f>
        <v>0.96768402154398558</v>
      </c>
    </row>
    <row r="88" spans="1:15" x14ac:dyDescent="0.2">
      <c r="A88" s="12"/>
    </row>
    <row r="89" spans="1:15" x14ac:dyDescent="0.2">
      <c r="A89" s="108" t="str">
        <f>all!A521</f>
        <v>Text messaging</v>
      </c>
      <c r="B89" s="151" t="s">
        <v>128</v>
      </c>
      <c r="C89" s="151"/>
      <c r="D89" s="151" t="s">
        <v>99</v>
      </c>
      <c r="E89" s="151"/>
      <c r="F89" s="150" t="s">
        <v>176</v>
      </c>
      <c r="G89" s="150"/>
      <c r="H89" s="151" t="s">
        <v>101</v>
      </c>
      <c r="I89" s="151"/>
      <c r="J89" s="151" t="s">
        <v>100</v>
      </c>
      <c r="K89" s="151"/>
      <c r="L89" s="151" t="s">
        <v>126</v>
      </c>
      <c r="M89" s="151"/>
      <c r="N89" s="148" t="s">
        <v>1</v>
      </c>
      <c r="O89" s="148"/>
    </row>
    <row r="90" spans="1:15" x14ac:dyDescent="0.2">
      <c r="A90" s="26" t="str">
        <f>all!A522</f>
        <v>Daily</v>
      </c>
      <c r="B90" s="38">
        <f>all!B522</f>
        <v>249</v>
      </c>
      <c r="C90" s="39">
        <f>all!C522</f>
        <v>0.58313817330210771</v>
      </c>
      <c r="D90" s="38">
        <f>all!D522</f>
        <v>15</v>
      </c>
      <c r="E90" s="39">
        <f>all!E522</f>
        <v>0.44117647058823528</v>
      </c>
      <c r="F90" s="38">
        <f>all!F522</f>
        <v>107</v>
      </c>
      <c r="G90" s="39">
        <f>all!G522</f>
        <v>0.61494252873563215</v>
      </c>
      <c r="H90" s="38">
        <f>all!H522</f>
        <v>540</v>
      </c>
      <c r="I90" s="39">
        <f>all!I522</f>
        <v>0.67247820672478209</v>
      </c>
      <c r="J90" s="38">
        <f>all!J522</f>
        <v>229</v>
      </c>
      <c r="K90" s="39">
        <f>all!K522</f>
        <v>0.59020618556701032</v>
      </c>
      <c r="L90" s="38">
        <f>all!L522</f>
        <v>545</v>
      </c>
      <c r="M90" s="39">
        <f>all!M522</f>
        <v>0.625</v>
      </c>
      <c r="N90" s="29">
        <f>all!N522</f>
        <v>1685</v>
      </c>
      <c r="O90" s="39">
        <f>all!O522</f>
        <v>0.66026645768025083</v>
      </c>
    </row>
    <row r="91" spans="1:15" x14ac:dyDescent="0.2">
      <c r="A91" s="26" t="str">
        <f>all!A523</f>
        <v>2+ days a week</v>
      </c>
      <c r="B91" s="38">
        <f>all!B523</f>
        <v>35</v>
      </c>
      <c r="C91" s="39">
        <f>all!C523</f>
        <v>8.1967213114754092E-2</v>
      </c>
      <c r="D91" s="38">
        <f>all!D523</f>
        <v>6</v>
      </c>
      <c r="E91" s="39">
        <f>all!E523</f>
        <v>0.17647058823529413</v>
      </c>
      <c r="F91" s="38">
        <f>all!F523</f>
        <v>15</v>
      </c>
      <c r="G91" s="39">
        <f>all!G523</f>
        <v>8.6206896551724144E-2</v>
      </c>
      <c r="H91" s="38">
        <f>all!H523</f>
        <v>53</v>
      </c>
      <c r="I91" s="39">
        <f>all!I523</f>
        <v>6.6002490660024907E-2</v>
      </c>
      <c r="J91" s="38">
        <f>all!J523</f>
        <v>23</v>
      </c>
      <c r="K91" s="39">
        <f>all!K523</f>
        <v>5.9278350515463915E-2</v>
      </c>
      <c r="L91" s="38">
        <f>all!L523</f>
        <v>49</v>
      </c>
      <c r="M91" s="39">
        <f>all!M523</f>
        <v>5.6192660550458719E-2</v>
      </c>
      <c r="N91" s="29">
        <f>all!N523</f>
        <v>181</v>
      </c>
      <c r="O91" s="39">
        <f>all!O523</f>
        <v>7.0924764890282127E-2</v>
      </c>
    </row>
    <row r="92" spans="1:15" x14ac:dyDescent="0.2">
      <c r="A92" s="26" t="str">
        <f>all!A524</f>
        <v>Once a week</v>
      </c>
      <c r="B92" s="38">
        <f>all!B524</f>
        <v>13</v>
      </c>
      <c r="C92" s="39">
        <f>all!C524</f>
        <v>3.0444964871194378E-2</v>
      </c>
      <c r="D92" s="38">
        <f>all!D524</f>
        <v>2</v>
      </c>
      <c r="E92" s="39">
        <f>all!E524</f>
        <v>5.8823529411764705E-2</v>
      </c>
      <c r="F92" s="38">
        <f>all!F524</f>
        <v>5</v>
      </c>
      <c r="G92" s="39">
        <f>all!G524</f>
        <v>2.8735632183908046E-2</v>
      </c>
      <c r="H92" s="38">
        <f>all!H524</f>
        <v>14</v>
      </c>
      <c r="I92" s="39">
        <f>all!I524</f>
        <v>1.7434620174346202E-2</v>
      </c>
      <c r="J92" s="38">
        <f>all!J524</f>
        <v>12</v>
      </c>
      <c r="K92" s="39">
        <f>all!K524</f>
        <v>3.0927835051546393E-2</v>
      </c>
      <c r="L92" s="38">
        <f>all!L524</f>
        <v>33</v>
      </c>
      <c r="M92" s="39">
        <f>all!M524</f>
        <v>3.7844036697247709E-2</v>
      </c>
      <c r="N92" s="29">
        <f>all!N524</f>
        <v>79</v>
      </c>
      <c r="O92" s="39">
        <f>all!O524</f>
        <v>3.0956112852664575E-2</v>
      </c>
    </row>
    <row r="93" spans="1:15" x14ac:dyDescent="0.2">
      <c r="A93" s="26" t="str">
        <f>all!A525</f>
        <v>Monthly</v>
      </c>
      <c r="B93" s="38">
        <f>all!B525</f>
        <v>24</v>
      </c>
      <c r="C93" s="39">
        <f>all!C525</f>
        <v>5.6206088992974239E-2</v>
      </c>
      <c r="D93" s="38">
        <f>all!D525</f>
        <v>0</v>
      </c>
      <c r="E93" s="39">
        <f>all!E525</f>
        <v>0</v>
      </c>
      <c r="F93" s="38">
        <f>all!F525</f>
        <v>7</v>
      </c>
      <c r="G93" s="39">
        <f>all!G525</f>
        <v>4.0229885057471264E-2</v>
      </c>
      <c r="H93" s="38">
        <f>all!H525</f>
        <v>41</v>
      </c>
      <c r="I93" s="39">
        <f>all!I525</f>
        <v>5.1058530510585308E-2</v>
      </c>
      <c r="J93" s="38">
        <f>all!J525</f>
        <v>17</v>
      </c>
      <c r="K93" s="39">
        <f>all!K525</f>
        <v>4.3814432989690719E-2</v>
      </c>
      <c r="L93" s="38">
        <f>all!L525</f>
        <v>57</v>
      </c>
      <c r="M93" s="39">
        <f>all!M525</f>
        <v>6.5366972477064217E-2</v>
      </c>
      <c r="N93" s="29">
        <f>all!N525</f>
        <v>0</v>
      </c>
      <c r="O93" s="39">
        <f>all!O525</f>
        <v>0</v>
      </c>
    </row>
    <row r="94" spans="1:15" x14ac:dyDescent="0.2">
      <c r="A94" s="26" t="str">
        <f>all!A526</f>
        <v>Never</v>
      </c>
      <c r="B94" s="38">
        <f>all!B526</f>
        <v>106</v>
      </c>
      <c r="C94" s="39">
        <f>all!C526</f>
        <v>0.24824355971896955</v>
      </c>
      <c r="D94" s="38">
        <f>all!D526</f>
        <v>11</v>
      </c>
      <c r="E94" s="39">
        <f>all!E526</f>
        <v>0.3235294117647059</v>
      </c>
      <c r="F94" s="38">
        <f>all!F526</f>
        <v>40</v>
      </c>
      <c r="G94" s="39">
        <f>all!G526</f>
        <v>0.22988505747126436</v>
      </c>
      <c r="H94" s="38">
        <f>all!H526</f>
        <v>155</v>
      </c>
      <c r="I94" s="39">
        <f>all!I526</f>
        <v>0.19302615193026151</v>
      </c>
      <c r="J94" s="38">
        <f>all!J526</f>
        <v>107</v>
      </c>
      <c r="K94" s="39">
        <f>all!K526</f>
        <v>0.27577319587628868</v>
      </c>
      <c r="L94" s="38">
        <f>all!L526</f>
        <v>188</v>
      </c>
      <c r="M94" s="39">
        <f>all!M526</f>
        <v>0.21559633027522937</v>
      </c>
      <c r="N94" s="29">
        <f>all!N526</f>
        <v>607</v>
      </c>
      <c r="O94" s="39">
        <f>all!O526</f>
        <v>0.23785266457680251</v>
      </c>
    </row>
    <row r="95" spans="1:15" x14ac:dyDescent="0.2">
      <c r="A95" s="108" t="str">
        <f>all!A527</f>
        <v>Total</v>
      </c>
      <c r="B95" s="38">
        <f>all!B527</f>
        <v>427</v>
      </c>
      <c r="C95" s="39">
        <f>all!C527</f>
        <v>1</v>
      </c>
      <c r="D95" s="38">
        <f>all!D527</f>
        <v>34</v>
      </c>
      <c r="E95" s="39">
        <f>all!E527</f>
        <v>1</v>
      </c>
      <c r="F95" s="38">
        <f>all!F527</f>
        <v>174</v>
      </c>
      <c r="G95" s="39">
        <f>all!G527</f>
        <v>1</v>
      </c>
      <c r="H95" s="38">
        <f>all!H527</f>
        <v>803</v>
      </c>
      <c r="I95" s="39">
        <f>all!I527</f>
        <v>1</v>
      </c>
      <c r="J95" s="38">
        <f>all!J527</f>
        <v>388</v>
      </c>
      <c r="K95" s="39">
        <f>all!K527</f>
        <v>1</v>
      </c>
      <c r="L95" s="38">
        <f>all!L527</f>
        <v>872</v>
      </c>
      <c r="M95" s="39">
        <f>all!M527</f>
        <v>1</v>
      </c>
      <c r="N95" s="30">
        <f>all!N527</f>
        <v>2552</v>
      </c>
      <c r="O95" s="41">
        <f>all!O527</f>
        <v>1</v>
      </c>
    </row>
    <row r="96" spans="1:15" x14ac:dyDescent="0.2">
      <c r="A96" s="108" t="str">
        <f>all!A528</f>
        <v>Once a week or more</v>
      </c>
      <c r="B96" s="38"/>
      <c r="C96" s="65">
        <f>all!C528</f>
        <v>0.6955503512880562</v>
      </c>
      <c r="D96" s="38"/>
      <c r="E96" s="65">
        <f>all!E528</f>
        <v>0.67647058823529416</v>
      </c>
      <c r="F96" s="38"/>
      <c r="G96" s="65">
        <f>all!G528</f>
        <v>0.72988505747126431</v>
      </c>
      <c r="H96" s="38"/>
      <c r="I96" s="65">
        <f>all!I528</f>
        <v>0.7559153175591532</v>
      </c>
      <c r="J96" s="38"/>
      <c r="K96" s="65">
        <f>all!K528</f>
        <v>0.68041237113402064</v>
      </c>
      <c r="L96" s="38"/>
      <c r="M96" s="65">
        <f>all!M528</f>
        <v>0.71903669724770636</v>
      </c>
      <c r="N96" s="30"/>
      <c r="O96" s="65">
        <f>all!O528</f>
        <v>0.76214733542319746</v>
      </c>
    </row>
    <row r="97" spans="1:15" x14ac:dyDescent="0.2">
      <c r="A97" s="12"/>
    </row>
    <row r="98" spans="1:15" x14ac:dyDescent="0.2">
      <c r="A98" s="108" t="str">
        <f>all!A530</f>
        <v>FRCC cccs.edu email</v>
      </c>
      <c r="B98" s="151" t="s">
        <v>128</v>
      </c>
      <c r="C98" s="151"/>
      <c r="D98" s="151" t="s">
        <v>99</v>
      </c>
      <c r="E98" s="151"/>
      <c r="F98" s="150" t="s">
        <v>176</v>
      </c>
      <c r="G98" s="150"/>
      <c r="H98" s="151" t="s">
        <v>101</v>
      </c>
      <c r="I98" s="151"/>
      <c r="J98" s="151" t="s">
        <v>100</v>
      </c>
      <c r="K98" s="151"/>
      <c r="L98" s="151" t="s">
        <v>126</v>
      </c>
      <c r="M98" s="151"/>
      <c r="N98" s="148" t="s">
        <v>1</v>
      </c>
      <c r="O98" s="148"/>
    </row>
    <row r="99" spans="1:15" x14ac:dyDescent="0.2">
      <c r="A99" s="26" t="str">
        <f>all!A531</f>
        <v>Daily</v>
      </c>
      <c r="B99" s="38">
        <f>all!B531</f>
        <v>59</v>
      </c>
      <c r="C99" s="39">
        <f>all!C531</f>
        <v>0.13439635535307518</v>
      </c>
      <c r="D99" s="38">
        <f>all!D531</f>
        <v>9</v>
      </c>
      <c r="E99" s="39">
        <f>all!E531</f>
        <v>0.27272727272727271</v>
      </c>
      <c r="F99" s="38">
        <f>all!F531</f>
        <v>38</v>
      </c>
      <c r="G99" s="39">
        <f>all!G531</f>
        <v>0.21229050279329609</v>
      </c>
      <c r="H99" s="38">
        <f>all!H531</f>
        <v>137</v>
      </c>
      <c r="I99" s="39">
        <f>all!I531</f>
        <v>0.16955445544554457</v>
      </c>
      <c r="J99" s="38">
        <f>all!J531</f>
        <v>55</v>
      </c>
      <c r="K99" s="39">
        <f>all!K531</f>
        <v>0.1388888888888889</v>
      </c>
      <c r="L99" s="38">
        <f>all!L531</f>
        <v>129</v>
      </c>
      <c r="M99" s="39">
        <f>all!M531</f>
        <v>0.14675767918088736</v>
      </c>
      <c r="N99" s="29">
        <f>all!N531</f>
        <v>427</v>
      </c>
      <c r="O99" s="39">
        <f>all!O531</f>
        <v>0.20528846153846153</v>
      </c>
    </row>
    <row r="100" spans="1:15" x14ac:dyDescent="0.2">
      <c r="A100" s="26" t="str">
        <f>all!A532</f>
        <v>2+ days a week</v>
      </c>
      <c r="B100" s="38">
        <f>all!B532</f>
        <v>93</v>
      </c>
      <c r="C100" s="39">
        <f>all!C532</f>
        <v>0.21184510250569477</v>
      </c>
      <c r="D100" s="38">
        <f>all!D532</f>
        <v>5</v>
      </c>
      <c r="E100" s="39">
        <f>all!E532</f>
        <v>0.15151515151515152</v>
      </c>
      <c r="F100" s="38">
        <f>all!F532</f>
        <v>29</v>
      </c>
      <c r="G100" s="39">
        <f>all!G532</f>
        <v>0.16201117318435754</v>
      </c>
      <c r="H100" s="38">
        <f>all!H532</f>
        <v>145</v>
      </c>
      <c r="I100" s="39">
        <f>all!I532</f>
        <v>0.17945544554455445</v>
      </c>
      <c r="J100" s="38">
        <f>all!J532</f>
        <v>57</v>
      </c>
      <c r="K100" s="39">
        <f>all!K532</f>
        <v>0.14393939393939395</v>
      </c>
      <c r="L100" s="38">
        <f>all!L532</f>
        <v>161</v>
      </c>
      <c r="M100" s="39">
        <f>all!M532</f>
        <v>0.18316268486916951</v>
      </c>
      <c r="N100" s="29">
        <f>all!N532</f>
        <v>490</v>
      </c>
      <c r="O100" s="39">
        <f>all!O532</f>
        <v>0.23557692307692307</v>
      </c>
    </row>
    <row r="101" spans="1:15" x14ac:dyDescent="0.2">
      <c r="A101" s="26" t="str">
        <f>all!A533</f>
        <v>Once a week</v>
      </c>
      <c r="B101" s="38">
        <f>all!B533</f>
        <v>107</v>
      </c>
      <c r="C101" s="39">
        <f>all!C533</f>
        <v>0.24373576309794989</v>
      </c>
      <c r="D101" s="38">
        <f>all!D533</f>
        <v>6</v>
      </c>
      <c r="E101" s="39">
        <f>all!E533</f>
        <v>0.18181818181818182</v>
      </c>
      <c r="F101" s="38">
        <f>all!F533</f>
        <v>42</v>
      </c>
      <c r="G101" s="39">
        <f>all!G533</f>
        <v>0.23463687150837989</v>
      </c>
      <c r="H101" s="38">
        <f>all!H533</f>
        <v>181</v>
      </c>
      <c r="I101" s="39">
        <f>all!I533</f>
        <v>0.22400990099009901</v>
      </c>
      <c r="J101" s="38">
        <f>all!J533</f>
        <v>97</v>
      </c>
      <c r="K101" s="39">
        <f>all!K533</f>
        <v>0.24494949494949494</v>
      </c>
      <c r="L101" s="38">
        <f>all!L533</f>
        <v>219</v>
      </c>
      <c r="M101" s="39">
        <f>all!M533</f>
        <v>0.24914675767918087</v>
      </c>
      <c r="N101" s="29">
        <f>all!N533</f>
        <v>652</v>
      </c>
      <c r="O101" s="39">
        <f>all!O533</f>
        <v>0.31346153846153846</v>
      </c>
    </row>
    <row r="102" spans="1:15" x14ac:dyDescent="0.2">
      <c r="A102" s="26" t="str">
        <f>all!A534</f>
        <v>Monthly</v>
      </c>
      <c r="B102" s="38">
        <f>all!B534</f>
        <v>102</v>
      </c>
      <c r="C102" s="39">
        <f>all!C534</f>
        <v>0.23234624145785876</v>
      </c>
      <c r="D102" s="38">
        <f>all!D534</f>
        <v>7</v>
      </c>
      <c r="E102" s="39">
        <f>all!E534</f>
        <v>0.21212121212121213</v>
      </c>
      <c r="F102" s="38">
        <f>all!F534</f>
        <v>34</v>
      </c>
      <c r="G102" s="39">
        <f>all!G534</f>
        <v>0.18994413407821228</v>
      </c>
      <c r="H102" s="38">
        <f>all!H534</f>
        <v>201</v>
      </c>
      <c r="I102" s="39">
        <f>all!I534</f>
        <v>0.24876237623762376</v>
      </c>
      <c r="J102" s="38">
        <f>all!J534</f>
        <v>104</v>
      </c>
      <c r="K102" s="39">
        <f>all!K534</f>
        <v>0.26262626262626265</v>
      </c>
      <c r="L102" s="38">
        <f>all!L534</f>
        <v>206</v>
      </c>
      <c r="M102" s="39">
        <f>all!M534</f>
        <v>0.23435722411831628</v>
      </c>
      <c r="N102" s="29">
        <f>all!N534</f>
        <v>0</v>
      </c>
      <c r="O102" s="39">
        <f>all!O534</f>
        <v>0</v>
      </c>
    </row>
    <row r="103" spans="1:15" x14ac:dyDescent="0.2">
      <c r="A103" s="26" t="str">
        <f>all!A535</f>
        <v>Never</v>
      </c>
      <c r="B103" s="38">
        <f>all!B535</f>
        <v>78</v>
      </c>
      <c r="C103" s="39">
        <f>all!C535</f>
        <v>0.1776765375854214</v>
      </c>
      <c r="D103" s="38">
        <f>all!D535</f>
        <v>6</v>
      </c>
      <c r="E103" s="39">
        <f>all!E535</f>
        <v>0.18181818181818182</v>
      </c>
      <c r="F103" s="38">
        <f>all!F535</f>
        <v>36</v>
      </c>
      <c r="G103" s="39">
        <f>all!G535</f>
        <v>0.2011173184357542</v>
      </c>
      <c r="H103" s="38">
        <f>all!H535</f>
        <v>144</v>
      </c>
      <c r="I103" s="39">
        <f>all!I535</f>
        <v>0.17821782178217821</v>
      </c>
      <c r="J103" s="38">
        <f>all!J535</f>
        <v>83</v>
      </c>
      <c r="K103" s="39">
        <f>all!K535</f>
        <v>0.20959595959595959</v>
      </c>
      <c r="L103" s="38">
        <f>all!L535</f>
        <v>164</v>
      </c>
      <c r="M103" s="39">
        <f>all!M535</f>
        <v>0.18657565415244595</v>
      </c>
      <c r="N103" s="29">
        <f>all!N535</f>
        <v>511</v>
      </c>
      <c r="O103" s="39">
        <f>all!O535</f>
        <v>0.24567307692307691</v>
      </c>
    </row>
    <row r="104" spans="1:15" x14ac:dyDescent="0.2">
      <c r="A104" s="108" t="str">
        <f>all!A536</f>
        <v>Total</v>
      </c>
      <c r="B104" s="38">
        <f>all!B536</f>
        <v>439</v>
      </c>
      <c r="C104" s="39">
        <f>all!C536</f>
        <v>1</v>
      </c>
      <c r="D104" s="38">
        <f>all!D536</f>
        <v>33</v>
      </c>
      <c r="E104" s="39">
        <f>all!E536</f>
        <v>1</v>
      </c>
      <c r="F104" s="38">
        <f>all!F536</f>
        <v>179</v>
      </c>
      <c r="G104" s="39">
        <f>all!G536</f>
        <v>1</v>
      </c>
      <c r="H104" s="38">
        <f>all!H536</f>
        <v>808</v>
      </c>
      <c r="I104" s="39">
        <f>all!I536</f>
        <v>1</v>
      </c>
      <c r="J104" s="38">
        <f>all!J536</f>
        <v>396</v>
      </c>
      <c r="K104" s="39">
        <f>all!K536</f>
        <v>1</v>
      </c>
      <c r="L104" s="38">
        <f>all!L536</f>
        <v>879</v>
      </c>
      <c r="M104" s="39">
        <f>all!M536</f>
        <v>1</v>
      </c>
      <c r="N104" s="30">
        <f>all!N536</f>
        <v>2080</v>
      </c>
      <c r="O104" s="41">
        <f>all!O536</f>
        <v>1</v>
      </c>
    </row>
    <row r="105" spans="1:15" x14ac:dyDescent="0.2">
      <c r="A105" s="108" t="str">
        <f>all!A537</f>
        <v>Once a week or more</v>
      </c>
      <c r="B105" s="38"/>
      <c r="C105" s="65">
        <f>all!C537</f>
        <v>0.58997722095671978</v>
      </c>
      <c r="D105" s="38"/>
      <c r="E105" s="65">
        <f>all!E537</f>
        <v>0.60606060606060597</v>
      </c>
      <c r="F105" s="38"/>
      <c r="G105" s="65">
        <f>all!G537</f>
        <v>0.60893854748603349</v>
      </c>
      <c r="H105" s="38"/>
      <c r="I105" s="65">
        <f>all!I537</f>
        <v>0.57301980198019797</v>
      </c>
      <c r="J105" s="38"/>
      <c r="K105" s="65">
        <f>all!K537</f>
        <v>0.52777777777777779</v>
      </c>
      <c r="L105" s="38"/>
      <c r="M105" s="65">
        <f>all!M537</f>
        <v>0.5790671217292378</v>
      </c>
      <c r="N105" s="30"/>
      <c r="O105" s="65">
        <f>all!O537</f>
        <v>0.75432692307692306</v>
      </c>
    </row>
    <row r="106" spans="1:15" x14ac:dyDescent="0.2">
      <c r="A106" s="12"/>
    </row>
    <row r="107" spans="1:15" x14ac:dyDescent="0.2">
      <c r="A107" s="108" t="str">
        <f>all!A539</f>
        <v>Personal Email</v>
      </c>
      <c r="B107" s="151" t="s">
        <v>128</v>
      </c>
      <c r="C107" s="151"/>
      <c r="D107" s="151" t="s">
        <v>99</v>
      </c>
      <c r="E107" s="151"/>
      <c r="F107" s="150" t="s">
        <v>176</v>
      </c>
      <c r="G107" s="150"/>
      <c r="H107" s="151" t="s">
        <v>101</v>
      </c>
      <c r="I107" s="151"/>
      <c r="J107" s="151" t="s">
        <v>100</v>
      </c>
      <c r="K107" s="151"/>
      <c r="L107" s="151" t="s">
        <v>126</v>
      </c>
      <c r="M107" s="151"/>
      <c r="N107" s="148" t="s">
        <v>1</v>
      </c>
      <c r="O107" s="148"/>
    </row>
    <row r="108" spans="1:15" x14ac:dyDescent="0.2">
      <c r="A108" s="26" t="str">
        <f>all!A540</f>
        <v>Daily</v>
      </c>
      <c r="B108" s="38">
        <f>all!B540</f>
        <v>345</v>
      </c>
      <c r="C108" s="39">
        <f>all!C540</f>
        <v>0.7931034482758621</v>
      </c>
      <c r="D108" s="38">
        <f>all!D540</f>
        <v>24</v>
      </c>
      <c r="E108" s="39">
        <f>all!E540</f>
        <v>0.75</v>
      </c>
      <c r="F108" s="38">
        <f>all!F540</f>
        <v>143</v>
      </c>
      <c r="G108" s="39">
        <f>all!G540</f>
        <v>0.8125</v>
      </c>
      <c r="H108" s="38">
        <f>all!H540</f>
        <v>622</v>
      </c>
      <c r="I108" s="39">
        <f>all!I540</f>
        <v>0.77171215880893296</v>
      </c>
      <c r="J108" s="38">
        <f>all!J540</f>
        <v>323</v>
      </c>
      <c r="K108" s="39">
        <f>all!K540</f>
        <v>0.81979695431472077</v>
      </c>
      <c r="L108" s="38">
        <f>all!L540</f>
        <v>687</v>
      </c>
      <c r="M108" s="39">
        <f>all!M540</f>
        <v>0.78694158075601373</v>
      </c>
      <c r="N108" s="29">
        <f>all!N540</f>
        <v>2144</v>
      </c>
      <c r="O108" s="39">
        <f>all!O540</f>
        <v>0.81273692191053826</v>
      </c>
    </row>
    <row r="109" spans="1:15" x14ac:dyDescent="0.2">
      <c r="A109" s="26" t="str">
        <f>all!A541</f>
        <v>2+ days a week</v>
      </c>
      <c r="B109" s="38">
        <f>all!B541</f>
        <v>46</v>
      </c>
      <c r="C109" s="39">
        <f>all!C541</f>
        <v>0.10574712643678161</v>
      </c>
      <c r="D109" s="38">
        <f>all!D541</f>
        <v>0</v>
      </c>
      <c r="E109" s="39">
        <f>all!E541</f>
        <v>0</v>
      </c>
      <c r="F109" s="38">
        <f>all!F541</f>
        <v>17</v>
      </c>
      <c r="G109" s="39">
        <f>all!G541</f>
        <v>9.6590909090909088E-2</v>
      </c>
      <c r="H109" s="38">
        <f>all!H541</f>
        <v>89</v>
      </c>
      <c r="I109" s="39">
        <f>all!I541</f>
        <v>0.11042183622828784</v>
      </c>
      <c r="J109" s="38">
        <f>all!J541</f>
        <v>36</v>
      </c>
      <c r="K109" s="39">
        <f>all!K541</f>
        <v>9.1370558375634514E-2</v>
      </c>
      <c r="L109" s="38">
        <f>all!L541</f>
        <v>83</v>
      </c>
      <c r="M109" s="39">
        <f>all!M541</f>
        <v>9.5074455899198163E-2</v>
      </c>
      <c r="N109" s="29">
        <f>all!N541</f>
        <v>271</v>
      </c>
      <c r="O109" s="39">
        <f>all!O541</f>
        <v>0.10272934040940106</v>
      </c>
    </row>
    <row r="110" spans="1:15" x14ac:dyDescent="0.2">
      <c r="A110" s="26" t="str">
        <f>all!A542</f>
        <v>Once a week</v>
      </c>
      <c r="B110" s="38">
        <f>all!B542</f>
        <v>22</v>
      </c>
      <c r="C110" s="39">
        <f>all!C542</f>
        <v>5.057471264367816E-2</v>
      </c>
      <c r="D110" s="38">
        <f>all!D542</f>
        <v>4</v>
      </c>
      <c r="E110" s="39">
        <f>all!E542</f>
        <v>0.125</v>
      </c>
      <c r="F110" s="38">
        <f>all!F542</f>
        <v>6</v>
      </c>
      <c r="G110" s="39">
        <f>all!G542</f>
        <v>3.4090909090909088E-2</v>
      </c>
      <c r="H110" s="38">
        <f>all!H542</f>
        <v>40</v>
      </c>
      <c r="I110" s="39">
        <f>all!I542</f>
        <v>4.9627791563275438E-2</v>
      </c>
      <c r="J110" s="38">
        <f>all!J542</f>
        <v>15</v>
      </c>
      <c r="K110" s="39">
        <f>all!K542</f>
        <v>3.8071065989847719E-2</v>
      </c>
      <c r="L110" s="38">
        <f>all!L542</f>
        <v>49</v>
      </c>
      <c r="M110" s="39">
        <f>all!M542</f>
        <v>5.6128293241695305E-2</v>
      </c>
      <c r="N110" s="29">
        <f>all!N542</f>
        <v>136</v>
      </c>
      <c r="O110" s="39">
        <f>all!O542</f>
        <v>5.1554207733131158E-2</v>
      </c>
    </row>
    <row r="111" spans="1:15" x14ac:dyDescent="0.2">
      <c r="A111" s="26" t="str">
        <f>all!A543</f>
        <v>Monthly</v>
      </c>
      <c r="B111" s="38">
        <f>all!B543</f>
        <v>9</v>
      </c>
      <c r="C111" s="39">
        <f>all!C543</f>
        <v>2.0689655172413793E-2</v>
      </c>
      <c r="D111" s="38">
        <f>all!D543</f>
        <v>1</v>
      </c>
      <c r="E111" s="39">
        <f>all!E543</f>
        <v>3.125E-2</v>
      </c>
      <c r="F111" s="38">
        <f>all!F543</f>
        <v>4</v>
      </c>
      <c r="G111" s="39">
        <f>all!G543</f>
        <v>2.2727272727272728E-2</v>
      </c>
      <c r="H111" s="38">
        <f>all!H543</f>
        <v>25</v>
      </c>
      <c r="I111" s="39">
        <f>all!I543</f>
        <v>3.1017369727047148E-2</v>
      </c>
      <c r="J111" s="38">
        <f>all!J543</f>
        <v>12</v>
      </c>
      <c r="K111" s="39">
        <f>all!K543</f>
        <v>3.0456852791878174E-2</v>
      </c>
      <c r="L111" s="38">
        <f>all!L543</f>
        <v>27</v>
      </c>
      <c r="M111" s="39">
        <f>all!M543</f>
        <v>3.0927835051546393E-2</v>
      </c>
      <c r="N111" s="29">
        <f>all!N543</f>
        <v>0</v>
      </c>
      <c r="O111" s="39">
        <f>all!O543</f>
        <v>0</v>
      </c>
    </row>
    <row r="112" spans="1:15" x14ac:dyDescent="0.2">
      <c r="A112" s="26" t="str">
        <f>all!A544</f>
        <v>Never</v>
      </c>
      <c r="B112" s="38">
        <f>all!B544</f>
        <v>13</v>
      </c>
      <c r="C112" s="39">
        <f>all!C544</f>
        <v>2.9885057471264367E-2</v>
      </c>
      <c r="D112" s="38">
        <f>all!D544</f>
        <v>3</v>
      </c>
      <c r="E112" s="39">
        <f>all!E544</f>
        <v>9.375E-2</v>
      </c>
      <c r="F112" s="38">
        <f>all!F544</f>
        <v>6</v>
      </c>
      <c r="G112" s="39">
        <f>all!G544</f>
        <v>3.4090909090909088E-2</v>
      </c>
      <c r="H112" s="38">
        <f>all!H544</f>
        <v>30</v>
      </c>
      <c r="I112" s="39">
        <f>all!I544</f>
        <v>3.7220843672456573E-2</v>
      </c>
      <c r="J112" s="38">
        <f>all!J544</f>
        <v>8</v>
      </c>
      <c r="K112" s="39">
        <f>all!K544</f>
        <v>2.030456852791878E-2</v>
      </c>
      <c r="L112" s="38">
        <f>all!L544</f>
        <v>27</v>
      </c>
      <c r="M112" s="39">
        <f>all!M544</f>
        <v>3.0927835051546393E-2</v>
      </c>
      <c r="N112" s="29">
        <f>all!N544</f>
        <v>87</v>
      </c>
      <c r="O112" s="39">
        <f>all!O544</f>
        <v>3.2979529946929494E-2</v>
      </c>
    </row>
    <row r="113" spans="1:15" x14ac:dyDescent="0.2">
      <c r="A113" s="108" t="str">
        <f>all!A545</f>
        <v>Total</v>
      </c>
      <c r="B113" s="38">
        <f>all!B545</f>
        <v>435</v>
      </c>
      <c r="C113" s="39">
        <f>all!C545</f>
        <v>1.0000000000000002</v>
      </c>
      <c r="D113" s="38">
        <f>all!D545</f>
        <v>32</v>
      </c>
      <c r="E113" s="39">
        <f>all!E545</f>
        <v>1</v>
      </c>
      <c r="F113" s="38">
        <f>all!F545</f>
        <v>176</v>
      </c>
      <c r="G113" s="39">
        <f>all!G545</f>
        <v>0.99999999999999989</v>
      </c>
      <c r="H113" s="38">
        <f>all!H545</f>
        <v>806</v>
      </c>
      <c r="I113" s="39">
        <f>all!I545</f>
        <v>1</v>
      </c>
      <c r="J113" s="38">
        <f>all!J545</f>
        <v>394</v>
      </c>
      <c r="K113" s="39">
        <f>all!K545</f>
        <v>1</v>
      </c>
      <c r="L113" s="38">
        <f>all!L545</f>
        <v>873</v>
      </c>
      <c r="M113" s="39">
        <f>all!M545</f>
        <v>1</v>
      </c>
      <c r="N113" s="30">
        <f>all!N545</f>
        <v>2638</v>
      </c>
      <c r="O113" s="41">
        <f>all!O545</f>
        <v>1</v>
      </c>
    </row>
    <row r="114" spans="1:15" x14ac:dyDescent="0.2">
      <c r="A114" s="108" t="str">
        <f>all!A546</f>
        <v>Once a week or more</v>
      </c>
      <c r="B114" s="38"/>
      <c r="C114" s="65">
        <f>all!C546</f>
        <v>0.94942528735632192</v>
      </c>
      <c r="D114" s="38"/>
      <c r="E114" s="65">
        <f>all!E546</f>
        <v>0.875</v>
      </c>
      <c r="F114" s="38"/>
      <c r="G114" s="65">
        <f>all!G546</f>
        <v>0.94318181818181812</v>
      </c>
      <c r="H114" s="38"/>
      <c r="I114" s="65">
        <f>all!I546</f>
        <v>0.93176178660049624</v>
      </c>
      <c r="J114" s="38"/>
      <c r="K114" s="65">
        <f>all!K546</f>
        <v>0.94923857868020312</v>
      </c>
      <c r="L114" s="38"/>
      <c r="M114" s="65">
        <f>all!M546</f>
        <v>0.93814432989690721</v>
      </c>
      <c r="N114" s="30"/>
      <c r="O114" s="65">
        <f>all!O546</f>
        <v>0.96702047005307046</v>
      </c>
    </row>
    <row r="115" spans="1:15" x14ac:dyDescent="0.2">
      <c r="A115" s="12"/>
    </row>
    <row r="116" spans="1:15" x14ac:dyDescent="0.2">
      <c r="A116" s="108" t="str">
        <f>all!A548</f>
        <v>Twitter</v>
      </c>
      <c r="B116" s="151" t="s">
        <v>128</v>
      </c>
      <c r="C116" s="151"/>
      <c r="D116" s="151" t="s">
        <v>99</v>
      </c>
      <c r="E116" s="151"/>
      <c r="F116" s="150" t="s">
        <v>176</v>
      </c>
      <c r="G116" s="150"/>
      <c r="H116" s="151" t="s">
        <v>101</v>
      </c>
      <c r="I116" s="151"/>
      <c r="J116" s="151" t="s">
        <v>100</v>
      </c>
      <c r="K116" s="151"/>
      <c r="L116" s="151" t="s">
        <v>126</v>
      </c>
      <c r="M116" s="151"/>
      <c r="N116" s="148" t="s">
        <v>1</v>
      </c>
      <c r="O116" s="148"/>
    </row>
    <row r="117" spans="1:15" x14ac:dyDescent="0.2">
      <c r="A117" s="26" t="str">
        <f>all!A549</f>
        <v>Daily</v>
      </c>
      <c r="B117" s="38">
        <f>all!B549</f>
        <v>34</v>
      </c>
      <c r="C117" s="39">
        <f>all!C549</f>
        <v>7.8160919540229884E-2</v>
      </c>
      <c r="D117" s="38">
        <f>all!D549</f>
        <v>2</v>
      </c>
      <c r="E117" s="39">
        <f>all!E549</f>
        <v>5.8823529411764705E-2</v>
      </c>
      <c r="F117" s="38">
        <f>all!F549</f>
        <v>13</v>
      </c>
      <c r="G117" s="39">
        <f>all!G549</f>
        <v>7.3863636363636367E-2</v>
      </c>
      <c r="H117" s="38">
        <f>all!H549</f>
        <v>68</v>
      </c>
      <c r="I117" s="39">
        <f>all!I549</f>
        <v>8.4788029925187039E-2</v>
      </c>
      <c r="J117" s="38">
        <f>all!J549</f>
        <v>34</v>
      </c>
      <c r="K117" s="39">
        <f>all!K549</f>
        <v>8.8311688311688313E-2</v>
      </c>
      <c r="L117" s="38">
        <f>all!L549</f>
        <v>60</v>
      </c>
      <c r="M117" s="39">
        <f>all!M549</f>
        <v>6.9364161849710976E-2</v>
      </c>
      <c r="N117" s="29">
        <f>all!N549</f>
        <v>211</v>
      </c>
      <c r="O117" s="39">
        <f>all!O549</f>
        <v>8.2454083626416569E-2</v>
      </c>
    </row>
    <row r="118" spans="1:15" x14ac:dyDescent="0.2">
      <c r="A118" s="26" t="str">
        <f>all!A550</f>
        <v>2+ days a week</v>
      </c>
      <c r="B118" s="38">
        <f>all!B550</f>
        <v>8</v>
      </c>
      <c r="C118" s="39">
        <f>all!C550</f>
        <v>1.8390804597701149E-2</v>
      </c>
      <c r="D118" s="38">
        <f>all!D550</f>
        <v>0</v>
      </c>
      <c r="E118" s="39">
        <f>all!E550</f>
        <v>0</v>
      </c>
      <c r="F118" s="38">
        <f>all!F550</f>
        <v>6</v>
      </c>
      <c r="G118" s="39">
        <f>all!G550</f>
        <v>3.4090909090909088E-2</v>
      </c>
      <c r="H118" s="38">
        <f>all!H550</f>
        <v>21</v>
      </c>
      <c r="I118" s="39">
        <f>all!I550</f>
        <v>2.6184538653366583E-2</v>
      </c>
      <c r="J118" s="38">
        <f>all!J550</f>
        <v>14</v>
      </c>
      <c r="K118" s="39">
        <f>all!K550</f>
        <v>3.6363636363636362E-2</v>
      </c>
      <c r="L118" s="38">
        <f>all!L550</f>
        <v>23</v>
      </c>
      <c r="M118" s="39">
        <f>all!M550</f>
        <v>2.6589595375722544E-2</v>
      </c>
      <c r="N118" s="29">
        <f>all!N550</f>
        <v>72</v>
      </c>
      <c r="O118" s="39">
        <f>all!O550</f>
        <v>2.8135990621336461E-2</v>
      </c>
    </row>
    <row r="119" spans="1:15" x14ac:dyDescent="0.2">
      <c r="A119" s="26" t="str">
        <f>all!A551</f>
        <v>Once a week</v>
      </c>
      <c r="B119" s="38">
        <f>all!B551</f>
        <v>15</v>
      </c>
      <c r="C119" s="39">
        <f>all!C551</f>
        <v>3.4482758620689655E-2</v>
      </c>
      <c r="D119" s="38">
        <f>all!D551</f>
        <v>0</v>
      </c>
      <c r="E119" s="39">
        <f>all!E551</f>
        <v>0</v>
      </c>
      <c r="F119" s="38">
        <f>all!F551</f>
        <v>5</v>
      </c>
      <c r="G119" s="39">
        <f>all!G551</f>
        <v>2.8409090909090908E-2</v>
      </c>
      <c r="H119" s="38">
        <f>all!H551</f>
        <v>15</v>
      </c>
      <c r="I119" s="39">
        <f>all!I551</f>
        <v>1.8703241895261846E-2</v>
      </c>
      <c r="J119" s="38">
        <f>all!J551</f>
        <v>8</v>
      </c>
      <c r="K119" s="39">
        <f>all!K551</f>
        <v>2.0779220779220779E-2</v>
      </c>
      <c r="L119" s="38">
        <f>all!L551</f>
        <v>20</v>
      </c>
      <c r="M119" s="39">
        <f>all!M551</f>
        <v>2.3121387283236993E-2</v>
      </c>
      <c r="N119" s="29">
        <f>all!N551</f>
        <v>63</v>
      </c>
      <c r="O119" s="39">
        <f>all!O551</f>
        <v>2.4618991793669401E-2</v>
      </c>
    </row>
    <row r="120" spans="1:15" x14ac:dyDescent="0.2">
      <c r="A120" s="26" t="str">
        <f>all!A552</f>
        <v>Monthly</v>
      </c>
      <c r="B120" s="38">
        <f>all!B552</f>
        <v>23</v>
      </c>
      <c r="C120" s="39">
        <f>all!C552</f>
        <v>5.2873563218390804E-2</v>
      </c>
      <c r="D120" s="38">
        <f>all!D552</f>
        <v>4</v>
      </c>
      <c r="E120" s="39">
        <f>all!E552</f>
        <v>0.11764705882352941</v>
      </c>
      <c r="F120" s="38">
        <f>all!F552</f>
        <v>12</v>
      </c>
      <c r="G120" s="39">
        <f>all!G552</f>
        <v>6.8181818181818177E-2</v>
      </c>
      <c r="H120" s="38">
        <f>all!H552</f>
        <v>35</v>
      </c>
      <c r="I120" s="39">
        <f>all!I552</f>
        <v>4.3640897755610975E-2</v>
      </c>
      <c r="J120" s="38">
        <f>all!J552</f>
        <v>17</v>
      </c>
      <c r="K120" s="39">
        <f>all!K552</f>
        <v>4.4155844155844157E-2</v>
      </c>
      <c r="L120" s="38">
        <f>all!L552</f>
        <v>47</v>
      </c>
      <c r="M120" s="39">
        <f>all!M552</f>
        <v>5.4335260115606937E-2</v>
      </c>
      <c r="N120" s="29">
        <f>all!N552</f>
        <v>0</v>
      </c>
      <c r="O120" s="39">
        <f>all!O552</f>
        <v>0</v>
      </c>
    </row>
    <row r="121" spans="1:15" x14ac:dyDescent="0.2">
      <c r="A121" s="26" t="str">
        <f>all!A553</f>
        <v>Never</v>
      </c>
      <c r="B121" s="38">
        <f>all!B553</f>
        <v>355</v>
      </c>
      <c r="C121" s="39">
        <f>all!C553</f>
        <v>0.81609195402298851</v>
      </c>
      <c r="D121" s="38">
        <f>all!D553</f>
        <v>28</v>
      </c>
      <c r="E121" s="39">
        <f>all!E553</f>
        <v>0.82352941176470584</v>
      </c>
      <c r="F121" s="38">
        <f>all!F553</f>
        <v>140</v>
      </c>
      <c r="G121" s="39">
        <f>all!G553</f>
        <v>0.79545454545454541</v>
      </c>
      <c r="H121" s="38">
        <f>all!H553</f>
        <v>663</v>
      </c>
      <c r="I121" s="39">
        <f>all!I553</f>
        <v>0.82668329177057354</v>
      </c>
      <c r="J121" s="38">
        <f>all!J553</f>
        <v>312</v>
      </c>
      <c r="K121" s="39">
        <f>all!K553</f>
        <v>0.81038961038961044</v>
      </c>
      <c r="L121" s="38">
        <f>all!L553</f>
        <v>715</v>
      </c>
      <c r="M121" s="39">
        <f>all!M553</f>
        <v>0.82658959537572252</v>
      </c>
      <c r="N121" s="29">
        <f>all!N553</f>
        <v>2213</v>
      </c>
      <c r="O121" s="39">
        <f>all!O553</f>
        <v>0.86479093395857753</v>
      </c>
    </row>
    <row r="122" spans="1:15" x14ac:dyDescent="0.2">
      <c r="A122" s="108" t="str">
        <f>all!A554</f>
        <v>Total</v>
      </c>
      <c r="B122" s="38">
        <f>all!B554</f>
        <v>435</v>
      </c>
      <c r="C122" s="39">
        <f>all!C554</f>
        <v>1</v>
      </c>
      <c r="D122" s="38">
        <f>all!D554</f>
        <v>34</v>
      </c>
      <c r="E122" s="39">
        <f>all!E554</f>
        <v>1</v>
      </c>
      <c r="F122" s="38">
        <f>all!F554</f>
        <v>176</v>
      </c>
      <c r="G122" s="39">
        <f>all!G554</f>
        <v>1</v>
      </c>
      <c r="H122" s="38">
        <f>all!H554</f>
        <v>802</v>
      </c>
      <c r="I122" s="39">
        <f>all!I554</f>
        <v>1</v>
      </c>
      <c r="J122" s="38">
        <f>all!J554</f>
        <v>385</v>
      </c>
      <c r="K122" s="39">
        <f>all!K554</f>
        <v>1</v>
      </c>
      <c r="L122" s="38">
        <f>all!L554</f>
        <v>865</v>
      </c>
      <c r="M122" s="39">
        <f>all!M554</f>
        <v>1</v>
      </c>
      <c r="N122" s="30">
        <f>all!N554</f>
        <v>2559</v>
      </c>
      <c r="O122" s="41">
        <f>all!O554</f>
        <v>1</v>
      </c>
    </row>
    <row r="123" spans="1:15" x14ac:dyDescent="0.2">
      <c r="A123" s="108" t="str">
        <f>all!A555</f>
        <v>Once a week or more</v>
      </c>
      <c r="B123" s="38"/>
      <c r="C123" s="65">
        <f>all!C555</f>
        <v>0.13103448275862067</v>
      </c>
      <c r="D123" s="38"/>
      <c r="E123" s="65">
        <f>all!E555</f>
        <v>5.8823529411764705E-2</v>
      </c>
      <c r="F123" s="38"/>
      <c r="G123" s="65">
        <f>all!G555</f>
        <v>0.13636363636363635</v>
      </c>
      <c r="H123" s="38"/>
      <c r="I123" s="65">
        <f>all!I555</f>
        <v>0.12967581047381546</v>
      </c>
      <c r="J123" s="38"/>
      <c r="K123" s="65">
        <f>all!K555</f>
        <v>0.14545454545454545</v>
      </c>
      <c r="L123" s="38"/>
      <c r="M123" s="65">
        <f>all!M555</f>
        <v>0.11907514450867052</v>
      </c>
      <c r="N123" s="30"/>
      <c r="O123" s="65">
        <f>all!O555</f>
        <v>0.13520906604142241</v>
      </c>
    </row>
    <row r="124" spans="1:15" x14ac:dyDescent="0.2">
      <c r="A124" s="12"/>
    </row>
    <row r="125" spans="1:15" x14ac:dyDescent="0.2">
      <c r="A125" s="108" t="str">
        <f>all!A557</f>
        <v>Facebook</v>
      </c>
      <c r="B125" s="151" t="s">
        <v>128</v>
      </c>
      <c r="C125" s="151"/>
      <c r="D125" s="151" t="s">
        <v>99</v>
      </c>
      <c r="E125" s="151"/>
      <c r="F125" s="150" t="s">
        <v>176</v>
      </c>
      <c r="G125" s="150"/>
      <c r="H125" s="151" t="s">
        <v>101</v>
      </c>
      <c r="I125" s="151"/>
      <c r="J125" s="151" t="s">
        <v>100</v>
      </c>
      <c r="K125" s="151"/>
      <c r="L125" s="151" t="s">
        <v>126</v>
      </c>
      <c r="M125" s="151"/>
      <c r="N125" s="148" t="s">
        <v>1</v>
      </c>
      <c r="O125" s="148"/>
    </row>
    <row r="126" spans="1:15" x14ac:dyDescent="0.2">
      <c r="A126" s="26" t="str">
        <f>all!A558</f>
        <v>Daily</v>
      </c>
      <c r="B126" s="38">
        <f>all!B558</f>
        <v>218</v>
      </c>
      <c r="C126" s="39">
        <f>all!C558</f>
        <v>0.4988558352402746</v>
      </c>
      <c r="D126" s="38">
        <f>all!D558</f>
        <v>16</v>
      </c>
      <c r="E126" s="39">
        <f>all!E558</f>
        <v>0.47058823529411764</v>
      </c>
      <c r="F126" s="38">
        <f>all!F558</f>
        <v>96</v>
      </c>
      <c r="G126" s="39">
        <f>all!G558</f>
        <v>0.54545454545454541</v>
      </c>
      <c r="H126" s="38">
        <f>all!H558</f>
        <v>422</v>
      </c>
      <c r="I126" s="39">
        <f>all!I558</f>
        <v>0.52292441140024781</v>
      </c>
      <c r="J126" s="38">
        <f>all!J558</f>
        <v>204</v>
      </c>
      <c r="K126" s="39">
        <f>all!K558</f>
        <v>0.51776649746192893</v>
      </c>
      <c r="L126" s="38">
        <f>all!L558</f>
        <v>421</v>
      </c>
      <c r="M126" s="39">
        <f>all!M558</f>
        <v>0.47786606129398412</v>
      </c>
      <c r="N126" s="29">
        <f>all!N558</f>
        <v>1377</v>
      </c>
      <c r="O126" s="39">
        <f>all!O558</f>
        <v>0.54795065658575404</v>
      </c>
    </row>
    <row r="127" spans="1:15" x14ac:dyDescent="0.2">
      <c r="A127" s="26" t="str">
        <f>all!A559</f>
        <v>2+ days a week</v>
      </c>
      <c r="B127" s="38">
        <f>all!B559</f>
        <v>54</v>
      </c>
      <c r="C127" s="39">
        <f>all!C559</f>
        <v>0.12356979405034325</v>
      </c>
      <c r="D127" s="38">
        <f>all!D559</f>
        <v>4</v>
      </c>
      <c r="E127" s="39">
        <f>all!E559</f>
        <v>0.11764705882352941</v>
      </c>
      <c r="F127" s="38">
        <f>all!F559</f>
        <v>28</v>
      </c>
      <c r="G127" s="39">
        <f>all!G559</f>
        <v>0.15909090909090909</v>
      </c>
      <c r="H127" s="38">
        <f>all!H559</f>
        <v>105</v>
      </c>
      <c r="I127" s="39">
        <f>all!I559</f>
        <v>0.13011152416356878</v>
      </c>
      <c r="J127" s="38">
        <f>all!J559</f>
        <v>47</v>
      </c>
      <c r="K127" s="39">
        <f>all!K559</f>
        <v>0.11928934010152284</v>
      </c>
      <c r="L127" s="38">
        <f>all!L559</f>
        <v>108</v>
      </c>
      <c r="M127" s="39">
        <f>all!M559</f>
        <v>0.12258796821793416</v>
      </c>
      <c r="N127" s="29">
        <f>all!N559</f>
        <v>346</v>
      </c>
      <c r="O127" s="39">
        <f>all!O559</f>
        <v>0.13768404297652209</v>
      </c>
    </row>
    <row r="128" spans="1:15" x14ac:dyDescent="0.2">
      <c r="A128" s="26" t="str">
        <f>all!A560</f>
        <v>Once a week</v>
      </c>
      <c r="B128" s="38">
        <f>all!B560</f>
        <v>39</v>
      </c>
      <c r="C128" s="39">
        <f>all!C560</f>
        <v>8.924485125858124E-2</v>
      </c>
      <c r="D128" s="38">
        <f>all!D560</f>
        <v>2</v>
      </c>
      <c r="E128" s="39">
        <f>all!E560</f>
        <v>5.8823529411764705E-2</v>
      </c>
      <c r="F128" s="38">
        <f>all!F560</f>
        <v>11</v>
      </c>
      <c r="G128" s="39">
        <f>all!G560</f>
        <v>6.25E-2</v>
      </c>
      <c r="H128" s="38">
        <f>all!H560</f>
        <v>56</v>
      </c>
      <c r="I128" s="39">
        <f>all!I560</f>
        <v>6.9392812887236685E-2</v>
      </c>
      <c r="J128" s="38">
        <f>all!J560</f>
        <v>29</v>
      </c>
      <c r="K128" s="39">
        <f>all!K560</f>
        <v>7.3604060913705582E-2</v>
      </c>
      <c r="L128" s="38">
        <f>all!L560</f>
        <v>77</v>
      </c>
      <c r="M128" s="39">
        <f>all!M560</f>
        <v>8.7400681044267875E-2</v>
      </c>
      <c r="N128" s="29">
        <f>all!N560</f>
        <v>214</v>
      </c>
      <c r="O128" s="39">
        <f>all!O560</f>
        <v>8.5157182650218863E-2</v>
      </c>
    </row>
    <row r="129" spans="1:15" x14ac:dyDescent="0.2">
      <c r="A129" s="26" t="str">
        <f>all!A561</f>
        <v>Monthly</v>
      </c>
      <c r="B129" s="38">
        <f>all!B561</f>
        <v>35</v>
      </c>
      <c r="C129" s="39">
        <f>all!C561</f>
        <v>8.0091533180778038E-2</v>
      </c>
      <c r="D129" s="38">
        <f>all!D561</f>
        <v>1</v>
      </c>
      <c r="E129" s="39">
        <f>all!E561</f>
        <v>2.9411764705882353E-2</v>
      </c>
      <c r="F129" s="38">
        <f>all!F561</f>
        <v>13</v>
      </c>
      <c r="G129" s="39">
        <f>all!G561</f>
        <v>7.3863636363636367E-2</v>
      </c>
      <c r="H129" s="38">
        <f>all!H561</f>
        <v>60</v>
      </c>
      <c r="I129" s="39">
        <f>all!I561</f>
        <v>7.434944237918216E-2</v>
      </c>
      <c r="J129" s="38">
        <f>all!J561</f>
        <v>29</v>
      </c>
      <c r="K129" s="39">
        <f>all!K561</f>
        <v>7.3604060913705582E-2</v>
      </c>
      <c r="L129" s="38">
        <f>all!L561</f>
        <v>78</v>
      </c>
      <c r="M129" s="39">
        <f>all!M561</f>
        <v>8.8535754824063562E-2</v>
      </c>
      <c r="N129" s="29">
        <f>all!N561</f>
        <v>0</v>
      </c>
      <c r="O129" s="39">
        <f>all!O561</f>
        <v>0</v>
      </c>
    </row>
    <row r="130" spans="1:15" x14ac:dyDescent="0.2">
      <c r="A130" s="26" t="str">
        <f>all!A562</f>
        <v>Never</v>
      </c>
      <c r="B130" s="38">
        <f>all!B562</f>
        <v>91</v>
      </c>
      <c r="C130" s="39">
        <f>all!C562</f>
        <v>0.20823798627002288</v>
      </c>
      <c r="D130" s="38">
        <f>all!D562</f>
        <v>11</v>
      </c>
      <c r="E130" s="39">
        <f>all!E562</f>
        <v>0.3235294117647059</v>
      </c>
      <c r="F130" s="38">
        <f>all!F562</f>
        <v>28</v>
      </c>
      <c r="G130" s="39">
        <f>all!G562</f>
        <v>0.15909090909090909</v>
      </c>
      <c r="H130" s="38">
        <f>all!H562</f>
        <v>164</v>
      </c>
      <c r="I130" s="39">
        <f>all!I562</f>
        <v>0.20322180916976457</v>
      </c>
      <c r="J130" s="38">
        <f>all!J562</f>
        <v>85</v>
      </c>
      <c r="K130" s="39">
        <f>all!K562</f>
        <v>0.21573604060913706</v>
      </c>
      <c r="L130" s="38">
        <f>all!L562</f>
        <v>197</v>
      </c>
      <c r="M130" s="39">
        <f>all!M562</f>
        <v>0.22360953461975028</v>
      </c>
      <c r="N130" s="29">
        <f>all!N562</f>
        <v>576</v>
      </c>
      <c r="O130" s="39">
        <f>all!O562</f>
        <v>0.22920811778750497</v>
      </c>
    </row>
    <row r="131" spans="1:15" x14ac:dyDescent="0.2">
      <c r="A131" s="108" t="str">
        <f>all!A563</f>
        <v>Total</v>
      </c>
      <c r="B131" s="38">
        <f>all!B563</f>
        <v>437</v>
      </c>
      <c r="C131" s="39">
        <f>all!C563</f>
        <v>1</v>
      </c>
      <c r="D131" s="38">
        <f>all!D563</f>
        <v>34</v>
      </c>
      <c r="E131" s="39">
        <f>all!E563</f>
        <v>1</v>
      </c>
      <c r="F131" s="38">
        <f>all!F563</f>
        <v>176</v>
      </c>
      <c r="G131" s="39">
        <f>all!G563</f>
        <v>0.99999999999999989</v>
      </c>
      <c r="H131" s="38">
        <f>all!H563</f>
        <v>807</v>
      </c>
      <c r="I131" s="39">
        <f>all!I563</f>
        <v>1</v>
      </c>
      <c r="J131" s="38">
        <f>all!J563</f>
        <v>394</v>
      </c>
      <c r="K131" s="39">
        <f>all!K563</f>
        <v>1</v>
      </c>
      <c r="L131" s="38">
        <f>all!L563</f>
        <v>881</v>
      </c>
      <c r="M131" s="39">
        <f>all!M563</f>
        <v>1</v>
      </c>
      <c r="N131" s="30">
        <f>all!N563</f>
        <v>2513</v>
      </c>
      <c r="O131" s="41">
        <f>all!O563</f>
        <v>1</v>
      </c>
    </row>
    <row r="132" spans="1:15" x14ac:dyDescent="0.2">
      <c r="A132" s="108" t="str">
        <f>all!A564</f>
        <v>Once a week or more</v>
      </c>
      <c r="B132" s="38"/>
      <c r="C132" s="65">
        <f>all!C564</f>
        <v>0.71167048054919912</v>
      </c>
      <c r="D132" s="38"/>
      <c r="E132" s="65">
        <f>all!E564</f>
        <v>0.6470588235294118</v>
      </c>
      <c r="F132" s="38"/>
      <c r="G132" s="65">
        <f>all!G564</f>
        <v>0.76704545454545447</v>
      </c>
      <c r="H132" s="38"/>
      <c r="I132" s="65">
        <f>all!I564</f>
        <v>0.7224287484510532</v>
      </c>
      <c r="J132" s="38"/>
      <c r="K132" s="65">
        <f>all!K564</f>
        <v>0.71065989847715727</v>
      </c>
      <c r="L132" s="38"/>
      <c r="M132" s="65">
        <f>all!M564</f>
        <v>0.68785471055618619</v>
      </c>
      <c r="N132" s="30"/>
      <c r="O132" s="65">
        <f>all!O564</f>
        <v>0.77079188221249506</v>
      </c>
    </row>
    <row r="133" spans="1:15" x14ac:dyDescent="0.2">
      <c r="A133" s="12"/>
    </row>
    <row r="134" spans="1:15" x14ac:dyDescent="0.2">
      <c r="A134" s="108" t="str">
        <f>all!A566</f>
        <v>SmarPhone Apps</v>
      </c>
      <c r="B134" s="151" t="s">
        <v>128</v>
      </c>
      <c r="C134" s="151"/>
      <c r="D134" s="151" t="s">
        <v>99</v>
      </c>
      <c r="E134" s="151"/>
      <c r="F134" s="150" t="s">
        <v>176</v>
      </c>
      <c r="G134" s="150"/>
      <c r="H134" s="151" t="s">
        <v>101</v>
      </c>
      <c r="I134" s="151"/>
      <c r="J134" s="151" t="s">
        <v>100</v>
      </c>
      <c r="K134" s="151"/>
      <c r="L134" s="151" t="s">
        <v>126</v>
      </c>
      <c r="M134" s="151"/>
      <c r="N134" s="148" t="s">
        <v>1</v>
      </c>
      <c r="O134" s="148"/>
    </row>
    <row r="135" spans="1:15" x14ac:dyDescent="0.2">
      <c r="A135" s="26" t="str">
        <f>all!A567</f>
        <v>Daily</v>
      </c>
      <c r="B135" s="38">
        <f>all!B567</f>
        <v>239</v>
      </c>
      <c r="C135" s="39">
        <f>all!C567</f>
        <v>0.55069124423963134</v>
      </c>
      <c r="D135" s="38">
        <f>all!D567</f>
        <v>1</v>
      </c>
      <c r="E135" s="39">
        <f>all!E567</f>
        <v>3.125E-2</v>
      </c>
      <c r="F135" s="38">
        <f>all!F567</f>
        <v>1</v>
      </c>
      <c r="G135" s="39">
        <f>all!G567</f>
        <v>5.9171597633136093E-3</v>
      </c>
      <c r="H135" s="38">
        <f>all!H567</f>
        <v>15</v>
      </c>
      <c r="I135" s="39">
        <f>all!I567</f>
        <v>1.9633507853403141E-2</v>
      </c>
      <c r="J135" s="38">
        <f>all!J567</f>
        <v>3</v>
      </c>
      <c r="K135" s="39">
        <f>all!K567</f>
        <v>8.2872928176795577E-3</v>
      </c>
      <c r="L135" s="38">
        <f>all!L567</f>
        <v>25</v>
      </c>
      <c r="M135" s="39">
        <f>all!M567</f>
        <v>2.9940119760479042E-2</v>
      </c>
      <c r="N135" s="29">
        <f>all!N567</f>
        <v>284</v>
      </c>
      <c r="O135" s="39">
        <f>all!O567</f>
        <v>0.15162840363053925</v>
      </c>
    </row>
    <row r="136" spans="1:15" x14ac:dyDescent="0.2">
      <c r="A136" s="26" t="str">
        <f>all!A568</f>
        <v>2+ days a week</v>
      </c>
      <c r="B136" s="38">
        <f>all!B568</f>
        <v>21</v>
      </c>
      <c r="C136" s="39">
        <f>all!C568</f>
        <v>4.8387096774193547E-2</v>
      </c>
      <c r="D136" s="38">
        <f>all!D568</f>
        <v>16</v>
      </c>
      <c r="E136" s="39">
        <f>all!E568</f>
        <v>0.5</v>
      </c>
      <c r="F136" s="38">
        <f>all!F568</f>
        <v>114</v>
      </c>
      <c r="G136" s="39">
        <f>all!G568</f>
        <v>0.67455621301775148</v>
      </c>
      <c r="H136" s="38">
        <f>all!H568</f>
        <v>457</v>
      </c>
      <c r="I136" s="39">
        <f>all!I568</f>
        <v>0.59816753926701571</v>
      </c>
      <c r="J136" s="38">
        <f>all!J568</f>
        <v>241</v>
      </c>
      <c r="K136" s="39">
        <f>all!K568</f>
        <v>0.66574585635359118</v>
      </c>
      <c r="L136" s="38">
        <f>all!L568</f>
        <v>527</v>
      </c>
      <c r="M136" s="39">
        <f>all!M568</f>
        <v>0.63113772455089823</v>
      </c>
      <c r="N136" s="29">
        <f>all!N568</f>
        <v>1376</v>
      </c>
      <c r="O136" s="39">
        <f>all!O568</f>
        <v>0.73465029364655632</v>
      </c>
    </row>
    <row r="137" spans="1:15" x14ac:dyDescent="0.2">
      <c r="A137" s="26" t="str">
        <f>all!A569</f>
        <v>Once a week</v>
      </c>
      <c r="B137" s="38">
        <f>all!B569</f>
        <v>12</v>
      </c>
      <c r="C137" s="39">
        <f>all!C569</f>
        <v>2.7649769585253458E-2</v>
      </c>
      <c r="D137" s="38">
        <f>all!D569</f>
        <v>0</v>
      </c>
      <c r="E137" s="39">
        <f>all!E569</f>
        <v>0</v>
      </c>
      <c r="F137" s="38">
        <f>all!F569</f>
        <v>0</v>
      </c>
      <c r="G137" s="39">
        <f>all!G569</f>
        <v>0</v>
      </c>
      <c r="H137" s="38">
        <f>all!H569</f>
        <v>0</v>
      </c>
      <c r="I137" s="39">
        <f>all!I569</f>
        <v>0</v>
      </c>
      <c r="J137" s="38">
        <f>all!J569</f>
        <v>0</v>
      </c>
      <c r="K137" s="39">
        <f>all!K569</f>
        <v>0</v>
      </c>
      <c r="L137" s="38">
        <f>all!L569</f>
        <v>0</v>
      </c>
      <c r="M137" s="39">
        <f>all!M569</f>
        <v>0</v>
      </c>
      <c r="N137" s="29">
        <f>all!N569</f>
        <v>12</v>
      </c>
      <c r="O137" s="39">
        <f>all!O569</f>
        <v>6.4068339562199676E-3</v>
      </c>
    </row>
    <row r="138" spans="1:15" x14ac:dyDescent="0.2">
      <c r="A138" s="26" t="str">
        <f>all!A570</f>
        <v>Monthly</v>
      </c>
      <c r="B138" s="38">
        <f>all!B570</f>
        <v>7</v>
      </c>
      <c r="C138" s="39">
        <f>all!C570</f>
        <v>1.6129032258064516E-2</v>
      </c>
      <c r="D138" s="38">
        <f>all!D570</f>
        <v>13</v>
      </c>
      <c r="E138" s="39">
        <f>all!E570</f>
        <v>0.40625</v>
      </c>
      <c r="F138" s="38">
        <f>all!F570</f>
        <v>51</v>
      </c>
      <c r="G138" s="39">
        <f>all!G570</f>
        <v>0.30177514792899407</v>
      </c>
      <c r="H138" s="38">
        <f>all!H570</f>
        <v>278</v>
      </c>
      <c r="I138" s="39">
        <f>all!I570</f>
        <v>0.36387434554973824</v>
      </c>
      <c r="J138" s="38">
        <f>all!J570</f>
        <v>116</v>
      </c>
      <c r="K138" s="39">
        <f>all!K570</f>
        <v>0.32044198895027626</v>
      </c>
      <c r="L138" s="38">
        <f>all!L570</f>
        <v>258</v>
      </c>
      <c r="M138" s="39">
        <f>all!M570</f>
        <v>0.30898203592814372</v>
      </c>
      <c r="N138" s="29">
        <f>all!N570</f>
        <v>0</v>
      </c>
      <c r="O138" s="39">
        <f>all!O570</f>
        <v>0</v>
      </c>
    </row>
    <row r="139" spans="1:15" x14ac:dyDescent="0.2">
      <c r="A139" s="26" t="str">
        <f>all!A571</f>
        <v>Never</v>
      </c>
      <c r="B139" s="38">
        <f>all!B571</f>
        <v>155</v>
      </c>
      <c r="C139" s="39">
        <f>all!C571</f>
        <v>0.35714285714285715</v>
      </c>
      <c r="D139" s="38">
        <f>all!D571</f>
        <v>2</v>
      </c>
      <c r="E139" s="39">
        <f>all!E571</f>
        <v>6.25E-2</v>
      </c>
      <c r="F139" s="38">
        <f>all!F571</f>
        <v>3</v>
      </c>
      <c r="G139" s="39">
        <f>all!G571</f>
        <v>1.7751479289940829E-2</v>
      </c>
      <c r="H139" s="38">
        <f>all!H571</f>
        <v>14</v>
      </c>
      <c r="I139" s="39">
        <f>all!I571</f>
        <v>1.832460732984293E-2</v>
      </c>
      <c r="J139" s="38">
        <f>all!J571</f>
        <v>2</v>
      </c>
      <c r="K139" s="39">
        <f>all!K571</f>
        <v>5.5248618784530384E-3</v>
      </c>
      <c r="L139" s="38">
        <f>all!L571</f>
        <v>25</v>
      </c>
      <c r="M139" s="39">
        <f>all!M571</f>
        <v>2.9940119760479042E-2</v>
      </c>
      <c r="N139" s="29">
        <f>all!N571</f>
        <v>201</v>
      </c>
      <c r="O139" s="39">
        <f>all!O571</f>
        <v>0.10731446876668446</v>
      </c>
    </row>
    <row r="140" spans="1:15" x14ac:dyDescent="0.2">
      <c r="A140" s="108" t="str">
        <f>all!A572</f>
        <v>Total</v>
      </c>
      <c r="B140" s="38">
        <f>all!B572</f>
        <v>434</v>
      </c>
      <c r="C140" s="39">
        <f>all!C572</f>
        <v>1</v>
      </c>
      <c r="D140" s="38">
        <f>all!D572</f>
        <v>32</v>
      </c>
      <c r="E140" s="39">
        <f>all!E572</f>
        <v>1</v>
      </c>
      <c r="F140" s="38">
        <f>all!F572</f>
        <v>169</v>
      </c>
      <c r="G140" s="39">
        <f>all!G572</f>
        <v>1</v>
      </c>
      <c r="H140" s="38">
        <f>all!H572</f>
        <v>764</v>
      </c>
      <c r="I140" s="39">
        <f>all!I572</f>
        <v>1</v>
      </c>
      <c r="J140" s="38">
        <f>all!J572</f>
        <v>362</v>
      </c>
      <c r="K140" s="39">
        <f>all!K572</f>
        <v>1.0000000000000002</v>
      </c>
      <c r="L140" s="38">
        <f>all!L572</f>
        <v>835</v>
      </c>
      <c r="M140" s="39">
        <f>all!M572</f>
        <v>1</v>
      </c>
      <c r="N140" s="30">
        <f>all!N572</f>
        <v>1873</v>
      </c>
      <c r="O140" s="41">
        <f>all!O572</f>
        <v>1</v>
      </c>
    </row>
    <row r="141" spans="1:15" x14ac:dyDescent="0.2">
      <c r="A141" s="108" t="str">
        <f>all!A573</f>
        <v>Once a week or more</v>
      </c>
      <c r="B141" s="38"/>
      <c r="C141" s="65">
        <f>all!C573</f>
        <v>0.62672811059907829</v>
      </c>
      <c r="D141" s="38"/>
      <c r="E141" s="65">
        <f>all!E573</f>
        <v>0.53125</v>
      </c>
      <c r="F141" s="38"/>
      <c r="G141" s="65">
        <f>all!G573</f>
        <v>0.68047337278106512</v>
      </c>
      <c r="H141" s="38"/>
      <c r="I141" s="65">
        <f>all!I573</f>
        <v>0.61780104712041883</v>
      </c>
      <c r="J141" s="38"/>
      <c r="K141" s="65">
        <f>all!K573</f>
        <v>0.67403314917127077</v>
      </c>
      <c r="L141" s="38"/>
      <c r="M141" s="65">
        <f>all!M573</f>
        <v>0.66107784431137728</v>
      </c>
      <c r="N141" s="30"/>
      <c r="O141" s="65">
        <f>all!O573</f>
        <v>0.89268553123331551</v>
      </c>
    </row>
    <row r="142" spans="1:15" x14ac:dyDescent="0.2">
      <c r="A142" s="12"/>
    </row>
    <row r="143" spans="1:15" x14ac:dyDescent="0.2">
      <c r="A143" s="108" t="str">
        <f>all!A575</f>
        <v>Touch-screen tablet (iPod)</v>
      </c>
      <c r="B143" s="151" t="s">
        <v>128</v>
      </c>
      <c r="C143" s="151"/>
      <c r="D143" s="151" t="s">
        <v>99</v>
      </c>
      <c r="E143" s="151"/>
      <c r="F143" s="150" t="s">
        <v>176</v>
      </c>
      <c r="G143" s="150"/>
      <c r="H143" s="151" t="s">
        <v>101</v>
      </c>
      <c r="I143" s="151"/>
      <c r="J143" s="151" t="s">
        <v>100</v>
      </c>
      <c r="K143" s="151"/>
      <c r="L143" s="151" t="s">
        <v>126</v>
      </c>
      <c r="M143" s="151"/>
      <c r="N143" s="148" t="s">
        <v>1</v>
      </c>
      <c r="O143" s="148"/>
    </row>
    <row r="144" spans="1:15" x14ac:dyDescent="0.2">
      <c r="A144" s="26" t="str">
        <f>all!A576</f>
        <v>Daily</v>
      </c>
      <c r="B144" s="38">
        <f>all!B576</f>
        <v>81</v>
      </c>
      <c r="C144" s="39">
        <f>all!C576</f>
        <v>0.18577981651376146</v>
      </c>
      <c r="D144" s="38">
        <f>all!D576</f>
        <v>7</v>
      </c>
      <c r="E144" s="39">
        <f>all!E576</f>
        <v>0.20588235294117646</v>
      </c>
      <c r="F144" s="38">
        <f>all!F576</f>
        <v>36</v>
      </c>
      <c r="G144" s="39">
        <f>all!G576</f>
        <v>0.20454545454545456</v>
      </c>
      <c r="H144" s="38">
        <f>all!H576</f>
        <v>151</v>
      </c>
      <c r="I144" s="39">
        <f>all!I576</f>
        <v>0.18804483188044832</v>
      </c>
      <c r="J144" s="38">
        <f>all!J576</f>
        <v>89</v>
      </c>
      <c r="K144" s="39">
        <f>all!K576</f>
        <v>0.22646310432569974</v>
      </c>
      <c r="L144" s="38">
        <f>all!L576</f>
        <v>195</v>
      </c>
      <c r="M144" s="39">
        <f>all!M576</f>
        <v>0.22362385321100917</v>
      </c>
      <c r="N144" s="29">
        <f>all!N576</f>
        <v>559</v>
      </c>
      <c r="O144" s="39">
        <f>all!O576</f>
        <v>0.21174242424242423</v>
      </c>
    </row>
    <row r="145" spans="1:15" x14ac:dyDescent="0.2">
      <c r="A145" s="26" t="str">
        <f>all!A577</f>
        <v>2+ days a week</v>
      </c>
      <c r="B145" s="38">
        <f>all!B577</f>
        <v>19</v>
      </c>
      <c r="C145" s="39">
        <f>all!C577</f>
        <v>4.3577981651376149E-2</v>
      </c>
      <c r="D145" s="38">
        <f>all!D577</f>
        <v>1</v>
      </c>
      <c r="E145" s="39">
        <f>all!E577</f>
        <v>2.9411764705882353E-2</v>
      </c>
      <c r="F145" s="38">
        <f>all!F577</f>
        <v>10</v>
      </c>
      <c r="G145" s="39">
        <f>all!G577</f>
        <v>5.6818181818181816E-2</v>
      </c>
      <c r="H145" s="38">
        <f>all!H577</f>
        <v>30</v>
      </c>
      <c r="I145" s="39">
        <f>all!I577</f>
        <v>3.7359900373599E-2</v>
      </c>
      <c r="J145" s="38">
        <f>all!J577</f>
        <v>20</v>
      </c>
      <c r="K145" s="39">
        <f>all!K577</f>
        <v>5.0890585241730277E-2</v>
      </c>
      <c r="L145" s="38">
        <f>all!L577</f>
        <v>40</v>
      </c>
      <c r="M145" s="39">
        <f>all!M577</f>
        <v>4.5871559633027525E-2</v>
      </c>
      <c r="N145" s="29">
        <f>all!N577</f>
        <v>120</v>
      </c>
      <c r="O145" s="39">
        <f>all!O577</f>
        <v>4.5454545454545456E-2</v>
      </c>
    </row>
    <row r="146" spans="1:15" x14ac:dyDescent="0.2">
      <c r="A146" s="26" t="str">
        <f>all!A578</f>
        <v>Once a week</v>
      </c>
      <c r="B146" s="38">
        <f>all!B578</f>
        <v>12</v>
      </c>
      <c r="C146" s="39">
        <f>all!C578</f>
        <v>2.7522935779816515E-2</v>
      </c>
      <c r="D146" s="38">
        <f>all!D578</f>
        <v>1</v>
      </c>
      <c r="E146" s="39">
        <f>all!E578</f>
        <v>2.9411764705882353E-2</v>
      </c>
      <c r="F146" s="38">
        <f>all!F578</f>
        <v>5</v>
      </c>
      <c r="G146" s="39">
        <f>all!G578</f>
        <v>2.8409090909090908E-2</v>
      </c>
      <c r="H146" s="38">
        <f>all!H578</f>
        <v>19</v>
      </c>
      <c r="I146" s="39">
        <f>all!I578</f>
        <v>2.3661270236612703E-2</v>
      </c>
      <c r="J146" s="38">
        <f>all!J578</f>
        <v>15</v>
      </c>
      <c r="K146" s="39">
        <f>all!K578</f>
        <v>3.8167938931297711E-2</v>
      </c>
      <c r="L146" s="38">
        <f>all!L578</f>
        <v>21</v>
      </c>
      <c r="M146" s="39">
        <f>all!M578</f>
        <v>2.4082568807339451E-2</v>
      </c>
      <c r="N146" s="29">
        <f>all!N578</f>
        <v>73</v>
      </c>
      <c r="O146" s="39">
        <f>all!O578</f>
        <v>2.7651515151515153E-2</v>
      </c>
    </row>
    <row r="147" spans="1:15" x14ac:dyDescent="0.2">
      <c r="A147" s="26" t="str">
        <f>all!A579</f>
        <v>Monthly</v>
      </c>
      <c r="B147" s="38">
        <f>all!B579</f>
        <v>13</v>
      </c>
      <c r="C147" s="39">
        <f>all!C579</f>
        <v>2.9816513761467892E-2</v>
      </c>
      <c r="D147" s="38">
        <f>all!D579</f>
        <v>2</v>
      </c>
      <c r="E147" s="39">
        <f>all!E579</f>
        <v>5.8823529411764705E-2</v>
      </c>
      <c r="F147" s="38">
        <f>all!F579</f>
        <v>6</v>
      </c>
      <c r="G147" s="39">
        <f>all!G579</f>
        <v>3.4090909090909088E-2</v>
      </c>
      <c r="H147" s="38">
        <f>all!H579</f>
        <v>20</v>
      </c>
      <c r="I147" s="39">
        <f>all!I579</f>
        <v>2.4906600249066001E-2</v>
      </c>
      <c r="J147" s="38">
        <f>all!J579</f>
        <v>10</v>
      </c>
      <c r="K147" s="39">
        <f>all!K579</f>
        <v>2.5445292620865138E-2</v>
      </c>
      <c r="L147" s="38">
        <f>all!L579</f>
        <v>23</v>
      </c>
      <c r="M147" s="39">
        <f>all!M579</f>
        <v>2.6376146788990827E-2</v>
      </c>
      <c r="N147" s="29">
        <f>all!N579</f>
        <v>0</v>
      </c>
      <c r="O147" s="39">
        <f>all!O579</f>
        <v>0</v>
      </c>
    </row>
    <row r="148" spans="1:15" x14ac:dyDescent="0.2">
      <c r="A148" s="26" t="str">
        <f>all!A580</f>
        <v>Never</v>
      </c>
      <c r="B148" s="38">
        <f>all!B580</f>
        <v>311</v>
      </c>
      <c r="C148" s="39">
        <f>all!C580</f>
        <v>0.71330275229357798</v>
      </c>
      <c r="D148" s="38">
        <f>all!D580</f>
        <v>23</v>
      </c>
      <c r="E148" s="39">
        <f>all!E580</f>
        <v>0.67647058823529416</v>
      </c>
      <c r="F148" s="38">
        <f>all!F580</f>
        <v>119</v>
      </c>
      <c r="G148" s="39">
        <f>all!G580</f>
        <v>0.67613636363636365</v>
      </c>
      <c r="H148" s="38">
        <f>all!H580</f>
        <v>583</v>
      </c>
      <c r="I148" s="39">
        <f>all!I580</f>
        <v>0.72602739726027399</v>
      </c>
      <c r="J148" s="38">
        <f>all!J580</f>
        <v>259</v>
      </c>
      <c r="K148" s="39">
        <f>all!K580</f>
        <v>0.65903307888040707</v>
      </c>
      <c r="L148" s="38">
        <f>all!L580</f>
        <v>593</v>
      </c>
      <c r="M148" s="39">
        <f>all!M580</f>
        <v>0.68004587155963303</v>
      </c>
      <c r="N148" s="29">
        <f>all!N580</f>
        <v>1888</v>
      </c>
      <c r="O148" s="39">
        <f>all!O580</f>
        <v>0.7151515151515152</v>
      </c>
    </row>
    <row r="149" spans="1:15" x14ac:dyDescent="0.2">
      <c r="A149" s="108" t="str">
        <f>all!A581</f>
        <v>Total</v>
      </c>
      <c r="B149" s="38">
        <f>all!B581</f>
        <v>436</v>
      </c>
      <c r="C149" s="39">
        <f>all!C581</f>
        <v>1</v>
      </c>
      <c r="D149" s="38">
        <f>all!D581</f>
        <v>34</v>
      </c>
      <c r="E149" s="39">
        <f>all!E581</f>
        <v>1</v>
      </c>
      <c r="F149" s="38">
        <f>all!F581</f>
        <v>176</v>
      </c>
      <c r="G149" s="39">
        <f>all!G581</f>
        <v>1</v>
      </c>
      <c r="H149" s="38">
        <f>all!H581</f>
        <v>803</v>
      </c>
      <c r="I149" s="39">
        <f>all!I581</f>
        <v>1</v>
      </c>
      <c r="J149" s="38">
        <f>all!J581</f>
        <v>393</v>
      </c>
      <c r="K149" s="39">
        <f>all!K581</f>
        <v>1</v>
      </c>
      <c r="L149" s="38">
        <f>all!L581</f>
        <v>872</v>
      </c>
      <c r="M149" s="39">
        <f>all!M581</f>
        <v>1</v>
      </c>
      <c r="N149" s="30">
        <f>all!N581</f>
        <v>2640</v>
      </c>
      <c r="O149" s="41">
        <f>all!O581</f>
        <v>1</v>
      </c>
    </row>
    <row r="150" spans="1:15" x14ac:dyDescent="0.2">
      <c r="A150" s="108" t="str">
        <f>all!A582</f>
        <v>Once a week or more</v>
      </c>
      <c r="B150" s="38"/>
      <c r="C150" s="65">
        <f>all!C582</f>
        <v>0.25688073394495414</v>
      </c>
      <c r="D150" s="38"/>
      <c r="E150" s="65">
        <f>all!E582</f>
        <v>0.26470588235294118</v>
      </c>
      <c r="F150" s="38"/>
      <c r="G150" s="65">
        <f>all!G582</f>
        <v>0.28977272727272724</v>
      </c>
      <c r="H150" s="38"/>
      <c r="I150" s="65">
        <f>all!I582</f>
        <v>0.24906600249066005</v>
      </c>
      <c r="J150" s="38"/>
      <c r="K150" s="65">
        <f>all!K582</f>
        <v>0.31552162849872772</v>
      </c>
      <c r="L150" s="38"/>
      <c r="M150" s="65">
        <f>all!M582</f>
        <v>0.29357798165137611</v>
      </c>
      <c r="N150" s="30"/>
      <c r="O150" s="65">
        <f>all!O582</f>
        <v>0.28484848484848485</v>
      </c>
    </row>
    <row r="151" spans="1:15" x14ac:dyDescent="0.2">
      <c r="A151" s="12"/>
    </row>
    <row r="152" spans="1:15" x14ac:dyDescent="0.2">
      <c r="A152" s="108" t="str">
        <f>all!A584</f>
        <v>eReaders (Kindle, Nook)</v>
      </c>
      <c r="B152" s="151" t="s">
        <v>128</v>
      </c>
      <c r="C152" s="151"/>
      <c r="D152" s="151" t="s">
        <v>99</v>
      </c>
      <c r="E152" s="151"/>
      <c r="F152" s="150" t="s">
        <v>176</v>
      </c>
      <c r="G152" s="150"/>
      <c r="H152" s="151" t="s">
        <v>101</v>
      </c>
      <c r="I152" s="151"/>
      <c r="J152" s="151" t="s">
        <v>100</v>
      </c>
      <c r="K152" s="151"/>
      <c r="L152" s="151" t="s">
        <v>126</v>
      </c>
      <c r="M152" s="151"/>
      <c r="N152" s="148" t="s">
        <v>1</v>
      </c>
      <c r="O152" s="148"/>
    </row>
    <row r="153" spans="1:15" x14ac:dyDescent="0.2">
      <c r="A153" s="26" t="str">
        <f>all!A585</f>
        <v>Daily</v>
      </c>
      <c r="B153" s="38">
        <f>all!B585</f>
        <v>44</v>
      </c>
      <c r="C153" s="39">
        <f>all!C585</f>
        <v>0.1004566210045662</v>
      </c>
      <c r="D153" s="38">
        <f>all!D585</f>
        <v>4</v>
      </c>
      <c r="E153" s="39">
        <f>all!E585</f>
        <v>0.12121212121212122</v>
      </c>
      <c r="F153" s="38">
        <f>all!F585</f>
        <v>22</v>
      </c>
      <c r="G153" s="39">
        <f>all!G585</f>
        <v>0.12571428571428572</v>
      </c>
      <c r="H153" s="38">
        <f>all!H585</f>
        <v>73</v>
      </c>
      <c r="I153" s="39">
        <f>all!I585</f>
        <v>9.1364205256570713E-2</v>
      </c>
      <c r="J153" s="38">
        <f>all!J585</f>
        <v>54</v>
      </c>
      <c r="K153" s="39">
        <f>all!K585</f>
        <v>0.13810741687979539</v>
      </c>
      <c r="L153" s="38">
        <f>all!L585</f>
        <v>102</v>
      </c>
      <c r="M153" s="39">
        <f>all!M585</f>
        <v>0.11751152073732719</v>
      </c>
      <c r="N153" s="29">
        <f>all!N585</f>
        <v>299</v>
      </c>
      <c r="O153" s="39">
        <f>all!O585</f>
        <v>0.11776289877904687</v>
      </c>
    </row>
    <row r="154" spans="1:15" x14ac:dyDescent="0.2">
      <c r="A154" s="26" t="str">
        <f>all!A586</f>
        <v>2+ days a week</v>
      </c>
      <c r="B154" s="38">
        <f>all!B586</f>
        <v>25</v>
      </c>
      <c r="C154" s="39">
        <f>all!C586</f>
        <v>5.7077625570776253E-2</v>
      </c>
      <c r="D154" s="38">
        <f>all!D586</f>
        <v>2</v>
      </c>
      <c r="E154" s="39">
        <f>all!E586</f>
        <v>6.0606060606060608E-2</v>
      </c>
      <c r="F154" s="38">
        <f>all!F586</f>
        <v>12</v>
      </c>
      <c r="G154" s="39">
        <f>all!G586</f>
        <v>6.8571428571428575E-2</v>
      </c>
      <c r="H154" s="38">
        <f>all!H586</f>
        <v>43</v>
      </c>
      <c r="I154" s="39">
        <f>all!I586</f>
        <v>5.3817271589486862E-2</v>
      </c>
      <c r="J154" s="38">
        <f>all!J586</f>
        <v>27</v>
      </c>
      <c r="K154" s="39">
        <f>all!K586</f>
        <v>6.9053708439897693E-2</v>
      </c>
      <c r="L154" s="38">
        <f>all!L586</f>
        <v>45</v>
      </c>
      <c r="M154" s="39">
        <f>all!M586</f>
        <v>5.1843317972350228E-2</v>
      </c>
      <c r="N154" s="29">
        <f>all!N586</f>
        <v>154</v>
      </c>
      <c r="O154" s="39">
        <f>all!O586</f>
        <v>6.0653800708940525E-2</v>
      </c>
    </row>
    <row r="155" spans="1:15" x14ac:dyDescent="0.2">
      <c r="A155" s="26" t="str">
        <f>all!A587</f>
        <v>Once a week</v>
      </c>
      <c r="B155" s="38">
        <f>all!B587</f>
        <v>17</v>
      </c>
      <c r="C155" s="39">
        <f>all!C587</f>
        <v>3.8812785388127852E-2</v>
      </c>
      <c r="D155" s="38">
        <f>all!D587</f>
        <v>1</v>
      </c>
      <c r="E155" s="39">
        <f>all!E587</f>
        <v>3.0303030303030304E-2</v>
      </c>
      <c r="F155" s="38">
        <f>all!F587</f>
        <v>9</v>
      </c>
      <c r="G155" s="39">
        <f>all!G587</f>
        <v>5.1428571428571428E-2</v>
      </c>
      <c r="H155" s="38">
        <f>all!H587</f>
        <v>34</v>
      </c>
      <c r="I155" s="39">
        <f>all!I587</f>
        <v>4.2553191489361701E-2</v>
      </c>
      <c r="J155" s="38">
        <f>all!J587</f>
        <v>21</v>
      </c>
      <c r="K155" s="39">
        <f>all!K587</f>
        <v>5.3708439897698211E-2</v>
      </c>
      <c r="L155" s="38">
        <f>all!L587</f>
        <v>34</v>
      </c>
      <c r="M155" s="39">
        <f>all!M587</f>
        <v>3.9170506912442393E-2</v>
      </c>
      <c r="N155" s="29">
        <f>all!N587</f>
        <v>116</v>
      </c>
      <c r="O155" s="39">
        <f>all!O587</f>
        <v>4.568727845608507E-2</v>
      </c>
    </row>
    <row r="156" spans="1:15" x14ac:dyDescent="0.2">
      <c r="A156" s="26" t="str">
        <f>all!A588</f>
        <v>Monthly</v>
      </c>
      <c r="B156" s="38">
        <f>all!B588</f>
        <v>27</v>
      </c>
      <c r="C156" s="39">
        <f>all!C588</f>
        <v>6.1643835616438353E-2</v>
      </c>
      <c r="D156" s="38">
        <f>all!D588</f>
        <v>1</v>
      </c>
      <c r="E156" s="39">
        <f>all!E588</f>
        <v>3.0303030303030304E-2</v>
      </c>
      <c r="F156" s="38">
        <f>all!F588</f>
        <v>8</v>
      </c>
      <c r="G156" s="39">
        <f>all!G588</f>
        <v>4.5714285714285714E-2</v>
      </c>
      <c r="H156" s="38">
        <f>all!H588</f>
        <v>48</v>
      </c>
      <c r="I156" s="39">
        <f>all!I588</f>
        <v>6.0075093867334166E-2</v>
      </c>
      <c r="J156" s="38">
        <f>all!J588</f>
        <v>33</v>
      </c>
      <c r="K156" s="39">
        <f>all!K588</f>
        <v>8.4398976982097182E-2</v>
      </c>
      <c r="L156" s="38">
        <f>all!L588</f>
        <v>48</v>
      </c>
      <c r="M156" s="39">
        <f>all!M588</f>
        <v>5.5299539170506916E-2</v>
      </c>
      <c r="N156" s="29">
        <f>all!N588</f>
        <v>0</v>
      </c>
      <c r="O156" s="39">
        <f>all!O588</f>
        <v>0</v>
      </c>
    </row>
    <row r="157" spans="1:15" x14ac:dyDescent="0.2">
      <c r="A157" s="26" t="str">
        <f>all!A589</f>
        <v>Never</v>
      </c>
      <c r="B157" s="38">
        <f>all!B589</f>
        <v>325</v>
      </c>
      <c r="C157" s="39">
        <f>all!C589</f>
        <v>0.74200913242009137</v>
      </c>
      <c r="D157" s="38">
        <f>all!D589</f>
        <v>25</v>
      </c>
      <c r="E157" s="39">
        <f>all!E589</f>
        <v>0.75757575757575757</v>
      </c>
      <c r="F157" s="38">
        <f>all!F589</f>
        <v>124</v>
      </c>
      <c r="G157" s="39">
        <f>all!G589</f>
        <v>0.70857142857142852</v>
      </c>
      <c r="H157" s="38">
        <f>all!H589</f>
        <v>601</v>
      </c>
      <c r="I157" s="39">
        <f>all!I589</f>
        <v>0.75219023779724659</v>
      </c>
      <c r="J157" s="38">
        <f>all!J589</f>
        <v>256</v>
      </c>
      <c r="K157" s="39">
        <f>all!K589</f>
        <v>0.65473145780051156</v>
      </c>
      <c r="L157" s="38">
        <f>all!L589</f>
        <v>639</v>
      </c>
      <c r="M157" s="39">
        <f>all!M589</f>
        <v>0.73617511520737322</v>
      </c>
      <c r="N157" s="29">
        <f>all!N589</f>
        <v>1970</v>
      </c>
      <c r="O157" s="39">
        <f>all!O589</f>
        <v>0.77589602205592756</v>
      </c>
    </row>
    <row r="158" spans="1:15" x14ac:dyDescent="0.2">
      <c r="A158" s="108" t="str">
        <f>all!A590</f>
        <v>Total</v>
      </c>
      <c r="B158" s="38">
        <f>all!B590</f>
        <v>438</v>
      </c>
      <c r="C158" s="39">
        <f>all!C590</f>
        <v>1</v>
      </c>
      <c r="D158" s="38">
        <f>all!D590</f>
        <v>33</v>
      </c>
      <c r="E158" s="39">
        <f>all!E590</f>
        <v>1</v>
      </c>
      <c r="F158" s="38">
        <f>all!F590</f>
        <v>175</v>
      </c>
      <c r="G158" s="39">
        <f>all!G590</f>
        <v>1</v>
      </c>
      <c r="H158" s="38">
        <f>all!H590</f>
        <v>799</v>
      </c>
      <c r="I158" s="39">
        <f>all!I590</f>
        <v>1</v>
      </c>
      <c r="J158" s="38">
        <f>all!J590</f>
        <v>391</v>
      </c>
      <c r="K158" s="39">
        <f>all!K590</f>
        <v>1</v>
      </c>
      <c r="L158" s="38">
        <f>all!L590</f>
        <v>868</v>
      </c>
      <c r="M158" s="39">
        <f>all!M590</f>
        <v>1</v>
      </c>
      <c r="N158" s="30">
        <f>all!N590</f>
        <v>2539</v>
      </c>
      <c r="O158" s="41">
        <f>all!O590</f>
        <v>1</v>
      </c>
    </row>
    <row r="159" spans="1:15" x14ac:dyDescent="0.2">
      <c r="A159" s="108" t="str">
        <f>all!A591</f>
        <v>Once a week or more</v>
      </c>
      <c r="B159" s="38"/>
      <c r="C159" s="65">
        <f>all!C591</f>
        <v>0.19634703196347031</v>
      </c>
      <c r="D159" s="38"/>
      <c r="E159" s="65">
        <f>all!E591</f>
        <v>0.21212121212121213</v>
      </c>
      <c r="F159" s="38"/>
      <c r="G159" s="65">
        <f>all!G591</f>
        <v>0.24571428571428572</v>
      </c>
      <c r="H159" s="38"/>
      <c r="I159" s="65">
        <f>all!I591</f>
        <v>0.1877346683354193</v>
      </c>
      <c r="J159" s="38"/>
      <c r="K159" s="65">
        <f>all!K591</f>
        <v>0.2608695652173913</v>
      </c>
      <c r="L159" s="38"/>
      <c r="M159" s="65">
        <f>all!M591</f>
        <v>0.20852534562211983</v>
      </c>
      <c r="N159" s="30"/>
      <c r="O159" s="65">
        <f>all!O591</f>
        <v>0.22410397794407244</v>
      </c>
    </row>
    <row r="160" spans="1:15" x14ac:dyDescent="0.2">
      <c r="A160" s="12"/>
    </row>
    <row r="161" spans="1:15" x14ac:dyDescent="0.2">
      <c r="A161" s="108" t="str">
        <f>all!A593</f>
        <v>Web-based video conferencing (Skype, etc)</v>
      </c>
      <c r="B161" s="151" t="s">
        <v>128</v>
      </c>
      <c r="C161" s="151"/>
      <c r="D161" s="151" t="s">
        <v>99</v>
      </c>
      <c r="E161" s="151"/>
      <c r="F161" s="150" t="s">
        <v>176</v>
      </c>
      <c r="G161" s="150"/>
      <c r="H161" s="151" t="s">
        <v>101</v>
      </c>
      <c r="I161" s="151"/>
      <c r="J161" s="151" t="s">
        <v>100</v>
      </c>
      <c r="K161" s="151"/>
      <c r="L161" s="151" t="s">
        <v>126</v>
      </c>
      <c r="M161" s="151"/>
      <c r="N161" s="148" t="s">
        <v>1</v>
      </c>
      <c r="O161" s="148"/>
    </row>
    <row r="162" spans="1:15" x14ac:dyDescent="0.2">
      <c r="A162" s="26" t="str">
        <f>all!A594</f>
        <v>Daily</v>
      </c>
      <c r="B162" s="38">
        <f>all!B594</f>
        <v>40</v>
      </c>
      <c r="C162" s="39">
        <f>all!C594</f>
        <v>9.2165898617511524E-2</v>
      </c>
      <c r="D162" s="38">
        <f>all!D594</f>
        <v>5</v>
      </c>
      <c r="E162" s="39">
        <f>all!E594</f>
        <v>0.14705882352941177</v>
      </c>
      <c r="F162" s="38">
        <f>all!F594</f>
        <v>15</v>
      </c>
      <c r="G162" s="39">
        <f>all!G594</f>
        <v>8.5714285714285715E-2</v>
      </c>
      <c r="H162" s="38">
        <f>all!H594</f>
        <v>51</v>
      </c>
      <c r="I162" s="39">
        <f>all!I594</f>
        <v>6.3670411985018729E-2</v>
      </c>
      <c r="J162" s="38">
        <f>all!J594</f>
        <v>29</v>
      </c>
      <c r="K162" s="39">
        <f>all!K594</f>
        <v>7.4550128534704371E-2</v>
      </c>
      <c r="L162" s="38">
        <f>all!L594</f>
        <v>76</v>
      </c>
      <c r="M162" s="39">
        <f>all!M594</f>
        <v>8.7861271676300576E-2</v>
      </c>
      <c r="N162" s="29">
        <f>all!N594</f>
        <v>216</v>
      </c>
      <c r="O162" s="39">
        <f>all!O594</f>
        <v>9.7560975609756101E-2</v>
      </c>
    </row>
    <row r="163" spans="1:15" x14ac:dyDescent="0.2">
      <c r="A163" s="26" t="str">
        <f>all!A595</f>
        <v>2+ days a week</v>
      </c>
      <c r="B163" s="38">
        <f>all!B595</f>
        <v>32</v>
      </c>
      <c r="C163" s="39">
        <f>all!C595</f>
        <v>7.3732718894009217E-2</v>
      </c>
      <c r="D163" s="38">
        <f>all!D595</f>
        <v>0</v>
      </c>
      <c r="E163" s="39">
        <f>all!E595</f>
        <v>0</v>
      </c>
      <c r="F163" s="38">
        <f>all!F595</f>
        <v>15</v>
      </c>
      <c r="G163" s="39">
        <f>all!G595</f>
        <v>8.5714285714285715E-2</v>
      </c>
      <c r="H163" s="38">
        <f>all!H595</f>
        <v>50</v>
      </c>
      <c r="I163" s="39">
        <f>all!I595</f>
        <v>6.2421972534332085E-2</v>
      </c>
      <c r="J163" s="38">
        <f>all!J595</f>
        <v>29</v>
      </c>
      <c r="K163" s="39">
        <f>all!K595</f>
        <v>7.4550128534704371E-2</v>
      </c>
      <c r="L163" s="38">
        <f>all!L595</f>
        <v>44</v>
      </c>
      <c r="M163" s="39">
        <f>all!M595</f>
        <v>5.086705202312139E-2</v>
      </c>
      <c r="N163" s="29">
        <f>all!N595</f>
        <v>170</v>
      </c>
      <c r="O163" s="39">
        <f>all!O595</f>
        <v>7.6784101174345074E-2</v>
      </c>
    </row>
    <row r="164" spans="1:15" x14ac:dyDescent="0.2">
      <c r="A164" s="26" t="str">
        <f>all!A596</f>
        <v>Once a week</v>
      </c>
      <c r="B164" s="38">
        <f>all!B596</f>
        <v>33</v>
      </c>
      <c r="C164" s="39">
        <f>all!C596</f>
        <v>7.6036866359447008E-2</v>
      </c>
      <c r="D164" s="38">
        <f>all!D596</f>
        <v>3</v>
      </c>
      <c r="E164" s="39">
        <f>all!E596</f>
        <v>8.8235294117647065E-2</v>
      </c>
      <c r="F164" s="38">
        <f>all!F596</f>
        <v>15</v>
      </c>
      <c r="G164" s="39">
        <f>all!G596</f>
        <v>8.5714285714285715E-2</v>
      </c>
      <c r="H164" s="38">
        <f>all!H596</f>
        <v>51</v>
      </c>
      <c r="I164" s="39">
        <f>all!I596</f>
        <v>6.3670411985018729E-2</v>
      </c>
      <c r="J164" s="38">
        <f>all!J596</f>
        <v>35</v>
      </c>
      <c r="K164" s="39">
        <f>all!K596</f>
        <v>8.9974293059125965E-2</v>
      </c>
      <c r="L164" s="38">
        <f>all!L596</f>
        <v>66</v>
      </c>
      <c r="M164" s="39">
        <f>all!M596</f>
        <v>7.6300578034682084E-2</v>
      </c>
      <c r="N164" s="29">
        <f>all!N596</f>
        <v>203</v>
      </c>
      <c r="O164" s="39">
        <f>all!O596</f>
        <v>9.1689250225835586E-2</v>
      </c>
    </row>
    <row r="165" spans="1:15" x14ac:dyDescent="0.2">
      <c r="A165" s="26" t="str">
        <f>all!A597</f>
        <v>Monthly</v>
      </c>
      <c r="B165" s="38">
        <f>all!B597</f>
        <v>75</v>
      </c>
      <c r="C165" s="39">
        <f>all!C597</f>
        <v>0.1728110599078341</v>
      </c>
      <c r="D165" s="38">
        <f>all!D597</f>
        <v>5</v>
      </c>
      <c r="E165" s="39">
        <f>all!E597</f>
        <v>0.14705882352941177</v>
      </c>
      <c r="F165" s="38">
        <f>all!F597</f>
        <v>28</v>
      </c>
      <c r="G165" s="39">
        <f>all!G597</f>
        <v>0.16</v>
      </c>
      <c r="H165" s="38">
        <f>all!H597</f>
        <v>152</v>
      </c>
      <c r="I165" s="39">
        <f>all!I597</f>
        <v>0.18976279650436953</v>
      </c>
      <c r="J165" s="38">
        <f>all!J597</f>
        <v>69</v>
      </c>
      <c r="K165" s="39">
        <f>all!K597</f>
        <v>0.17737789203084833</v>
      </c>
      <c r="L165" s="38">
        <f>all!L597</f>
        <v>155</v>
      </c>
      <c r="M165" s="39">
        <f>all!M597</f>
        <v>0.1791907514450867</v>
      </c>
      <c r="N165" s="29">
        <f>all!N597</f>
        <v>0</v>
      </c>
      <c r="O165" s="39">
        <f>all!O597</f>
        <v>0</v>
      </c>
    </row>
    <row r="166" spans="1:15" x14ac:dyDescent="0.2">
      <c r="A166" s="26" t="str">
        <f>all!A598</f>
        <v>Never</v>
      </c>
      <c r="B166" s="38">
        <f>all!B598</f>
        <v>254</v>
      </c>
      <c r="C166" s="39">
        <f>all!C598</f>
        <v>0.58525345622119818</v>
      </c>
      <c r="D166" s="38">
        <f>all!D598</f>
        <v>21</v>
      </c>
      <c r="E166" s="39">
        <f>all!E598</f>
        <v>0.61764705882352944</v>
      </c>
      <c r="F166" s="38">
        <f>all!F598</f>
        <v>102</v>
      </c>
      <c r="G166" s="39">
        <f>all!G598</f>
        <v>0.58285714285714285</v>
      </c>
      <c r="H166" s="38">
        <f>all!H598</f>
        <v>497</v>
      </c>
      <c r="I166" s="39">
        <f>all!I598</f>
        <v>0.62047440699126089</v>
      </c>
      <c r="J166" s="38">
        <f>all!J598</f>
        <v>227</v>
      </c>
      <c r="K166" s="39">
        <f>all!K598</f>
        <v>0.58354755784061696</v>
      </c>
      <c r="L166" s="38">
        <f>all!L598</f>
        <v>524</v>
      </c>
      <c r="M166" s="39">
        <f>all!M598</f>
        <v>0.60578034682080928</v>
      </c>
      <c r="N166" s="29">
        <f>all!N598</f>
        <v>1625</v>
      </c>
      <c r="O166" s="39">
        <f>all!O598</f>
        <v>0.73396567299006321</v>
      </c>
    </row>
    <row r="167" spans="1:15" x14ac:dyDescent="0.2">
      <c r="A167" s="108" t="str">
        <f>all!A599</f>
        <v>Total</v>
      </c>
      <c r="B167" s="38">
        <f>all!B599</f>
        <v>434</v>
      </c>
      <c r="C167" s="39">
        <f>all!C599</f>
        <v>1</v>
      </c>
      <c r="D167" s="38">
        <f>all!D599</f>
        <v>34</v>
      </c>
      <c r="E167" s="39">
        <f>all!E599</f>
        <v>1</v>
      </c>
      <c r="F167" s="38">
        <f>all!F599</f>
        <v>175</v>
      </c>
      <c r="G167" s="39">
        <f>all!G599</f>
        <v>1</v>
      </c>
      <c r="H167" s="38">
        <f>all!H599</f>
        <v>801</v>
      </c>
      <c r="I167" s="39">
        <f>all!I599</f>
        <v>1</v>
      </c>
      <c r="J167" s="38">
        <f>all!J599</f>
        <v>389</v>
      </c>
      <c r="K167" s="39">
        <f>all!K599</f>
        <v>1</v>
      </c>
      <c r="L167" s="38">
        <f>all!L599</f>
        <v>865</v>
      </c>
      <c r="M167" s="39">
        <f>all!M599</f>
        <v>1</v>
      </c>
      <c r="N167" s="30">
        <f>all!N599</f>
        <v>2214</v>
      </c>
      <c r="O167" s="41">
        <f>all!O599</f>
        <v>1</v>
      </c>
    </row>
    <row r="168" spans="1:15" x14ac:dyDescent="0.2">
      <c r="A168" s="108" t="str">
        <f>all!A600</f>
        <v>Once a week or more</v>
      </c>
      <c r="B168" s="38"/>
      <c r="C168" s="65">
        <f>all!C600</f>
        <v>0.24193548387096775</v>
      </c>
      <c r="D168" s="38"/>
      <c r="E168" s="65">
        <f>all!E600</f>
        <v>0.23529411764705882</v>
      </c>
      <c r="F168" s="38"/>
      <c r="G168" s="65">
        <f>all!G600</f>
        <v>0.25714285714285712</v>
      </c>
      <c r="H168" s="38"/>
      <c r="I168" s="65">
        <f>all!I600</f>
        <v>0.18976279650436956</v>
      </c>
      <c r="J168" s="38"/>
      <c r="K168" s="65">
        <f>all!K600</f>
        <v>0.23907455012853471</v>
      </c>
      <c r="L168" s="38"/>
      <c r="M168" s="65">
        <f>all!M600</f>
        <v>0.21502890173410405</v>
      </c>
      <c r="N168" s="30"/>
      <c r="O168" s="65">
        <f>all!O600</f>
        <v>0.26603432700993673</v>
      </c>
    </row>
    <row r="169" spans="1:15" x14ac:dyDescent="0.2">
      <c r="A169" s="12"/>
    </row>
    <row r="170" spans="1:15" x14ac:dyDescent="0.2">
      <c r="A170" s="108" t="str">
        <f>all!A602</f>
        <v>Online networking tools (LinkedIn, Google+, etc)</v>
      </c>
      <c r="B170" s="151" t="s">
        <v>128</v>
      </c>
      <c r="C170" s="151"/>
      <c r="D170" s="151" t="s">
        <v>99</v>
      </c>
      <c r="E170" s="151"/>
      <c r="F170" s="150" t="s">
        <v>176</v>
      </c>
      <c r="G170" s="150"/>
      <c r="H170" s="151" t="s">
        <v>101</v>
      </c>
      <c r="I170" s="151"/>
      <c r="J170" s="151" t="s">
        <v>100</v>
      </c>
      <c r="K170" s="151"/>
      <c r="L170" s="151" t="s">
        <v>126</v>
      </c>
      <c r="M170" s="151"/>
      <c r="N170" s="148" t="s">
        <v>1</v>
      </c>
      <c r="O170" s="148"/>
    </row>
    <row r="171" spans="1:15" x14ac:dyDescent="0.2">
      <c r="A171" s="26" t="str">
        <f>all!A603</f>
        <v>Daily</v>
      </c>
      <c r="B171" s="38">
        <f>all!B603</f>
        <v>79</v>
      </c>
      <c r="C171" s="39">
        <f>all!C603</f>
        <v>0.18036529680365296</v>
      </c>
      <c r="D171" s="38">
        <f>all!D603</f>
        <v>8</v>
      </c>
      <c r="E171" s="39">
        <f>all!E603</f>
        <v>0.23529411764705882</v>
      </c>
      <c r="F171" s="38">
        <f>all!F603</f>
        <v>39</v>
      </c>
      <c r="G171" s="39">
        <f>all!G603</f>
        <v>0.21910112359550563</v>
      </c>
      <c r="H171" s="38">
        <f>all!H603</f>
        <v>141</v>
      </c>
      <c r="I171" s="39">
        <f>all!I603</f>
        <v>0.17515527950310558</v>
      </c>
      <c r="J171" s="38">
        <f>all!J603</f>
        <v>71</v>
      </c>
      <c r="K171" s="39">
        <f>all!K603</f>
        <v>0.1815856777493606</v>
      </c>
      <c r="L171" s="38">
        <f>all!L603</f>
        <v>181</v>
      </c>
      <c r="M171" s="39">
        <f>all!M603</f>
        <v>0.20756880733944955</v>
      </c>
      <c r="N171" s="29">
        <f>all!N603</f>
        <v>519</v>
      </c>
      <c r="O171" s="39">
        <f>all!O603</f>
        <v>0.21982210927573062</v>
      </c>
    </row>
    <row r="172" spans="1:15" x14ac:dyDescent="0.2">
      <c r="A172" s="26" t="str">
        <f>all!A604</f>
        <v>2+ days a week</v>
      </c>
      <c r="B172" s="38">
        <f>all!B604</f>
        <v>37</v>
      </c>
      <c r="C172" s="39">
        <f>all!C604</f>
        <v>8.4474885844748854E-2</v>
      </c>
      <c r="D172" s="38">
        <f>all!D604</f>
        <v>3</v>
      </c>
      <c r="E172" s="39">
        <f>all!E604</f>
        <v>8.8235294117647065E-2</v>
      </c>
      <c r="F172" s="38">
        <f>all!F604</f>
        <v>21</v>
      </c>
      <c r="G172" s="39">
        <f>all!G604</f>
        <v>0.11797752808988764</v>
      </c>
      <c r="H172" s="38">
        <f>all!H604</f>
        <v>75</v>
      </c>
      <c r="I172" s="39">
        <f>all!I604</f>
        <v>9.3167701863354033E-2</v>
      </c>
      <c r="J172" s="38">
        <f>all!J604</f>
        <v>39</v>
      </c>
      <c r="K172" s="39">
        <f>all!K604</f>
        <v>9.9744245524296671E-2</v>
      </c>
      <c r="L172" s="38">
        <f>all!L604</f>
        <v>85</v>
      </c>
      <c r="M172" s="39">
        <f>all!M604</f>
        <v>9.7477064220183485E-2</v>
      </c>
      <c r="N172" s="29">
        <f>all!N604</f>
        <v>260</v>
      </c>
      <c r="O172" s="39">
        <f>all!O604</f>
        <v>0.11012282930961458</v>
      </c>
    </row>
    <row r="173" spans="1:15" x14ac:dyDescent="0.2">
      <c r="A173" s="26" t="str">
        <f>all!A605</f>
        <v>Once a week</v>
      </c>
      <c r="B173" s="38">
        <f>all!B605</f>
        <v>23</v>
      </c>
      <c r="C173" s="39">
        <f>all!C605</f>
        <v>5.2511415525114152E-2</v>
      </c>
      <c r="D173" s="38">
        <f>all!D605</f>
        <v>6</v>
      </c>
      <c r="E173" s="39">
        <f>all!E605</f>
        <v>0.17647058823529413</v>
      </c>
      <c r="F173" s="38">
        <f>all!F605</f>
        <v>20</v>
      </c>
      <c r="G173" s="39">
        <f>all!G605</f>
        <v>0.11235955056179775</v>
      </c>
      <c r="H173" s="38">
        <f>all!H605</f>
        <v>63</v>
      </c>
      <c r="I173" s="39">
        <f>all!I605</f>
        <v>7.8260869565217397E-2</v>
      </c>
      <c r="J173" s="38">
        <f>all!J605</f>
        <v>31</v>
      </c>
      <c r="K173" s="39">
        <f>all!K605</f>
        <v>7.9283887468030695E-2</v>
      </c>
      <c r="L173" s="38">
        <f>all!L605</f>
        <v>70</v>
      </c>
      <c r="M173" s="39">
        <f>all!M605</f>
        <v>8.027522935779817E-2</v>
      </c>
      <c r="N173" s="29">
        <f>all!N605</f>
        <v>213</v>
      </c>
      <c r="O173" s="39">
        <f>all!O605</f>
        <v>9.0216010165184241E-2</v>
      </c>
    </row>
    <row r="174" spans="1:15" x14ac:dyDescent="0.2">
      <c r="A174" s="26" t="str">
        <f>all!A606</f>
        <v>Monthly</v>
      </c>
      <c r="B174" s="38">
        <f>all!B606</f>
        <v>60</v>
      </c>
      <c r="C174" s="39">
        <f>all!C606</f>
        <v>0.13698630136986301</v>
      </c>
      <c r="D174" s="38">
        <f>all!D606</f>
        <v>3</v>
      </c>
      <c r="E174" s="39">
        <f>all!E606</f>
        <v>8.8235294117647065E-2</v>
      </c>
      <c r="F174" s="38">
        <f>all!F606</f>
        <v>21</v>
      </c>
      <c r="G174" s="39">
        <f>all!G606</f>
        <v>0.11797752808988764</v>
      </c>
      <c r="H174" s="38">
        <f>all!H606</f>
        <v>107</v>
      </c>
      <c r="I174" s="39">
        <f>all!I606</f>
        <v>0.13291925465838508</v>
      </c>
      <c r="J174" s="38">
        <f>all!J606</f>
        <v>53</v>
      </c>
      <c r="K174" s="39">
        <f>all!K606</f>
        <v>0.13554987212276215</v>
      </c>
      <c r="L174" s="38">
        <f>all!L606</f>
        <v>113</v>
      </c>
      <c r="M174" s="39">
        <f>all!M606</f>
        <v>0.12958715596330275</v>
      </c>
      <c r="N174" s="29">
        <f>all!N606</f>
        <v>0</v>
      </c>
      <c r="O174" s="39">
        <f>all!O606</f>
        <v>0</v>
      </c>
    </row>
    <row r="175" spans="1:15" x14ac:dyDescent="0.2">
      <c r="A175" s="26" t="str">
        <f>all!A607</f>
        <v>Never</v>
      </c>
      <c r="B175" s="38">
        <f>all!B607</f>
        <v>239</v>
      </c>
      <c r="C175" s="39">
        <f>all!C607</f>
        <v>0.545662100456621</v>
      </c>
      <c r="D175" s="38">
        <f>all!D607</f>
        <v>14</v>
      </c>
      <c r="E175" s="39">
        <f>all!E607</f>
        <v>0.41176470588235292</v>
      </c>
      <c r="F175" s="38">
        <f>all!F607</f>
        <v>77</v>
      </c>
      <c r="G175" s="39">
        <f>all!G607</f>
        <v>0.43258426966292135</v>
      </c>
      <c r="H175" s="38">
        <f>all!H607</f>
        <v>419</v>
      </c>
      <c r="I175" s="39">
        <f>all!I607</f>
        <v>0.52049689440993785</v>
      </c>
      <c r="J175" s="38">
        <f>all!J607</f>
        <v>197</v>
      </c>
      <c r="K175" s="39">
        <f>all!K607</f>
        <v>0.50383631713554988</v>
      </c>
      <c r="L175" s="38">
        <f>all!L607</f>
        <v>423</v>
      </c>
      <c r="M175" s="39">
        <f>all!M607</f>
        <v>0.48509174311926606</v>
      </c>
      <c r="N175" s="29">
        <f>all!N607</f>
        <v>1369</v>
      </c>
      <c r="O175" s="39">
        <f>all!O607</f>
        <v>0.57983905124947055</v>
      </c>
    </row>
    <row r="176" spans="1:15" x14ac:dyDescent="0.2">
      <c r="A176" s="108" t="str">
        <f>all!A608</f>
        <v>Total</v>
      </c>
      <c r="B176" s="38">
        <f>all!B608</f>
        <v>438</v>
      </c>
      <c r="C176" s="39">
        <f>all!C608</f>
        <v>1</v>
      </c>
      <c r="D176" s="38">
        <f>all!D608</f>
        <v>34</v>
      </c>
      <c r="E176" s="39">
        <f>all!E608</f>
        <v>1</v>
      </c>
      <c r="F176" s="38">
        <f>all!F608</f>
        <v>178</v>
      </c>
      <c r="G176" s="39">
        <f>all!G608</f>
        <v>1</v>
      </c>
      <c r="H176" s="38">
        <f>all!H608</f>
        <v>805</v>
      </c>
      <c r="I176" s="39">
        <f>all!I608</f>
        <v>0.99999999999999989</v>
      </c>
      <c r="J176" s="38">
        <f>all!J608</f>
        <v>391</v>
      </c>
      <c r="K176" s="39">
        <f>all!K608</f>
        <v>1</v>
      </c>
      <c r="L176" s="38">
        <f>all!L608</f>
        <v>872</v>
      </c>
      <c r="M176" s="39">
        <f>all!M608</f>
        <v>1</v>
      </c>
      <c r="N176" s="30">
        <f>all!N608</f>
        <v>2361</v>
      </c>
      <c r="O176" s="41">
        <f>all!O608</f>
        <v>1</v>
      </c>
    </row>
    <row r="177" spans="1:15" x14ac:dyDescent="0.2">
      <c r="A177" s="108" t="str">
        <f>all!A609</f>
        <v>Once a week or more</v>
      </c>
      <c r="B177" s="38"/>
      <c r="C177" s="65">
        <f>all!C609</f>
        <v>0.31735159817351599</v>
      </c>
      <c r="D177" s="38"/>
      <c r="E177" s="65">
        <f>all!E609</f>
        <v>0.5</v>
      </c>
      <c r="F177" s="38"/>
      <c r="G177" s="65">
        <f>all!G609</f>
        <v>0.449438202247191</v>
      </c>
      <c r="H177" s="38"/>
      <c r="I177" s="65">
        <f>all!I609</f>
        <v>0.34658385093167698</v>
      </c>
      <c r="J177" s="38"/>
      <c r="K177" s="65">
        <f>all!K609</f>
        <v>0.36061381074168797</v>
      </c>
      <c r="L177" s="38"/>
      <c r="M177" s="65">
        <f>all!M609</f>
        <v>0.38532110091743121</v>
      </c>
      <c r="N177" s="30"/>
      <c r="O177" s="65">
        <f>all!O609</f>
        <v>0.42016094875052945</v>
      </c>
    </row>
    <row r="178" spans="1:15" x14ac:dyDescent="0.2">
      <c r="A178" s="12"/>
    </row>
    <row r="179" spans="1:15" x14ac:dyDescent="0.2">
      <c r="A179" s="108" t="str">
        <f>all!A611</f>
        <v>YouTube</v>
      </c>
      <c r="B179" s="151" t="s">
        <v>128</v>
      </c>
      <c r="C179" s="151"/>
      <c r="D179" s="151" t="s">
        <v>99</v>
      </c>
      <c r="E179" s="151"/>
      <c r="F179" s="150" t="s">
        <v>176</v>
      </c>
      <c r="G179" s="150"/>
      <c r="H179" s="151" t="s">
        <v>101</v>
      </c>
      <c r="I179" s="151"/>
      <c r="J179" s="151" t="s">
        <v>100</v>
      </c>
      <c r="K179" s="151"/>
      <c r="L179" s="151" t="s">
        <v>126</v>
      </c>
      <c r="M179" s="151"/>
      <c r="N179" s="148" t="s">
        <v>1</v>
      </c>
      <c r="O179" s="148"/>
    </row>
    <row r="180" spans="1:15" x14ac:dyDescent="0.2">
      <c r="A180" s="26" t="str">
        <f>all!A612</f>
        <v>Daily</v>
      </c>
      <c r="B180" s="38">
        <f>all!B612</f>
        <v>73</v>
      </c>
      <c r="C180" s="39">
        <f>all!C612</f>
        <v>0.16743119266055045</v>
      </c>
      <c r="D180" s="38">
        <f>all!D612</f>
        <v>9</v>
      </c>
      <c r="E180" s="39">
        <f>all!E612</f>
        <v>0.26470588235294118</v>
      </c>
      <c r="F180" s="38">
        <f>all!F612</f>
        <v>28</v>
      </c>
      <c r="G180" s="39">
        <f>all!G612</f>
        <v>0.16</v>
      </c>
      <c r="H180" s="38">
        <f>all!H612</f>
        <v>158</v>
      </c>
      <c r="I180" s="39">
        <f>all!I612</f>
        <v>0.19578686493184635</v>
      </c>
      <c r="J180" s="38">
        <f>all!J612</f>
        <v>53</v>
      </c>
      <c r="K180" s="39">
        <f>all!K612</f>
        <v>0.13624678663239073</v>
      </c>
      <c r="L180" s="38">
        <f>all!L612</f>
        <v>151</v>
      </c>
      <c r="M180" s="39">
        <f>all!M612</f>
        <v>0.17416378316032297</v>
      </c>
      <c r="N180" s="29">
        <f>all!N612</f>
        <v>472</v>
      </c>
      <c r="O180" s="39">
        <f>all!O612</f>
        <v>0.23412698412698413</v>
      </c>
    </row>
    <row r="181" spans="1:15" x14ac:dyDescent="0.2">
      <c r="A181" s="26" t="str">
        <f>all!A613</f>
        <v>2+ days a week</v>
      </c>
      <c r="B181" s="38">
        <f>all!B613</f>
        <v>90</v>
      </c>
      <c r="C181" s="39">
        <f>all!C613</f>
        <v>0.20642201834862386</v>
      </c>
      <c r="D181" s="38">
        <f>all!D613</f>
        <v>3</v>
      </c>
      <c r="E181" s="39">
        <f>all!E613</f>
        <v>8.8235294117647065E-2</v>
      </c>
      <c r="F181" s="38">
        <f>all!F613</f>
        <v>26</v>
      </c>
      <c r="G181" s="39">
        <f>all!G613</f>
        <v>0.14857142857142858</v>
      </c>
      <c r="H181" s="38">
        <f>all!H613</f>
        <v>196</v>
      </c>
      <c r="I181" s="39">
        <f>all!I613</f>
        <v>0.24287484510532836</v>
      </c>
      <c r="J181" s="38">
        <f>all!J613</f>
        <v>65</v>
      </c>
      <c r="K181" s="39">
        <f>all!K613</f>
        <v>0.16709511568123395</v>
      </c>
      <c r="L181" s="38">
        <f>all!L613</f>
        <v>181</v>
      </c>
      <c r="M181" s="39">
        <f>all!M613</f>
        <v>0.20876585928489041</v>
      </c>
      <c r="N181" s="29">
        <f>all!N613</f>
        <v>561</v>
      </c>
      <c r="O181" s="39">
        <f>all!O613</f>
        <v>0.27827380952380953</v>
      </c>
    </row>
    <row r="182" spans="1:15" x14ac:dyDescent="0.2">
      <c r="A182" s="26" t="str">
        <f>all!A614</f>
        <v>Once a week</v>
      </c>
      <c r="B182" s="38">
        <f>all!B614</f>
        <v>95</v>
      </c>
      <c r="C182" s="39">
        <f>all!C614</f>
        <v>0.21788990825688073</v>
      </c>
      <c r="D182" s="38">
        <f>all!D614</f>
        <v>5</v>
      </c>
      <c r="E182" s="39">
        <f>all!E614</f>
        <v>0.14705882352941177</v>
      </c>
      <c r="F182" s="38">
        <f>all!F614</f>
        <v>47</v>
      </c>
      <c r="G182" s="39">
        <f>all!G614</f>
        <v>0.26857142857142857</v>
      </c>
      <c r="H182" s="38">
        <f>all!H614</f>
        <v>184</v>
      </c>
      <c r="I182" s="39">
        <f>all!I614</f>
        <v>0.22800495662949194</v>
      </c>
      <c r="J182" s="38">
        <f>all!J614</f>
        <v>97</v>
      </c>
      <c r="K182" s="39">
        <f>all!K614</f>
        <v>0.24935732647814909</v>
      </c>
      <c r="L182" s="38">
        <f>all!L614</f>
        <v>199</v>
      </c>
      <c r="M182" s="39">
        <f>all!M614</f>
        <v>0.22952710495963091</v>
      </c>
      <c r="N182" s="29">
        <f>all!N614</f>
        <v>627</v>
      </c>
      <c r="O182" s="39">
        <f>all!O614</f>
        <v>0.31101190476190477</v>
      </c>
    </row>
    <row r="183" spans="1:15" x14ac:dyDescent="0.2">
      <c r="A183" s="26" t="str">
        <f>all!A615</f>
        <v>Monthly</v>
      </c>
      <c r="B183" s="38">
        <f>all!B615</f>
        <v>123</v>
      </c>
      <c r="C183" s="39">
        <f>all!C615</f>
        <v>0.28211009174311924</v>
      </c>
      <c r="D183" s="38">
        <f>all!D615</f>
        <v>9</v>
      </c>
      <c r="E183" s="39">
        <f>all!E615</f>
        <v>0.26470588235294118</v>
      </c>
      <c r="F183" s="38">
        <f>all!F615</f>
        <v>46</v>
      </c>
      <c r="G183" s="39">
        <f>all!G615</f>
        <v>0.26285714285714284</v>
      </c>
      <c r="H183" s="38">
        <f>all!H615</f>
        <v>184</v>
      </c>
      <c r="I183" s="39">
        <f>all!I615</f>
        <v>0.22800495662949194</v>
      </c>
      <c r="J183" s="38">
        <f>all!J615</f>
        <v>110</v>
      </c>
      <c r="K183" s="39">
        <f>all!K615</f>
        <v>0.28277634961439591</v>
      </c>
      <c r="L183" s="38">
        <f>all!L615</f>
        <v>220</v>
      </c>
      <c r="M183" s="39">
        <f>all!M615</f>
        <v>0.25374855824682813</v>
      </c>
      <c r="N183" s="29">
        <f>all!N615</f>
        <v>0</v>
      </c>
      <c r="O183" s="39">
        <f>all!O615</f>
        <v>0</v>
      </c>
    </row>
    <row r="184" spans="1:15" x14ac:dyDescent="0.2">
      <c r="A184" s="26" t="str">
        <f>all!A616</f>
        <v>Never</v>
      </c>
      <c r="B184" s="38">
        <f>all!B616</f>
        <v>55</v>
      </c>
      <c r="C184" s="39">
        <f>all!C616</f>
        <v>0.12614678899082568</v>
      </c>
      <c r="D184" s="38">
        <f>all!D616</f>
        <v>8</v>
      </c>
      <c r="E184" s="39">
        <f>all!E616</f>
        <v>0.23529411764705882</v>
      </c>
      <c r="F184" s="38">
        <f>all!F616</f>
        <v>28</v>
      </c>
      <c r="G184" s="39">
        <f>all!G616</f>
        <v>0.16</v>
      </c>
      <c r="H184" s="38">
        <f>all!H616</f>
        <v>85</v>
      </c>
      <c r="I184" s="39">
        <f>all!I616</f>
        <v>0.10532837670384139</v>
      </c>
      <c r="J184" s="38">
        <f>all!J616</f>
        <v>64</v>
      </c>
      <c r="K184" s="39">
        <f>all!K616</f>
        <v>0.16452442159383032</v>
      </c>
      <c r="L184" s="38">
        <f>all!L616</f>
        <v>116</v>
      </c>
      <c r="M184" s="39">
        <f>all!M616</f>
        <v>0.13379469434832755</v>
      </c>
      <c r="N184" s="29">
        <f>all!N616</f>
        <v>356</v>
      </c>
      <c r="O184" s="39">
        <f>all!O616</f>
        <v>0.1765873015873016</v>
      </c>
    </row>
    <row r="185" spans="1:15" x14ac:dyDescent="0.2">
      <c r="A185" s="108" t="str">
        <f>all!A617</f>
        <v>Total</v>
      </c>
      <c r="B185" s="38">
        <f>all!B617</f>
        <v>436</v>
      </c>
      <c r="C185" s="39">
        <f>all!C617</f>
        <v>1</v>
      </c>
      <c r="D185" s="38">
        <f>all!D617</f>
        <v>34</v>
      </c>
      <c r="E185" s="39">
        <f>all!E617</f>
        <v>1</v>
      </c>
      <c r="F185" s="38">
        <f>all!F617</f>
        <v>175</v>
      </c>
      <c r="G185" s="39">
        <f>all!G617</f>
        <v>1</v>
      </c>
      <c r="H185" s="38">
        <f>all!H617</f>
        <v>807</v>
      </c>
      <c r="I185" s="39">
        <f>all!I617</f>
        <v>1</v>
      </c>
      <c r="J185" s="38">
        <f>all!J617</f>
        <v>389</v>
      </c>
      <c r="K185" s="39">
        <f>all!K617</f>
        <v>1</v>
      </c>
      <c r="L185" s="38">
        <f>all!L617</f>
        <v>867</v>
      </c>
      <c r="M185" s="39">
        <f>all!M617</f>
        <v>1</v>
      </c>
      <c r="N185" s="30">
        <f>all!N617</f>
        <v>2016</v>
      </c>
      <c r="O185" s="41">
        <f>all!O617</f>
        <v>1</v>
      </c>
    </row>
    <row r="186" spans="1:15" x14ac:dyDescent="0.2">
      <c r="A186" s="108" t="str">
        <f>all!A618</f>
        <v>Once a week or more</v>
      </c>
      <c r="B186" s="38"/>
      <c r="C186" s="65">
        <f>all!C618</f>
        <v>0.59174311926605505</v>
      </c>
      <c r="D186" s="38"/>
      <c r="E186" s="65">
        <f>all!E618</f>
        <v>0.5</v>
      </c>
      <c r="F186" s="38"/>
      <c r="G186" s="65">
        <f>all!G618</f>
        <v>0.57714285714285718</v>
      </c>
      <c r="H186" s="38"/>
      <c r="I186" s="65">
        <f>all!I618</f>
        <v>0.66666666666666663</v>
      </c>
      <c r="J186" s="38"/>
      <c r="K186" s="65">
        <f>all!K618</f>
        <v>0.5526992287917738</v>
      </c>
      <c r="L186" s="38"/>
      <c r="M186" s="65">
        <f>all!M618</f>
        <v>0.61245674740484435</v>
      </c>
      <c r="N186" s="30"/>
      <c r="O186" s="65">
        <f>all!O618</f>
        <v>0.82341269841269848</v>
      </c>
    </row>
    <row r="187" spans="1:15" x14ac:dyDescent="0.2">
      <c r="A187" s="12"/>
    </row>
    <row r="188" spans="1:15" x14ac:dyDescent="0.2">
      <c r="A188" s="108" t="str">
        <f>all!A620</f>
        <v>Other digital content creation/sharing tools</v>
      </c>
      <c r="B188" s="151" t="s">
        <v>128</v>
      </c>
      <c r="C188" s="151"/>
      <c r="D188" s="151" t="s">
        <v>99</v>
      </c>
      <c r="E188" s="151"/>
      <c r="F188" s="150" t="s">
        <v>176</v>
      </c>
      <c r="G188" s="150"/>
      <c r="H188" s="151" t="s">
        <v>101</v>
      </c>
      <c r="I188" s="151"/>
      <c r="J188" s="151" t="s">
        <v>100</v>
      </c>
      <c r="K188" s="151"/>
      <c r="L188" s="151" t="s">
        <v>126</v>
      </c>
      <c r="M188" s="151"/>
      <c r="N188" s="148" t="s">
        <v>1</v>
      </c>
      <c r="O188" s="148"/>
    </row>
    <row r="189" spans="1:15" x14ac:dyDescent="0.2">
      <c r="A189" s="26" t="str">
        <f>all!A621</f>
        <v>Daily</v>
      </c>
      <c r="B189" s="38">
        <f>all!B621</f>
        <v>48</v>
      </c>
      <c r="C189" s="39">
        <f>all!C621</f>
        <v>0.11594202898550725</v>
      </c>
      <c r="D189" s="38">
        <f>all!D621</f>
        <v>4</v>
      </c>
      <c r="E189" s="39">
        <f>all!E621</f>
        <v>0.12121212121212122</v>
      </c>
      <c r="F189" s="38">
        <f>all!F621</f>
        <v>20</v>
      </c>
      <c r="G189" s="39">
        <f>all!G621</f>
        <v>0.11560693641618497</v>
      </c>
      <c r="H189" s="38">
        <f>all!H621</f>
        <v>79</v>
      </c>
      <c r="I189" s="39">
        <f>all!I621</f>
        <v>9.9121706398996243E-2</v>
      </c>
      <c r="J189" s="38">
        <f>all!J621</f>
        <v>37</v>
      </c>
      <c r="K189" s="39">
        <f>all!K621</f>
        <v>9.585492227979274E-2</v>
      </c>
      <c r="L189" s="38">
        <f>all!L621</f>
        <v>101</v>
      </c>
      <c r="M189" s="39">
        <f>all!M621</f>
        <v>0.11785297549591599</v>
      </c>
      <c r="N189" s="29">
        <f>all!N621</f>
        <v>289</v>
      </c>
      <c r="O189" s="39">
        <f>all!O621</f>
        <v>0.12959641255605381</v>
      </c>
    </row>
    <row r="190" spans="1:15" x14ac:dyDescent="0.2">
      <c r="A190" s="26" t="str">
        <f>all!A622</f>
        <v>2+ days a week</v>
      </c>
      <c r="B190" s="38">
        <f>all!B622</f>
        <v>27</v>
      </c>
      <c r="C190" s="39">
        <f>all!C622</f>
        <v>6.5217391304347824E-2</v>
      </c>
      <c r="D190" s="38">
        <f>all!D622</f>
        <v>3</v>
      </c>
      <c r="E190" s="39">
        <f>all!E622</f>
        <v>9.0909090909090912E-2</v>
      </c>
      <c r="F190" s="38">
        <f>all!F622</f>
        <v>15</v>
      </c>
      <c r="G190" s="39">
        <f>all!G622</f>
        <v>8.6705202312138727E-2</v>
      </c>
      <c r="H190" s="38">
        <f>all!H622</f>
        <v>90</v>
      </c>
      <c r="I190" s="39">
        <f>all!I622</f>
        <v>0.11292346298619825</v>
      </c>
      <c r="J190" s="38">
        <f>all!J622</f>
        <v>25</v>
      </c>
      <c r="K190" s="39">
        <f>all!K622</f>
        <v>6.4766839378238336E-2</v>
      </c>
      <c r="L190" s="38">
        <f>all!L622</f>
        <v>62</v>
      </c>
      <c r="M190" s="39">
        <f>all!M622</f>
        <v>7.2345390898483075E-2</v>
      </c>
      <c r="N190" s="29">
        <f>all!N622</f>
        <v>222</v>
      </c>
      <c r="O190" s="39">
        <f>all!O622</f>
        <v>9.9551569506726459E-2</v>
      </c>
    </row>
    <row r="191" spans="1:15" x14ac:dyDescent="0.2">
      <c r="A191" s="26" t="str">
        <f>all!A623</f>
        <v>Once a week</v>
      </c>
      <c r="B191" s="38">
        <f>all!B623</f>
        <v>53</v>
      </c>
      <c r="C191" s="39">
        <f>all!C623</f>
        <v>0.1280193236714976</v>
      </c>
      <c r="D191" s="38">
        <f>all!D623</f>
        <v>3</v>
      </c>
      <c r="E191" s="39">
        <f>all!E623</f>
        <v>9.0909090909090912E-2</v>
      </c>
      <c r="F191" s="38">
        <f>all!F623</f>
        <v>24</v>
      </c>
      <c r="G191" s="39">
        <f>all!G623</f>
        <v>0.13872832369942195</v>
      </c>
      <c r="H191" s="38">
        <f>all!H623</f>
        <v>94</v>
      </c>
      <c r="I191" s="39">
        <f>all!I623</f>
        <v>0.11794228356336262</v>
      </c>
      <c r="J191" s="38">
        <f>all!J623</f>
        <v>50</v>
      </c>
      <c r="K191" s="39">
        <f>all!K623</f>
        <v>0.12953367875647667</v>
      </c>
      <c r="L191" s="38">
        <f>all!L623</f>
        <v>85</v>
      </c>
      <c r="M191" s="39">
        <f>all!M623</f>
        <v>9.9183197199533252E-2</v>
      </c>
      <c r="N191" s="29">
        <f>all!N623</f>
        <v>309</v>
      </c>
      <c r="O191" s="39">
        <f>all!O623</f>
        <v>0.13856502242152466</v>
      </c>
    </row>
    <row r="192" spans="1:15" x14ac:dyDescent="0.2">
      <c r="A192" s="26" t="str">
        <f>all!A624</f>
        <v>Monthly</v>
      </c>
      <c r="B192" s="38">
        <f>all!B624</f>
        <v>61</v>
      </c>
      <c r="C192" s="39">
        <f>all!C624</f>
        <v>0.14734299516908211</v>
      </c>
      <c r="D192" s="38">
        <f>all!D624</f>
        <v>5</v>
      </c>
      <c r="E192" s="39">
        <f>all!E624</f>
        <v>0.15151515151515152</v>
      </c>
      <c r="F192" s="38">
        <f>all!F624</f>
        <v>27</v>
      </c>
      <c r="G192" s="39">
        <f>all!G624</f>
        <v>0.15606936416184972</v>
      </c>
      <c r="H192" s="38">
        <f>all!H624</f>
        <v>124</v>
      </c>
      <c r="I192" s="39">
        <f>all!I624</f>
        <v>0.15558343789209536</v>
      </c>
      <c r="J192" s="38">
        <f>all!J624</f>
        <v>64</v>
      </c>
      <c r="K192" s="39">
        <f>all!K624</f>
        <v>0.16580310880829016</v>
      </c>
      <c r="L192" s="38">
        <f>all!L624</f>
        <v>149</v>
      </c>
      <c r="M192" s="39">
        <f>all!M624</f>
        <v>0.17386231038506417</v>
      </c>
      <c r="N192" s="29">
        <f>all!N624</f>
        <v>0</v>
      </c>
      <c r="O192" s="39">
        <f>all!O624</f>
        <v>0</v>
      </c>
    </row>
    <row r="193" spans="1:15" x14ac:dyDescent="0.2">
      <c r="A193" s="26" t="str">
        <f>all!A625</f>
        <v>Never</v>
      </c>
      <c r="B193" s="38">
        <f>all!B625</f>
        <v>225</v>
      </c>
      <c r="C193" s="39">
        <f>all!C625</f>
        <v>0.54347826086956519</v>
      </c>
      <c r="D193" s="38">
        <f>all!D625</f>
        <v>18</v>
      </c>
      <c r="E193" s="39">
        <f>all!E625</f>
        <v>0.54545454545454541</v>
      </c>
      <c r="F193" s="38">
        <f>all!F625</f>
        <v>87</v>
      </c>
      <c r="G193" s="39">
        <f>all!G625</f>
        <v>0.50289017341040465</v>
      </c>
      <c r="H193" s="38">
        <f>all!H625</f>
        <v>410</v>
      </c>
      <c r="I193" s="39">
        <f>all!I625</f>
        <v>0.51442910915934759</v>
      </c>
      <c r="J193" s="38">
        <f>all!J625</f>
        <v>210</v>
      </c>
      <c r="K193" s="39">
        <f>all!K625</f>
        <v>0.54404145077720212</v>
      </c>
      <c r="L193" s="38">
        <f>all!L625</f>
        <v>460</v>
      </c>
      <c r="M193" s="39">
        <f>all!M625</f>
        <v>0.53675612602100353</v>
      </c>
      <c r="N193" s="29">
        <f>all!N625</f>
        <v>1410</v>
      </c>
      <c r="O193" s="39">
        <f>all!O625</f>
        <v>0.63228699551569512</v>
      </c>
    </row>
    <row r="194" spans="1:15" x14ac:dyDescent="0.2">
      <c r="A194" s="108" t="str">
        <f>all!A626</f>
        <v>Total</v>
      </c>
      <c r="B194" s="38">
        <f>all!B626</f>
        <v>414</v>
      </c>
      <c r="C194" s="39">
        <f>all!C626</f>
        <v>1</v>
      </c>
      <c r="D194" s="38">
        <f>all!D626</f>
        <v>33</v>
      </c>
      <c r="E194" s="39">
        <f>all!E626</f>
        <v>1</v>
      </c>
      <c r="F194" s="38">
        <f>all!F626</f>
        <v>173</v>
      </c>
      <c r="G194" s="39">
        <f>all!G626</f>
        <v>1</v>
      </c>
      <c r="H194" s="38">
        <f>all!H626</f>
        <v>797</v>
      </c>
      <c r="I194" s="39">
        <f>all!I626</f>
        <v>1</v>
      </c>
      <c r="J194" s="38">
        <f>all!J626</f>
        <v>386</v>
      </c>
      <c r="K194" s="39">
        <f>all!K626</f>
        <v>1</v>
      </c>
      <c r="L194" s="38">
        <f>all!L626</f>
        <v>857</v>
      </c>
      <c r="M194" s="39">
        <f>all!M626</f>
        <v>1</v>
      </c>
      <c r="N194" s="30">
        <f>all!N626</f>
        <v>2230</v>
      </c>
      <c r="O194" s="41">
        <f>all!O626</f>
        <v>1</v>
      </c>
    </row>
    <row r="195" spans="1:15" x14ac:dyDescent="0.2">
      <c r="A195" s="108" t="str">
        <f>all!A627</f>
        <v>Once a week or more</v>
      </c>
      <c r="B195" s="38"/>
      <c r="C195" s="65">
        <f>all!C627</f>
        <v>0.3091787439613527</v>
      </c>
      <c r="D195" s="38"/>
      <c r="E195" s="65">
        <f>all!E627</f>
        <v>0.30303030303030304</v>
      </c>
      <c r="F195" s="38"/>
      <c r="G195" s="65">
        <f>all!G627</f>
        <v>0.34104046242774566</v>
      </c>
      <c r="H195" s="38"/>
      <c r="I195" s="65">
        <f>all!I627</f>
        <v>0.32998745294855714</v>
      </c>
      <c r="J195" s="38"/>
      <c r="K195" s="65">
        <f>all!K627</f>
        <v>0.29015544041450775</v>
      </c>
      <c r="L195" s="38"/>
      <c r="M195" s="65">
        <f>all!M627</f>
        <v>0.2893815635939323</v>
      </c>
      <c r="N195" s="30"/>
      <c r="O195" s="65">
        <f>all!O627</f>
        <v>0.36771300448430488</v>
      </c>
    </row>
    <row r="196" spans="1:15" x14ac:dyDescent="0.2">
      <c r="A196" s="12"/>
    </row>
    <row r="197" spans="1:15" x14ac:dyDescent="0.2">
      <c r="A197" s="108" t="str">
        <f>all!A629</f>
        <v>Second Life or other VirtualWorlds</v>
      </c>
      <c r="B197" s="151" t="s">
        <v>128</v>
      </c>
      <c r="C197" s="151"/>
      <c r="D197" s="151" t="s">
        <v>99</v>
      </c>
      <c r="E197" s="151"/>
      <c r="F197" s="150" t="s">
        <v>176</v>
      </c>
      <c r="G197" s="150"/>
      <c r="H197" s="151" t="s">
        <v>101</v>
      </c>
      <c r="I197" s="151"/>
      <c r="J197" s="151" t="s">
        <v>100</v>
      </c>
      <c r="K197" s="151"/>
      <c r="L197" s="151" t="s">
        <v>126</v>
      </c>
      <c r="M197" s="151"/>
      <c r="N197" s="148" t="s">
        <v>1</v>
      </c>
      <c r="O197" s="148"/>
    </row>
    <row r="198" spans="1:15" x14ac:dyDescent="0.2">
      <c r="A198" s="26" t="str">
        <f>all!A630</f>
        <v>Daily</v>
      </c>
      <c r="B198" s="38">
        <f>all!B630</f>
        <v>17</v>
      </c>
      <c r="C198" s="39">
        <f>all!C630</f>
        <v>3.9443155452436193E-2</v>
      </c>
      <c r="D198" s="38">
        <f>all!D630</f>
        <v>0</v>
      </c>
      <c r="E198" s="39">
        <f>all!E630</f>
        <v>0</v>
      </c>
      <c r="F198" s="38">
        <f>all!F630</f>
        <v>2</v>
      </c>
      <c r="G198" s="39">
        <f>all!G630</f>
        <v>1.1627906976744186E-2</v>
      </c>
      <c r="H198" s="38">
        <f>all!H630</f>
        <v>18</v>
      </c>
      <c r="I198" s="39">
        <f>all!I630</f>
        <v>2.2556390977443608E-2</v>
      </c>
      <c r="J198" s="38">
        <f>all!J630</f>
        <v>6</v>
      </c>
      <c r="K198" s="39">
        <f>all!K630</f>
        <v>1.5463917525773196E-2</v>
      </c>
      <c r="L198" s="38">
        <f>all!L630</f>
        <v>25</v>
      </c>
      <c r="M198" s="39">
        <f>all!M630</f>
        <v>2.8901734104046242E-2</v>
      </c>
      <c r="N198" s="29">
        <f>all!N630</f>
        <v>68</v>
      </c>
      <c r="O198" s="39">
        <f>all!O630</f>
        <v>2.6053639846743294E-2</v>
      </c>
    </row>
    <row r="199" spans="1:15" x14ac:dyDescent="0.2">
      <c r="A199" s="26" t="str">
        <f>all!A631</f>
        <v>2+ days a week</v>
      </c>
      <c r="B199" s="38">
        <f>all!B631</f>
        <v>3</v>
      </c>
      <c r="C199" s="39">
        <f>all!C631</f>
        <v>6.9605568445475635E-3</v>
      </c>
      <c r="D199" s="38">
        <f>all!D631</f>
        <v>0</v>
      </c>
      <c r="E199" s="39">
        <f>all!E631</f>
        <v>0</v>
      </c>
      <c r="F199" s="38">
        <f>all!F631</f>
        <v>3</v>
      </c>
      <c r="G199" s="39">
        <f>all!G631</f>
        <v>1.7441860465116279E-2</v>
      </c>
      <c r="H199" s="38">
        <f>all!H631</f>
        <v>9</v>
      </c>
      <c r="I199" s="39">
        <f>all!I631</f>
        <v>1.1278195488721804E-2</v>
      </c>
      <c r="J199" s="38">
        <f>all!J631</f>
        <v>2</v>
      </c>
      <c r="K199" s="39">
        <f>all!K631</f>
        <v>5.1546391752577319E-3</v>
      </c>
      <c r="L199" s="38">
        <f>all!L631</f>
        <v>9</v>
      </c>
      <c r="M199" s="39">
        <f>all!M631</f>
        <v>1.0404624277456647E-2</v>
      </c>
      <c r="N199" s="29">
        <f>all!N631</f>
        <v>26</v>
      </c>
      <c r="O199" s="39">
        <f>all!O631</f>
        <v>9.9616858237547897E-3</v>
      </c>
    </row>
    <row r="200" spans="1:15" x14ac:dyDescent="0.2">
      <c r="A200" s="26" t="str">
        <f>all!A632</f>
        <v>Once a week</v>
      </c>
      <c r="B200" s="38">
        <f>all!B632</f>
        <v>4</v>
      </c>
      <c r="C200" s="39">
        <f>all!C632</f>
        <v>9.2807424593967514E-3</v>
      </c>
      <c r="D200" s="38">
        <f>all!D632</f>
        <v>2</v>
      </c>
      <c r="E200" s="39">
        <f>all!E632</f>
        <v>5.8823529411764705E-2</v>
      </c>
      <c r="F200" s="38">
        <f>all!F632</f>
        <v>2</v>
      </c>
      <c r="G200" s="39">
        <f>all!G632</f>
        <v>1.1627906976744186E-2</v>
      </c>
      <c r="H200" s="38">
        <f>all!H632</f>
        <v>21</v>
      </c>
      <c r="I200" s="39">
        <f>all!I632</f>
        <v>2.6315789473684209E-2</v>
      </c>
      <c r="J200" s="38">
        <f>all!J632</f>
        <v>3</v>
      </c>
      <c r="K200" s="39">
        <f>all!K632</f>
        <v>7.7319587628865982E-3</v>
      </c>
      <c r="L200" s="38">
        <f>all!L632</f>
        <v>20</v>
      </c>
      <c r="M200" s="39">
        <f>all!M632</f>
        <v>2.3121387283236993E-2</v>
      </c>
      <c r="N200" s="29">
        <f>all!N632</f>
        <v>52</v>
      </c>
      <c r="O200" s="39">
        <f>all!O632</f>
        <v>1.9923371647509579E-2</v>
      </c>
    </row>
    <row r="201" spans="1:15" x14ac:dyDescent="0.2">
      <c r="A201" s="26" t="str">
        <f>all!A633</f>
        <v>Monthly</v>
      </c>
      <c r="B201" s="38">
        <f>all!B633</f>
        <v>13</v>
      </c>
      <c r="C201" s="39">
        <f>all!C633</f>
        <v>3.0162412993039442E-2</v>
      </c>
      <c r="D201" s="38">
        <f>all!D633</f>
        <v>0</v>
      </c>
      <c r="E201" s="39">
        <f>all!E633</f>
        <v>0</v>
      </c>
      <c r="F201" s="38">
        <f>all!F633</f>
        <v>3</v>
      </c>
      <c r="G201" s="39">
        <f>all!G633</f>
        <v>1.7441860465116279E-2</v>
      </c>
      <c r="H201" s="38">
        <f>all!H633</f>
        <v>19</v>
      </c>
      <c r="I201" s="39">
        <f>all!I633</f>
        <v>2.3809523809523808E-2</v>
      </c>
      <c r="J201" s="38">
        <f>all!J633</f>
        <v>11</v>
      </c>
      <c r="K201" s="39">
        <f>all!K633</f>
        <v>2.8350515463917526E-2</v>
      </c>
      <c r="L201" s="38">
        <f>all!L633</f>
        <v>32</v>
      </c>
      <c r="M201" s="39">
        <f>all!M633</f>
        <v>3.6994219653179193E-2</v>
      </c>
      <c r="N201" s="29">
        <f>all!N633</f>
        <v>0</v>
      </c>
      <c r="O201" s="39">
        <f>all!O633</f>
        <v>0</v>
      </c>
    </row>
    <row r="202" spans="1:15" x14ac:dyDescent="0.2">
      <c r="A202" s="26" t="str">
        <f>all!A634</f>
        <v>Never</v>
      </c>
      <c r="B202" s="38">
        <f>all!B634</f>
        <v>394</v>
      </c>
      <c r="C202" s="39">
        <f>all!C634</f>
        <v>0.91415313225058004</v>
      </c>
      <c r="D202" s="38">
        <f>all!D634</f>
        <v>32</v>
      </c>
      <c r="E202" s="39">
        <f>all!E634</f>
        <v>0.94117647058823528</v>
      </c>
      <c r="F202" s="38">
        <f>all!F634</f>
        <v>162</v>
      </c>
      <c r="G202" s="39">
        <f>all!G634</f>
        <v>0.94186046511627908</v>
      </c>
      <c r="H202" s="38">
        <f>all!H634</f>
        <v>731</v>
      </c>
      <c r="I202" s="39">
        <f>all!I634</f>
        <v>0.91604010025062654</v>
      </c>
      <c r="J202" s="38">
        <f>all!J634</f>
        <v>366</v>
      </c>
      <c r="K202" s="39">
        <f>all!K634</f>
        <v>0.94329896907216493</v>
      </c>
      <c r="L202" s="38">
        <f>all!L634</f>
        <v>779</v>
      </c>
      <c r="M202" s="39">
        <f>all!M634</f>
        <v>0.90057803468208097</v>
      </c>
      <c r="N202" s="29">
        <f>all!N634</f>
        <v>2464</v>
      </c>
      <c r="O202" s="39">
        <f>all!O634</f>
        <v>0.94406130268199229</v>
      </c>
    </row>
    <row r="203" spans="1:15" x14ac:dyDescent="0.2">
      <c r="A203" s="108" t="str">
        <f>all!A635</f>
        <v>Total</v>
      </c>
      <c r="B203" s="38">
        <f>all!B635</f>
        <v>431</v>
      </c>
      <c r="C203" s="39">
        <f>all!C635</f>
        <v>1</v>
      </c>
      <c r="D203" s="38">
        <f>all!D635</f>
        <v>34</v>
      </c>
      <c r="E203" s="39">
        <f>all!E635</f>
        <v>1</v>
      </c>
      <c r="F203" s="38">
        <f>all!F635</f>
        <v>172</v>
      </c>
      <c r="G203" s="39">
        <f>all!G635</f>
        <v>1</v>
      </c>
      <c r="H203" s="38">
        <f>all!H635</f>
        <v>798</v>
      </c>
      <c r="I203" s="39">
        <f>all!I635</f>
        <v>1</v>
      </c>
      <c r="J203" s="38">
        <f>all!J635</f>
        <v>388</v>
      </c>
      <c r="K203" s="39">
        <f>all!K635</f>
        <v>1</v>
      </c>
      <c r="L203" s="38">
        <f>all!L635</f>
        <v>865</v>
      </c>
      <c r="M203" s="39">
        <f>all!M635</f>
        <v>1</v>
      </c>
      <c r="N203" s="30">
        <f>all!N635</f>
        <v>2610</v>
      </c>
      <c r="O203" s="41">
        <f>all!O635</f>
        <v>1</v>
      </c>
    </row>
    <row r="204" spans="1:15" x14ac:dyDescent="0.2">
      <c r="A204" s="108" t="str">
        <f>all!A636</f>
        <v>Once a week or more</v>
      </c>
      <c r="B204" s="38"/>
      <c r="C204" s="65">
        <f>all!C636</f>
        <v>5.5684454756380508E-2</v>
      </c>
      <c r="D204" s="38"/>
      <c r="E204" s="65">
        <f>all!E636</f>
        <v>5.8823529411764705E-2</v>
      </c>
      <c r="F204" s="38"/>
      <c r="G204" s="65">
        <f>all!G636</f>
        <v>4.0697674418604654E-2</v>
      </c>
      <c r="H204" s="38"/>
      <c r="I204" s="65">
        <f>all!I636</f>
        <v>6.0150375939849621E-2</v>
      </c>
      <c r="J204" s="38"/>
      <c r="K204" s="65">
        <f>all!K636</f>
        <v>2.8350515463917526E-2</v>
      </c>
      <c r="L204" s="38"/>
      <c r="M204" s="65">
        <f>all!M636</f>
        <v>6.2427745664739881E-2</v>
      </c>
      <c r="N204" s="30"/>
      <c r="O204" s="65">
        <f>all!O636</f>
        <v>5.5938697318007657E-2</v>
      </c>
    </row>
    <row r="205" spans="1:15" x14ac:dyDescent="0.2">
      <c r="A205" s="12"/>
    </row>
    <row r="206" spans="1:15" ht="24" x14ac:dyDescent="0.2">
      <c r="A206" s="108" t="str">
        <f>all!A638</f>
        <v>Massive multi-player online games (World of Warcraft)</v>
      </c>
      <c r="B206" s="151" t="s">
        <v>128</v>
      </c>
      <c r="C206" s="151"/>
      <c r="D206" s="151" t="s">
        <v>99</v>
      </c>
      <c r="E206" s="151"/>
      <c r="F206" s="150" t="s">
        <v>176</v>
      </c>
      <c r="G206" s="150"/>
      <c r="H206" s="151" t="s">
        <v>101</v>
      </c>
      <c r="I206" s="151"/>
      <c r="J206" s="151" t="s">
        <v>100</v>
      </c>
      <c r="K206" s="151"/>
      <c r="L206" s="151" t="s">
        <v>126</v>
      </c>
      <c r="M206" s="151"/>
      <c r="N206" s="148" t="s">
        <v>1</v>
      </c>
      <c r="O206" s="148"/>
    </row>
    <row r="207" spans="1:15" x14ac:dyDescent="0.2">
      <c r="A207" s="26" t="str">
        <f>all!A639</f>
        <v>Daily</v>
      </c>
      <c r="B207" s="38">
        <f>all!B639</f>
        <v>29</v>
      </c>
      <c r="C207" s="39">
        <f>all!C639</f>
        <v>6.6666666666666666E-2</v>
      </c>
      <c r="D207" s="38">
        <f>all!D639</f>
        <v>1</v>
      </c>
      <c r="E207" s="39">
        <f>all!E639</f>
        <v>2.9411764705882353E-2</v>
      </c>
      <c r="F207" s="38">
        <f>all!F639</f>
        <v>4</v>
      </c>
      <c r="G207" s="39">
        <f>all!G639</f>
        <v>2.2988505747126436E-2</v>
      </c>
      <c r="H207" s="38">
        <f>all!H639</f>
        <v>35</v>
      </c>
      <c r="I207" s="39">
        <f>all!I639</f>
        <v>4.3586550435865505E-2</v>
      </c>
      <c r="J207" s="38">
        <f>all!J639</f>
        <v>15</v>
      </c>
      <c r="K207" s="39">
        <f>all!K639</f>
        <v>3.8659793814432991E-2</v>
      </c>
      <c r="L207" s="38">
        <f>all!L639</f>
        <v>44</v>
      </c>
      <c r="M207" s="39">
        <f>all!M639</f>
        <v>5.0400916380297825E-2</v>
      </c>
      <c r="N207" s="29">
        <f>all!N639</f>
        <v>128</v>
      </c>
      <c r="O207" s="39">
        <f>all!O639</f>
        <v>4.936367142306209E-2</v>
      </c>
    </row>
    <row r="208" spans="1:15" x14ac:dyDescent="0.2">
      <c r="A208" s="26" t="str">
        <f>all!A640</f>
        <v>2+ days a week</v>
      </c>
      <c r="B208" s="38">
        <f>all!B640</f>
        <v>14</v>
      </c>
      <c r="C208" s="39">
        <f>all!C640</f>
        <v>3.2183908045977011E-2</v>
      </c>
      <c r="D208" s="38">
        <f>all!D640</f>
        <v>0</v>
      </c>
      <c r="E208" s="39">
        <f>all!E640</f>
        <v>0</v>
      </c>
      <c r="F208" s="38">
        <f>all!F640</f>
        <v>5</v>
      </c>
      <c r="G208" s="39">
        <f>all!G640</f>
        <v>2.8735632183908046E-2</v>
      </c>
      <c r="H208" s="38">
        <f>all!H640</f>
        <v>23</v>
      </c>
      <c r="I208" s="39">
        <f>all!I640</f>
        <v>2.8642590286425903E-2</v>
      </c>
      <c r="J208" s="38">
        <f>all!J640</f>
        <v>6</v>
      </c>
      <c r="K208" s="39">
        <f>all!K640</f>
        <v>1.5463917525773196E-2</v>
      </c>
      <c r="L208" s="38">
        <f>all!L640</f>
        <v>25</v>
      </c>
      <c r="M208" s="39">
        <f>all!M640</f>
        <v>2.8636884306987399E-2</v>
      </c>
      <c r="N208" s="29">
        <f>all!N640</f>
        <v>73</v>
      </c>
      <c r="O208" s="39">
        <f>all!O640</f>
        <v>2.8152718858465098E-2</v>
      </c>
    </row>
    <row r="209" spans="1:15" x14ac:dyDescent="0.2">
      <c r="A209" s="26" t="str">
        <f>all!A641</f>
        <v>Once a week</v>
      </c>
      <c r="B209" s="38">
        <f>all!B641</f>
        <v>3</v>
      </c>
      <c r="C209" s="39">
        <f>all!C641</f>
        <v>6.8965517241379309E-3</v>
      </c>
      <c r="D209" s="38">
        <f>all!D641</f>
        <v>0</v>
      </c>
      <c r="E209" s="39">
        <f>all!E641</f>
        <v>0</v>
      </c>
      <c r="F209" s="38">
        <f>all!F641</f>
        <v>8</v>
      </c>
      <c r="G209" s="39">
        <f>all!G641</f>
        <v>4.5977011494252873E-2</v>
      </c>
      <c r="H209" s="38">
        <f>all!H641</f>
        <v>24</v>
      </c>
      <c r="I209" s="39">
        <f>all!I641</f>
        <v>2.9887920298879204E-2</v>
      </c>
      <c r="J209" s="38">
        <f>all!J641</f>
        <v>7</v>
      </c>
      <c r="K209" s="39">
        <f>all!K641</f>
        <v>1.804123711340206E-2</v>
      </c>
      <c r="L209" s="38">
        <f>all!L641</f>
        <v>25</v>
      </c>
      <c r="M209" s="39">
        <f>all!M641</f>
        <v>2.8636884306987399E-2</v>
      </c>
      <c r="N209" s="29">
        <f>all!N641</f>
        <v>67</v>
      </c>
      <c r="O209" s="39">
        <f>all!O641</f>
        <v>2.5838796760509063E-2</v>
      </c>
    </row>
    <row r="210" spans="1:15" x14ac:dyDescent="0.2">
      <c r="A210" s="26" t="str">
        <f>all!A642</f>
        <v>Monthly</v>
      </c>
      <c r="B210" s="38">
        <f>all!B642</f>
        <v>18</v>
      </c>
      <c r="C210" s="39">
        <f>all!C642</f>
        <v>4.1379310344827586E-2</v>
      </c>
      <c r="D210" s="38">
        <f>all!D642</f>
        <v>0</v>
      </c>
      <c r="E210" s="39">
        <f>all!E642</f>
        <v>0</v>
      </c>
      <c r="F210" s="38">
        <f>all!F642</f>
        <v>5</v>
      </c>
      <c r="G210" s="39">
        <f>all!G642</f>
        <v>2.8735632183908046E-2</v>
      </c>
      <c r="H210" s="38">
        <f>all!H642</f>
        <v>31</v>
      </c>
      <c r="I210" s="39">
        <f>all!I642</f>
        <v>3.8605230386052306E-2</v>
      </c>
      <c r="J210" s="38">
        <f>all!J642</f>
        <v>13</v>
      </c>
      <c r="K210" s="39">
        <f>all!K642</f>
        <v>3.3505154639175257E-2</v>
      </c>
      <c r="L210" s="38">
        <f>all!L642</f>
        <v>47</v>
      </c>
      <c r="M210" s="39">
        <f>all!M642</f>
        <v>5.3837342497136315E-2</v>
      </c>
      <c r="N210" s="29">
        <f>all!N642</f>
        <v>0</v>
      </c>
      <c r="O210" s="39">
        <f>all!O642</f>
        <v>0</v>
      </c>
    </row>
    <row r="211" spans="1:15" x14ac:dyDescent="0.2">
      <c r="A211" s="26" t="str">
        <f>all!A643</f>
        <v>Never</v>
      </c>
      <c r="B211" s="38">
        <f>all!B643</f>
        <v>371</v>
      </c>
      <c r="C211" s="39">
        <f>all!C643</f>
        <v>0.85287356321839081</v>
      </c>
      <c r="D211" s="38">
        <f>all!D643</f>
        <v>33</v>
      </c>
      <c r="E211" s="39">
        <f>all!E643</f>
        <v>0.97058823529411764</v>
      </c>
      <c r="F211" s="38">
        <f>all!F643</f>
        <v>152</v>
      </c>
      <c r="G211" s="39">
        <f>all!G643</f>
        <v>0.87356321839080464</v>
      </c>
      <c r="H211" s="38">
        <f>all!H643</f>
        <v>690</v>
      </c>
      <c r="I211" s="39">
        <f>all!I643</f>
        <v>0.85927770859277708</v>
      </c>
      <c r="J211" s="38">
        <f>all!J643</f>
        <v>347</v>
      </c>
      <c r="K211" s="39">
        <f>all!K643</f>
        <v>0.89432989690721654</v>
      </c>
      <c r="L211" s="38">
        <f>all!L643</f>
        <v>732</v>
      </c>
      <c r="M211" s="39">
        <f>all!M643</f>
        <v>0.83848797250859108</v>
      </c>
      <c r="N211" s="29">
        <f>all!N643</f>
        <v>2325</v>
      </c>
      <c r="O211" s="39">
        <f>all!O643</f>
        <v>0.89664481295796372</v>
      </c>
    </row>
    <row r="212" spans="1:15" x14ac:dyDescent="0.2">
      <c r="A212" s="108" t="str">
        <f>all!A644</f>
        <v>Total</v>
      </c>
      <c r="B212" s="38">
        <f>all!B644</f>
        <v>435</v>
      </c>
      <c r="C212" s="39">
        <f>all!C644</f>
        <v>1</v>
      </c>
      <c r="D212" s="38">
        <f>all!D644</f>
        <v>34</v>
      </c>
      <c r="E212" s="39">
        <f>all!E644</f>
        <v>1</v>
      </c>
      <c r="F212" s="38">
        <f>all!F644</f>
        <v>174</v>
      </c>
      <c r="G212" s="39">
        <f>all!G644</f>
        <v>1</v>
      </c>
      <c r="H212" s="38">
        <f>all!H644</f>
        <v>803</v>
      </c>
      <c r="I212" s="39">
        <f>all!I644</f>
        <v>1</v>
      </c>
      <c r="J212" s="38">
        <f>all!J644</f>
        <v>388</v>
      </c>
      <c r="K212" s="39">
        <f>all!K644</f>
        <v>1</v>
      </c>
      <c r="L212" s="38">
        <f>all!L644</f>
        <v>873</v>
      </c>
      <c r="M212" s="39">
        <f>all!M644</f>
        <v>1</v>
      </c>
      <c r="N212" s="30">
        <f>all!N644</f>
        <v>2593</v>
      </c>
      <c r="O212" s="41">
        <f>all!O644</f>
        <v>1</v>
      </c>
    </row>
    <row r="213" spans="1:15" x14ac:dyDescent="0.2">
      <c r="A213" s="108" t="str">
        <f>all!A645</f>
        <v>Once a week or more</v>
      </c>
      <c r="B213" s="38"/>
      <c r="C213" s="65">
        <f>all!C645</f>
        <v>0.10574712643678161</v>
      </c>
      <c r="D213" s="38"/>
      <c r="E213" s="65">
        <f>all!E645</f>
        <v>2.9411764705882353E-2</v>
      </c>
      <c r="F213" s="38"/>
      <c r="G213" s="65">
        <f>all!G645</f>
        <v>9.7701149425287348E-2</v>
      </c>
      <c r="H213" s="38"/>
      <c r="I213" s="65">
        <f>all!I645</f>
        <v>0.1021170610211706</v>
      </c>
      <c r="J213" s="38"/>
      <c r="K213" s="65">
        <f>all!K645</f>
        <v>7.2164948453608241E-2</v>
      </c>
      <c r="L213" s="38"/>
      <c r="M213" s="65">
        <f>all!M645</f>
        <v>0.10767468499427262</v>
      </c>
      <c r="N213" s="30"/>
      <c r="O213" s="65">
        <f>all!O645</f>
        <v>0.10335518704203625</v>
      </c>
    </row>
  </sheetData>
  <mergeCells count="168">
    <mergeCell ref="N197:O197"/>
    <mergeCell ref="B206:C206"/>
    <mergeCell ref="D206:E206"/>
    <mergeCell ref="F206:G206"/>
    <mergeCell ref="H206:I206"/>
    <mergeCell ref="J206:K206"/>
    <mergeCell ref="L206:M206"/>
    <mergeCell ref="N206:O206"/>
    <mergeCell ref="B197:C197"/>
    <mergeCell ref="D197:E197"/>
    <mergeCell ref="F197:G197"/>
    <mergeCell ref="H197:I197"/>
    <mergeCell ref="J197:K197"/>
    <mergeCell ref="L197:M197"/>
    <mergeCell ref="N179:O179"/>
    <mergeCell ref="B188:C188"/>
    <mergeCell ref="D188:E188"/>
    <mergeCell ref="F188:G188"/>
    <mergeCell ref="H188:I188"/>
    <mergeCell ref="J188:K188"/>
    <mergeCell ref="L188:M188"/>
    <mergeCell ref="N188:O188"/>
    <mergeCell ref="B179:C179"/>
    <mergeCell ref="D179:E179"/>
    <mergeCell ref="F179:G179"/>
    <mergeCell ref="H179:I179"/>
    <mergeCell ref="J179:K179"/>
    <mergeCell ref="L179:M179"/>
    <mergeCell ref="N161:O161"/>
    <mergeCell ref="B170:C170"/>
    <mergeCell ref="D170:E170"/>
    <mergeCell ref="F170:G170"/>
    <mergeCell ref="H170:I170"/>
    <mergeCell ref="J170:K170"/>
    <mergeCell ref="L170:M170"/>
    <mergeCell ref="N170:O170"/>
    <mergeCell ref="B161:C161"/>
    <mergeCell ref="D161:E161"/>
    <mergeCell ref="F161:G161"/>
    <mergeCell ref="H161:I161"/>
    <mergeCell ref="J161:K161"/>
    <mergeCell ref="L161:M161"/>
    <mergeCell ref="N143:O143"/>
    <mergeCell ref="B152:C152"/>
    <mergeCell ref="D152:E152"/>
    <mergeCell ref="F152:G152"/>
    <mergeCell ref="H152:I152"/>
    <mergeCell ref="J152:K152"/>
    <mergeCell ref="L152:M152"/>
    <mergeCell ref="N152:O152"/>
    <mergeCell ref="B143:C143"/>
    <mergeCell ref="D143:E143"/>
    <mergeCell ref="F143:G143"/>
    <mergeCell ref="H143:I143"/>
    <mergeCell ref="J143:K143"/>
    <mergeCell ref="L143:M143"/>
    <mergeCell ref="N125:O125"/>
    <mergeCell ref="B134:C134"/>
    <mergeCell ref="D134:E134"/>
    <mergeCell ref="F134:G134"/>
    <mergeCell ref="H134:I134"/>
    <mergeCell ref="J134:K134"/>
    <mergeCell ref="L134:M134"/>
    <mergeCell ref="N134:O134"/>
    <mergeCell ref="B125:C125"/>
    <mergeCell ref="D125:E125"/>
    <mergeCell ref="F125:G125"/>
    <mergeCell ref="H125:I125"/>
    <mergeCell ref="J125:K125"/>
    <mergeCell ref="L125:M125"/>
    <mergeCell ref="N107:O107"/>
    <mergeCell ref="B116:C116"/>
    <mergeCell ref="D116:E116"/>
    <mergeCell ref="F116:G116"/>
    <mergeCell ref="H116:I116"/>
    <mergeCell ref="J116:K116"/>
    <mergeCell ref="L116:M116"/>
    <mergeCell ref="N116:O116"/>
    <mergeCell ref="B107:C107"/>
    <mergeCell ref="D107:E107"/>
    <mergeCell ref="F107:G107"/>
    <mergeCell ref="H107:I107"/>
    <mergeCell ref="J107:K107"/>
    <mergeCell ref="L107:M107"/>
    <mergeCell ref="N89:O89"/>
    <mergeCell ref="B98:C98"/>
    <mergeCell ref="D98:E98"/>
    <mergeCell ref="F98:G98"/>
    <mergeCell ref="H98:I98"/>
    <mergeCell ref="J98:K98"/>
    <mergeCell ref="L98:M98"/>
    <mergeCell ref="N98:O98"/>
    <mergeCell ref="B89:C89"/>
    <mergeCell ref="D89:E89"/>
    <mergeCell ref="F89:G89"/>
    <mergeCell ref="H89:I89"/>
    <mergeCell ref="J89:K89"/>
    <mergeCell ref="L89:M89"/>
    <mergeCell ref="N71:O71"/>
    <mergeCell ref="B80:C80"/>
    <mergeCell ref="D80:E80"/>
    <mergeCell ref="F80:G80"/>
    <mergeCell ref="H80:I80"/>
    <mergeCell ref="J80:K80"/>
    <mergeCell ref="L80:M80"/>
    <mergeCell ref="N80:O80"/>
    <mergeCell ref="B71:C71"/>
    <mergeCell ref="D71:E71"/>
    <mergeCell ref="F71:G71"/>
    <mergeCell ref="H71:I71"/>
    <mergeCell ref="J71:K71"/>
    <mergeCell ref="L71:M71"/>
    <mergeCell ref="N61:O61"/>
    <mergeCell ref="B61:C61"/>
    <mergeCell ref="D61:E61"/>
    <mergeCell ref="F61:G61"/>
    <mergeCell ref="H61:I61"/>
    <mergeCell ref="J61:K61"/>
    <mergeCell ref="L61:M61"/>
    <mergeCell ref="N45:O45"/>
    <mergeCell ref="B53:C53"/>
    <mergeCell ref="D53:E53"/>
    <mergeCell ref="F53:G53"/>
    <mergeCell ref="H53:I53"/>
    <mergeCell ref="J53:K53"/>
    <mergeCell ref="L53:M53"/>
    <mergeCell ref="N53:O53"/>
    <mergeCell ref="B45:C45"/>
    <mergeCell ref="D45:E45"/>
    <mergeCell ref="F45:G45"/>
    <mergeCell ref="H45:I45"/>
    <mergeCell ref="J45:K45"/>
    <mergeCell ref="L45:M45"/>
    <mergeCell ref="B20:C20"/>
    <mergeCell ref="D20:E20"/>
    <mergeCell ref="F20:G20"/>
    <mergeCell ref="H20:I20"/>
    <mergeCell ref="J20:K20"/>
    <mergeCell ref="L20:M20"/>
    <mergeCell ref="N20:O20"/>
    <mergeCell ref="B37:C37"/>
    <mergeCell ref="D37:E37"/>
    <mergeCell ref="F37:G37"/>
    <mergeCell ref="H37:I37"/>
    <mergeCell ref="J37:K37"/>
    <mergeCell ref="L37:M37"/>
    <mergeCell ref="N37:O37"/>
    <mergeCell ref="N28:O28"/>
    <mergeCell ref="B28:C28"/>
    <mergeCell ref="D28:E28"/>
    <mergeCell ref="F28:G28"/>
    <mergeCell ref="H28:I28"/>
    <mergeCell ref="J28:K28"/>
    <mergeCell ref="L28:M28"/>
    <mergeCell ref="F4:G4"/>
    <mergeCell ref="H4:I4"/>
    <mergeCell ref="J4:K4"/>
    <mergeCell ref="L4:M4"/>
    <mergeCell ref="N4:O4"/>
    <mergeCell ref="B12:C12"/>
    <mergeCell ref="D12:E12"/>
    <mergeCell ref="F12:G12"/>
    <mergeCell ref="H12:I12"/>
    <mergeCell ref="J12:K12"/>
    <mergeCell ref="B4:C4"/>
    <mergeCell ref="D4:E4"/>
    <mergeCell ref="L12:M12"/>
    <mergeCell ref="N12:O12"/>
  </mergeCells>
  <printOptions horizontalCentered="1"/>
  <pageMargins left="0.17499999999999999" right="0.17499999999999999" top="0.75" bottom="0.75" header="0" footer="0"/>
  <pageSetup firstPageNumber="0" fitToWidth="0" fitToHeight="0" orientation="landscape" r:id="rId1"/>
  <headerFooter alignWithMargins="0">
    <oddFooter>&amp;LFRCC IR
11/12/2010-kw&amp;C&amp;F&amp;R&amp;P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all</vt:lpstr>
      <vt:lpstr>Demographics</vt:lpstr>
      <vt:lpstr>Obj Emp </vt:lpstr>
      <vt:lpstr>Meeting needs</vt:lpstr>
      <vt:lpstr>Evaluate Instruction</vt:lpstr>
      <vt:lpstr>Pers Grow</vt:lpstr>
      <vt:lpstr>Eval Stud Serv</vt:lpstr>
      <vt:lpstr>Reasons at FRCC</vt:lpstr>
      <vt:lpstr>Online Special Questions</vt:lpstr>
      <vt:lpstr>'Evaluate Instruction'!Print_Area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Wallace, Kim</cp:lastModifiedBy>
  <cp:lastPrinted>2012-11-19T23:33:57Z</cp:lastPrinted>
  <dcterms:created xsi:type="dcterms:W3CDTF">2009-11-12T16:13:37Z</dcterms:created>
  <dcterms:modified xsi:type="dcterms:W3CDTF">2013-10-04T17:17:48Z</dcterms:modified>
</cp:coreProperties>
</file>