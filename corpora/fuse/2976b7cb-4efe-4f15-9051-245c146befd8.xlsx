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65" windowWidth="27795" windowHeight="12210"/>
  </bookViews>
  <sheets>
    <sheet name="TABLE" sheetId="1" r:id="rId1"/>
    <sheet name="gender" sheetId="2" state="hidden" r:id="rId2"/>
    <sheet name="ethnic" sheetId="3" state="hidden" r:id="rId3"/>
    <sheet name="Sheet2" sheetId="4" state="hidden" r:id="rId4"/>
    <sheet name="graph base" sheetId="5" r:id="rId5"/>
    <sheet name="gender graph" sheetId="6" r:id="rId6"/>
    <sheet name="ethnicity graph" sheetId="7" r:id="rId7"/>
    <sheet name="age graph" sheetId="8" r:id="rId8"/>
  </sheets>
  <externalReferences>
    <externalReference r:id="rId9"/>
    <externalReference r:id="rId10"/>
    <externalReference r:id="rId11"/>
    <externalReference r:id="rId12"/>
  </externalReferences>
  <calcPr calcId="145621"/>
  <pivotCaches>
    <pivotCache cacheId="0" r:id="rId13"/>
    <pivotCache cacheId="1" r:id="rId14"/>
    <pivotCache cacheId="2" r:id="rId15"/>
  </pivotCaches>
</workbook>
</file>

<file path=xl/calcChain.xml><?xml version="1.0" encoding="utf-8"?>
<calcChain xmlns="http://schemas.openxmlformats.org/spreadsheetml/2006/main">
  <c r="C43" i="5" l="1"/>
  <c r="D43" i="5"/>
  <c r="E43" i="5"/>
  <c r="F43" i="5"/>
  <c r="G43" i="5"/>
  <c r="H43" i="5"/>
  <c r="I43" i="5"/>
  <c r="J43" i="5"/>
  <c r="K43" i="5"/>
  <c r="L43" i="5"/>
  <c r="M43" i="5"/>
  <c r="B43" i="5"/>
  <c r="A43" i="5"/>
  <c r="A27" i="5"/>
  <c r="C13" i="5"/>
  <c r="C27" i="5" s="1"/>
  <c r="A13" i="5"/>
  <c r="D4" i="5"/>
  <c r="D13" i="5" s="1"/>
  <c r="D27" i="5" s="1"/>
  <c r="E4" i="5"/>
  <c r="E13" i="5" s="1"/>
  <c r="E27" i="5" s="1"/>
  <c r="F4" i="5"/>
  <c r="F13" i="5" s="1"/>
  <c r="F27" i="5" s="1"/>
  <c r="G4" i="5"/>
  <c r="G13" i="5" s="1"/>
  <c r="G27" i="5" s="1"/>
  <c r="H4" i="5"/>
  <c r="H13" i="5" s="1"/>
  <c r="H27" i="5" s="1"/>
  <c r="I4" i="5"/>
  <c r="I13" i="5" s="1"/>
  <c r="I27" i="5" s="1"/>
  <c r="J4" i="5"/>
  <c r="J13" i="5" s="1"/>
  <c r="J27" i="5" s="1"/>
  <c r="K4" i="5"/>
  <c r="K13" i="5" s="1"/>
  <c r="K27" i="5" s="1"/>
  <c r="L4" i="5"/>
  <c r="L13" i="5" s="1"/>
  <c r="L27" i="5" s="1"/>
  <c r="M4" i="5"/>
  <c r="M13" i="5" s="1"/>
  <c r="M27" i="5" s="1"/>
  <c r="C4" i="5"/>
  <c r="B4" i="5"/>
  <c r="B13" i="5" s="1"/>
  <c r="B27" i="5" s="1"/>
  <c r="A4" i="5"/>
  <c r="M44" i="5"/>
  <c r="J44" i="5"/>
  <c r="H44" i="5"/>
  <c r="F44" i="5"/>
  <c r="D44" i="5"/>
  <c r="B44" i="5"/>
  <c r="M36" i="5"/>
  <c r="J36" i="5"/>
  <c r="H36" i="5"/>
  <c r="F36" i="5"/>
  <c r="D36" i="5"/>
  <c r="B36" i="5"/>
  <c r="M35" i="5"/>
  <c r="J35" i="5"/>
  <c r="H35" i="5"/>
  <c r="F35" i="5"/>
  <c r="D35" i="5"/>
  <c r="B35" i="5"/>
  <c r="M34" i="5"/>
  <c r="J34" i="5"/>
  <c r="H34" i="5"/>
  <c r="F34" i="5"/>
  <c r="D34" i="5"/>
  <c r="B34" i="5"/>
  <c r="M33" i="5"/>
  <c r="J33" i="5"/>
  <c r="H33" i="5"/>
  <c r="F33" i="5"/>
  <c r="D33" i="5"/>
  <c r="B33" i="5"/>
  <c r="M32" i="5"/>
  <c r="J32" i="5"/>
  <c r="H32" i="5"/>
  <c r="F32" i="5"/>
  <c r="D32" i="5"/>
  <c r="B32" i="5"/>
  <c r="M31" i="5"/>
  <c r="J31" i="5"/>
  <c r="H31" i="5"/>
  <c r="F31" i="5"/>
  <c r="D31" i="5"/>
  <c r="B31" i="5"/>
  <c r="M30" i="5"/>
  <c r="J30" i="5"/>
  <c r="H30" i="5"/>
  <c r="F30" i="5"/>
  <c r="D30" i="5"/>
  <c r="B30" i="5"/>
  <c r="M29" i="5"/>
  <c r="J29" i="5"/>
  <c r="H29" i="5"/>
  <c r="F29" i="5"/>
  <c r="D29" i="5"/>
  <c r="B29" i="5"/>
  <c r="M28" i="5"/>
  <c r="J28" i="5"/>
  <c r="H28" i="5"/>
  <c r="F28" i="5"/>
  <c r="D28" i="5"/>
  <c r="B28" i="5"/>
  <c r="M22" i="5"/>
  <c r="M21" i="5"/>
  <c r="M20" i="5"/>
  <c r="M19" i="5"/>
  <c r="M18" i="5"/>
  <c r="M17" i="5"/>
  <c r="M16" i="5"/>
  <c r="M15" i="5"/>
  <c r="M14" i="5"/>
  <c r="L8" i="5"/>
  <c r="M7" i="5" s="1"/>
  <c r="C36" i="5" l="1"/>
  <c r="C35" i="5"/>
  <c r="C34" i="5"/>
  <c r="C33" i="5"/>
  <c r="C32" i="5"/>
  <c r="C31" i="5"/>
  <c r="C28" i="5"/>
  <c r="G36" i="5"/>
  <c r="G35" i="5"/>
  <c r="G34" i="5"/>
  <c r="G33" i="5"/>
  <c r="G32" i="5"/>
  <c r="G31" i="5"/>
  <c r="G28" i="5"/>
  <c r="K36" i="5"/>
  <c r="K35" i="5"/>
  <c r="K34" i="5"/>
  <c r="K33" i="5"/>
  <c r="K32" i="5"/>
  <c r="K31" i="5"/>
  <c r="K28" i="5"/>
  <c r="C29" i="5"/>
  <c r="G29" i="5"/>
  <c r="K29" i="5"/>
  <c r="C30" i="5"/>
  <c r="G30" i="5"/>
  <c r="K30" i="5"/>
  <c r="M5" i="5"/>
  <c r="M6" i="5"/>
  <c r="E36" i="5"/>
  <c r="E35" i="5"/>
  <c r="E34" i="5"/>
  <c r="E33" i="5"/>
  <c r="E32" i="5"/>
  <c r="E31" i="5"/>
  <c r="E28" i="5"/>
  <c r="I36" i="5"/>
  <c r="I35" i="5"/>
  <c r="I34" i="5"/>
  <c r="I33" i="5"/>
  <c r="I32" i="5"/>
  <c r="I31" i="5"/>
  <c r="I28" i="5"/>
  <c r="E29" i="5"/>
  <c r="I29" i="5"/>
  <c r="E30" i="5"/>
  <c r="I30" i="5"/>
  <c r="F4" i="3" l="1"/>
  <c r="B5" i="3"/>
  <c r="F6" i="3"/>
  <c r="A6" i="3" s="1"/>
  <c r="F7" i="3"/>
  <c r="B7" i="3" s="1"/>
  <c r="F8" i="3"/>
  <c r="A8" i="3" s="1"/>
  <c r="F9" i="3"/>
  <c r="B9" i="3" s="1"/>
  <c r="F10" i="3"/>
  <c r="E10" i="3" s="1"/>
  <c r="F11" i="3"/>
  <c r="B11" i="3" s="1"/>
  <c r="F3" i="3"/>
  <c r="B3" i="3" s="1"/>
  <c r="B4" i="3"/>
  <c r="C4" i="3"/>
  <c r="D4" i="3"/>
  <c r="E4" i="3"/>
  <c r="A4" i="3"/>
  <c r="H15" i="5" l="1"/>
  <c r="D15" i="5"/>
  <c r="D22" i="5"/>
  <c r="D20" i="5"/>
  <c r="D18" i="5"/>
  <c r="D16" i="5"/>
  <c r="B15" i="5"/>
  <c r="J15" i="5"/>
  <c r="F15" i="5"/>
  <c r="D14" i="5"/>
  <c r="J21" i="5"/>
  <c r="B19" i="5"/>
  <c r="B17" i="5"/>
  <c r="E3" i="3"/>
  <c r="C3" i="3"/>
  <c r="E9" i="3"/>
  <c r="C9" i="3"/>
  <c r="A9" i="3"/>
  <c r="D8" i="3"/>
  <c r="B8" i="3"/>
  <c r="E7" i="3"/>
  <c r="C7" i="3"/>
  <c r="A7" i="3"/>
  <c r="D6" i="3"/>
  <c r="B6" i="3"/>
  <c r="E5" i="3"/>
  <c r="C5" i="3"/>
  <c r="A5" i="3"/>
  <c r="C10" i="3"/>
  <c r="E11" i="3"/>
  <c r="C11" i="3"/>
  <c r="A3" i="3"/>
  <c r="D3" i="3"/>
  <c r="D9" i="3"/>
  <c r="E8" i="3"/>
  <c r="C8" i="3"/>
  <c r="D7" i="3"/>
  <c r="E6" i="3"/>
  <c r="C6" i="3"/>
  <c r="D5" i="3"/>
  <c r="B10" i="3"/>
  <c r="A11" i="3"/>
  <c r="D11" i="3"/>
  <c r="A10" i="3"/>
  <c r="D10" i="3"/>
  <c r="H22" i="5" l="1"/>
  <c r="D21" i="5"/>
  <c r="F17" i="5"/>
  <c r="H18" i="5"/>
  <c r="J19" i="5"/>
  <c r="H14" i="5"/>
  <c r="F22" i="5"/>
  <c r="F21" i="5"/>
  <c r="F16" i="5"/>
  <c r="D17" i="5"/>
  <c r="B18" i="5"/>
  <c r="J18" i="5"/>
  <c r="H19" i="5"/>
  <c r="F20" i="5"/>
  <c r="F14" i="5"/>
  <c r="H21" i="5"/>
  <c r="B21" i="5"/>
  <c r="B22" i="5"/>
  <c r="H16" i="5"/>
  <c r="J17" i="5"/>
  <c r="F19" i="5"/>
  <c r="H20" i="5"/>
  <c r="B14" i="5"/>
  <c r="J22" i="5"/>
  <c r="B16" i="5"/>
  <c r="J16" i="5"/>
  <c r="H17" i="5"/>
  <c r="I17" i="5" s="1"/>
  <c r="F18" i="5"/>
  <c r="G18" i="5" s="1"/>
  <c r="D19" i="5"/>
  <c r="E19" i="5" s="1"/>
  <c r="B20" i="5"/>
  <c r="C20" i="5" s="1"/>
  <c r="J20" i="5"/>
  <c r="J14" i="5"/>
  <c r="K14" i="5" s="1"/>
  <c r="B5" i="2"/>
  <c r="C5" i="2"/>
  <c r="D5" i="2"/>
  <c r="E5" i="2"/>
  <c r="A5" i="2"/>
  <c r="B4" i="2"/>
  <c r="C4" i="2"/>
  <c r="D4" i="2"/>
  <c r="E4" i="2"/>
  <c r="A4" i="2"/>
  <c r="B3" i="2"/>
  <c r="C3" i="2"/>
  <c r="D3" i="2"/>
  <c r="E3" i="2"/>
  <c r="A3" i="2"/>
  <c r="C19" i="5" l="1"/>
  <c r="H5" i="5"/>
  <c r="D5" i="5"/>
  <c r="J6" i="5"/>
  <c r="F6" i="5"/>
  <c r="B7" i="5"/>
  <c r="H7" i="5"/>
  <c r="D7" i="5"/>
  <c r="E15" i="5"/>
  <c r="E20" i="5"/>
  <c r="E16" i="5"/>
  <c r="K15" i="5"/>
  <c r="E14" i="5"/>
  <c r="G14" i="5"/>
  <c r="G20" i="5"/>
  <c r="I19" i="5"/>
  <c r="K18" i="5"/>
  <c r="C18" i="5"/>
  <c r="E17" i="5"/>
  <c r="G16" i="5"/>
  <c r="G21" i="5"/>
  <c r="G22" i="5"/>
  <c r="I14" i="5"/>
  <c r="K19" i="5"/>
  <c r="I18" i="5"/>
  <c r="G17" i="5"/>
  <c r="E21" i="5"/>
  <c r="I22" i="5"/>
  <c r="B5" i="5"/>
  <c r="J5" i="5"/>
  <c r="F5" i="5"/>
  <c r="B6" i="5"/>
  <c r="H6" i="5"/>
  <c r="D6" i="5"/>
  <c r="J7" i="5"/>
  <c r="F7" i="5"/>
  <c r="K20" i="5"/>
  <c r="K16" i="5"/>
  <c r="C16" i="5"/>
  <c r="K22" i="5"/>
  <c r="C14" i="5"/>
  <c r="I20" i="5"/>
  <c r="G19" i="5"/>
  <c r="K17" i="5"/>
  <c r="I16" i="5"/>
  <c r="C22" i="5"/>
  <c r="C21" i="5"/>
  <c r="I21" i="5"/>
  <c r="I15" i="5"/>
  <c r="E22" i="5"/>
  <c r="E18" i="5"/>
  <c r="C15" i="5"/>
  <c r="G15" i="5"/>
  <c r="K21" i="5"/>
  <c r="C17" i="5"/>
  <c r="F8" i="5" l="1"/>
  <c r="G44" i="5" s="1"/>
  <c r="J8" i="5"/>
  <c r="K44" i="5" s="1"/>
  <c r="B8" i="5"/>
  <c r="C5" i="5" s="1"/>
  <c r="G6" i="5"/>
  <c r="D8" i="5"/>
  <c r="E44" i="5" s="1"/>
  <c r="H8" i="5"/>
  <c r="I44" i="5" s="1"/>
  <c r="E7" i="5" l="1"/>
  <c r="I6" i="5"/>
  <c r="K7" i="5"/>
  <c r="I5" i="5"/>
  <c r="E5" i="5"/>
  <c r="K6" i="5"/>
  <c r="I7" i="5"/>
  <c r="C7" i="5"/>
  <c r="C44" i="5"/>
  <c r="K5" i="5"/>
  <c r="G5" i="5"/>
  <c r="C6" i="5"/>
  <c r="E6" i="5"/>
  <c r="G7" i="5"/>
</calcChain>
</file>

<file path=xl/sharedStrings.xml><?xml version="1.0" encoding="utf-8"?>
<sst xmlns="http://schemas.openxmlformats.org/spreadsheetml/2006/main" count="342" uniqueCount="62">
  <si>
    <t>#1 Access</t>
  </si>
  <si>
    <t>Service Area</t>
  </si>
  <si>
    <t>Gap vs.</t>
  </si>
  <si>
    <t>AY07-08</t>
  </si>
  <si>
    <t>AY08-09</t>
  </si>
  <si>
    <t>AY09-10</t>
  </si>
  <si>
    <t>AY10-11</t>
  </si>
  <si>
    <t>AY11-12</t>
  </si>
  <si>
    <t>Recent AY</t>
  </si>
  <si>
    <t>Gender</t>
  </si>
  <si>
    <t>#</t>
  </si>
  <si>
    <t>%</t>
  </si>
  <si>
    <t>Female</t>
  </si>
  <si>
    <t>Male</t>
  </si>
  <si>
    <t>Unknown</t>
  </si>
  <si>
    <t>Total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</si>
  <si>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</si>
  <si>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</si>
  <si>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</si>
  <si>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</si>
  <si>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</si>
  <si>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</si>
  <si>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</si>
  <si>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</si>
  <si>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</si>
  <si>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</si>
  <si>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</si>
  <si>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</si>
  <si>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</si>
  <si>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</si>
  <si>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</si>
  <si>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</si>
  <si>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</si>
  <si>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50 +</t>
  </si>
  <si>
    <t>Average Age</t>
  </si>
  <si>
    <t>DSPS</t>
  </si>
  <si>
    <t>F</t>
  </si>
  <si>
    <t>M</t>
  </si>
  <si>
    <t>(blank)</t>
  </si>
  <si>
    <t>Median Age</t>
  </si>
  <si>
    <t>2010 Census</t>
  </si>
  <si>
    <t>2010 ACS*</t>
  </si>
  <si>
    <t>Riverside County</t>
  </si>
  <si>
    <t>5 Year MSJC Data</t>
  </si>
  <si>
    <t>Disabilities</t>
  </si>
  <si>
    <t>* note: DSPS comparison data is from the 2010 ACS for Riverside County, disability count for ages 18 to 64</t>
  </si>
  <si>
    <t xml:space="preserve">http://www.census.gov/acs/www/about_the_survey/american_community_survey/ </t>
  </si>
  <si>
    <t>Service Area Comparison Data from MSJC official Zip codes in the 2010 Census Data.</t>
  </si>
  <si>
    <t>B</t>
  </si>
  <si>
    <t>Grand Total</t>
  </si>
  <si>
    <t>Column Labels</t>
  </si>
  <si>
    <t>Values</t>
  </si>
  <si>
    <t>click here for graph</t>
  </si>
  <si>
    <t xml:space="preserve"> AY07-08#</t>
  </si>
  <si>
    <t xml:space="preserve"> AY08-09#</t>
  </si>
  <si>
    <t xml:space="preserve"> AY09-10#</t>
  </si>
  <si>
    <t xml:space="preserve"> AY10-11#</t>
  </si>
  <si>
    <t xml:space="preserve"> AY11-12#</t>
  </si>
  <si>
    <t>back to tables</t>
  </si>
  <si>
    <t>AY12-13</t>
  </si>
  <si>
    <t>AY13-14</t>
  </si>
  <si>
    <t>7 Year MSJC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</si>
</sst>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71" formatCode="_(* #,##0_);_(* \(#,##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Arial"/>
    </font>
    <font>
      <sz val="10"/>
      <color rgb="FF0000FF"/>
      <name val="Arial"/>
    </font>
    <font>
      <sz val="8"/>
      <color rgb="FF0000F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21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9">
    <xf numFmtId="0" fontId="0" fillId="0" borderId="0" xfId="0"/>
    <xf numFmtId="0" fontId="0" fillId="0" borderId="0" xfId="0"/>
    <xf numFmtId="0" fontId="1" fillId="0" borderId="0" xfId="0" applyFont="1"/>
    <xf numFmtId="0" fontId="22" fillId="0" borderId="16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right"/>
    </xf>
    <xf numFmtId="0" fontId="28" fillId="33" borderId="30" xfId="2" applyFont="1" applyFill="1" applyBorder="1" applyAlignment="1">
      <alignment wrapText="1"/>
    </xf>
    <xf numFmtId="0" fontId="21" fillId="0" borderId="29" xfId="2" applyFont="1" applyFill="1" applyBorder="1" applyAlignment="1">
      <alignment wrapText="1"/>
    </xf>
    <xf numFmtId="0" fontId="21" fillId="0" borderId="30" xfId="2" applyFont="1" applyFill="1" applyBorder="1" applyAlignment="1">
      <alignment wrapText="1"/>
    </xf>
    <xf numFmtId="0" fontId="21" fillId="0" borderId="26" xfId="2" applyFont="1" applyFill="1" applyBorder="1" applyAlignment="1">
      <alignment horizontal="left" vertical="center" wrapText="1"/>
    </xf>
    <xf numFmtId="0" fontId="23" fillId="0" borderId="1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34" xfId="49" applyFont="1" applyBorder="1" applyAlignment="1" applyProtection="1"/>
    <xf numFmtId="0" fontId="21" fillId="0" borderId="28" xfId="49" applyFont="1" applyBorder="1" applyAlignment="1" applyProtection="1"/>
    <xf numFmtId="0" fontId="21" fillId="0" borderId="31" xfId="49" applyFont="1" applyBorder="1" applyAlignment="1" applyProtection="1"/>
    <xf numFmtId="0" fontId="25" fillId="0" borderId="38" xfId="2" applyFont="1" applyBorder="1" applyAlignment="1">
      <alignment horizontal="center" vertical="center"/>
    </xf>
    <xf numFmtId="0" fontId="25" fillId="0" borderId="27" xfId="2" applyFont="1" applyBorder="1" applyAlignment="1">
      <alignment horizontal="center" vertical="center"/>
    </xf>
    <xf numFmtId="0" fontId="23" fillId="0" borderId="36" xfId="2" applyFont="1" applyBorder="1" applyAlignment="1">
      <alignment horizontal="center" vertical="center"/>
    </xf>
    <xf numFmtId="0" fontId="16" fillId="0" borderId="32" xfId="2" applyFont="1" applyBorder="1" applyAlignment="1">
      <alignment horizontal="right"/>
    </xf>
    <xf numFmtId="0" fontId="23" fillId="0" borderId="35" xfId="2" applyFont="1" applyBorder="1" applyAlignment="1">
      <alignment horizontal="center" vertical="center"/>
    </xf>
    <xf numFmtId="0" fontId="29" fillId="0" borderId="0" xfId="2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7" fillId="0" borderId="21" xfId="2" applyFont="1" applyBorder="1" applyAlignment="1">
      <alignment horizontal="center"/>
    </xf>
    <xf numFmtId="0" fontId="27" fillId="0" borderId="25" xfId="2" applyFont="1" applyBorder="1" applyAlignment="1">
      <alignment horizontal="center" vertical="center"/>
    </xf>
    <xf numFmtId="0" fontId="25" fillId="0" borderId="10" xfId="2" applyFont="1" applyBorder="1" applyAlignment="1"/>
    <xf numFmtId="3" fontId="23" fillId="0" borderId="33" xfId="2" applyNumberFormat="1" applyFont="1" applyBorder="1" applyAlignment="1">
      <alignment horizontal="center" vertical="center"/>
    </xf>
    <xf numFmtId="0" fontId="0" fillId="0" borderId="0" xfId="0"/>
    <xf numFmtId="0" fontId="27" fillId="0" borderId="38" xfId="2" applyFont="1" applyBorder="1" applyAlignment="1">
      <alignment horizontal="center" vertical="center"/>
    </xf>
    <xf numFmtId="0" fontId="29" fillId="0" borderId="21" xfId="2" applyFont="1" applyBorder="1" applyAlignment="1">
      <alignment horizontal="center" vertical="center"/>
    </xf>
    <xf numFmtId="0" fontId="0" fillId="0" borderId="0" xfId="0"/>
    <xf numFmtId="3" fontId="29" fillId="0" borderId="33" xfId="2" applyNumberFormat="1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 wrapText="1"/>
    </xf>
    <xf numFmtId="0" fontId="27" fillId="0" borderId="21" xfId="2" applyFont="1" applyBorder="1" applyAlignment="1">
      <alignment horizontal="center" vertical="center"/>
    </xf>
    <xf numFmtId="0" fontId="16" fillId="0" borderId="26" xfId="2" applyFont="1" applyBorder="1"/>
    <xf numFmtId="0" fontId="16" fillId="0" borderId="28" xfId="2" applyFont="1" applyBorder="1"/>
    <xf numFmtId="0" fontId="16" fillId="0" borderId="39" xfId="2" applyFont="1" applyBorder="1"/>
    <xf numFmtId="3" fontId="23" fillId="0" borderId="12" xfId="2" applyNumberFormat="1" applyFont="1" applyBorder="1" applyAlignment="1">
      <alignment horizontal="center" vertical="center"/>
    </xf>
    <xf numFmtId="3" fontId="23" fillId="0" borderId="17" xfId="2" applyNumberFormat="1" applyFont="1" applyBorder="1" applyAlignment="1">
      <alignment horizontal="center" vertical="center"/>
    </xf>
    <xf numFmtId="3" fontId="23" fillId="0" borderId="14" xfId="2" applyNumberFormat="1" applyFont="1" applyBorder="1" applyAlignment="1">
      <alignment horizontal="center" vertical="center"/>
    </xf>
    <xf numFmtId="0" fontId="22" fillId="0" borderId="0" xfId="2" applyFont="1" applyBorder="1" applyAlignment="1">
      <alignment horizontal="center" vertical="center" wrapText="1"/>
    </xf>
    <xf numFmtId="0" fontId="22" fillId="0" borderId="38" xfId="2" applyFont="1" applyBorder="1" applyAlignment="1">
      <alignment horizontal="center" vertical="center" wrapText="1"/>
    </xf>
    <xf numFmtId="0" fontId="22" fillId="0" borderId="10" xfId="2" applyFont="1" applyBorder="1" applyAlignment="1">
      <alignment horizontal="center" vertical="center" wrapText="1"/>
    </xf>
    <xf numFmtId="0" fontId="23" fillId="0" borderId="37" xfId="2" applyFont="1" applyBorder="1" applyAlignment="1">
      <alignment horizontal="center" vertical="center"/>
    </xf>
    <xf numFmtId="3" fontId="23" fillId="0" borderId="0" xfId="2" applyNumberFormat="1" applyFont="1" applyBorder="1" applyAlignment="1">
      <alignment horizontal="center" vertical="center"/>
    </xf>
    <xf numFmtId="3" fontId="29" fillId="0" borderId="0" xfId="2" applyNumberFormat="1" applyFont="1" applyBorder="1" applyAlignment="1">
      <alignment horizontal="center" vertical="center"/>
    </xf>
    <xf numFmtId="0" fontId="22" fillId="0" borderId="0" xfId="2" applyFont="1" applyFill="1" applyBorder="1" applyAlignment="1">
      <alignment horizontal="center" vertical="center"/>
    </xf>
    <xf numFmtId="0" fontId="27" fillId="0" borderId="24" xfId="2" applyFont="1" applyBorder="1" applyAlignment="1">
      <alignment horizontal="center" vertical="center"/>
    </xf>
    <xf numFmtId="3" fontId="33" fillId="0" borderId="11" xfId="118" applyNumberFormat="1" applyFont="1" applyBorder="1" applyAlignment="1"/>
    <xf numFmtId="3" fontId="33" fillId="0" borderId="0" xfId="118" applyNumberFormat="1" applyFont="1" applyBorder="1" applyAlignment="1"/>
    <xf numFmtId="164" fontId="0" fillId="0" borderId="0" xfId="0" applyNumberFormat="1" applyAlignment="1">
      <alignment horizontal="center" vertical="center"/>
    </xf>
    <xf numFmtId="164" fontId="23" fillId="0" borderId="35" xfId="2" applyNumberFormat="1" applyFont="1" applyBorder="1" applyAlignment="1">
      <alignment horizontal="center" vertical="center"/>
    </xf>
    <xf numFmtId="3" fontId="0" fillId="0" borderId="0" xfId="0" applyNumberFormat="1"/>
    <xf numFmtId="0" fontId="16" fillId="0" borderId="21" xfId="2" applyFont="1" applyBorder="1" applyAlignment="1">
      <alignment horizontal="right"/>
    </xf>
    <xf numFmtId="0" fontId="16" fillId="0" borderId="25" xfId="2" applyFont="1" applyBorder="1" applyAlignment="1">
      <alignment horizontal="right"/>
    </xf>
    <xf numFmtId="9" fontId="23" fillId="0" borderId="13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3" fontId="23" fillId="0" borderId="38" xfId="2" applyNumberFormat="1" applyFont="1" applyBorder="1" applyAlignment="1">
      <alignment horizontal="center" vertical="center"/>
    </xf>
    <xf numFmtId="0" fontId="27" fillId="0" borderId="27" xfId="2" applyFont="1" applyBorder="1" applyAlignment="1">
      <alignment horizontal="center" vertical="center"/>
    </xf>
    <xf numFmtId="9" fontId="29" fillId="0" borderId="13" xfId="117" applyFont="1" applyBorder="1" applyAlignment="1">
      <alignment horizontal="center" vertical="center"/>
    </xf>
    <xf numFmtId="9" fontId="29" fillId="0" borderId="18" xfId="117" applyFont="1" applyBorder="1" applyAlignment="1">
      <alignment horizontal="center" vertical="center"/>
    </xf>
    <xf numFmtId="9" fontId="29" fillId="0" borderId="15" xfId="117" applyFont="1" applyBorder="1" applyAlignment="1">
      <alignment horizontal="center" vertical="center"/>
    </xf>
    <xf numFmtId="9" fontId="29" fillId="0" borderId="45" xfId="2" applyNumberFormat="1" applyFont="1" applyBorder="1" applyAlignment="1">
      <alignment horizontal="center" vertical="center"/>
    </xf>
    <xf numFmtId="9" fontId="29" fillId="0" borderId="46" xfId="2" applyNumberFormat="1" applyFont="1" applyBorder="1" applyAlignment="1">
      <alignment horizontal="center" vertical="center"/>
    </xf>
    <xf numFmtId="9" fontId="29" fillId="0" borderId="47" xfId="2" applyNumberFormat="1" applyFont="1" applyBorder="1" applyAlignment="1">
      <alignment horizontal="center" vertical="center"/>
    </xf>
    <xf numFmtId="0" fontId="16" fillId="0" borderId="48" xfId="2" applyFont="1" applyBorder="1" applyAlignment="1">
      <alignment horizontal="right"/>
    </xf>
    <xf numFmtId="0" fontId="22" fillId="0" borderId="48" xfId="2" applyFont="1" applyBorder="1" applyAlignment="1">
      <alignment horizontal="center"/>
    </xf>
    <xf numFmtId="0" fontId="27" fillId="0" borderId="13" xfId="2" applyFont="1" applyBorder="1" applyAlignment="1">
      <alignment horizontal="center" vertical="center"/>
    </xf>
    <xf numFmtId="0" fontId="29" fillId="0" borderId="45" xfId="2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/>
    </xf>
    <xf numFmtId="0" fontId="0" fillId="0" borderId="16" xfId="0" applyBorder="1"/>
    <xf numFmtId="10" fontId="29" fillId="0" borderId="41" xfId="117" applyNumberFormat="1" applyFont="1" applyBorder="1" applyAlignment="1">
      <alignment horizontal="center" vertical="center"/>
    </xf>
    <xf numFmtId="0" fontId="30" fillId="0" borderId="45" xfId="0" applyFont="1" applyBorder="1"/>
    <xf numFmtId="0" fontId="30" fillId="0" borderId="46" xfId="0" applyFont="1" applyBorder="1"/>
    <xf numFmtId="0" fontId="27" fillId="0" borderId="11" xfId="2" applyFont="1" applyBorder="1" applyAlignment="1">
      <alignment horizontal="center" vertical="center"/>
    </xf>
    <xf numFmtId="10" fontId="29" fillId="0" borderId="25" xfId="2" applyNumberFormat="1" applyFont="1" applyBorder="1" applyAlignment="1">
      <alignment horizontal="center" vertical="center"/>
    </xf>
    <xf numFmtId="0" fontId="20" fillId="0" borderId="23" xfId="118" applyFont="1" applyBorder="1"/>
    <xf numFmtId="0" fontId="23" fillId="0" borderId="50" xfId="2" applyFont="1" applyBorder="1" applyAlignment="1">
      <alignment horizontal="center" vertical="center"/>
    </xf>
    <xf numFmtId="3" fontId="33" fillId="0" borderId="50" xfId="118" applyNumberFormat="1" applyFont="1" applyBorder="1" applyAlignment="1"/>
    <xf numFmtId="0" fontId="0" fillId="0" borderId="50" xfId="0" applyBorder="1"/>
    <xf numFmtId="0" fontId="0" fillId="0" borderId="42" xfId="0" applyBorder="1"/>
    <xf numFmtId="0" fontId="0" fillId="0" borderId="22" xfId="0" applyBorder="1"/>
    <xf numFmtId="0" fontId="0" fillId="0" borderId="0" xfId="0" applyBorder="1"/>
    <xf numFmtId="0" fontId="0" fillId="0" borderId="51" xfId="0" applyBorder="1"/>
    <xf numFmtId="0" fontId="19" fillId="0" borderId="48" xfId="49" applyBorder="1" applyAlignment="1" applyProtection="1"/>
    <xf numFmtId="0" fontId="0" fillId="0" borderId="49" xfId="0" applyBorder="1"/>
    <xf numFmtId="0" fontId="0" fillId="0" borderId="41" xfId="0" applyBorder="1"/>
    <xf numFmtId="0" fontId="31" fillId="0" borderId="0" xfId="118"/>
    <xf numFmtId="0" fontId="31" fillId="0" borderId="0" xfId="118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49" applyBorder="1" applyAlignment="1" applyProtection="1">
      <alignment horizontal="right"/>
    </xf>
    <xf numFmtId="0" fontId="19" fillId="0" borderId="0" xfId="49" applyAlignment="1" applyProtection="1"/>
    <xf numFmtId="9" fontId="23" fillId="0" borderId="0" xfId="117" applyFont="1" applyBorder="1" applyAlignment="1">
      <alignment horizontal="center" vertical="center"/>
    </xf>
    <xf numFmtId="0" fontId="30" fillId="0" borderId="0" xfId="0" applyFont="1" applyBorder="1"/>
    <xf numFmtId="9" fontId="29" fillId="0" borderId="0" xfId="117" applyFont="1" applyBorder="1" applyAlignment="1">
      <alignment horizontal="center" vertical="center"/>
    </xf>
    <xf numFmtId="9" fontId="29" fillId="0" borderId="0" xfId="2" applyNumberFormat="1" applyFont="1" applyBorder="1" applyAlignment="1">
      <alignment horizontal="center" vertical="center"/>
    </xf>
    <xf numFmtId="0" fontId="25" fillId="0" borderId="50" xfId="2" applyFont="1" applyBorder="1" applyAlignment="1">
      <alignment horizontal="center" vertical="center"/>
    </xf>
    <xf numFmtId="0" fontId="23" fillId="0" borderId="19" xfId="2" applyFont="1" applyBorder="1" applyAlignment="1">
      <alignment horizontal="center" vertical="center"/>
    </xf>
    <xf numFmtId="164" fontId="0" fillId="0" borderId="52" xfId="0" applyNumberFormat="1" applyBorder="1" applyAlignment="1">
      <alignment horizontal="center" vertical="center"/>
    </xf>
    <xf numFmtId="9" fontId="23" fillId="0" borderId="53" xfId="117" applyFont="1" applyBorder="1" applyAlignment="1">
      <alignment horizontal="center" vertical="center"/>
    </xf>
    <xf numFmtId="9" fontId="23" fillId="0" borderId="54" xfId="117" applyFont="1" applyBorder="1" applyAlignment="1">
      <alignment horizontal="center" vertical="center"/>
    </xf>
    <xf numFmtId="0" fontId="25" fillId="0" borderId="55" xfId="2" applyFont="1" applyBorder="1" applyAlignment="1">
      <alignment horizontal="center" vertical="center"/>
    </xf>
    <xf numFmtId="0" fontId="23" fillId="0" borderId="56" xfId="2" applyFont="1" applyBorder="1" applyAlignment="1">
      <alignment horizontal="center" vertical="center"/>
    </xf>
    <xf numFmtId="9" fontId="23" fillId="0" borderId="57" xfId="117" applyFont="1" applyBorder="1" applyAlignment="1">
      <alignment horizontal="center" vertical="center"/>
    </xf>
    <xf numFmtId="0" fontId="25" fillId="0" borderId="12" xfId="2" applyFont="1" applyBorder="1" applyAlignment="1">
      <alignment horizontal="center" vertical="center"/>
    </xf>
    <xf numFmtId="0" fontId="25" fillId="0" borderId="13" xfId="2" applyFont="1" applyBorder="1" applyAlignment="1">
      <alignment horizontal="center" vertical="center"/>
    </xf>
    <xf numFmtId="0" fontId="25" fillId="0" borderId="38" xfId="2" applyFont="1" applyBorder="1" applyAlignment="1">
      <alignment horizontal="center"/>
    </xf>
    <xf numFmtId="0" fontId="25" fillId="0" borderId="27" xfId="2" applyFont="1" applyBorder="1" applyAlignment="1">
      <alignment horizontal="center"/>
    </xf>
    <xf numFmtId="0" fontId="30" fillId="0" borderId="31" xfId="0" applyFont="1" applyBorder="1" applyAlignment="1">
      <alignment horizontal="center"/>
    </xf>
    <xf numFmtId="0" fontId="30" fillId="0" borderId="44" xfId="0" applyFont="1" applyBorder="1" applyAlignment="1">
      <alignment horizontal="center"/>
    </xf>
    <xf numFmtId="0" fontId="27" fillId="0" borderId="12" xfId="2" applyFont="1" applyBorder="1" applyAlignment="1">
      <alignment horizontal="center"/>
    </xf>
    <xf numFmtId="0" fontId="27" fillId="0" borderId="13" xfId="2" applyFont="1" applyBorder="1" applyAlignment="1">
      <alignment horizontal="center"/>
    </xf>
    <xf numFmtId="0" fontId="27" fillId="0" borderId="19" xfId="2" applyFont="1" applyBorder="1" applyAlignment="1">
      <alignment horizontal="center"/>
    </xf>
    <xf numFmtId="0" fontId="27" fillId="0" borderId="20" xfId="2" applyFont="1" applyBorder="1" applyAlignment="1">
      <alignment horizontal="center"/>
    </xf>
    <xf numFmtId="0" fontId="26" fillId="0" borderId="21" xfId="2" applyFont="1" applyBorder="1" applyAlignment="1">
      <alignment horizontal="center" vertical="center"/>
    </xf>
    <xf numFmtId="0" fontId="26" fillId="0" borderId="25" xfId="2" applyFont="1" applyBorder="1" applyAlignment="1">
      <alignment horizontal="center" vertical="center"/>
    </xf>
    <xf numFmtId="3" fontId="23" fillId="0" borderId="16" xfId="2" applyNumberFormat="1" applyFont="1" applyBorder="1" applyAlignment="1">
      <alignment horizontal="center" vertical="center"/>
    </xf>
    <xf numFmtId="3" fontId="23" fillId="0" borderId="40" xfId="2" applyNumberFormat="1" applyFont="1" applyBorder="1" applyAlignment="1">
      <alignment horizontal="center" vertical="center"/>
    </xf>
    <xf numFmtId="0" fontId="30" fillId="0" borderId="26" xfId="0" applyFont="1" applyBorder="1" applyAlignment="1">
      <alignment horizontal="center"/>
    </xf>
    <xf numFmtId="0" fontId="30" fillId="0" borderId="43" xfId="0" applyFont="1" applyBorder="1" applyAlignment="1">
      <alignment horizontal="center"/>
    </xf>
    <xf numFmtId="0" fontId="25" fillId="0" borderId="16" xfId="2" applyFont="1" applyBorder="1" applyAlignment="1">
      <alignment horizontal="center"/>
    </xf>
    <xf numFmtId="0" fontId="25" fillId="0" borderId="58" xfId="2" applyFont="1" applyBorder="1" applyAlignment="1">
      <alignment horizontal="center"/>
    </xf>
    <xf numFmtId="0" fontId="30" fillId="0" borderId="59" xfId="0" applyFont="1" applyBorder="1"/>
    <xf numFmtId="0" fontId="30" fillId="0" borderId="60" xfId="0" applyFont="1" applyBorder="1"/>
    <xf numFmtId="0" fontId="25" fillId="0" borderId="61" xfId="2" applyFont="1" applyBorder="1" applyAlignment="1">
      <alignment horizontal="center" vertical="center"/>
    </xf>
    <xf numFmtId="9" fontId="23" fillId="0" borderId="62" xfId="117" applyFont="1" applyBorder="1" applyAlignment="1">
      <alignment horizontal="center" vertical="center"/>
    </xf>
    <xf numFmtId="0" fontId="27" fillId="0" borderId="63" xfId="2" applyFont="1" applyBorder="1" applyAlignment="1">
      <alignment horizontal="center" vertical="center"/>
    </xf>
    <xf numFmtId="0" fontId="29" fillId="0" borderId="60" xfId="2" applyFont="1" applyBorder="1" applyAlignment="1">
      <alignment horizontal="center" vertical="center"/>
    </xf>
    <xf numFmtId="0" fontId="25" fillId="0" borderId="23" xfId="2" applyFont="1" applyBorder="1" applyAlignment="1">
      <alignment horizontal="center"/>
    </xf>
    <xf numFmtId="0" fontId="25" fillId="0" borderId="42" xfId="2" applyFont="1" applyBorder="1" applyAlignment="1">
      <alignment horizontal="center"/>
    </xf>
    <xf numFmtId="0" fontId="27" fillId="0" borderId="33" xfId="2" applyFont="1" applyBorder="1" applyAlignment="1">
      <alignment horizontal="center" vertical="center"/>
    </xf>
    <xf numFmtId="3" fontId="32" fillId="0" borderId="33" xfId="118" applyNumberFormat="1" applyFont="1" applyBorder="1"/>
    <xf numFmtId="0" fontId="24" fillId="0" borderId="23" xfId="2" applyFont="1" applyBorder="1" applyAlignment="1">
      <alignment horizontal="center"/>
    </xf>
    <xf numFmtId="0" fontId="24" fillId="0" borderId="50" xfId="2" applyFont="1" applyBorder="1" applyAlignment="1">
      <alignment horizontal="center"/>
    </xf>
    <xf numFmtId="0" fontId="24" fillId="0" borderId="42" xfId="2" applyFont="1" applyBorder="1" applyAlignment="1">
      <alignment horizontal="center"/>
    </xf>
    <xf numFmtId="9" fontId="23" fillId="0" borderId="55" xfId="117" applyFont="1" applyBorder="1" applyAlignment="1">
      <alignment horizontal="center" vertical="center"/>
    </xf>
    <xf numFmtId="0" fontId="30" fillId="0" borderId="63" xfId="0" applyFont="1" applyBorder="1"/>
    <xf numFmtId="3" fontId="23" fillId="0" borderId="48" xfId="2" applyNumberFormat="1" applyFont="1" applyBorder="1" applyAlignment="1">
      <alignment horizontal="center" vertical="center"/>
    </xf>
    <xf numFmtId="3" fontId="23" fillId="0" borderId="12" xfId="117" applyNumberFormat="1" applyFont="1" applyBorder="1" applyAlignment="1">
      <alignment horizontal="center" vertical="center"/>
    </xf>
    <xf numFmtId="3" fontId="23" fillId="0" borderId="17" xfId="117" applyNumberFormat="1" applyFont="1" applyBorder="1" applyAlignment="1">
      <alignment horizontal="center" vertical="center"/>
    </xf>
    <xf numFmtId="0" fontId="23" fillId="0" borderId="14" xfId="117" applyNumberFormat="1" applyFont="1" applyBorder="1" applyAlignment="1">
      <alignment horizontal="center" vertical="center"/>
    </xf>
    <xf numFmtId="9" fontId="23" fillId="0" borderId="61" xfId="117" applyFont="1" applyBorder="1" applyAlignment="1">
      <alignment horizontal="center" vertical="center"/>
    </xf>
    <xf numFmtId="3" fontId="23" fillId="0" borderId="58" xfId="2" applyNumberFormat="1" applyFont="1" applyBorder="1" applyAlignment="1">
      <alignment horizontal="center" vertical="center"/>
    </xf>
    <xf numFmtId="0" fontId="23" fillId="0" borderId="17" xfId="117" applyNumberFormat="1" applyFont="1" applyBorder="1" applyAlignment="1">
      <alignment horizontal="center" vertical="center"/>
    </xf>
    <xf numFmtId="0" fontId="27" fillId="0" borderId="64" xfId="2" applyFont="1" applyBorder="1" applyAlignment="1">
      <alignment horizontal="center" vertical="center"/>
    </xf>
    <xf numFmtId="0" fontId="23" fillId="0" borderId="56" xfId="117" applyNumberFormat="1" applyFont="1" applyBorder="1" applyAlignment="1">
      <alignment horizontal="center" vertical="center"/>
    </xf>
    <xf numFmtId="0" fontId="25" fillId="0" borderId="65" xfId="2" applyFont="1" applyBorder="1" applyAlignment="1">
      <alignment horizontal="center" vertical="center"/>
    </xf>
    <xf numFmtId="0" fontId="25" fillId="0" borderId="24" xfId="2" applyFont="1" applyBorder="1" applyAlignment="1">
      <alignment horizontal="center" vertical="center"/>
    </xf>
    <xf numFmtId="0" fontId="23" fillId="0" borderId="52" xfId="2" applyFont="1" applyBorder="1" applyAlignment="1">
      <alignment horizontal="center" vertical="center"/>
    </xf>
    <xf numFmtId="0" fontId="25" fillId="0" borderId="23" xfId="2" applyFont="1" applyBorder="1" applyAlignment="1">
      <alignment horizontal="center" vertical="center"/>
    </xf>
    <xf numFmtId="0" fontId="25" fillId="0" borderId="42" xfId="2" applyFont="1" applyBorder="1" applyAlignment="1">
      <alignment horizontal="center" vertical="center"/>
    </xf>
    <xf numFmtId="171" fontId="23" fillId="0" borderId="12" xfId="120" applyNumberFormat="1" applyFont="1" applyBorder="1" applyAlignment="1">
      <alignment horizontal="center" vertical="center"/>
    </xf>
    <xf numFmtId="171" fontId="23" fillId="0" borderId="17" xfId="120" applyNumberFormat="1" applyFont="1" applyBorder="1" applyAlignment="1">
      <alignment horizontal="center" vertical="center"/>
    </xf>
    <xf numFmtId="171" fontId="23" fillId="0" borderId="14" xfId="120" applyNumberFormat="1" applyFont="1" applyBorder="1" applyAlignment="1">
      <alignment horizontal="center" vertical="center"/>
    </xf>
    <xf numFmtId="171" fontId="23" fillId="0" borderId="25" xfId="120" applyNumberFormat="1" applyFont="1" applyBorder="1" applyAlignment="1">
      <alignment horizontal="center" vertical="center"/>
    </xf>
  </cellXfs>
  <cellStyles count="121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" xfId="120" builtinId="3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colors>
    <mruColors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Access.xlsx]gender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AY</a:t>
            </a:r>
            <a:r>
              <a:rPr lang="en-US" baseline="0"/>
              <a:t> Unique Headcount by Gender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dLbl>
          <c:idx val="0"/>
          <c:layout>
            <c:manualLayout>
              <c:x val="-8.0675933496865637E-2"/>
              <c:y val="-0.60581098357204088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1"/>
        <c:dLbl>
          <c:idx val="0"/>
          <c:layout>
            <c:manualLayout>
              <c:x val="-7.9585718179340417E-2"/>
              <c:y val="-0.48867532511702405"/>
            </c:manualLayout>
          </c:layout>
          <c:numFmt formatCode="0.00%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2"/>
        <c:dLbl>
          <c:idx val="0"/>
          <c:layout>
            <c:manualLayout>
              <c:x val="-2.616516762060507E-2"/>
              <c:y val="-0.17021275369244654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3"/>
        <c:dLbl>
          <c:idx val="0"/>
          <c:layout>
            <c:manualLayout>
              <c:x val="-1.0902153175252113E-2"/>
              <c:y val="-0.27819718883066535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4"/>
        <c:dLbl>
          <c:idx val="0"/>
          <c:layout>
            <c:manualLayout>
              <c:x val="-3.2706459525756338E-3"/>
              <c:y val="-0.17753373234588513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5"/>
        <c:dLbl>
          <c:idx val="0"/>
          <c:layout>
            <c:manualLayout>
              <c:x val="-8.7217225402016901E-3"/>
              <c:y val="-6.5888807880947059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5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6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marker>
          <c:symbol val="none"/>
        </c:marker>
      </c:pivotFmt>
      <c:pivotFmt>
        <c:idx val="74"/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'gender graph'!$AB$1:$AB$2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graph'!$AB$3:$AB$7</c:f>
              <c:numCache>
                <c:formatCode>General</c:formatCode>
                <c:ptCount val="5"/>
                <c:pt idx="0">
                  <c:v>12909</c:v>
                </c:pt>
                <c:pt idx="1">
                  <c:v>14479</c:v>
                </c:pt>
                <c:pt idx="2">
                  <c:v>13953</c:v>
                </c:pt>
                <c:pt idx="3">
                  <c:v>12000</c:v>
                </c:pt>
                <c:pt idx="4">
                  <c:v>11055</c:v>
                </c:pt>
              </c:numCache>
            </c:numRef>
          </c:val>
        </c:ser>
        <c:ser>
          <c:idx val="1"/>
          <c:order val="1"/>
          <c:tx>
            <c:strRef>
              <c:f>'gender graph'!$AC$1:$AC$2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graph'!$AC$3:$AC$7</c:f>
              <c:numCache>
                <c:formatCode>General</c:formatCode>
                <c:ptCount val="5"/>
                <c:pt idx="0">
                  <c:v>8196</c:v>
                </c:pt>
                <c:pt idx="1">
                  <c:v>9592</c:v>
                </c:pt>
                <c:pt idx="2">
                  <c:v>9853</c:v>
                </c:pt>
                <c:pt idx="3">
                  <c:v>8784</c:v>
                </c:pt>
                <c:pt idx="4">
                  <c:v>8299</c:v>
                </c:pt>
              </c:numCache>
            </c:numRef>
          </c:val>
        </c:ser>
        <c:ser>
          <c:idx val="2"/>
          <c:order val="2"/>
          <c:tx>
            <c:strRef>
              <c:f>'gender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graph'!$AD$3:$AD$7</c:f>
              <c:numCache>
                <c:formatCode>General</c:formatCode>
                <c:ptCount val="5"/>
                <c:pt idx="0">
                  <c:v>192</c:v>
                </c:pt>
                <c:pt idx="1">
                  <c:v>338</c:v>
                </c:pt>
                <c:pt idx="2">
                  <c:v>261</c:v>
                </c:pt>
                <c:pt idx="3">
                  <c:v>228</c:v>
                </c:pt>
                <c:pt idx="4">
                  <c:v>180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8197632"/>
        <c:axId val="198199552"/>
      </c:barChart>
      <c:catAx>
        <c:axId val="198197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198199552"/>
        <c:crosses val="autoZero"/>
        <c:auto val="1"/>
        <c:lblAlgn val="ctr"/>
        <c:lblOffset val="100"/>
        <c:noMultiLvlLbl val="0"/>
      </c:catAx>
      <c:valAx>
        <c:axId val="198199552"/>
        <c:scaling>
          <c:orientation val="minMax"/>
          <c:max val="25000"/>
        </c:scaling>
        <c:delete val="0"/>
        <c:axPos val="l"/>
        <c:majorGridlines>
          <c:spPr>
            <a:ln w="12700">
              <a:solidFill>
                <a:schemeClr val="tx1"/>
              </a:solidFill>
            </a:ln>
          </c:spPr>
        </c:majorGridlines>
        <c:minorGridlines>
          <c:spPr>
            <a:ln w="3175"/>
          </c:spPr>
        </c:min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  <a:endParaRPr lang="en-US" baseline="0"/>
              </a:p>
              <a:p>
                <a:pPr>
                  <a:defRPr/>
                </a:pPr>
                <a:r>
                  <a:rPr lang="en-US" baseline="0"/>
                  <a:t>Headcount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440456681410961E-2"/>
              <c:y val="0.4998403807074416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81976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Access.xlsx]ethnicity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Ethnicity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'ethnicity graph'!$AB$1:$AB$2</c:f>
              <c:strCache>
                <c:ptCount val="1"/>
                <c:pt idx="0">
                  <c:v>White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graph'!$AB$3:$AB$7</c:f>
              <c:numCache>
                <c:formatCode>General</c:formatCode>
                <c:ptCount val="5"/>
                <c:pt idx="0">
                  <c:v>9963</c:v>
                </c:pt>
                <c:pt idx="1">
                  <c:v>10935</c:v>
                </c:pt>
                <c:pt idx="2">
                  <c:v>10427</c:v>
                </c:pt>
                <c:pt idx="3">
                  <c:v>8877</c:v>
                </c:pt>
                <c:pt idx="4">
                  <c:v>7806</c:v>
                </c:pt>
              </c:numCache>
            </c:numRef>
          </c:val>
        </c:ser>
        <c:ser>
          <c:idx val="1"/>
          <c:order val="1"/>
          <c:tx>
            <c:strRef>
              <c:f>'ethnicity graph'!$AC$1:$AC$2</c:f>
              <c:strCache>
                <c:ptCount val="1"/>
                <c:pt idx="0">
                  <c:v>Hispanic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graph'!$AC$3:$AC$7</c:f>
              <c:numCache>
                <c:formatCode>General</c:formatCode>
                <c:ptCount val="5"/>
                <c:pt idx="0">
                  <c:v>6040</c:v>
                </c:pt>
                <c:pt idx="1">
                  <c:v>7149</c:v>
                </c:pt>
                <c:pt idx="2">
                  <c:v>7520</c:v>
                </c:pt>
                <c:pt idx="3">
                  <c:v>7022</c:v>
                </c:pt>
                <c:pt idx="4">
                  <c:v>7295</c:v>
                </c:pt>
              </c:numCache>
            </c:numRef>
          </c:val>
        </c:ser>
        <c:ser>
          <c:idx val="2"/>
          <c:order val="2"/>
          <c:tx>
            <c:strRef>
              <c:f>'ethnicity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graph'!$AD$3:$AD$7</c:f>
              <c:numCache>
                <c:formatCode>General</c:formatCode>
                <c:ptCount val="5"/>
                <c:pt idx="0">
                  <c:v>1590</c:v>
                </c:pt>
                <c:pt idx="1">
                  <c:v>1935</c:v>
                </c:pt>
                <c:pt idx="2">
                  <c:v>1690</c:v>
                </c:pt>
                <c:pt idx="3">
                  <c:v>1079</c:v>
                </c:pt>
                <c:pt idx="4">
                  <c:v>710</c:v>
                </c:pt>
              </c:numCache>
            </c:numRef>
          </c:val>
        </c:ser>
        <c:ser>
          <c:idx val="3"/>
          <c:order val="3"/>
          <c:tx>
            <c:strRef>
              <c:f>'ethnicity graph'!$AE$1:$AE$2</c:f>
              <c:strCache>
                <c:ptCount val="1"/>
                <c:pt idx="0">
                  <c:v>African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graph'!$AE$3:$AE$7</c:f>
              <c:numCache>
                <c:formatCode>General</c:formatCode>
                <c:ptCount val="5"/>
                <c:pt idx="0">
                  <c:v>1547</c:v>
                </c:pt>
                <c:pt idx="1">
                  <c:v>1956</c:v>
                </c:pt>
                <c:pt idx="2">
                  <c:v>1913</c:v>
                </c:pt>
                <c:pt idx="3">
                  <c:v>1641</c:v>
                </c:pt>
                <c:pt idx="4">
                  <c:v>1507</c:v>
                </c:pt>
              </c:numCache>
            </c:numRef>
          </c:val>
        </c:ser>
        <c:ser>
          <c:idx val="4"/>
          <c:order val="4"/>
          <c:tx>
            <c:strRef>
              <c:f>'ethnicity graph'!$AF$1:$AF$2</c:f>
              <c:strCache>
                <c:ptCount val="1"/>
                <c:pt idx="0">
                  <c:v>Filipino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graph'!$AF$3:$AF$7</c:f>
              <c:numCache>
                <c:formatCode>General</c:formatCode>
                <c:ptCount val="5"/>
                <c:pt idx="0">
                  <c:v>813</c:v>
                </c:pt>
                <c:pt idx="1">
                  <c:v>840</c:v>
                </c:pt>
                <c:pt idx="2">
                  <c:v>816</c:v>
                </c:pt>
                <c:pt idx="3">
                  <c:v>671</c:v>
                </c:pt>
                <c:pt idx="4">
                  <c:v>599</c:v>
                </c:pt>
              </c:numCache>
            </c:numRef>
          </c:val>
        </c:ser>
        <c:ser>
          <c:idx val="5"/>
          <c:order val="5"/>
          <c:tx>
            <c:strRef>
              <c:f>'ethnicity graph'!$AG$1:$AG$2</c:f>
              <c:strCache>
                <c:ptCount val="1"/>
                <c:pt idx="0">
                  <c:v>Asian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graph'!$AG$3:$AG$7</c:f>
              <c:numCache>
                <c:formatCode>General</c:formatCode>
                <c:ptCount val="5"/>
                <c:pt idx="0">
                  <c:v>609</c:v>
                </c:pt>
                <c:pt idx="1">
                  <c:v>718</c:v>
                </c:pt>
                <c:pt idx="2">
                  <c:v>635</c:v>
                </c:pt>
                <c:pt idx="3">
                  <c:v>583</c:v>
                </c:pt>
                <c:pt idx="4">
                  <c:v>478</c:v>
                </c:pt>
              </c:numCache>
            </c:numRef>
          </c:val>
        </c:ser>
        <c:ser>
          <c:idx val="6"/>
          <c:order val="6"/>
          <c:tx>
            <c:strRef>
              <c:f>'ethnicity graph'!$AH$1:$AH$2</c:f>
              <c:strCache>
                <c:ptCount val="1"/>
                <c:pt idx="0">
                  <c:v>Multi-Race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graph'!$AH$3:$AH$7</c:f>
              <c:numCache>
                <c:formatCode>General</c:formatCode>
                <c:ptCount val="5"/>
                <c:pt idx="0">
                  <c:v>330</c:v>
                </c:pt>
                <c:pt idx="1">
                  <c:v>399</c:v>
                </c:pt>
                <c:pt idx="2">
                  <c:v>657</c:v>
                </c:pt>
                <c:pt idx="3">
                  <c:v>833</c:v>
                </c:pt>
                <c:pt idx="4">
                  <c:v>908</c:v>
                </c:pt>
              </c:numCache>
            </c:numRef>
          </c:val>
        </c:ser>
        <c:ser>
          <c:idx val="7"/>
          <c:order val="7"/>
          <c:tx>
            <c:strRef>
              <c:f>'ethnicity graph'!$AI$1:$AI$2</c:f>
              <c:strCache>
                <c:ptCount val="1"/>
                <c:pt idx="0">
                  <c:v>Native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graph'!$AI$3:$AI$7</c:f>
              <c:numCache>
                <c:formatCode>General</c:formatCode>
                <c:ptCount val="5"/>
                <c:pt idx="0">
                  <c:v>254</c:v>
                </c:pt>
                <c:pt idx="1">
                  <c:v>294</c:v>
                </c:pt>
                <c:pt idx="2">
                  <c:v>250</c:v>
                </c:pt>
                <c:pt idx="3">
                  <c:v>182</c:v>
                </c:pt>
                <c:pt idx="4">
                  <c:v>141</c:v>
                </c:pt>
              </c:numCache>
            </c:numRef>
          </c:val>
        </c:ser>
        <c:ser>
          <c:idx val="8"/>
          <c:order val="8"/>
          <c:tx>
            <c:strRef>
              <c:f>'ethnicity graph'!$AJ$1:$AJ$2</c:f>
              <c:strCache>
                <c:ptCount val="1"/>
                <c:pt idx="0">
                  <c:v>Pacific Islander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graph'!$AJ$3:$AJ$7</c:f>
              <c:numCache>
                <c:formatCode>General</c:formatCode>
                <c:ptCount val="5"/>
                <c:pt idx="0">
                  <c:v>151</c:v>
                </c:pt>
                <c:pt idx="1">
                  <c:v>183</c:v>
                </c:pt>
                <c:pt idx="2">
                  <c:v>159</c:v>
                </c:pt>
                <c:pt idx="3">
                  <c:v>124</c:v>
                </c:pt>
                <c:pt idx="4">
                  <c:v>90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8371200"/>
        <c:axId val="198254592"/>
      </c:barChart>
      <c:catAx>
        <c:axId val="198371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198254592"/>
        <c:crosses val="autoZero"/>
        <c:auto val="1"/>
        <c:lblAlgn val="ctr"/>
        <c:lblOffset val="100"/>
        <c:noMultiLvlLbl val="0"/>
      </c:catAx>
      <c:valAx>
        <c:axId val="198254592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83712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Access.xlsx]age graph!PivotTable3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Age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'age graph'!$AB$1:$AB$2</c:f>
              <c:strCache>
                <c:ptCount val="1"/>
                <c:pt idx="0">
                  <c:v>&lt;18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graph'!$AB$3:$AB$7</c:f>
              <c:numCache>
                <c:formatCode>General</c:formatCode>
                <c:ptCount val="5"/>
                <c:pt idx="0">
                  <c:v>733</c:v>
                </c:pt>
                <c:pt idx="1">
                  <c:v>1026</c:v>
                </c:pt>
                <c:pt idx="2">
                  <c:v>743</c:v>
                </c:pt>
                <c:pt idx="3">
                  <c:v>336</c:v>
                </c:pt>
                <c:pt idx="4">
                  <c:v>196</c:v>
                </c:pt>
              </c:numCache>
            </c:numRef>
          </c:val>
        </c:ser>
        <c:ser>
          <c:idx val="1"/>
          <c:order val="1"/>
          <c:tx>
            <c:strRef>
              <c:f>'age graph'!$AC$1:$AC$2</c:f>
              <c:strCache>
                <c:ptCount val="1"/>
                <c:pt idx="0">
                  <c:v>18 &amp; 19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graph'!$AC$3:$AC$7</c:f>
              <c:numCache>
                <c:formatCode>General</c:formatCode>
                <c:ptCount val="5"/>
                <c:pt idx="0">
                  <c:v>4893</c:v>
                </c:pt>
                <c:pt idx="1">
                  <c:v>5828</c:v>
                </c:pt>
                <c:pt idx="2">
                  <c:v>5660</c:v>
                </c:pt>
                <c:pt idx="3">
                  <c:v>4488</c:v>
                </c:pt>
                <c:pt idx="4">
                  <c:v>4057</c:v>
                </c:pt>
              </c:numCache>
            </c:numRef>
          </c:val>
        </c:ser>
        <c:ser>
          <c:idx val="2"/>
          <c:order val="2"/>
          <c:tx>
            <c:strRef>
              <c:f>'age graph'!$AD$1:$AD$2</c:f>
              <c:strCache>
                <c:ptCount val="1"/>
                <c:pt idx="0">
                  <c:v>20 to 24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graph'!$AD$3:$AD$7</c:f>
              <c:numCache>
                <c:formatCode>General</c:formatCode>
                <c:ptCount val="5"/>
                <c:pt idx="0">
                  <c:v>6750</c:v>
                </c:pt>
                <c:pt idx="1">
                  <c:v>7632</c:v>
                </c:pt>
                <c:pt idx="2">
                  <c:v>7750</c:v>
                </c:pt>
                <c:pt idx="3">
                  <c:v>7563</c:v>
                </c:pt>
                <c:pt idx="4">
                  <c:v>7524</c:v>
                </c:pt>
              </c:numCache>
            </c:numRef>
          </c:val>
        </c:ser>
        <c:ser>
          <c:idx val="3"/>
          <c:order val="3"/>
          <c:tx>
            <c:strRef>
              <c:f>'age graph'!$AE$1:$AE$2</c:f>
              <c:strCache>
                <c:ptCount val="1"/>
                <c:pt idx="0">
                  <c:v>25 to 29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graph'!$AE$3:$AE$7</c:f>
              <c:numCache>
                <c:formatCode>General</c:formatCode>
                <c:ptCount val="5"/>
                <c:pt idx="0">
                  <c:v>2617</c:v>
                </c:pt>
                <c:pt idx="1">
                  <c:v>2960</c:v>
                </c:pt>
                <c:pt idx="2">
                  <c:v>3092</c:v>
                </c:pt>
                <c:pt idx="3">
                  <c:v>2847</c:v>
                </c:pt>
                <c:pt idx="4">
                  <c:v>2625</c:v>
                </c:pt>
              </c:numCache>
            </c:numRef>
          </c:val>
        </c:ser>
        <c:ser>
          <c:idx val="4"/>
          <c:order val="4"/>
          <c:tx>
            <c:strRef>
              <c:f>'age graph'!$AF$1:$AF$2</c:f>
              <c:strCache>
                <c:ptCount val="1"/>
                <c:pt idx="0">
                  <c:v>30 to 34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graph'!$AF$3:$AF$7</c:f>
              <c:numCache>
                <c:formatCode>General</c:formatCode>
                <c:ptCount val="5"/>
                <c:pt idx="0">
                  <c:v>1668</c:v>
                </c:pt>
                <c:pt idx="1">
                  <c:v>1886</c:v>
                </c:pt>
                <c:pt idx="2">
                  <c:v>1849</c:v>
                </c:pt>
                <c:pt idx="3">
                  <c:v>1632</c:v>
                </c:pt>
                <c:pt idx="4">
                  <c:v>1536</c:v>
                </c:pt>
              </c:numCache>
            </c:numRef>
          </c:val>
        </c:ser>
        <c:ser>
          <c:idx val="5"/>
          <c:order val="5"/>
          <c:tx>
            <c:strRef>
              <c:f>'age graph'!$AG$1:$AG$2</c:f>
              <c:strCache>
                <c:ptCount val="1"/>
                <c:pt idx="0">
                  <c:v>35 to 39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graph'!$AG$3:$AG$7</c:f>
              <c:numCache>
                <c:formatCode>General</c:formatCode>
                <c:ptCount val="5"/>
                <c:pt idx="0">
                  <c:v>1354</c:v>
                </c:pt>
                <c:pt idx="1">
                  <c:v>1507</c:v>
                </c:pt>
                <c:pt idx="2">
                  <c:v>1438</c:v>
                </c:pt>
                <c:pt idx="3">
                  <c:v>1186</c:v>
                </c:pt>
                <c:pt idx="4">
                  <c:v>1074</c:v>
                </c:pt>
              </c:numCache>
            </c:numRef>
          </c:val>
        </c:ser>
        <c:ser>
          <c:idx val="6"/>
          <c:order val="6"/>
          <c:tx>
            <c:strRef>
              <c:f>'age graph'!$AH$1:$AH$2</c:f>
              <c:strCache>
                <c:ptCount val="1"/>
                <c:pt idx="0">
                  <c:v>40 to 49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graph'!$AH$3:$AH$7</c:f>
              <c:numCache>
                <c:formatCode>General</c:formatCode>
                <c:ptCount val="5"/>
                <c:pt idx="0">
                  <c:v>2065</c:v>
                </c:pt>
                <c:pt idx="1">
                  <c:v>2241</c:v>
                </c:pt>
                <c:pt idx="2">
                  <c:v>2282</c:v>
                </c:pt>
                <c:pt idx="3">
                  <c:v>1900</c:v>
                </c:pt>
                <c:pt idx="4">
                  <c:v>1573</c:v>
                </c:pt>
              </c:numCache>
            </c:numRef>
          </c:val>
        </c:ser>
        <c:ser>
          <c:idx val="7"/>
          <c:order val="7"/>
          <c:tx>
            <c:strRef>
              <c:f>'age graph'!$AI$1:$AI$2</c:f>
              <c:strCache>
                <c:ptCount val="1"/>
                <c:pt idx="0">
                  <c:v>50 +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graph'!$AI$3:$AI$7</c:f>
              <c:numCache>
                <c:formatCode>General</c:formatCode>
                <c:ptCount val="5"/>
                <c:pt idx="0">
                  <c:v>1213</c:v>
                </c:pt>
                <c:pt idx="1">
                  <c:v>1329</c:v>
                </c:pt>
                <c:pt idx="2">
                  <c:v>1250</c:v>
                </c:pt>
                <c:pt idx="3">
                  <c:v>1058</c:v>
                </c:pt>
                <c:pt idx="4">
                  <c:v>947</c:v>
                </c:pt>
              </c:numCache>
            </c:numRef>
          </c:val>
        </c:ser>
        <c:ser>
          <c:idx val="8"/>
          <c:order val="8"/>
          <c:tx>
            <c:strRef>
              <c:f>'age graph'!$AJ$1:$AJ$2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graph'!$AJ$3:$AJ$7</c:f>
              <c:numCache>
                <c:formatCode>General</c:formatCode>
                <c:ptCount val="5"/>
                <c:pt idx="0">
                  <c:v>4</c:v>
                </c:pt>
                <c:pt idx="1">
                  <c:v>0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8400256"/>
        <c:axId val="198427008"/>
      </c:barChart>
      <c:catAx>
        <c:axId val="198400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198427008"/>
        <c:crosses val="autoZero"/>
        <c:auto val="1"/>
        <c:lblAlgn val="ctr"/>
        <c:lblOffset val="100"/>
        <c:noMultiLvlLbl val="0"/>
      </c:catAx>
      <c:valAx>
        <c:axId val="198427008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8400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200024</xdr:colOff>
      <xdr:row>0</xdr:row>
      <xdr:rowOff>119061</xdr:rowOff>
    </xdr:from>
    <xdr:to>
      <xdr:col>16</xdr:col>
      <xdr:colOff>323850</xdr:colOff>
      <xdr:row>38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0</xdr:row>
      <xdr:rowOff>47625</xdr:rowOff>
    </xdr:from>
    <xdr:to>
      <xdr:col>16</xdr:col>
      <xdr:colOff>1028700</xdr:colOff>
      <xdr:row>39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0</xdr:row>
      <xdr:rowOff>66674</xdr:rowOff>
    </xdr:from>
    <xdr:to>
      <xdr:col>24</xdr:col>
      <xdr:colOff>600075</xdr:colOff>
      <xdr:row>40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age%20pivo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DSPS\BASE\IREQUITYDSPSSTUDENTS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gender%20pivot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Ethnic%20pivo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age headcounts"/>
      <sheetName val="average age"/>
      <sheetName val="median age"/>
      <sheetName val="Sheet3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&lt;18</v>
          </cell>
          <cell r="B5">
            <v>733</v>
          </cell>
          <cell r="C5">
            <v>1026</v>
          </cell>
          <cell r="D5">
            <v>743</v>
          </cell>
          <cell r="E5">
            <v>336</v>
          </cell>
          <cell r="F5">
            <v>196</v>
          </cell>
          <cell r="G5">
            <v>3034</v>
          </cell>
        </row>
        <row r="6">
          <cell r="A6" t="str">
            <v>18 &amp; 19</v>
          </cell>
          <cell r="B6">
            <v>4893</v>
          </cell>
          <cell r="C6">
            <v>5828</v>
          </cell>
          <cell r="D6">
            <v>5660</v>
          </cell>
          <cell r="E6">
            <v>4488</v>
          </cell>
          <cell r="F6">
            <v>4057</v>
          </cell>
          <cell r="G6">
            <v>24926</v>
          </cell>
        </row>
        <row r="7">
          <cell r="A7" t="str">
            <v>20 to 24</v>
          </cell>
          <cell r="B7">
            <v>6750</v>
          </cell>
          <cell r="C7">
            <v>7632</v>
          </cell>
          <cell r="D7">
            <v>7750</v>
          </cell>
          <cell r="E7">
            <v>7563</v>
          </cell>
          <cell r="F7">
            <v>7524</v>
          </cell>
          <cell r="G7">
            <v>37219</v>
          </cell>
        </row>
        <row r="8">
          <cell r="A8" t="str">
            <v>25 to 29</v>
          </cell>
          <cell r="B8">
            <v>2617</v>
          </cell>
          <cell r="C8">
            <v>2960</v>
          </cell>
          <cell r="D8">
            <v>3092</v>
          </cell>
          <cell r="E8">
            <v>2847</v>
          </cell>
          <cell r="F8">
            <v>2625</v>
          </cell>
          <cell r="G8">
            <v>14141</v>
          </cell>
        </row>
        <row r="9">
          <cell r="A9" t="str">
            <v>30 to 34</v>
          </cell>
          <cell r="B9">
            <v>1668</v>
          </cell>
          <cell r="C9">
            <v>1886</v>
          </cell>
          <cell r="D9">
            <v>1849</v>
          </cell>
          <cell r="E9">
            <v>1632</v>
          </cell>
          <cell r="F9">
            <v>1536</v>
          </cell>
          <cell r="G9">
            <v>8571</v>
          </cell>
        </row>
        <row r="10">
          <cell r="A10" t="str">
            <v>35 to 39</v>
          </cell>
          <cell r="B10">
            <v>1354</v>
          </cell>
          <cell r="C10">
            <v>1507</v>
          </cell>
          <cell r="D10">
            <v>1438</v>
          </cell>
          <cell r="E10">
            <v>1186</v>
          </cell>
          <cell r="F10">
            <v>1074</v>
          </cell>
          <cell r="G10">
            <v>6559</v>
          </cell>
        </row>
        <row r="11">
          <cell r="A11" t="str">
            <v>40 to 49</v>
          </cell>
          <cell r="B11">
            <v>2065</v>
          </cell>
          <cell r="C11">
            <v>2241</v>
          </cell>
          <cell r="D11">
            <v>2282</v>
          </cell>
          <cell r="E11">
            <v>1900</v>
          </cell>
          <cell r="F11">
            <v>1573</v>
          </cell>
          <cell r="G11">
            <v>10061</v>
          </cell>
        </row>
        <row r="12">
          <cell r="A12" t="str">
            <v>50 +</v>
          </cell>
          <cell r="B12">
            <v>1213</v>
          </cell>
          <cell r="C12">
            <v>1329</v>
          </cell>
          <cell r="D12">
            <v>1250</v>
          </cell>
          <cell r="E12">
            <v>1058</v>
          </cell>
          <cell r="F12">
            <v>947</v>
          </cell>
          <cell r="G12">
            <v>5797</v>
          </cell>
        </row>
        <row r="13">
          <cell r="A13" t="str">
            <v>unknown</v>
          </cell>
          <cell r="B13">
            <v>4</v>
          </cell>
          <cell r="C13">
            <v>0</v>
          </cell>
          <cell r="D13">
            <v>3</v>
          </cell>
          <cell r="E13">
            <v>2</v>
          </cell>
          <cell r="F13">
            <v>2</v>
          </cell>
          <cell r="G13">
            <v>11</v>
          </cell>
        </row>
        <row r="14">
          <cell r="A14" t="str">
            <v>Grand Total</v>
          </cell>
          <cell r="B14">
            <v>21297</v>
          </cell>
          <cell r="C14">
            <v>24409</v>
          </cell>
          <cell r="D14">
            <v>24067</v>
          </cell>
          <cell r="E14">
            <v>21012</v>
          </cell>
          <cell r="F14">
            <v>19534</v>
          </cell>
          <cell r="G14">
            <v>110319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EQUITYDSPSSTUDENTS(1)"/>
      <sheetName val="Sheet1"/>
    </sheetNames>
    <sheetDataSet>
      <sheetData sheetId="0"/>
      <sheetData sheetId="1">
        <row r="1">
          <cell r="A1" t="str">
            <v>Row Labels</v>
          </cell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 t="str">
            <v>(blank)</v>
          </cell>
          <cell r="J1" t="str">
            <v>Grand Total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2006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  <cell r="H4">
            <v>2012</v>
          </cell>
          <cell r="I4" t="str">
            <v>(blank)</v>
          </cell>
          <cell r="J4" t="str">
            <v>Grand Total</v>
          </cell>
        </row>
        <row r="5">
          <cell r="A5" t="str">
            <v>DSPS</v>
          </cell>
          <cell r="B5">
            <v>406</v>
          </cell>
          <cell r="C5">
            <v>649</v>
          </cell>
          <cell r="D5">
            <v>963</v>
          </cell>
          <cell r="E5">
            <v>1178</v>
          </cell>
          <cell r="F5">
            <v>1155</v>
          </cell>
          <cell r="G5">
            <v>1132</v>
          </cell>
          <cell r="H5">
            <v>7</v>
          </cell>
          <cell r="I5">
            <v>0</v>
          </cell>
          <cell r="J5">
            <v>5490</v>
          </cell>
        </row>
        <row r="6">
          <cell r="A6" t="str">
            <v>Grand Total</v>
          </cell>
          <cell r="B6">
            <v>406</v>
          </cell>
          <cell r="C6">
            <v>649</v>
          </cell>
          <cell r="D6">
            <v>963</v>
          </cell>
          <cell r="E6">
            <v>1178</v>
          </cell>
          <cell r="F6">
            <v>1155</v>
          </cell>
          <cell r="G6">
            <v>1132</v>
          </cell>
          <cell r="H6">
            <v>7</v>
          </cell>
          <cell r="I6">
            <v>0</v>
          </cell>
          <cell r="J6">
            <v>5490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gender heads"/>
      <sheetName val="gender rate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Heads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M</v>
          </cell>
          <cell r="B5">
            <v>8196</v>
          </cell>
          <cell r="C5">
            <v>9592</v>
          </cell>
          <cell r="D5">
            <v>9853</v>
          </cell>
          <cell r="E5">
            <v>8784</v>
          </cell>
          <cell r="F5">
            <v>8299</v>
          </cell>
          <cell r="G5">
            <v>44724</v>
          </cell>
        </row>
        <row r="6">
          <cell r="A6" t="str">
            <v>F</v>
          </cell>
          <cell r="B6">
            <v>12909</v>
          </cell>
          <cell r="C6">
            <v>14479</v>
          </cell>
          <cell r="D6">
            <v>13953</v>
          </cell>
          <cell r="E6">
            <v>12000</v>
          </cell>
          <cell r="F6">
            <v>11055</v>
          </cell>
          <cell r="G6">
            <v>64396</v>
          </cell>
        </row>
        <row r="7">
          <cell r="A7" t="str">
            <v>(blank)</v>
          </cell>
          <cell r="B7">
            <v>192</v>
          </cell>
          <cell r="C7">
            <v>338</v>
          </cell>
          <cell r="D7">
            <v>261</v>
          </cell>
          <cell r="E7">
            <v>228</v>
          </cell>
          <cell r="F7">
            <v>180</v>
          </cell>
          <cell r="G7">
            <v>1199</v>
          </cell>
        </row>
        <row r="8">
          <cell r="A8" t="str">
            <v>Grand Total</v>
          </cell>
          <cell r="B8">
            <v>21297</v>
          </cell>
          <cell r="C8">
            <v>24409</v>
          </cell>
          <cell r="D8">
            <v>24067</v>
          </cell>
          <cell r="E8">
            <v>21012</v>
          </cell>
          <cell r="F8">
            <v>19534</v>
          </cell>
          <cell r="G8">
            <v>110319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hispanic 1"/>
      <sheetName val="hispanic 2"/>
      <sheetName val="hispanic total"/>
      <sheetName val="Primary Races"/>
      <sheetName val="unknown"/>
      <sheetName val="multi race"/>
      <sheetName val="Sheet1"/>
    </sheetNames>
    <sheetDataSet>
      <sheetData sheetId="0"/>
      <sheetData sheetId="1"/>
      <sheetData sheetId="2"/>
      <sheetData sheetId="3">
        <row r="1">
          <cell r="A1" t="str">
            <v>Count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</row>
        <row r="3">
          <cell r="A3" t="str">
            <v>Count</v>
          </cell>
          <cell r="B3">
            <v>2007</v>
          </cell>
          <cell r="C3">
            <v>2008</v>
          </cell>
          <cell r="D3">
            <v>2009</v>
          </cell>
          <cell r="E3">
            <v>2010</v>
          </cell>
          <cell r="F3">
            <v>2011</v>
          </cell>
        </row>
        <row r="4">
          <cell r="A4" t="str">
            <v>Grand Total</v>
          </cell>
          <cell r="B4">
            <v>6016</v>
          </cell>
          <cell r="C4">
            <v>7120</v>
          </cell>
          <cell r="D4">
            <v>7310</v>
          </cell>
          <cell r="E4">
            <v>6806</v>
          </cell>
          <cell r="F4">
            <v>7097</v>
          </cell>
        </row>
        <row r="5">
          <cell r="A5" t="str">
            <v>Grand Total</v>
          </cell>
          <cell r="B5">
            <v>24</v>
          </cell>
          <cell r="C5">
            <v>29</v>
          </cell>
          <cell r="D5">
            <v>210</v>
          </cell>
          <cell r="E5">
            <v>216</v>
          </cell>
          <cell r="F5">
            <v>198</v>
          </cell>
        </row>
        <row r="6">
          <cell r="A6" t="str">
            <v>Hispanic</v>
          </cell>
          <cell r="B6">
            <v>6040</v>
          </cell>
          <cell r="C6">
            <v>7149</v>
          </cell>
          <cell r="D6">
            <v>7520</v>
          </cell>
          <cell r="E6">
            <v>7022</v>
          </cell>
          <cell r="F6">
            <v>7295</v>
          </cell>
        </row>
        <row r="7">
          <cell r="A7">
            <v>0</v>
          </cell>
        </row>
        <row r="8">
          <cell r="A8">
            <v>0</v>
          </cell>
        </row>
      </sheetData>
      <sheetData sheetId="4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W</v>
          </cell>
          <cell r="B5">
            <v>9963</v>
          </cell>
          <cell r="C5">
            <v>10935</v>
          </cell>
          <cell r="D5">
            <v>10427</v>
          </cell>
          <cell r="E5">
            <v>8877</v>
          </cell>
          <cell r="F5">
            <v>7806</v>
          </cell>
          <cell r="G5">
            <v>48008</v>
          </cell>
        </row>
        <row r="6">
          <cell r="A6" t="str">
            <v>B</v>
          </cell>
          <cell r="B6">
            <v>1547</v>
          </cell>
          <cell r="C6">
            <v>1956</v>
          </cell>
          <cell r="D6">
            <v>1913</v>
          </cell>
          <cell r="E6">
            <v>1641</v>
          </cell>
          <cell r="F6">
            <v>1507</v>
          </cell>
          <cell r="G6">
            <v>8564</v>
          </cell>
        </row>
        <row r="7">
          <cell r="A7" t="str">
            <v>A</v>
          </cell>
          <cell r="B7">
            <v>609</v>
          </cell>
          <cell r="C7">
            <v>718</v>
          </cell>
          <cell r="D7">
            <v>635</v>
          </cell>
          <cell r="E7">
            <v>583</v>
          </cell>
          <cell r="F7">
            <v>478</v>
          </cell>
          <cell r="G7">
            <v>3023</v>
          </cell>
        </row>
        <row r="8">
          <cell r="A8" t="str">
            <v>N</v>
          </cell>
          <cell r="B8">
            <v>254</v>
          </cell>
          <cell r="C8">
            <v>294</v>
          </cell>
          <cell r="D8">
            <v>250</v>
          </cell>
          <cell r="E8">
            <v>182</v>
          </cell>
          <cell r="F8">
            <v>141</v>
          </cell>
          <cell r="G8">
            <v>1121</v>
          </cell>
        </row>
        <row r="9">
          <cell r="A9" t="str">
            <v>F</v>
          </cell>
          <cell r="B9">
            <v>813</v>
          </cell>
          <cell r="C9">
            <v>840</v>
          </cell>
          <cell r="D9">
            <v>816</v>
          </cell>
          <cell r="E9">
            <v>671</v>
          </cell>
          <cell r="F9">
            <v>599</v>
          </cell>
          <cell r="G9">
            <v>3739</v>
          </cell>
        </row>
        <row r="10">
          <cell r="A10" t="str">
            <v>P</v>
          </cell>
          <cell r="B10">
            <v>151</v>
          </cell>
          <cell r="C10">
            <v>183</v>
          </cell>
          <cell r="D10">
            <v>159</v>
          </cell>
          <cell r="E10">
            <v>124</v>
          </cell>
          <cell r="F10">
            <v>90</v>
          </cell>
          <cell r="G10">
            <v>707</v>
          </cell>
        </row>
        <row r="11">
          <cell r="A11" t="str">
            <v>Grand Total</v>
          </cell>
          <cell r="B11">
            <v>13337</v>
          </cell>
          <cell r="C11">
            <v>14926</v>
          </cell>
          <cell r="D11">
            <v>14200</v>
          </cell>
          <cell r="E11">
            <v>12078</v>
          </cell>
          <cell r="F11">
            <v>10621</v>
          </cell>
          <cell r="G11">
            <v>65162</v>
          </cell>
        </row>
      </sheetData>
      <sheetData sheetId="5">
        <row r="1">
          <cell r="A1">
            <v>0</v>
          </cell>
          <cell r="B1" t="str">
            <v>Row Labels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B3" t="str">
            <v>Count of Stc Person Id</v>
          </cell>
          <cell r="C3" t="str">
            <v>Column Labels</v>
          </cell>
        </row>
        <row r="4">
          <cell r="B4" t="str">
            <v>Row Labels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B5">
            <v>0</v>
          </cell>
          <cell r="C5">
            <v>1590</v>
          </cell>
          <cell r="D5">
            <v>1935</v>
          </cell>
          <cell r="E5">
            <v>1690</v>
          </cell>
          <cell r="F5">
            <v>1079</v>
          </cell>
          <cell r="G5">
            <v>710</v>
          </cell>
        </row>
        <row r="6">
          <cell r="A6" t="str">
            <v>U</v>
          </cell>
          <cell r="B6" t="str">
            <v>Grand Total</v>
          </cell>
          <cell r="C6">
            <v>1590</v>
          </cell>
          <cell r="D6">
            <v>1935</v>
          </cell>
          <cell r="E6">
            <v>1690</v>
          </cell>
          <cell r="F6">
            <v>1079</v>
          </cell>
          <cell r="G6">
            <v>710</v>
          </cell>
        </row>
      </sheetData>
      <sheetData sheetId="6">
        <row r="1">
          <cell r="A1">
            <v>0</v>
          </cell>
          <cell r="B1">
            <v>0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C3" t="str">
            <v>Column Labels</v>
          </cell>
        </row>
        <row r="4"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A5" t="str">
            <v>M</v>
          </cell>
          <cell r="B5" t="str">
            <v>Count of Stc Person Id</v>
          </cell>
          <cell r="C5">
            <v>330</v>
          </cell>
          <cell r="D5">
            <v>399</v>
          </cell>
          <cell r="E5">
            <v>657</v>
          </cell>
          <cell r="F5">
            <v>833</v>
          </cell>
          <cell r="G5">
            <v>908</v>
          </cell>
        </row>
      </sheetData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mesaris" refreshedDate="41137.463910416664" createdVersion="4" refreshedVersion="4" minRefreshableVersion="3" recordCount="3">
  <cacheSource type="worksheet">
    <worksheetSource ref="A4:M7" sheet="graph base"/>
  </cacheSource>
  <cacheFields count="13">
    <cacheField name="Gender" numFmtId="0">
      <sharedItems count="3">
        <s v="Female"/>
        <s v="Male"/>
        <s v="Unknown"/>
      </sharedItems>
    </cacheField>
    <cacheField name="AY07-08#" numFmtId="0">
      <sharedItems containsSemiMixedTypes="0" containsString="0" containsNumber="1" containsInteger="1" minValue="192" maxValue="12909" count="3">
        <n v="12909"/>
        <n v="8196"/>
        <n v="192"/>
      </sharedItems>
    </cacheField>
    <cacheField name="AY07-08%" numFmtId="0">
      <sharedItems containsSemiMixedTypes="0" containsString="0" containsNumber="1" minValue="9.015354275250036E-3" maxValue="0.60614171010001405" count="3">
        <n v="0.60614171010001405"/>
        <n v="0.38484293562473587"/>
        <n v="9.015354275250036E-3"/>
      </sharedItems>
    </cacheField>
    <cacheField name="AY08-09#" numFmtId="0">
      <sharedItems containsSemiMixedTypes="0" containsString="0" containsNumber="1" containsInteger="1" minValue="338" maxValue="14479"/>
    </cacheField>
    <cacheField name="AY08-09%" numFmtId="0">
      <sharedItems containsSemiMixedTypes="0" containsString="0" containsNumber="1" minValue="1.3847351386783563E-2" maxValue="0.59318284239419883" count="3">
        <n v="0.59318284239419883"/>
        <n v="0.39296980621901756"/>
        <n v="1.3847351386783563E-2"/>
      </sharedItems>
    </cacheField>
    <cacheField name="AY09-10#" numFmtId="0">
      <sharedItems containsSemiMixedTypes="0" containsString="0" containsNumber="1" containsInteger="1" minValue="261" maxValue="13953"/>
    </cacheField>
    <cacheField name="AY09-10%" numFmtId="0">
      <sharedItems containsSemiMixedTypes="0" containsString="0" containsNumber="1" minValue="1.0844725142311048E-2" maxValue="0.57975651306768605" count="3">
        <n v="0.57975651306768605"/>
        <n v="0.4093987617900029"/>
        <n v="1.0844725142311048E-2"/>
      </sharedItems>
    </cacheField>
    <cacheField name="AY10-11#" numFmtId="0">
      <sharedItems containsSemiMixedTypes="0" containsString="0" containsNumber="1" containsInteger="1" minValue="228" maxValue="12000"/>
    </cacheField>
    <cacheField name="AY10-11%" numFmtId="0">
      <sharedItems containsSemiMixedTypes="0" containsString="0" containsNumber="1" minValue="1.0850942318675044E-2" maxValue="0.57110222729868643" count="3">
        <n v="0.57110222729868643"/>
        <n v="0.41804683038263851"/>
        <n v="1.0850942318675044E-2"/>
      </sharedItems>
    </cacheField>
    <cacheField name="AY11-12#" numFmtId="0">
      <sharedItems containsSemiMixedTypes="0" containsString="0" containsNumber="1" containsInteger="1" minValue="180" maxValue="11055"/>
    </cacheField>
    <cacheField name="AY11-12%" numFmtId="0">
      <sharedItems containsSemiMixedTypes="0" containsString="0" containsNumber="1" minValue="9.214702569878162E-3" maxValue="0.56593631616668372" count="3">
        <n v="0.56593631616668372"/>
        <n v="0.42484898126343812"/>
        <n v="9.214702569878162E-3"/>
      </sharedItems>
    </cacheField>
    <cacheField name="2010 Census#" numFmtId="0">
      <sharedItems containsSemiMixedTypes="0" containsString="0" containsNumber="1" containsInteger="1" minValue="0" maxValue="425726"/>
    </cacheField>
    <cacheField name="2010 Census%" numFmtId="0">
      <sharedItems containsSemiMixedTypes="0" containsString="0" containsNumber="1" minValue="0" maxValue="0.508717088361044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mesaris" refreshedDate="41141.417331828707" createdVersion="4" refreshedVersion="4" minRefreshableVersion="3" recordCount="9">
  <cacheSource type="worksheet">
    <worksheetSource ref="A13:M22" sheet="graph base"/>
  </cacheSource>
  <cacheFields count="13">
    <cacheField name="Ethnicity" numFmtId="0">
      <sharedItems count="9">
        <s v="White"/>
        <s v="Hispanic"/>
        <s v="African American"/>
        <s v="Asian"/>
        <s v="Native American"/>
        <s v="Filipino"/>
        <s v="Pacific Islander"/>
        <s v="Multi-Race"/>
        <s v="Unknown"/>
      </sharedItems>
    </cacheField>
    <cacheField name="AY07-08#" numFmtId="0">
      <sharedItems containsSemiMixedTypes="0" containsString="0" containsNumber="1" containsInteger="1" minValue="151" maxValue="9963"/>
    </cacheField>
    <cacheField name="AY07-08%" numFmtId="0">
      <sharedItems containsSemiMixedTypes="0" containsString="0" containsNumber="1" minValue="7.0902004977226839E-3" maxValue="0.46781236793914638"/>
    </cacheField>
    <cacheField name="AY08-09#" numFmtId="0">
      <sharedItems containsSemiMixedTypes="0" containsString="0" containsNumber="1" containsInteger="1" minValue="183" maxValue="10935"/>
    </cacheField>
    <cacheField name="AY08-09%" numFmtId="0">
      <sharedItems containsSemiMixedTypes="0" containsString="0" containsNumber="1" minValue="7.4972346265721659E-3" maxValue="0.44799049530910728"/>
    </cacheField>
    <cacheField name="AY09-10#" numFmtId="0">
      <sharedItems containsSemiMixedTypes="0" containsString="0" containsNumber="1" containsInteger="1" minValue="159" maxValue="10427"/>
    </cacheField>
    <cacheField name="AY09-10%" numFmtId="0">
      <sharedItems containsSemiMixedTypes="0" containsString="0" containsNumber="1" minValue="6.6065566958906389E-3" maxValue="0.43324884696887855"/>
    </cacheField>
    <cacheField name="AY10-11#" numFmtId="0">
      <sharedItems containsSemiMixedTypes="0" containsString="0" containsNumber="1" containsInteger="1" minValue="124" maxValue="8877"/>
    </cacheField>
    <cacheField name="AY10-11%" numFmtId="0">
      <sharedItems containsSemiMixedTypes="0" containsString="0" containsNumber="1" minValue="5.9013896820864272E-3" maxValue="0.4224728726442033"/>
    </cacheField>
    <cacheField name="AY11-12#" numFmtId="0">
      <sharedItems containsSemiMixedTypes="0" containsString="0" containsNumber="1" containsInteger="1" minValue="90" maxValue="7806"/>
    </cacheField>
    <cacheField name="AY11-12%" numFmtId="0">
      <sharedItems containsSemiMixedTypes="0" containsString="0" containsNumber="1" minValue="4.607351284939081E-3" maxValue="0.3996109347803829"/>
    </cacheField>
    <cacheField name="2010 Census#" numFmtId="0">
      <sharedItems containsSemiMixedTypes="0" containsString="0" containsNumber="1" containsInteger="1" minValue="1287" maxValue="398271"/>
    </cacheField>
    <cacheField name="2010 Census%" numFmtId="0">
      <sharedItems containsSemiMixedTypes="0" containsString="0" containsNumber="1" minValue="1.5378879671917233E-3" maxValue="0.475910006667766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mesaris" refreshedDate="41141.429157060185" createdVersion="4" refreshedVersion="4" minRefreshableVersion="3" recordCount="9">
  <cacheSource type="worksheet">
    <worksheetSource ref="A27:M36" sheet="graph base"/>
  </cacheSource>
  <cacheFields count="13">
    <cacheField name="Age " numFmtId="0">
      <sharedItems count="9">
        <s v="&lt;18"/>
        <s v="18 &amp; 19"/>
        <s v="20 to 24"/>
        <s v="25 to 29"/>
        <s v="30 to 34"/>
        <s v="35 to 39"/>
        <s v="40 to 49"/>
        <s v="50 +"/>
        <s v="Unknown"/>
      </sharedItems>
    </cacheField>
    <cacheField name="AY07-08#" numFmtId="0">
      <sharedItems containsSemiMixedTypes="0" containsString="0" containsNumber="1" containsInteger="1" minValue="4" maxValue="6750"/>
    </cacheField>
    <cacheField name="AY07-08%" numFmtId="0">
      <sharedItems containsSemiMixedTypes="0" containsString="0" containsNumber="1" minValue="1.8781988073437574E-4" maxValue="0.31694604873925902"/>
    </cacheField>
    <cacheField name="AY08-09#" numFmtId="0">
      <sharedItems containsSemiMixedTypes="0" containsString="0" containsNumber="1" containsInteger="1" minValue="0" maxValue="7632"/>
    </cacheField>
    <cacheField name="AY08-09%" numFmtId="0">
      <sharedItems containsSemiMixedTypes="0" containsString="0" containsNumber="1" minValue="0" maxValue="0.31267155557376375"/>
    </cacheField>
    <cacheField name="AY09-10#" numFmtId="0">
      <sharedItems containsSemiMixedTypes="0" containsString="0" containsNumber="1" containsInteger="1" minValue="3" maxValue="7750"/>
    </cacheField>
    <cacheField name="AY09-10%" numFmtId="0">
      <sharedItems containsSemiMixedTypes="0" containsString="0" containsNumber="1" minValue="1.2465201313001205E-4" maxValue="0.32201770058586449"/>
    </cacheField>
    <cacheField name="AY10-11#" numFmtId="0">
      <sharedItems containsSemiMixedTypes="0" containsString="0" containsNumber="1" containsInteger="1" minValue="2" maxValue="7563"/>
    </cacheField>
    <cacheField name="AY10-11%" numFmtId="0">
      <sharedItems containsSemiMixedTypes="0" containsString="0" containsNumber="1" minValue="9.5183704549781079E-5" maxValue="0.35993717875499714"/>
    </cacheField>
    <cacheField name="AY11-12#" numFmtId="0">
      <sharedItems containsSemiMixedTypes="0" containsString="0" containsNumber="1" containsInteger="1" minValue="2" maxValue="7524"/>
    </cacheField>
    <cacheField name="AY11-12%" numFmtId="0">
      <sharedItems containsSemiMixedTypes="0" containsString="0" containsNumber="1" minValue="1.0238558410975735E-4" maxValue="0.38517456742090711"/>
    </cacheField>
    <cacheField name="2010 Census#" numFmtId="0">
      <sharedItems containsSemiMixedTypes="0" containsString="0" containsNumber="1" containsInteger="1" minValue="0" maxValue="245217"/>
    </cacheField>
    <cacheField name="2010 Census%" numFmtId="0">
      <sharedItems containsSemiMixedTypes="0" containsString="0" containsNumber="1" minValue="0" maxValue="0.293019637646350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  <x v="0"/>
    <n v="14479"/>
    <x v="0"/>
    <n v="13953"/>
    <x v="0"/>
    <n v="12000"/>
    <x v="0"/>
    <n v="11055"/>
    <x v="0"/>
    <n v="425726"/>
    <n v="0.50871708836104401"/>
  </r>
  <r>
    <x v="1"/>
    <x v="1"/>
    <x v="1"/>
    <n v="9592"/>
    <x v="1"/>
    <n v="9853"/>
    <x v="1"/>
    <n v="8784"/>
    <x v="1"/>
    <n v="8299"/>
    <x v="1"/>
    <n v="411136"/>
    <n v="0.49128291163895599"/>
  </r>
  <r>
    <x v="2"/>
    <x v="2"/>
    <x v="2"/>
    <n v="338"/>
    <x v="2"/>
    <n v="261"/>
    <x v="2"/>
    <n v="228"/>
    <x v="2"/>
    <n v="180"/>
    <x v="2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">
  <r>
    <x v="0"/>
    <n v="9963"/>
    <n v="0.46781236793914638"/>
    <n v="10935"/>
    <n v="0.44799049530910728"/>
    <n v="10427"/>
    <n v="0.43324884696887855"/>
    <n v="8877"/>
    <n v="0.4224728726442033"/>
    <n v="7806"/>
    <n v="0.3996109347803829"/>
    <n v="398271"/>
    <n v="0.47591000666776601"/>
  </r>
  <r>
    <x v="1"/>
    <n v="6040"/>
    <n v="0.28360801990890738"/>
    <n v="7149"/>
    <n v="0.29288377237904051"/>
    <n v="7520"/>
    <n v="0.31246104624589688"/>
    <n v="7022"/>
    <n v="0.33418998667428135"/>
    <n v="7295"/>
    <n v="0.37345141804033993"/>
    <n v="318674"/>
    <n v="0.38079635591053246"/>
  </r>
  <r>
    <x v="2"/>
    <n v="1547"/>
    <n v="7.2639338874019813E-2"/>
    <n v="1956"/>
    <n v="8.0134376664345114E-2"/>
    <n v="1913"/>
    <n v="7.9486433705904344E-2"/>
    <n v="1641"/>
    <n v="7.8098229583095369E-2"/>
    <n v="1507"/>
    <n v="7.7147537626702165E-2"/>
    <n v="43085"/>
    <n v="5.1483996166632011E-2"/>
  </r>
  <r>
    <x v="3"/>
    <n v="609"/>
    <n v="2.8595576841808707E-2"/>
    <n v="718"/>
    <n v="2.9415379573108278E-2"/>
    <n v="635"/>
    <n v="2.6384676112519219E-2"/>
    <n v="583"/>
    <n v="2.7746049876261183E-2"/>
    <n v="478"/>
    <n v="2.4470154602232005E-2"/>
    <n v="21251"/>
    <n v="2.5393673030917881E-2"/>
  </r>
  <r>
    <x v="4"/>
    <n v="254"/>
    <n v="1.1926562426632859E-2"/>
    <n v="294"/>
    <n v="1.204473759678807E-2"/>
    <n v="250"/>
    <n v="1.0387667760834338E-2"/>
    <n v="182"/>
    <n v="8.6617171140300781E-3"/>
    <n v="141"/>
    <n v="7.2181836797378931E-3"/>
    <n v="6071"/>
    <n v="7.254481623015503E-3"/>
  </r>
  <r>
    <x v="5"/>
    <n v="813"/>
    <n v="3.8174390759261871E-2"/>
    <n v="840"/>
    <n v="3.4413535990823058E-2"/>
    <n v="816"/>
    <n v="3.3905347571363278E-2"/>
    <n v="671"/>
    <n v="3.1934132876451554E-2"/>
    <n v="599"/>
    <n v="3.0664482440872325E-2"/>
    <n v="23365"/>
    <n v="2.7919776498395197E-2"/>
  </r>
  <r>
    <x v="6"/>
    <n v="151"/>
    <n v="7.0902004977226839E-3"/>
    <n v="183"/>
    <n v="7.4972346265721659E-3"/>
    <n v="159"/>
    <n v="6.6065566958906389E-3"/>
    <n v="124"/>
    <n v="5.9013896820864272E-3"/>
    <n v="90"/>
    <n v="4.607351284939081E-3"/>
    <n v="2305"/>
    <n v="2.7543370352579037E-3"/>
  </r>
  <r>
    <x v="7"/>
    <n v="330"/>
    <n v="1.5495140160585999E-2"/>
    <n v="399"/>
    <n v="1.6346429595640952E-2"/>
    <n v="657"/>
    <n v="2.7298790875472639E-2"/>
    <n v="833"/>
    <n v="3.964401294498382E-2"/>
    <n v="908"/>
    <n v="4.6483055185829833E-2"/>
    <n v="22553"/>
    <n v="2.6949485100291326E-2"/>
  </r>
  <r>
    <x v="8"/>
    <n v="1590"/>
    <n v="7.465840259191435E-2"/>
    <n v="1935"/>
    <n v="7.9274038264574548E-2"/>
    <n v="1690"/>
    <n v="7.0220634063240125E-2"/>
    <n v="1079"/>
    <n v="5.1351608604606892E-2"/>
    <n v="710"/>
    <n v="3.6346882358963856E-2"/>
    <n v="1287"/>
    <n v="1.5378879671917233E-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">
  <r>
    <x v="0"/>
    <n v="733"/>
    <n v="3.4417993144574353E-2"/>
    <n v="1026"/>
    <n v="4.2033676103076734E-2"/>
    <n v="743"/>
    <n v="3.0872148585199651E-2"/>
    <n v="336"/>
    <n v="1.5990862364363222E-2"/>
    <n v="196"/>
    <n v="1.003378724275622E-2"/>
    <n v="245217"/>
    <n v="0.29301963764635031"/>
  </r>
  <r>
    <x v="1"/>
    <n v="4893"/>
    <n v="0.22975066910832512"/>
    <n v="5828"/>
    <n v="0.23876439018394854"/>
    <n v="5660"/>
    <n v="0.23517679810528941"/>
    <n v="4488"/>
    <n v="0.21359223300970873"/>
    <n v="4057"/>
    <n v="0.20768915736664278"/>
    <n v="25706"/>
    <n v="3.0717131378889231E-2"/>
  </r>
  <r>
    <x v="2"/>
    <n v="6750"/>
    <n v="0.31694604873925902"/>
    <n v="7632"/>
    <n v="0.31267155557376375"/>
    <n v="7750"/>
    <n v="0.32201770058586449"/>
    <n v="7563"/>
    <n v="0.35993717875499714"/>
    <n v="7524"/>
    <n v="0.38517456742090711"/>
    <n v="52893"/>
    <n v="6.3203969113187125E-2"/>
  </r>
  <r>
    <x v="3"/>
    <n v="2617"/>
    <n v="0.12288115697046532"/>
    <n v="2960"/>
    <n v="0.1212667458724241"/>
    <n v="3092"/>
    <n v="0.12847467486599909"/>
    <n v="2847"/>
    <n v="0.13549400342661336"/>
    <n v="2625"/>
    <n v="0.1343810791440565"/>
    <n v="52166"/>
    <n v="6.2335247627446341E-2"/>
  </r>
  <r>
    <x v="4"/>
    <n v="1668"/>
    <n v="7.8320890266234677E-2"/>
    <n v="1886"/>
    <n v="7.7266581998443204E-2"/>
    <n v="1849"/>
    <n v="7.6827190759130762E-2"/>
    <n v="1632"/>
    <n v="7.7669902912621352E-2"/>
    <n v="1536"/>
    <n v="7.8632128596293635E-2"/>
    <n v="52145"/>
    <n v="6.2310153884391928E-2"/>
  </r>
  <r>
    <x v="5"/>
    <n v="1354"/>
    <n v="6.357702962858619E-2"/>
    <n v="1507"/>
    <n v="6.1739522307345654E-2"/>
    <n v="1438"/>
    <n v="5.9749864960319109E-2"/>
    <n v="1186"/>
    <n v="5.6443936798020178E-2"/>
    <n v="1074"/>
    <n v="5.4981058666939697E-2"/>
    <n v="55384"/>
    <n v="6.6180565015498377E-2"/>
  </r>
  <r>
    <x v="6"/>
    <n v="2065"/>
    <n v="9.6962013429121474E-2"/>
    <n v="2241"/>
    <n v="9.1810397804088659E-2"/>
    <n v="2282"/>
    <n v="9.4818631320895838E-2"/>
    <n v="1900"/>
    <n v="9.0424519322292021E-2"/>
    <n v="1573"/>
    <n v="8.0526261902324148E-2"/>
    <n v="116401"/>
    <n v="0.13909222787030598"/>
  </r>
  <r>
    <x v="7"/>
    <n v="1213"/>
    <n v="5.6956378832699439E-2"/>
    <n v="1329"/>
    <n v="5.4447130156909336E-2"/>
    <n v="1250"/>
    <n v="5.1938338804171688E-2"/>
    <n v="1058"/>
    <n v="5.0352179706834192E-2"/>
    <n v="947"/>
    <n v="4.8479574075970103E-2"/>
    <n v="236950"/>
    <n v="0.28314106746393075"/>
  </r>
  <r>
    <x v="8"/>
    <n v="4"/>
    <n v="1.8781988073437574E-4"/>
    <n v="0"/>
    <n v="0"/>
    <n v="3"/>
    <n v="1.2465201313001205E-4"/>
    <n v="2"/>
    <n v="9.5183704549781079E-5"/>
    <n v="2"/>
    <n v="1.0238558410975735E-4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0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A1:AE7" firstHeaderRow="1" firstDataRow="2" firstDataCol="1"/>
  <pivotFields count="13">
    <pivotField axis="axisCol" showAll="0">
      <items count="4">
        <item x="0"/>
        <item x="1"/>
        <item x="2"/>
        <item t="default"/>
      </items>
    </pivotField>
    <pivotField dataField="1" showAll="0">
      <items count="4">
        <item x="2"/>
        <item x="1"/>
        <item x="0"/>
        <item t="default"/>
      </items>
    </pivotField>
    <pivotField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4">
        <item x="2"/>
        <item x="1"/>
        <item x="0"/>
        <item t="default"/>
      </items>
    </pivotField>
    <pivotField dataField="1" showAll="0"/>
    <pivotField showAll="0">
      <items count="4">
        <item x="2"/>
        <item x="1"/>
        <item x="0"/>
        <item t="default"/>
      </items>
    </pivotField>
    <pivotField dataField="1" showAll="0"/>
    <pivotField showAll="0">
      <items count="4">
        <item x="2"/>
        <item x="1"/>
        <item x="0"/>
        <item t="default"/>
      </items>
    </pivotField>
    <pivotField dataField="1" showAll="0"/>
    <pivotField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4">
    <i>
      <x/>
    </i>
    <i>
      <x v="1"/>
    </i>
    <i>
      <x v="2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4">
    <chartFormat chart="0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 sortType="descending">
      <items count="10">
        <item x="2"/>
        <item x="3"/>
        <item x="5"/>
        <item x="1"/>
        <item x="7"/>
        <item x="4"/>
        <item x="6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 v="8"/>
    </i>
    <i>
      <x v="3"/>
    </i>
    <i>
      <x v="7"/>
    </i>
    <i>
      <x/>
    </i>
    <i>
      <x v="2"/>
    </i>
    <i>
      <x v="1"/>
    </i>
    <i>
      <x v="4"/>
    </i>
    <i>
      <x v="5"/>
    </i>
    <i>
      <x v="6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acs/www/about_the_survey/american_community_survey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8"/>
  <sheetViews>
    <sheetView tabSelected="1" workbookViewId="0">
      <selection sqref="A1:A2"/>
    </sheetView>
  </sheetViews>
  <sheetFormatPr defaultRowHeight="15" x14ac:dyDescent="0.25"/>
  <cols>
    <col min="1" max="1" width="20.5703125" customWidth="1"/>
    <col min="2" max="2" width="6.42578125" bestFit="1" customWidth="1"/>
    <col min="3" max="3" width="5.7109375" bestFit="1" customWidth="1"/>
    <col min="4" max="4" width="6.42578125" bestFit="1" customWidth="1"/>
    <col min="5" max="5" width="5.7109375" bestFit="1" customWidth="1"/>
    <col min="6" max="6" width="6.42578125" bestFit="1" customWidth="1"/>
    <col min="7" max="7" width="5.7109375" bestFit="1" customWidth="1"/>
    <col min="8" max="8" width="6.42578125" bestFit="1" customWidth="1"/>
    <col min="9" max="9" width="5.7109375" bestFit="1" customWidth="1"/>
    <col min="10" max="10" width="6.42578125" bestFit="1" customWidth="1"/>
    <col min="11" max="11" width="4.28515625" bestFit="1" customWidth="1"/>
    <col min="12" max="12" width="6.42578125" style="31" bestFit="1" customWidth="1"/>
    <col min="13" max="13" width="4.28515625" style="31" bestFit="1" customWidth="1"/>
    <col min="14" max="14" width="7.5703125" style="31" bestFit="1" customWidth="1"/>
    <col min="15" max="15" width="4.28515625" style="31" bestFit="1" customWidth="1"/>
    <col min="16" max="16" width="7.5703125" style="31" bestFit="1" customWidth="1"/>
    <col min="17" max="17" width="5.7109375" style="31" customWidth="1"/>
    <col min="18" max="18" width="9.85546875" bestFit="1" customWidth="1"/>
    <col min="19" max="19" width="5.7109375" bestFit="1" customWidth="1"/>
    <col min="20" max="20" width="9.85546875" bestFit="1" customWidth="1"/>
  </cols>
  <sheetData>
    <row r="1" spans="1:20" ht="15.75" customHeight="1" thickBot="1" x14ac:dyDescent="0.3">
      <c r="A1" s="118" t="s">
        <v>0</v>
      </c>
      <c r="B1" s="136" t="s">
        <v>61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8"/>
      <c r="P1" s="114" t="s">
        <v>1</v>
      </c>
      <c r="Q1" s="115"/>
      <c r="R1" s="24" t="s">
        <v>2</v>
      </c>
    </row>
    <row r="2" spans="1:20" ht="15.75" customHeight="1" thickBot="1" x14ac:dyDescent="0.3">
      <c r="A2" s="119"/>
      <c r="B2" s="110" t="s">
        <v>3</v>
      </c>
      <c r="C2" s="111"/>
      <c r="D2" s="110" t="s">
        <v>4</v>
      </c>
      <c r="E2" s="111"/>
      <c r="F2" s="110" t="s">
        <v>5</v>
      </c>
      <c r="G2" s="111"/>
      <c r="H2" s="110" t="s">
        <v>6</v>
      </c>
      <c r="I2" s="111"/>
      <c r="J2" s="110" t="s">
        <v>7</v>
      </c>
      <c r="K2" s="111"/>
      <c r="L2" s="110" t="s">
        <v>59</v>
      </c>
      <c r="M2" s="111"/>
      <c r="N2" s="124" t="s">
        <v>60</v>
      </c>
      <c r="O2" s="125"/>
      <c r="P2" s="116" t="s">
        <v>40</v>
      </c>
      <c r="Q2" s="117"/>
      <c r="R2" s="25" t="s">
        <v>8</v>
      </c>
    </row>
    <row r="3" spans="1:20" ht="15.75" thickBot="1" x14ac:dyDescent="0.3">
      <c r="A3" s="3" t="s">
        <v>9</v>
      </c>
      <c r="B3" s="17" t="s">
        <v>10</v>
      </c>
      <c r="C3" s="18" t="s">
        <v>11</v>
      </c>
      <c r="D3" s="17" t="s">
        <v>10</v>
      </c>
      <c r="E3" s="18" t="s">
        <v>11</v>
      </c>
      <c r="F3" s="17" t="s">
        <v>10</v>
      </c>
      <c r="G3" s="18" t="s">
        <v>11</v>
      </c>
      <c r="H3" s="17" t="s">
        <v>10</v>
      </c>
      <c r="I3" s="18" t="s">
        <v>11</v>
      </c>
      <c r="J3" s="17" t="s">
        <v>10</v>
      </c>
      <c r="K3" s="18" t="s">
        <v>11</v>
      </c>
      <c r="L3" s="100" t="s">
        <v>10</v>
      </c>
      <c r="M3" s="100" t="s">
        <v>11</v>
      </c>
      <c r="N3" s="153" t="s">
        <v>10</v>
      </c>
      <c r="O3" s="154" t="s">
        <v>11</v>
      </c>
      <c r="P3" s="29" t="s">
        <v>10</v>
      </c>
      <c r="Q3" s="60" t="s">
        <v>11</v>
      </c>
      <c r="R3" s="34" t="s">
        <v>11</v>
      </c>
    </row>
    <row r="4" spans="1:20" x14ac:dyDescent="0.25">
      <c r="A4" s="35" t="s">
        <v>12</v>
      </c>
      <c r="B4" s="38">
        <v>12909</v>
      </c>
      <c r="C4" s="56">
        <v>0.60614171010001405</v>
      </c>
      <c r="D4" s="38">
        <v>14479</v>
      </c>
      <c r="E4" s="56">
        <v>0.59318284239419883</v>
      </c>
      <c r="F4" s="38">
        <v>13953</v>
      </c>
      <c r="G4" s="56">
        <v>0.57975651306768605</v>
      </c>
      <c r="H4" s="38">
        <v>12000</v>
      </c>
      <c r="I4" s="56">
        <v>0.57110222729868643</v>
      </c>
      <c r="J4" s="59">
        <v>11055</v>
      </c>
      <c r="K4" s="139">
        <v>0.56593631616668372</v>
      </c>
      <c r="L4" s="142">
        <v>10248</v>
      </c>
      <c r="M4" s="145">
        <v>0.56958648288128055</v>
      </c>
      <c r="N4" s="155">
        <v>10301</v>
      </c>
      <c r="O4" s="56">
        <v>0.56567819879187264</v>
      </c>
      <c r="P4" s="140">
        <v>425726</v>
      </c>
      <c r="Q4" s="61">
        <v>0.50871708836104401</v>
      </c>
      <c r="R4" s="64">
        <v>5.7219227805639705E-2</v>
      </c>
    </row>
    <row r="5" spans="1:20" x14ac:dyDescent="0.25">
      <c r="A5" s="36" t="s">
        <v>13</v>
      </c>
      <c r="B5" s="39">
        <v>8196</v>
      </c>
      <c r="C5" s="57">
        <v>0.38484293562473587</v>
      </c>
      <c r="D5" s="39">
        <v>9592</v>
      </c>
      <c r="E5" s="57">
        <v>0.39296980621901756</v>
      </c>
      <c r="F5" s="39">
        <v>9853</v>
      </c>
      <c r="G5" s="57">
        <v>0.4093987617900029</v>
      </c>
      <c r="H5" s="39">
        <v>8784</v>
      </c>
      <c r="I5" s="57">
        <v>0.41804683038263851</v>
      </c>
      <c r="J5" s="39">
        <v>8299</v>
      </c>
      <c r="K5" s="104">
        <v>0.42484898126343812</v>
      </c>
      <c r="L5" s="143">
        <v>7605</v>
      </c>
      <c r="M5" s="104">
        <v>0.42268786127167629</v>
      </c>
      <c r="N5" s="156">
        <v>7787</v>
      </c>
      <c r="O5" s="57">
        <v>0.42</v>
      </c>
      <c r="P5" s="126">
        <v>411136</v>
      </c>
      <c r="Q5" s="62">
        <v>0.49128291163895599</v>
      </c>
      <c r="R5" s="65">
        <v>-6.6433930375517869E-2</v>
      </c>
    </row>
    <row r="6" spans="1:20" ht="15.75" thickBot="1" x14ac:dyDescent="0.3">
      <c r="A6" s="37" t="s">
        <v>14</v>
      </c>
      <c r="B6" s="40">
        <v>192</v>
      </c>
      <c r="C6" s="58">
        <v>9.015354275250036E-3</v>
      </c>
      <c r="D6" s="40">
        <v>338</v>
      </c>
      <c r="E6" s="58">
        <v>1.3847351386783563E-2</v>
      </c>
      <c r="F6" s="40">
        <v>261</v>
      </c>
      <c r="G6" s="58">
        <v>1.0844725142311048E-2</v>
      </c>
      <c r="H6" s="40">
        <v>228</v>
      </c>
      <c r="I6" s="58">
        <v>1.0850942318675044E-2</v>
      </c>
      <c r="J6" s="40">
        <v>180</v>
      </c>
      <c r="K6" s="103">
        <v>9.214702569878162E-3</v>
      </c>
      <c r="L6" s="144">
        <v>139</v>
      </c>
      <c r="M6" s="103">
        <v>7.7256558470431306E-3</v>
      </c>
      <c r="N6" s="157">
        <v>122</v>
      </c>
      <c r="O6" s="58">
        <v>6.6996155958264688E-3</v>
      </c>
      <c r="P6" s="131">
        <v>0</v>
      </c>
      <c r="Q6" s="63">
        <v>0</v>
      </c>
      <c r="R6" s="66">
        <v>9.214702569878162E-3</v>
      </c>
    </row>
    <row r="7" spans="1:20" ht="16.5" thickTop="1" thickBot="1" x14ac:dyDescent="0.3">
      <c r="A7" s="20" t="s">
        <v>15</v>
      </c>
      <c r="B7" s="27">
        <v>21297</v>
      </c>
      <c r="C7" s="21"/>
      <c r="D7" s="27">
        <v>24409</v>
      </c>
      <c r="E7" s="21"/>
      <c r="F7" s="27">
        <v>24067</v>
      </c>
      <c r="G7" s="21"/>
      <c r="H7" s="27">
        <v>21012</v>
      </c>
      <c r="I7" s="21"/>
      <c r="J7" s="27">
        <v>19534</v>
      </c>
      <c r="K7" s="19"/>
      <c r="L7" s="141">
        <v>17992</v>
      </c>
      <c r="M7" s="44"/>
      <c r="N7" s="158">
        <v>18210</v>
      </c>
      <c r="O7" s="10"/>
      <c r="P7" s="32">
        <v>836862</v>
      </c>
      <c r="Q7" s="22"/>
      <c r="R7" s="22"/>
    </row>
    <row r="8" spans="1:20" s="31" customFormat="1" x14ac:dyDescent="0.25">
      <c r="A8" s="94" t="s">
        <v>52</v>
      </c>
      <c r="B8" s="45"/>
      <c r="C8" s="10"/>
      <c r="D8" s="45"/>
      <c r="E8" s="10"/>
      <c r="F8" s="45"/>
      <c r="G8" s="10"/>
      <c r="H8" s="45"/>
      <c r="I8" s="10"/>
      <c r="J8" s="45"/>
      <c r="K8" s="10"/>
      <c r="L8" s="10"/>
      <c r="M8" s="10"/>
      <c r="N8" s="10"/>
      <c r="O8" s="10"/>
      <c r="P8" s="10"/>
      <c r="Q8" s="10"/>
      <c r="R8" s="46"/>
      <c r="S8" s="22"/>
      <c r="T8" s="22"/>
    </row>
    <row r="9" spans="1:20" s="31" customFormat="1" ht="15.75" thickBot="1" x14ac:dyDescent="0.3">
      <c r="A9" s="4"/>
      <c r="B9" s="45"/>
      <c r="C9" s="10"/>
      <c r="D9" s="45"/>
      <c r="E9" s="10"/>
      <c r="F9" s="45"/>
      <c r="G9" s="10"/>
      <c r="H9" s="45"/>
      <c r="I9" s="10"/>
      <c r="J9" s="45"/>
      <c r="K9" s="10"/>
      <c r="L9" s="10"/>
      <c r="M9" s="10"/>
      <c r="N9" s="10"/>
      <c r="O9" s="10"/>
      <c r="P9" s="10"/>
      <c r="Q9" s="10"/>
      <c r="R9" s="46"/>
      <c r="S9" s="22"/>
      <c r="T9" s="22"/>
    </row>
    <row r="10" spans="1:20" s="31" customFormat="1" ht="15.75" thickBot="1" x14ac:dyDescent="0.3">
      <c r="A10" s="54"/>
      <c r="B10" s="120" t="s">
        <v>61</v>
      </c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46"/>
      <c r="P10" s="114" t="s">
        <v>1</v>
      </c>
      <c r="Q10" s="115"/>
      <c r="R10" s="24" t="s">
        <v>2</v>
      </c>
    </row>
    <row r="11" spans="1:20" ht="15.75" thickBot="1" x14ac:dyDescent="0.3">
      <c r="A11" s="67"/>
      <c r="B11" s="110" t="s">
        <v>3</v>
      </c>
      <c r="C11" s="111"/>
      <c r="D11" s="110" t="s">
        <v>4</v>
      </c>
      <c r="E11" s="111"/>
      <c r="F11" s="110" t="s">
        <v>5</v>
      </c>
      <c r="G11" s="111"/>
      <c r="H11" s="110" t="s">
        <v>6</v>
      </c>
      <c r="I11" s="111"/>
      <c r="J11" s="110" t="s">
        <v>7</v>
      </c>
      <c r="K11" s="111"/>
      <c r="L11" s="110" t="s">
        <v>59</v>
      </c>
      <c r="M11" s="111"/>
      <c r="N11" s="132" t="s">
        <v>60</v>
      </c>
      <c r="O11" s="133"/>
      <c r="P11" s="116" t="s">
        <v>40</v>
      </c>
      <c r="Q11" s="117"/>
      <c r="R11" s="25" t="s">
        <v>8</v>
      </c>
    </row>
    <row r="12" spans="1:20" ht="15.75" thickBot="1" x14ac:dyDescent="0.3">
      <c r="A12" s="68" t="s">
        <v>16</v>
      </c>
      <c r="B12" s="17" t="s">
        <v>10</v>
      </c>
      <c r="C12" s="18" t="s">
        <v>11</v>
      </c>
      <c r="D12" s="17" t="s">
        <v>10</v>
      </c>
      <c r="E12" s="18" t="s">
        <v>11</v>
      </c>
      <c r="F12" s="17" t="s">
        <v>10</v>
      </c>
      <c r="G12" s="18" t="s">
        <v>11</v>
      </c>
      <c r="H12" s="17" t="s">
        <v>10</v>
      </c>
      <c r="I12" s="18" t="s">
        <v>11</v>
      </c>
      <c r="J12" s="17" t="s">
        <v>10</v>
      </c>
      <c r="K12" s="18" t="s">
        <v>11</v>
      </c>
      <c r="L12" s="17" t="s">
        <v>10</v>
      </c>
      <c r="M12" s="105" t="s">
        <v>11</v>
      </c>
      <c r="N12" s="150" t="s">
        <v>10</v>
      </c>
      <c r="O12" s="151" t="s">
        <v>11</v>
      </c>
      <c r="P12" s="148" t="s">
        <v>10</v>
      </c>
      <c r="Q12" s="60" t="s">
        <v>11</v>
      </c>
      <c r="R12" s="30" t="s">
        <v>11</v>
      </c>
    </row>
    <row r="13" spans="1:20" x14ac:dyDescent="0.25">
      <c r="A13" s="14" t="s">
        <v>17</v>
      </c>
      <c r="B13" s="11">
        <v>9963</v>
      </c>
      <c r="C13" s="57">
        <v>0.46781236793914638</v>
      </c>
      <c r="D13" s="11">
        <v>10935</v>
      </c>
      <c r="E13" s="57">
        <v>0.44799049530910728</v>
      </c>
      <c r="F13" s="11">
        <v>10427</v>
      </c>
      <c r="G13" s="57">
        <v>0.43324884696887855</v>
      </c>
      <c r="H13" s="11">
        <v>8877</v>
      </c>
      <c r="I13" s="57">
        <v>0.4224728726442033</v>
      </c>
      <c r="J13" s="11">
        <v>7806</v>
      </c>
      <c r="K13" s="57">
        <v>0.3996109347803829</v>
      </c>
      <c r="L13" s="11">
        <v>6734</v>
      </c>
      <c r="M13" s="104">
        <v>0.37427745664739887</v>
      </c>
      <c r="N13" s="149">
        <v>6413</v>
      </c>
      <c r="O13" s="107">
        <v>0.35216913783635367</v>
      </c>
      <c r="P13" s="126">
        <v>398271</v>
      </c>
      <c r="Q13" s="62">
        <v>0.47591000666776601</v>
      </c>
      <c r="R13" s="65">
        <v>-7.6299071887383108E-2</v>
      </c>
    </row>
    <row r="14" spans="1:20" x14ac:dyDescent="0.25">
      <c r="A14" s="15" t="s">
        <v>18</v>
      </c>
      <c r="B14" s="11">
        <v>6040</v>
      </c>
      <c r="C14" s="57">
        <v>0.28360801990890738</v>
      </c>
      <c r="D14" s="11">
        <v>7149</v>
      </c>
      <c r="E14" s="57">
        <v>0.29288377237904051</v>
      </c>
      <c r="F14" s="11">
        <v>7520</v>
      </c>
      <c r="G14" s="57">
        <v>0.31246104624589688</v>
      </c>
      <c r="H14" s="11">
        <v>7022</v>
      </c>
      <c r="I14" s="57">
        <v>0.33418998667428135</v>
      </c>
      <c r="J14" s="11">
        <v>7295</v>
      </c>
      <c r="K14" s="57">
        <v>0.37345141804033993</v>
      </c>
      <c r="L14" s="11">
        <v>7334</v>
      </c>
      <c r="M14" s="104">
        <v>0.40762561138283682</v>
      </c>
      <c r="N14" s="147">
        <v>7891</v>
      </c>
      <c r="O14" s="57">
        <v>0.43333333333333335</v>
      </c>
      <c r="P14" s="126">
        <v>318674</v>
      </c>
      <c r="Q14" s="62">
        <v>0.38079635591053246</v>
      </c>
      <c r="R14" s="65">
        <v>-7.344937870192525E-3</v>
      </c>
    </row>
    <row r="15" spans="1:20" x14ac:dyDescent="0.25">
      <c r="A15" s="15" t="s">
        <v>19</v>
      </c>
      <c r="B15" s="11">
        <v>1547</v>
      </c>
      <c r="C15" s="57">
        <v>7.2639338874019813E-2</v>
      </c>
      <c r="D15" s="11">
        <v>1956</v>
      </c>
      <c r="E15" s="57">
        <v>8.0134376664345114E-2</v>
      </c>
      <c r="F15" s="11">
        <v>1913</v>
      </c>
      <c r="G15" s="57">
        <v>7.9486433705904344E-2</v>
      </c>
      <c r="H15" s="11">
        <v>1641</v>
      </c>
      <c r="I15" s="57">
        <v>7.8098229583095369E-2</v>
      </c>
      <c r="J15" s="11">
        <v>1507</v>
      </c>
      <c r="K15" s="57">
        <v>7.7147537626702165E-2</v>
      </c>
      <c r="L15" s="11">
        <v>1389</v>
      </c>
      <c r="M15" s="104">
        <v>7.7200978212538907E-2</v>
      </c>
      <c r="N15" s="147">
        <v>1490</v>
      </c>
      <c r="O15" s="57">
        <v>8.1823174080175726E-2</v>
      </c>
      <c r="P15" s="126">
        <v>43085</v>
      </c>
      <c r="Q15" s="62">
        <v>5.1483996166632011E-2</v>
      </c>
      <c r="R15" s="65">
        <v>2.5663541460070154E-2</v>
      </c>
    </row>
    <row r="16" spans="1:20" x14ac:dyDescent="0.25">
      <c r="A16" s="15" t="s">
        <v>20</v>
      </c>
      <c r="B16" s="11">
        <v>609</v>
      </c>
      <c r="C16" s="57">
        <v>2.8595576841808707E-2</v>
      </c>
      <c r="D16" s="11">
        <v>718</v>
      </c>
      <c r="E16" s="57">
        <v>2.9415379573108278E-2</v>
      </c>
      <c r="F16" s="11">
        <v>635</v>
      </c>
      <c r="G16" s="57">
        <v>2.6384676112519219E-2</v>
      </c>
      <c r="H16" s="11">
        <v>583</v>
      </c>
      <c r="I16" s="57">
        <v>2.7746049876261183E-2</v>
      </c>
      <c r="J16" s="11">
        <v>478</v>
      </c>
      <c r="K16" s="57">
        <v>2.4470154602232005E-2</v>
      </c>
      <c r="L16" s="11">
        <v>420</v>
      </c>
      <c r="M16" s="104">
        <v>2.3343708314806581E-2</v>
      </c>
      <c r="N16" s="147">
        <v>389</v>
      </c>
      <c r="O16" s="57">
        <v>2.1361889071938495E-2</v>
      </c>
      <c r="P16" s="126">
        <v>21251</v>
      </c>
      <c r="Q16" s="62">
        <v>2.5393673030917881E-2</v>
      </c>
      <c r="R16" s="65">
        <v>-9.2351842868587664E-4</v>
      </c>
    </row>
    <row r="17" spans="1:26" x14ac:dyDescent="0.25">
      <c r="A17" s="15" t="s">
        <v>21</v>
      </c>
      <c r="B17" s="11">
        <v>254</v>
      </c>
      <c r="C17" s="57">
        <v>1.1926562426632859E-2</v>
      </c>
      <c r="D17" s="11">
        <v>294</v>
      </c>
      <c r="E17" s="57">
        <v>1.204473759678807E-2</v>
      </c>
      <c r="F17" s="11">
        <v>250</v>
      </c>
      <c r="G17" s="57">
        <v>1.0387667760834338E-2</v>
      </c>
      <c r="H17" s="11">
        <v>182</v>
      </c>
      <c r="I17" s="57">
        <v>8.6617171140300781E-3</v>
      </c>
      <c r="J17" s="11">
        <v>141</v>
      </c>
      <c r="K17" s="57">
        <v>7.2181836797378931E-3</v>
      </c>
      <c r="L17" s="11">
        <v>98</v>
      </c>
      <c r="M17" s="104">
        <v>5.4468652734548685E-3</v>
      </c>
      <c r="N17" s="147">
        <v>89</v>
      </c>
      <c r="O17" s="57">
        <v>4.8874244920373419E-3</v>
      </c>
      <c r="P17" s="126">
        <v>6071</v>
      </c>
      <c r="Q17" s="62">
        <v>7.254481623015503E-3</v>
      </c>
      <c r="R17" s="65">
        <v>-3.6297943277609906E-5</v>
      </c>
    </row>
    <row r="18" spans="1:26" x14ac:dyDescent="0.25">
      <c r="A18" s="15" t="s">
        <v>22</v>
      </c>
      <c r="B18" s="11">
        <v>813</v>
      </c>
      <c r="C18" s="57">
        <v>3.8174390759261871E-2</v>
      </c>
      <c r="D18" s="11">
        <v>840</v>
      </c>
      <c r="E18" s="57">
        <v>3.4413535990823058E-2</v>
      </c>
      <c r="F18" s="11">
        <v>816</v>
      </c>
      <c r="G18" s="57">
        <v>3.3905347571363278E-2</v>
      </c>
      <c r="H18" s="11">
        <v>671</v>
      </c>
      <c r="I18" s="57">
        <v>3.1934132876451554E-2</v>
      </c>
      <c r="J18" s="11">
        <v>599</v>
      </c>
      <c r="K18" s="57">
        <v>3.0664482440872325E-2</v>
      </c>
      <c r="L18" s="11">
        <v>561</v>
      </c>
      <c r="M18" s="104">
        <v>3.1180524677634505E-2</v>
      </c>
      <c r="N18" s="147">
        <v>523</v>
      </c>
      <c r="O18" s="57">
        <v>2.872048325096101E-2</v>
      </c>
      <c r="P18" s="126">
        <v>23365</v>
      </c>
      <c r="Q18" s="62">
        <v>2.7919776498395197E-2</v>
      </c>
      <c r="R18" s="65">
        <v>2.7447059424771277E-3</v>
      </c>
    </row>
    <row r="19" spans="1:26" x14ac:dyDescent="0.25">
      <c r="A19" s="15" t="s">
        <v>23</v>
      </c>
      <c r="B19" s="11">
        <v>151</v>
      </c>
      <c r="C19" s="57">
        <v>7.0902004977226839E-3</v>
      </c>
      <c r="D19" s="11">
        <v>183</v>
      </c>
      <c r="E19" s="57">
        <v>7.4972346265721659E-3</v>
      </c>
      <c r="F19" s="11">
        <v>159</v>
      </c>
      <c r="G19" s="57">
        <v>6.6065566958906389E-3</v>
      </c>
      <c r="H19" s="11">
        <v>124</v>
      </c>
      <c r="I19" s="57">
        <v>5.9013896820864272E-3</v>
      </c>
      <c r="J19" s="11">
        <v>90</v>
      </c>
      <c r="K19" s="57">
        <v>4.607351284939081E-3</v>
      </c>
      <c r="L19" s="11">
        <v>77</v>
      </c>
      <c r="M19" s="104">
        <v>4.2796798577145398E-3</v>
      </c>
      <c r="N19" s="147">
        <v>71</v>
      </c>
      <c r="O19" s="57">
        <v>3.8989566172432728E-3</v>
      </c>
      <c r="P19" s="126">
        <v>2305</v>
      </c>
      <c r="Q19" s="62">
        <v>2.7543370352579037E-3</v>
      </c>
      <c r="R19" s="65">
        <v>1.8530142496811773E-3</v>
      </c>
    </row>
    <row r="20" spans="1:26" x14ac:dyDescent="0.25">
      <c r="A20" s="15" t="s">
        <v>24</v>
      </c>
      <c r="B20" s="11">
        <v>330</v>
      </c>
      <c r="C20" s="57">
        <v>1.5495140160585999E-2</v>
      </c>
      <c r="D20" s="11">
        <v>399</v>
      </c>
      <c r="E20" s="57">
        <v>1.6346429595640952E-2</v>
      </c>
      <c r="F20" s="11">
        <v>657</v>
      </c>
      <c r="G20" s="57">
        <v>2.7298790875472639E-2</v>
      </c>
      <c r="H20" s="11">
        <v>833</v>
      </c>
      <c r="I20" s="57">
        <v>3.964401294498382E-2</v>
      </c>
      <c r="J20" s="11">
        <v>908</v>
      </c>
      <c r="K20" s="57">
        <v>4.6483055185829833E-2</v>
      </c>
      <c r="L20" s="11">
        <v>945</v>
      </c>
      <c r="M20" s="104">
        <v>5.252334370831481E-2</v>
      </c>
      <c r="N20" s="147">
        <v>1069</v>
      </c>
      <c r="O20" s="57">
        <v>5.8704008786381108E-2</v>
      </c>
      <c r="P20" s="126">
        <v>22553</v>
      </c>
      <c r="Q20" s="62">
        <v>2.6949485100291326E-2</v>
      </c>
      <c r="R20" s="65">
        <v>1.9533570085538507E-2</v>
      </c>
      <c r="T20" s="53"/>
      <c r="U20" s="53"/>
      <c r="V20" s="53"/>
      <c r="W20" s="53"/>
      <c r="X20" s="53"/>
    </row>
    <row r="21" spans="1:26" ht="15.75" thickBot="1" x14ac:dyDescent="0.3">
      <c r="A21" s="16" t="s">
        <v>14</v>
      </c>
      <c r="B21" s="12">
        <v>1590</v>
      </c>
      <c r="C21" s="58">
        <v>7.465840259191435E-2</v>
      </c>
      <c r="D21" s="12">
        <v>1935</v>
      </c>
      <c r="E21" s="58">
        <v>7.9274038264574548E-2</v>
      </c>
      <c r="F21" s="12">
        <v>1690</v>
      </c>
      <c r="G21" s="58">
        <v>7.0220634063240125E-2</v>
      </c>
      <c r="H21" s="12">
        <v>1079</v>
      </c>
      <c r="I21" s="58">
        <v>5.1351608604606892E-2</v>
      </c>
      <c r="J21" s="12">
        <v>710</v>
      </c>
      <c r="K21" s="58">
        <v>3.6346882358963856E-2</v>
      </c>
      <c r="L21" s="12">
        <v>434</v>
      </c>
      <c r="M21" s="103">
        <v>2.4121831925300135E-2</v>
      </c>
      <c r="N21" s="144">
        <v>275</v>
      </c>
      <c r="O21" s="58">
        <v>1.5101592531576058E-2</v>
      </c>
      <c r="P21" s="127">
        <v>1287</v>
      </c>
      <c r="Q21" s="63">
        <v>1.5378879671917233E-3</v>
      </c>
      <c r="R21" s="66">
        <v>3.4808994391772131E-2</v>
      </c>
      <c r="U21" s="31"/>
      <c r="V21" s="31"/>
      <c r="W21" s="31"/>
      <c r="X21" s="31"/>
    </row>
    <row r="22" spans="1:26" s="31" customFormat="1" x14ac:dyDescent="0.25">
      <c r="A22" s="94" t="s">
        <v>52</v>
      </c>
      <c r="B22" s="10"/>
      <c r="C22" s="96"/>
      <c r="D22" s="10"/>
      <c r="E22" s="96"/>
      <c r="F22" s="10"/>
      <c r="G22" s="96"/>
      <c r="H22" s="10"/>
      <c r="I22" s="96"/>
      <c r="J22" s="10"/>
      <c r="K22" s="96"/>
      <c r="L22" s="96"/>
      <c r="M22" s="96"/>
      <c r="N22" s="96"/>
      <c r="O22" s="96"/>
      <c r="P22" s="96"/>
      <c r="Q22" s="96"/>
      <c r="R22" s="97"/>
      <c r="S22" s="98"/>
      <c r="T22" s="99"/>
    </row>
    <row r="23" spans="1:26" ht="15.75" thickBot="1" x14ac:dyDescent="0.3">
      <c r="V23" s="53"/>
      <c r="W23" s="53"/>
      <c r="X23" s="53"/>
      <c r="Y23" s="53"/>
      <c r="Z23" s="53"/>
    </row>
    <row r="24" spans="1:26" s="31" customFormat="1" ht="15.75" customHeight="1" thickBot="1" x14ac:dyDescent="0.3">
      <c r="A24" s="54"/>
      <c r="B24" s="120" t="s">
        <v>61</v>
      </c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46"/>
      <c r="P24" s="114" t="s">
        <v>1</v>
      </c>
      <c r="Q24" s="115"/>
      <c r="R24" s="24" t="s">
        <v>2</v>
      </c>
    </row>
    <row r="25" spans="1:26" s="31" customFormat="1" ht="15.75" thickBot="1" x14ac:dyDescent="0.3">
      <c r="A25" s="55"/>
      <c r="B25" s="110" t="s">
        <v>3</v>
      </c>
      <c r="C25" s="111"/>
      <c r="D25" s="110" t="s">
        <v>4</v>
      </c>
      <c r="E25" s="111"/>
      <c r="F25" s="110" t="s">
        <v>5</v>
      </c>
      <c r="G25" s="111"/>
      <c r="H25" s="110" t="s">
        <v>6</v>
      </c>
      <c r="I25" s="111"/>
      <c r="J25" s="110" t="s">
        <v>7</v>
      </c>
      <c r="K25" s="111"/>
      <c r="L25" s="110" t="s">
        <v>59</v>
      </c>
      <c r="M25" s="111"/>
      <c r="N25" s="132" t="s">
        <v>60</v>
      </c>
      <c r="O25" s="133"/>
      <c r="P25" s="116" t="s">
        <v>40</v>
      </c>
      <c r="Q25" s="117"/>
      <c r="R25" s="25" t="s">
        <v>8</v>
      </c>
    </row>
    <row r="26" spans="1:26" ht="15.75" thickBot="1" x14ac:dyDescent="0.3">
      <c r="A26" s="33" t="s">
        <v>25</v>
      </c>
      <c r="B26" s="17" t="s">
        <v>10</v>
      </c>
      <c r="C26" s="18" t="s">
        <v>11</v>
      </c>
      <c r="D26" s="17" t="s">
        <v>10</v>
      </c>
      <c r="E26" s="18" t="s">
        <v>11</v>
      </c>
      <c r="F26" s="17" t="s">
        <v>10</v>
      </c>
      <c r="G26" s="18" t="s">
        <v>11</v>
      </c>
      <c r="H26" s="17" t="s">
        <v>10</v>
      </c>
      <c r="I26" s="18" t="s">
        <v>11</v>
      </c>
      <c r="J26" s="17" t="s">
        <v>10</v>
      </c>
      <c r="K26" s="105" t="s">
        <v>11</v>
      </c>
      <c r="L26" s="108" t="s">
        <v>10</v>
      </c>
      <c r="M26" s="128" t="s">
        <v>11</v>
      </c>
      <c r="N26" s="108" t="s">
        <v>10</v>
      </c>
      <c r="O26" s="109" t="s">
        <v>11</v>
      </c>
      <c r="P26" s="130" t="s">
        <v>10</v>
      </c>
      <c r="Q26" s="69" t="s">
        <v>11</v>
      </c>
      <c r="R26" s="70" t="s">
        <v>11</v>
      </c>
    </row>
    <row r="27" spans="1:26" x14ac:dyDescent="0.25">
      <c r="A27" s="8" t="s">
        <v>26</v>
      </c>
      <c r="B27" s="11">
        <v>733</v>
      </c>
      <c r="C27" s="57">
        <v>3.4417993144574353E-2</v>
      </c>
      <c r="D27" s="11">
        <v>1026</v>
      </c>
      <c r="E27" s="57">
        <v>4.2033676103076734E-2</v>
      </c>
      <c r="F27" s="11">
        <v>743</v>
      </c>
      <c r="G27" s="57">
        <v>3.0872148585199651E-2</v>
      </c>
      <c r="H27" s="11">
        <v>336</v>
      </c>
      <c r="I27" s="57">
        <v>1.5990862364363222E-2</v>
      </c>
      <c r="J27" s="11">
        <v>196</v>
      </c>
      <c r="K27" s="104">
        <v>1.003378724275622E-2</v>
      </c>
      <c r="L27" s="106">
        <v>555</v>
      </c>
      <c r="M27" s="129">
        <v>2.8692550276585845E-2</v>
      </c>
      <c r="N27" s="147">
        <v>477</v>
      </c>
      <c r="O27" s="57">
        <v>2.6194398682042833E-2</v>
      </c>
      <c r="P27" s="126">
        <v>245217</v>
      </c>
      <c r="Q27" s="62">
        <v>0.29301963764635031</v>
      </c>
      <c r="R27" s="65">
        <v>-0.28298585040359409</v>
      </c>
    </row>
    <row r="28" spans="1:26" x14ac:dyDescent="0.25">
      <c r="A28" s="6" t="s">
        <v>27</v>
      </c>
      <c r="B28" s="11">
        <v>4893</v>
      </c>
      <c r="C28" s="57">
        <v>0.22975066910832512</v>
      </c>
      <c r="D28" s="11">
        <v>5828</v>
      </c>
      <c r="E28" s="57">
        <v>0.23876439018394854</v>
      </c>
      <c r="F28" s="11">
        <v>5660</v>
      </c>
      <c r="G28" s="57">
        <v>0.23517679810528941</v>
      </c>
      <c r="H28" s="11">
        <v>4488</v>
      </c>
      <c r="I28" s="57">
        <v>0.21359223300970873</v>
      </c>
      <c r="J28" s="11">
        <v>4057</v>
      </c>
      <c r="K28" s="104">
        <v>0.20768915736664278</v>
      </c>
      <c r="L28" s="11">
        <v>4732</v>
      </c>
      <c r="M28" s="129">
        <v>0.24463630253838597</v>
      </c>
      <c r="N28" s="147">
        <v>4686</v>
      </c>
      <c r="O28" s="57">
        <v>0.25733113673805602</v>
      </c>
      <c r="P28" s="126">
        <v>25706</v>
      </c>
      <c r="Q28" s="62">
        <v>3.0717131378889231E-2</v>
      </c>
      <c r="R28" s="65">
        <v>0.17697202598775355</v>
      </c>
    </row>
    <row r="29" spans="1:26" x14ac:dyDescent="0.25">
      <c r="A29" s="7" t="s">
        <v>28</v>
      </c>
      <c r="B29" s="11">
        <v>6750</v>
      </c>
      <c r="C29" s="57">
        <v>0.31694604873925902</v>
      </c>
      <c r="D29" s="11">
        <v>7632</v>
      </c>
      <c r="E29" s="57">
        <v>0.31267155557376375</v>
      </c>
      <c r="F29" s="11">
        <v>7750</v>
      </c>
      <c r="G29" s="57">
        <v>0.32201770058586449</v>
      </c>
      <c r="H29" s="11">
        <v>7563</v>
      </c>
      <c r="I29" s="57">
        <v>0.35993717875499714</v>
      </c>
      <c r="J29" s="11">
        <v>7524</v>
      </c>
      <c r="K29" s="104">
        <v>0.38517456742090711</v>
      </c>
      <c r="L29" s="11">
        <v>7164</v>
      </c>
      <c r="M29" s="129">
        <v>0.37036654086749726</v>
      </c>
      <c r="N29" s="147">
        <v>7286</v>
      </c>
      <c r="O29" s="57">
        <v>0.400109829763866</v>
      </c>
      <c r="P29" s="126">
        <v>52893</v>
      </c>
      <c r="Q29" s="62">
        <v>6.3203969113187125E-2</v>
      </c>
      <c r="R29" s="65">
        <v>0.32197059830772001</v>
      </c>
    </row>
    <row r="30" spans="1:26" x14ac:dyDescent="0.25">
      <c r="A30" s="7" t="s">
        <v>29</v>
      </c>
      <c r="B30" s="11">
        <v>2617</v>
      </c>
      <c r="C30" s="57">
        <v>0.12288115697046532</v>
      </c>
      <c r="D30" s="11">
        <v>2960</v>
      </c>
      <c r="E30" s="57">
        <v>0.1212667458724241</v>
      </c>
      <c r="F30" s="11">
        <v>3092</v>
      </c>
      <c r="G30" s="57">
        <v>0.12847467486599909</v>
      </c>
      <c r="H30" s="11">
        <v>2847</v>
      </c>
      <c r="I30" s="57">
        <v>0.13549400342661336</v>
      </c>
      <c r="J30" s="11">
        <v>2625</v>
      </c>
      <c r="K30" s="104">
        <v>0.1343810791440565</v>
      </c>
      <c r="L30" s="11">
        <v>2467</v>
      </c>
      <c r="M30" s="129">
        <v>0.12753967843664374</v>
      </c>
      <c r="N30" s="147">
        <v>2563</v>
      </c>
      <c r="O30" s="57">
        <v>0.14074684239428886</v>
      </c>
      <c r="P30" s="126">
        <v>52166</v>
      </c>
      <c r="Q30" s="62">
        <v>6.2335247627446341E-2</v>
      </c>
      <c r="R30" s="65">
        <v>7.2045831516610162E-2</v>
      </c>
    </row>
    <row r="31" spans="1:26" x14ac:dyDescent="0.25">
      <c r="A31" s="7" t="s">
        <v>30</v>
      </c>
      <c r="B31" s="11">
        <v>1668</v>
      </c>
      <c r="C31" s="57">
        <v>7.8320890266234677E-2</v>
      </c>
      <c r="D31" s="11">
        <v>1886</v>
      </c>
      <c r="E31" s="57">
        <v>7.7266581998443204E-2</v>
      </c>
      <c r="F31" s="11">
        <v>1849</v>
      </c>
      <c r="G31" s="57">
        <v>7.6827190759130762E-2</v>
      </c>
      <c r="H31" s="11">
        <v>1632</v>
      </c>
      <c r="I31" s="57">
        <v>7.7669902912621352E-2</v>
      </c>
      <c r="J31" s="11">
        <v>1536</v>
      </c>
      <c r="K31" s="104">
        <v>7.8632128596293635E-2</v>
      </c>
      <c r="L31" s="11">
        <v>1385</v>
      </c>
      <c r="M31" s="129">
        <v>7.160212996949801E-2</v>
      </c>
      <c r="N31" s="147">
        <v>1428</v>
      </c>
      <c r="O31" s="57">
        <v>7.8418451400329492E-2</v>
      </c>
      <c r="P31" s="126">
        <v>52145</v>
      </c>
      <c r="Q31" s="62">
        <v>6.2310153884391928E-2</v>
      </c>
      <c r="R31" s="65">
        <v>1.6321974711901707E-2</v>
      </c>
    </row>
    <row r="32" spans="1:26" x14ac:dyDescent="0.25">
      <c r="A32" s="7" t="s">
        <v>31</v>
      </c>
      <c r="B32" s="11">
        <v>1354</v>
      </c>
      <c r="C32" s="57">
        <v>6.357702962858619E-2</v>
      </c>
      <c r="D32" s="11">
        <v>1507</v>
      </c>
      <c r="E32" s="57">
        <v>6.1739522307345654E-2</v>
      </c>
      <c r="F32" s="11">
        <v>1438</v>
      </c>
      <c r="G32" s="57">
        <v>5.9749864960319109E-2</v>
      </c>
      <c r="H32" s="11">
        <v>1186</v>
      </c>
      <c r="I32" s="57">
        <v>5.6443936798020178E-2</v>
      </c>
      <c r="J32" s="11">
        <v>1074</v>
      </c>
      <c r="K32" s="104">
        <v>5.4981058666939697E-2</v>
      </c>
      <c r="L32" s="11">
        <v>894</v>
      </c>
      <c r="M32" s="129">
        <v>4.6218270175257196E-2</v>
      </c>
      <c r="N32" s="147">
        <v>924</v>
      </c>
      <c r="O32" s="57">
        <v>5.074135090609555E-2</v>
      </c>
      <c r="P32" s="126">
        <v>55384</v>
      </c>
      <c r="Q32" s="62">
        <v>6.6180565015498377E-2</v>
      </c>
      <c r="R32" s="65">
        <v>-1.119950634855868E-2</v>
      </c>
    </row>
    <row r="33" spans="1:20" x14ac:dyDescent="0.25">
      <c r="A33" s="5" t="s">
        <v>32</v>
      </c>
      <c r="B33" s="11">
        <v>2065</v>
      </c>
      <c r="C33" s="57">
        <v>9.6962013429121474E-2</v>
      </c>
      <c r="D33" s="11">
        <v>2241</v>
      </c>
      <c r="E33" s="57">
        <v>9.1810397804088659E-2</v>
      </c>
      <c r="F33" s="11">
        <v>2282</v>
      </c>
      <c r="G33" s="57">
        <v>9.4818631320895838E-2</v>
      </c>
      <c r="H33" s="11">
        <v>1900</v>
      </c>
      <c r="I33" s="57">
        <v>9.0424519322292021E-2</v>
      </c>
      <c r="J33" s="11">
        <v>1573</v>
      </c>
      <c r="K33" s="104">
        <v>8.0526261902324148E-2</v>
      </c>
      <c r="L33" s="11">
        <v>1336</v>
      </c>
      <c r="M33" s="129">
        <v>6.9068913818952596E-2</v>
      </c>
      <c r="N33" s="147">
        <v>1303</v>
      </c>
      <c r="O33" s="57">
        <v>7.1554091158704008E-2</v>
      </c>
      <c r="P33" s="126">
        <v>116401</v>
      </c>
      <c r="Q33" s="62">
        <v>0.13909222787030598</v>
      </c>
      <c r="R33" s="65">
        <v>-5.8565965967981831E-2</v>
      </c>
    </row>
    <row r="34" spans="1:20" x14ac:dyDescent="0.25">
      <c r="A34" s="5" t="s">
        <v>33</v>
      </c>
      <c r="B34" s="11">
        <v>1213</v>
      </c>
      <c r="C34" s="57">
        <v>5.6956378832699439E-2</v>
      </c>
      <c r="D34" s="11">
        <v>1329</v>
      </c>
      <c r="E34" s="57">
        <v>5.4447130156909336E-2</v>
      </c>
      <c r="F34" s="11">
        <v>1250</v>
      </c>
      <c r="G34" s="57">
        <v>5.1938338804171688E-2</v>
      </c>
      <c r="H34" s="11">
        <v>1058</v>
      </c>
      <c r="I34" s="57">
        <v>5.0352179706834192E-2</v>
      </c>
      <c r="J34" s="11">
        <v>947</v>
      </c>
      <c r="K34" s="104">
        <v>4.8479574075970103E-2</v>
      </c>
      <c r="L34" s="101">
        <v>809</v>
      </c>
      <c r="M34" s="129">
        <v>4.1823915628392702E-2</v>
      </c>
      <c r="N34" s="147">
        <v>831</v>
      </c>
      <c r="O34" s="57">
        <v>4.5634266886326193E-2</v>
      </c>
      <c r="P34" s="126">
        <v>236950</v>
      </c>
      <c r="Q34" s="62">
        <v>0.28314106746393075</v>
      </c>
      <c r="R34" s="65">
        <v>-0.23466149338796066</v>
      </c>
    </row>
    <row r="35" spans="1:20" ht="15.75" thickBot="1" x14ac:dyDescent="0.3">
      <c r="A35" s="15" t="s">
        <v>14</v>
      </c>
      <c r="B35" s="12">
        <v>4</v>
      </c>
      <c r="C35" s="58">
        <v>1.8781988073437574E-4</v>
      </c>
      <c r="D35" s="12">
        <v>0</v>
      </c>
      <c r="E35" s="58">
        <v>0</v>
      </c>
      <c r="F35" s="12">
        <v>3</v>
      </c>
      <c r="G35" s="58">
        <v>1.2465201313001205E-4</v>
      </c>
      <c r="H35" s="12">
        <v>2</v>
      </c>
      <c r="I35" s="58">
        <v>9.5183704549781079E-5</v>
      </c>
      <c r="J35" s="12">
        <v>2</v>
      </c>
      <c r="K35" s="103">
        <v>1.0238558410975735E-4</v>
      </c>
      <c r="L35" s="12">
        <v>1</v>
      </c>
      <c r="M35" s="103">
        <v>5.1698288786641165E-5</v>
      </c>
      <c r="N35" s="144">
        <v>1</v>
      </c>
      <c r="O35" s="58">
        <v>5.4914881933003843E-5</v>
      </c>
      <c r="P35" s="131">
        <v>0</v>
      </c>
      <c r="Q35" s="63">
        <v>0</v>
      </c>
      <c r="R35" s="66">
        <v>1.0238558410975735E-4</v>
      </c>
    </row>
    <row r="36" spans="1:20" x14ac:dyDescent="0.25">
      <c r="A36" s="42" t="s">
        <v>34</v>
      </c>
      <c r="B36" s="51">
        <v>27.085804739513012</v>
      </c>
      <c r="C36" s="52"/>
      <c r="D36" s="51">
        <v>26.740921673994464</v>
      </c>
      <c r="E36" s="52"/>
      <c r="F36" s="51">
        <v>26.808411988739859</v>
      </c>
      <c r="G36" s="52"/>
      <c r="H36" s="51">
        <v>26.616662002052429</v>
      </c>
      <c r="I36" s="52"/>
      <c r="J36" s="51">
        <v>26.219426245781218</v>
      </c>
      <c r="K36" s="44"/>
      <c r="L36" s="102">
        <v>25.3</v>
      </c>
      <c r="M36" s="10"/>
      <c r="N36" s="152">
        <v>24.9</v>
      </c>
      <c r="O36" s="10"/>
      <c r="P36" s="22"/>
      <c r="Q36" s="22"/>
      <c r="R36" s="22"/>
    </row>
    <row r="37" spans="1:20" s="31" customFormat="1" x14ac:dyDescent="0.25">
      <c r="A37" s="43" t="s">
        <v>39</v>
      </c>
      <c r="B37" s="9">
        <v>22</v>
      </c>
      <c r="C37" s="10"/>
      <c r="D37" s="9">
        <v>22</v>
      </c>
      <c r="E37" s="10"/>
      <c r="F37" s="9">
        <v>22</v>
      </c>
      <c r="G37" s="10"/>
      <c r="H37" s="9">
        <v>22</v>
      </c>
      <c r="I37" s="10"/>
      <c r="J37" s="9">
        <v>22</v>
      </c>
      <c r="K37" s="10"/>
      <c r="L37" s="9">
        <v>25</v>
      </c>
      <c r="M37" s="10"/>
      <c r="N37" s="9">
        <v>25</v>
      </c>
      <c r="O37" s="10"/>
      <c r="P37" s="10"/>
      <c r="Q37" s="22"/>
      <c r="R37" s="22"/>
    </row>
    <row r="38" spans="1:20" s="31" customFormat="1" x14ac:dyDescent="0.25">
      <c r="A38" s="94" t="s">
        <v>52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22"/>
      <c r="T38" s="22"/>
    </row>
    <row r="39" spans="1:20" s="31" customFormat="1" ht="15.75" thickBot="1" x14ac:dyDescent="0.3">
      <c r="A39" s="41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22"/>
      <c r="S39" s="22"/>
      <c r="T39" s="22"/>
    </row>
    <row r="40" spans="1:20" s="31" customFormat="1" ht="15.75" thickBot="1" x14ac:dyDescent="0.3">
      <c r="A40" s="54"/>
      <c r="B40" s="120" t="s">
        <v>61</v>
      </c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46"/>
      <c r="P40" s="122" t="s">
        <v>42</v>
      </c>
      <c r="Q40" s="123"/>
      <c r="R40" s="74" t="s">
        <v>2</v>
      </c>
    </row>
    <row r="41" spans="1:20" ht="15.75" thickBot="1" x14ac:dyDescent="0.3">
      <c r="A41" s="67"/>
      <c r="B41" s="110" t="s">
        <v>3</v>
      </c>
      <c r="C41" s="111"/>
      <c r="D41" s="110" t="s">
        <v>4</v>
      </c>
      <c r="E41" s="111"/>
      <c r="F41" s="110" t="s">
        <v>5</v>
      </c>
      <c r="G41" s="111"/>
      <c r="H41" s="110" t="s">
        <v>6</v>
      </c>
      <c r="I41" s="111"/>
      <c r="J41" s="110" t="s">
        <v>7</v>
      </c>
      <c r="K41" s="111"/>
      <c r="L41" s="110" t="s">
        <v>59</v>
      </c>
      <c r="M41" s="111"/>
      <c r="N41" s="132" t="s">
        <v>60</v>
      </c>
      <c r="O41" s="133"/>
      <c r="P41" s="112" t="s">
        <v>41</v>
      </c>
      <c r="Q41" s="113"/>
      <c r="R41" s="75" t="s">
        <v>8</v>
      </c>
    </row>
    <row r="42" spans="1:20" ht="15.75" thickBot="1" x14ac:dyDescent="0.3">
      <c r="A42" s="71" t="s">
        <v>35</v>
      </c>
      <c r="B42" s="17" t="s">
        <v>10</v>
      </c>
      <c r="C42" s="18" t="s">
        <v>11</v>
      </c>
      <c r="D42" s="17" t="s">
        <v>10</v>
      </c>
      <c r="E42" s="18" t="s">
        <v>11</v>
      </c>
      <c r="F42" s="17" t="s">
        <v>10</v>
      </c>
      <c r="G42" s="18" t="s">
        <v>11</v>
      </c>
      <c r="H42" s="17" t="s">
        <v>10</v>
      </c>
      <c r="I42" s="18" t="s">
        <v>11</v>
      </c>
      <c r="J42" s="17" t="s">
        <v>10</v>
      </c>
      <c r="K42" s="18" t="s">
        <v>11</v>
      </c>
      <c r="L42" s="17" t="s">
        <v>10</v>
      </c>
      <c r="M42" s="105" t="s">
        <v>11</v>
      </c>
      <c r="N42" s="108" t="s">
        <v>10</v>
      </c>
      <c r="O42" s="109" t="s">
        <v>11</v>
      </c>
      <c r="P42" s="134" t="s">
        <v>10</v>
      </c>
      <c r="Q42" s="48" t="s">
        <v>11</v>
      </c>
      <c r="R42" s="76" t="s">
        <v>10</v>
      </c>
    </row>
    <row r="43" spans="1:20" ht="15.75" thickBot="1" x14ac:dyDescent="0.3">
      <c r="A43" s="72" t="s">
        <v>44</v>
      </c>
      <c r="B43" s="12">
        <v>649</v>
      </c>
      <c r="C43" s="58">
        <v>3.0473775649152463E-2</v>
      </c>
      <c r="D43" s="12">
        <v>963</v>
      </c>
      <c r="E43" s="58">
        <v>3.9452660903765008E-2</v>
      </c>
      <c r="F43" s="12">
        <v>1178</v>
      </c>
      <c r="G43" s="58">
        <v>4.8946690489051398E-2</v>
      </c>
      <c r="H43" s="12">
        <v>1155</v>
      </c>
      <c r="I43" s="58">
        <v>5.4968589377498572E-2</v>
      </c>
      <c r="J43" s="12">
        <v>1132</v>
      </c>
      <c r="K43" s="58">
        <v>5.7950240606122659E-2</v>
      </c>
      <c r="L43" s="12">
        <v>1129</v>
      </c>
      <c r="M43" s="103">
        <v>6.2750111160515779E-2</v>
      </c>
      <c r="N43" s="144">
        <v>808</v>
      </c>
      <c r="O43" s="58">
        <v>4.4371224601867106E-2</v>
      </c>
      <c r="P43" s="135">
        <v>105412</v>
      </c>
      <c r="Q43" s="73">
        <v>8.1095074304327316E-2</v>
      </c>
      <c r="R43" s="77">
        <v>-2.3144833698204657E-2</v>
      </c>
    </row>
    <row r="44" spans="1:20" s="31" customFormat="1" ht="15.75" thickBot="1" x14ac:dyDescent="0.3">
      <c r="A44" s="47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49">
        <v>1299857</v>
      </c>
    </row>
    <row r="45" spans="1:20" s="31" customFormat="1" ht="15.75" thickBot="1" x14ac:dyDescent="0.3">
      <c r="A45" s="47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50"/>
    </row>
    <row r="46" spans="1:20" s="31" customFormat="1" x14ac:dyDescent="0.25">
      <c r="A46" s="78" t="s">
        <v>47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80"/>
      <c r="S46" s="81"/>
      <c r="T46" s="82"/>
    </row>
    <row r="47" spans="1:20" x14ac:dyDescent="0.25">
      <c r="A47" s="83" t="s">
        <v>45</v>
      </c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5"/>
    </row>
    <row r="48" spans="1:20" ht="15.75" thickBot="1" x14ac:dyDescent="0.3">
      <c r="A48" s="86" t="s">
        <v>46</v>
      </c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8"/>
    </row>
  </sheetData>
  <mergeCells count="41">
    <mergeCell ref="N41:O41"/>
    <mergeCell ref="B1:O1"/>
    <mergeCell ref="N2:O2"/>
    <mergeCell ref="B10:O10"/>
    <mergeCell ref="B24:O24"/>
    <mergeCell ref="B40:O40"/>
    <mergeCell ref="J2:K2"/>
    <mergeCell ref="P2:Q2"/>
    <mergeCell ref="F25:G25"/>
    <mergeCell ref="H25:I25"/>
    <mergeCell ref="J25:K25"/>
    <mergeCell ref="B11:C11"/>
    <mergeCell ref="D11:E11"/>
    <mergeCell ref="F11:G11"/>
    <mergeCell ref="H11:I11"/>
    <mergeCell ref="J11:K11"/>
    <mergeCell ref="P40:Q40"/>
    <mergeCell ref="N11:O11"/>
    <mergeCell ref="N25:O25"/>
    <mergeCell ref="P1:Q1"/>
    <mergeCell ref="A1:A2"/>
    <mergeCell ref="B2:C2"/>
    <mergeCell ref="D2:E2"/>
    <mergeCell ref="F2:G2"/>
    <mergeCell ref="H2:I2"/>
    <mergeCell ref="L2:M2"/>
    <mergeCell ref="P41:Q41"/>
    <mergeCell ref="P10:Q10"/>
    <mergeCell ref="P11:Q11"/>
    <mergeCell ref="P24:Q24"/>
    <mergeCell ref="P25:Q25"/>
    <mergeCell ref="L41:M41"/>
    <mergeCell ref="L11:M11"/>
    <mergeCell ref="L25:M25"/>
    <mergeCell ref="B41:C41"/>
    <mergeCell ref="D41:E41"/>
    <mergeCell ref="F41:G41"/>
    <mergeCell ref="H41:I41"/>
    <mergeCell ref="J41:K41"/>
    <mergeCell ref="B25:C25"/>
    <mergeCell ref="D25:E25"/>
  </mergeCells>
  <hyperlinks>
    <hyperlink ref="A48" r:id="rId1"/>
    <hyperlink ref="A8" location="'gender graph'!A1" display="click here for graph"/>
    <hyperlink ref="A22" location="'ethnicity graph'!A1" display="click here for graph"/>
    <hyperlink ref="A38" location="'age graph'!A1" display="click here for graph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A3" sqref="A3"/>
    </sheetView>
  </sheetViews>
  <sheetFormatPr defaultRowHeight="15" x14ac:dyDescent="0.25"/>
  <sheetData>
    <row r="1" spans="1:6" x14ac:dyDescent="0.25">
      <c r="A1" s="26" t="s">
        <v>3</v>
      </c>
      <c r="B1" s="26" t="s">
        <v>4</v>
      </c>
      <c r="C1" s="26" t="s">
        <v>5</v>
      </c>
      <c r="D1" s="26" t="s">
        <v>6</v>
      </c>
      <c r="E1" s="26" t="s">
        <v>7</v>
      </c>
    </row>
    <row r="2" spans="1:6" x14ac:dyDescent="0.25">
      <c r="A2" s="26">
        <v>2007</v>
      </c>
      <c r="B2" s="26">
        <v>2008</v>
      </c>
      <c r="C2" s="26">
        <v>2009</v>
      </c>
      <c r="D2" s="26">
        <v>2010</v>
      </c>
      <c r="E2" s="26">
        <v>2011</v>
      </c>
    </row>
    <row r="3" spans="1:6" x14ac:dyDescent="0.25">
      <c r="A3">
        <f>VLOOKUP($F3,'[3]gender heads'!$A:$G,HLOOKUP(A$2,'[3]gender heads'!$1:$2,2,FALSE),FALSE)</f>
        <v>12909</v>
      </c>
      <c r="B3" s="1">
        <f>VLOOKUP($F3,'[3]gender heads'!$A:$G,HLOOKUP(B$2,'[3]gender heads'!$1:$2,2,FALSE),FALSE)</f>
        <v>14479</v>
      </c>
      <c r="C3" s="1">
        <f>VLOOKUP($F3,'[3]gender heads'!$A:$G,HLOOKUP(C$2,'[3]gender heads'!$1:$2,2,FALSE),FALSE)</f>
        <v>13953</v>
      </c>
      <c r="D3" s="1">
        <f>VLOOKUP($F3,'[3]gender heads'!$A:$G,HLOOKUP(D$2,'[3]gender heads'!$1:$2,2,FALSE),FALSE)</f>
        <v>12000</v>
      </c>
      <c r="E3" s="1">
        <f>VLOOKUP($F3,'[3]gender heads'!$A:$G,HLOOKUP(E$2,'[3]gender heads'!$1:$2,2,FALSE),FALSE)</f>
        <v>11055</v>
      </c>
      <c r="F3" t="s">
        <v>36</v>
      </c>
    </row>
    <row r="4" spans="1:6" x14ac:dyDescent="0.25">
      <c r="A4" s="1">
        <f>VLOOKUP($F4,'[3]gender heads'!$A:$G,HLOOKUP(A$2,'[3]gender heads'!$1:$2,2,FALSE),FALSE)</f>
        <v>8196</v>
      </c>
      <c r="B4" s="1">
        <f>VLOOKUP($F4,'[3]gender heads'!$A:$G,HLOOKUP(B$2,'[3]gender heads'!$1:$2,2,FALSE),FALSE)</f>
        <v>9592</v>
      </c>
      <c r="C4" s="1">
        <f>VLOOKUP($F4,'[3]gender heads'!$A:$G,HLOOKUP(C$2,'[3]gender heads'!$1:$2,2,FALSE),FALSE)</f>
        <v>9853</v>
      </c>
      <c r="D4" s="1">
        <f>VLOOKUP($F4,'[3]gender heads'!$A:$G,HLOOKUP(D$2,'[3]gender heads'!$1:$2,2,FALSE),FALSE)</f>
        <v>8784</v>
      </c>
      <c r="E4" s="1">
        <f>VLOOKUP($F4,'[3]gender heads'!$A:$G,HLOOKUP(E$2,'[3]gender heads'!$1:$2,2,FALSE),FALSE)</f>
        <v>8299</v>
      </c>
      <c r="F4" t="s">
        <v>37</v>
      </c>
    </row>
    <row r="5" spans="1:6" x14ac:dyDescent="0.25">
      <c r="A5" s="1">
        <f>VLOOKUP($F5,'[3]gender heads'!$A:$G,HLOOKUP(A$2,'[3]gender heads'!$1:$2,2,FALSE),FALSE)</f>
        <v>192</v>
      </c>
      <c r="B5" s="1">
        <f>VLOOKUP($F5,'[3]gender heads'!$A:$G,HLOOKUP(B$2,'[3]gender heads'!$1:$2,2,FALSE),FALSE)</f>
        <v>338</v>
      </c>
      <c r="C5" s="1">
        <f>VLOOKUP($F5,'[3]gender heads'!$A:$G,HLOOKUP(C$2,'[3]gender heads'!$1:$2,2,FALSE),FALSE)</f>
        <v>261</v>
      </c>
      <c r="D5" s="1">
        <f>VLOOKUP($F5,'[3]gender heads'!$A:$G,HLOOKUP(D$2,'[3]gender heads'!$1:$2,2,FALSE),FALSE)</f>
        <v>228</v>
      </c>
      <c r="E5" s="1">
        <f>VLOOKUP($F5,'[3]gender heads'!$A:$G,HLOOKUP(E$2,'[3]gender heads'!$1:$2,2,FALSE),FALSE)</f>
        <v>180</v>
      </c>
      <c r="F5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E21" sqref="E21"/>
    </sheetView>
  </sheetViews>
  <sheetFormatPr defaultRowHeight="15" x14ac:dyDescent="0.25"/>
  <cols>
    <col min="1" max="1" width="20.5703125" bestFit="1" customWidth="1"/>
    <col min="6" max="6" width="2.85546875" bestFit="1" customWidth="1"/>
    <col min="7" max="7" width="16.28515625" bestFit="1" customWidth="1"/>
  </cols>
  <sheetData>
    <row r="1" spans="1:9" x14ac:dyDescent="0.25">
      <c r="A1" s="26" t="s">
        <v>3</v>
      </c>
      <c r="B1" s="26" t="s">
        <v>4</v>
      </c>
      <c r="C1" s="26" t="s">
        <v>5</v>
      </c>
      <c r="D1" s="26" t="s">
        <v>6</v>
      </c>
      <c r="E1" s="26" t="s">
        <v>7</v>
      </c>
    </row>
    <row r="2" spans="1:9" x14ac:dyDescent="0.25">
      <c r="A2" s="26">
        <v>2007</v>
      </c>
      <c r="B2" s="26">
        <v>2008</v>
      </c>
      <c r="C2" s="26">
        <v>2009</v>
      </c>
      <c r="D2" s="26">
        <v>2010</v>
      </c>
      <c r="E2" s="26">
        <v>2011</v>
      </c>
    </row>
    <row r="3" spans="1:9" x14ac:dyDescent="0.25">
      <c r="A3">
        <f>VLOOKUP($F3,'[4]Primary Races'!$A:$G,HLOOKUP(A$2,'[4]Primary Races'!$1:$2,2,FALSE),FALSE)</f>
        <v>9963</v>
      </c>
      <c r="B3" s="28">
        <f>VLOOKUP($F3,'[4]Primary Races'!$A:$G,HLOOKUP(B$2,'[4]Primary Races'!$1:$2,2,FALSE),FALSE)</f>
        <v>10935</v>
      </c>
      <c r="C3" s="28">
        <f>VLOOKUP($F3,'[4]Primary Races'!$A:$G,HLOOKUP(C$2,'[4]Primary Races'!$1:$2,2,FALSE),FALSE)</f>
        <v>10427</v>
      </c>
      <c r="D3" s="28">
        <f>VLOOKUP($F3,'[4]Primary Races'!$A:$G,HLOOKUP(D$2,'[4]Primary Races'!$1:$2,2,FALSE),FALSE)</f>
        <v>8877</v>
      </c>
      <c r="E3" s="28">
        <f>VLOOKUP($F3,'[4]Primary Races'!$A:$G,HLOOKUP(E$2,'[4]Primary Races'!$1:$2,2,FALSE),FALSE)</f>
        <v>7806</v>
      </c>
      <c r="F3" t="str">
        <f>MID(G3,1,1)</f>
        <v>W</v>
      </c>
      <c r="G3" s="14" t="s">
        <v>17</v>
      </c>
      <c r="I3" s="14" t="s">
        <v>17</v>
      </c>
    </row>
    <row r="4" spans="1:9" x14ac:dyDescent="0.25">
      <c r="A4">
        <f>VLOOKUP($G4,'[4]hispanic total'!$A:$F,HLOOKUP(A$2,'[4]hispanic total'!$1:$2,2,FALSE),FALSE)</f>
        <v>6040</v>
      </c>
      <c r="B4" s="28">
        <f>VLOOKUP($G4,'[4]hispanic total'!$A:$F,HLOOKUP(B$2,'[4]hispanic total'!$1:$2,2,FALSE),FALSE)</f>
        <v>7149</v>
      </c>
      <c r="C4" s="28">
        <f>VLOOKUP($G4,'[4]hispanic total'!$A:$F,HLOOKUP(C$2,'[4]hispanic total'!$1:$2,2,FALSE),FALSE)</f>
        <v>7520</v>
      </c>
      <c r="D4" s="28">
        <f>VLOOKUP($G4,'[4]hispanic total'!$A:$F,HLOOKUP(D$2,'[4]hispanic total'!$1:$2,2,FALSE),FALSE)</f>
        <v>7022</v>
      </c>
      <c r="E4" s="28">
        <f>VLOOKUP($G4,'[4]hispanic total'!$A:$F,HLOOKUP(E$2,'[4]hispanic total'!$1:$2,2,FALSE),FALSE)</f>
        <v>7295</v>
      </c>
      <c r="F4" s="28" t="str">
        <f>MID(G4,1,1)</f>
        <v>H</v>
      </c>
      <c r="G4" s="15" t="s">
        <v>18</v>
      </c>
      <c r="I4" s="15" t="s">
        <v>18</v>
      </c>
    </row>
    <row r="5" spans="1:9" x14ac:dyDescent="0.25">
      <c r="A5" s="28">
        <f>VLOOKUP($F5,'[4]Primary Races'!$A:$G,HLOOKUP(A$2,'[4]Primary Races'!$1:$2,2,FALSE),FALSE)</f>
        <v>1547</v>
      </c>
      <c r="B5" s="28">
        <f>VLOOKUP($F5,'[4]Primary Races'!$A:$G,HLOOKUP(B$2,'[4]Primary Races'!$1:$2,2,FALSE),FALSE)</f>
        <v>1956</v>
      </c>
      <c r="C5" s="28">
        <f>VLOOKUP($F5,'[4]Primary Races'!$A:$G,HLOOKUP(C$2,'[4]Primary Races'!$1:$2,2,FALSE),FALSE)</f>
        <v>1913</v>
      </c>
      <c r="D5" s="28">
        <f>VLOOKUP($F5,'[4]Primary Races'!$A:$G,HLOOKUP(D$2,'[4]Primary Races'!$1:$2,2,FALSE),FALSE)</f>
        <v>1641</v>
      </c>
      <c r="E5" s="28">
        <f>VLOOKUP($F5,'[4]Primary Races'!$A:$G,HLOOKUP(E$2,'[4]Primary Races'!$1:$2,2,FALSE),FALSE)</f>
        <v>1507</v>
      </c>
      <c r="F5" s="28" t="s">
        <v>48</v>
      </c>
      <c r="G5" s="15" t="s">
        <v>19</v>
      </c>
      <c r="I5" s="15" t="s">
        <v>19</v>
      </c>
    </row>
    <row r="6" spans="1:9" x14ac:dyDescent="0.25">
      <c r="A6" s="28">
        <f>VLOOKUP($F6,'[4]Primary Races'!$A:$G,HLOOKUP(A$2,'[4]Primary Races'!$1:$2,2,FALSE),FALSE)</f>
        <v>609</v>
      </c>
      <c r="B6" s="28">
        <f>VLOOKUP($F6,'[4]Primary Races'!$A:$G,HLOOKUP(B$2,'[4]Primary Races'!$1:$2,2,FALSE),FALSE)</f>
        <v>718</v>
      </c>
      <c r="C6" s="28">
        <f>VLOOKUP($F6,'[4]Primary Races'!$A:$G,HLOOKUP(C$2,'[4]Primary Races'!$1:$2,2,FALSE),FALSE)</f>
        <v>635</v>
      </c>
      <c r="D6" s="28">
        <f>VLOOKUP($F6,'[4]Primary Races'!$A:$G,HLOOKUP(D$2,'[4]Primary Races'!$1:$2,2,FALSE),FALSE)</f>
        <v>583</v>
      </c>
      <c r="E6" s="28">
        <f>VLOOKUP($F6,'[4]Primary Races'!$A:$G,HLOOKUP(E$2,'[4]Primary Races'!$1:$2,2,FALSE),FALSE)</f>
        <v>478</v>
      </c>
      <c r="F6" s="28" t="str">
        <f t="shared" ref="F6:F9" si="0">MID(G6,1,1)</f>
        <v>A</v>
      </c>
      <c r="G6" s="15" t="s">
        <v>20</v>
      </c>
      <c r="I6" s="15" t="s">
        <v>20</v>
      </c>
    </row>
    <row r="7" spans="1:9" x14ac:dyDescent="0.25">
      <c r="A7" s="28">
        <f>VLOOKUP($F7,'[4]Primary Races'!$A:$G,HLOOKUP(A$2,'[4]Primary Races'!$1:$2,2,FALSE),FALSE)</f>
        <v>254</v>
      </c>
      <c r="B7" s="28">
        <f>VLOOKUP($F7,'[4]Primary Races'!$A:$G,HLOOKUP(B$2,'[4]Primary Races'!$1:$2,2,FALSE),FALSE)</f>
        <v>294</v>
      </c>
      <c r="C7" s="28">
        <f>VLOOKUP($F7,'[4]Primary Races'!$A:$G,HLOOKUP(C$2,'[4]Primary Races'!$1:$2,2,FALSE),FALSE)</f>
        <v>250</v>
      </c>
      <c r="D7" s="28">
        <f>VLOOKUP($F7,'[4]Primary Races'!$A:$G,HLOOKUP(D$2,'[4]Primary Races'!$1:$2,2,FALSE),FALSE)</f>
        <v>182</v>
      </c>
      <c r="E7" s="28">
        <f>VLOOKUP($F7,'[4]Primary Races'!$A:$G,HLOOKUP(E$2,'[4]Primary Races'!$1:$2,2,FALSE),FALSE)</f>
        <v>141</v>
      </c>
      <c r="F7" s="28" t="str">
        <f t="shared" si="0"/>
        <v>N</v>
      </c>
      <c r="G7" s="15" t="s">
        <v>21</v>
      </c>
      <c r="I7" s="15" t="s">
        <v>21</v>
      </c>
    </row>
    <row r="8" spans="1:9" x14ac:dyDescent="0.25">
      <c r="A8" s="28">
        <f>VLOOKUP($F8,'[4]Primary Races'!$A:$G,HLOOKUP(A$2,'[4]Primary Races'!$1:$2,2,FALSE),FALSE)</f>
        <v>813</v>
      </c>
      <c r="B8" s="28">
        <f>VLOOKUP($F8,'[4]Primary Races'!$A:$G,HLOOKUP(B$2,'[4]Primary Races'!$1:$2,2,FALSE),FALSE)</f>
        <v>840</v>
      </c>
      <c r="C8" s="28">
        <f>VLOOKUP($F8,'[4]Primary Races'!$A:$G,HLOOKUP(C$2,'[4]Primary Races'!$1:$2,2,FALSE),FALSE)</f>
        <v>816</v>
      </c>
      <c r="D8" s="28">
        <f>VLOOKUP($F8,'[4]Primary Races'!$A:$G,HLOOKUP(D$2,'[4]Primary Races'!$1:$2,2,FALSE),FALSE)</f>
        <v>671</v>
      </c>
      <c r="E8" s="28">
        <f>VLOOKUP($F8,'[4]Primary Races'!$A:$G,HLOOKUP(E$2,'[4]Primary Races'!$1:$2,2,FALSE),FALSE)</f>
        <v>599</v>
      </c>
      <c r="F8" s="28" t="str">
        <f t="shared" si="0"/>
        <v>F</v>
      </c>
      <c r="G8" s="15" t="s">
        <v>22</v>
      </c>
      <c r="I8" s="15" t="s">
        <v>22</v>
      </c>
    </row>
    <row r="9" spans="1:9" x14ac:dyDescent="0.25">
      <c r="A9" s="28">
        <f>VLOOKUP($F9,'[4]Primary Races'!$A:$G,HLOOKUP(A$2,'[4]Primary Races'!$1:$2,2,FALSE),FALSE)</f>
        <v>151</v>
      </c>
      <c r="B9" s="28">
        <f>VLOOKUP($F9,'[4]Primary Races'!$A:$G,HLOOKUP(B$2,'[4]Primary Races'!$1:$2,2,FALSE),FALSE)</f>
        <v>183</v>
      </c>
      <c r="C9" s="28">
        <f>VLOOKUP($F9,'[4]Primary Races'!$A:$G,HLOOKUP(C$2,'[4]Primary Races'!$1:$2,2,FALSE),FALSE)</f>
        <v>159</v>
      </c>
      <c r="D9" s="28">
        <f>VLOOKUP($F9,'[4]Primary Races'!$A:$G,HLOOKUP(D$2,'[4]Primary Races'!$1:$2,2,FALSE),FALSE)</f>
        <v>124</v>
      </c>
      <c r="E9" s="28">
        <f>VLOOKUP($F9,'[4]Primary Races'!$A:$G,HLOOKUP(E$2,'[4]Primary Races'!$1:$2,2,FALSE),FALSE)</f>
        <v>90</v>
      </c>
      <c r="F9" s="28" t="str">
        <f t="shared" si="0"/>
        <v>P</v>
      </c>
      <c r="G9" s="15" t="s">
        <v>23</v>
      </c>
      <c r="I9" s="15" t="s">
        <v>23</v>
      </c>
    </row>
    <row r="10" spans="1:9" x14ac:dyDescent="0.25">
      <c r="A10" s="28">
        <f>VLOOKUP($F10,'[4]multi race'!$A:$G,HLOOKUP(A$2,'[4]multi race'!$1:$2,2,FALSE),FALSE)</f>
        <v>330</v>
      </c>
      <c r="B10" s="28">
        <f>VLOOKUP($F10,'[4]multi race'!$A:$G,HLOOKUP(B$2,'[4]multi race'!$1:$2,2,FALSE),FALSE)</f>
        <v>399</v>
      </c>
      <c r="C10" s="28">
        <f>VLOOKUP($F10,'[4]multi race'!$A:$G,HLOOKUP(C$2,'[4]multi race'!$1:$2,2,FALSE),FALSE)</f>
        <v>657</v>
      </c>
      <c r="D10" s="28">
        <f>VLOOKUP($F10,'[4]multi race'!$A:$G,HLOOKUP(D$2,'[4]multi race'!$1:$2,2,FALSE),FALSE)</f>
        <v>833</v>
      </c>
      <c r="E10" s="28">
        <f>VLOOKUP($F10,'[4]multi race'!$A:$G,HLOOKUP(E$2,'[4]multi race'!$1:$2,2,FALSE),FALSE)</f>
        <v>908</v>
      </c>
      <c r="F10" s="28" t="str">
        <f>MID(G10,1,1)</f>
        <v>M</v>
      </c>
      <c r="G10" s="15" t="s">
        <v>24</v>
      </c>
      <c r="I10" s="15" t="s">
        <v>24</v>
      </c>
    </row>
    <row r="11" spans="1:9" ht="15.75" thickBot="1" x14ac:dyDescent="0.3">
      <c r="A11" s="28">
        <f>VLOOKUP($F11,[4]unknown!$A:$G,HLOOKUP(A$2,[4]unknown!$1:$2,2,FALSE),FALSE)</f>
        <v>1590</v>
      </c>
      <c r="B11" s="28">
        <f>VLOOKUP($F11,[4]unknown!$A:$G,HLOOKUP(B$2,[4]unknown!$1:$2,2,FALSE),FALSE)</f>
        <v>1935</v>
      </c>
      <c r="C11" s="28">
        <f>VLOOKUP($F11,[4]unknown!$A:$G,HLOOKUP(C$2,[4]unknown!$1:$2,2,FALSE),FALSE)</f>
        <v>1690</v>
      </c>
      <c r="D11" s="28">
        <f>VLOOKUP($F11,[4]unknown!$A:$G,HLOOKUP(D$2,[4]unknown!$1:$2,2,FALSE),FALSE)</f>
        <v>1079</v>
      </c>
      <c r="E11" s="28">
        <f>VLOOKUP($F11,[4]unknown!$A:$G,HLOOKUP(E$2,[4]unknown!$1:$2,2,FALSE),FALSE)</f>
        <v>710</v>
      </c>
      <c r="F11" s="28" t="str">
        <f>MID(G11,1,1)</f>
        <v>U</v>
      </c>
      <c r="G11" s="16" t="s">
        <v>14</v>
      </c>
      <c r="I11" s="16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D22" sqref="D22"/>
    </sheetView>
  </sheetViews>
  <sheetFormatPr defaultRowHeight="15" x14ac:dyDescent="0.25"/>
  <sheetData>
    <row r="1" spans="1:14" s="31" customFormat="1" ht="15.75" customHeight="1" x14ac:dyDescent="0.25">
      <c r="A1" s="2"/>
      <c r="B1" s="13">
        <v>2007</v>
      </c>
      <c r="C1" s="13"/>
      <c r="D1" s="13">
        <v>2008</v>
      </c>
      <c r="E1" s="13"/>
      <c r="F1" s="13">
        <v>2009</v>
      </c>
      <c r="G1" s="13"/>
      <c r="H1" s="13">
        <v>2010</v>
      </c>
      <c r="I1" s="13"/>
      <c r="J1" s="13">
        <v>2011</v>
      </c>
      <c r="K1" s="13"/>
      <c r="L1" s="23"/>
      <c r="M1" s="23"/>
      <c r="N1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>
      <selection activeCell="R36" sqref="R36"/>
    </sheetView>
  </sheetViews>
  <sheetFormatPr defaultRowHeight="12.75" x14ac:dyDescent="0.2"/>
  <cols>
    <col min="1" max="1" width="15.28515625" style="89" bestFit="1" customWidth="1"/>
    <col min="2" max="2" width="16.5703125" style="89" bestFit="1" customWidth="1"/>
    <col min="3" max="7" width="12" style="89" bestFit="1" customWidth="1"/>
    <col min="8" max="8" width="10" style="89" bestFit="1" customWidth="1"/>
    <col min="9" max="9" width="12.42578125" style="89" bestFit="1" customWidth="1"/>
    <col min="10" max="11" width="12" style="89" bestFit="1" customWidth="1"/>
    <col min="12" max="12" width="15" style="89" bestFit="1" customWidth="1"/>
    <col min="13" max="13" width="13.7109375" style="89" bestFit="1" customWidth="1"/>
    <col min="14" max="14" width="13.140625" style="89" bestFit="1" customWidth="1"/>
    <col min="15" max="16384" width="9.140625" style="89"/>
  </cols>
  <sheetData>
    <row r="1" spans="1:13" x14ac:dyDescent="0.2">
      <c r="A1" s="90" t="s">
        <v>0</v>
      </c>
      <c r="B1" s="90" t="s">
        <v>43</v>
      </c>
      <c r="C1" s="90"/>
      <c r="D1" s="90"/>
      <c r="E1" s="90"/>
      <c r="F1" s="90"/>
      <c r="G1" s="90"/>
      <c r="H1" s="90"/>
      <c r="I1" s="90"/>
      <c r="J1" s="90"/>
      <c r="K1" s="90"/>
      <c r="L1" s="90" t="s">
        <v>1</v>
      </c>
      <c r="M1" s="90"/>
    </row>
    <row r="2" spans="1:13" x14ac:dyDescent="0.2">
      <c r="A2" s="90"/>
      <c r="B2" s="90" t="s">
        <v>3</v>
      </c>
      <c r="C2" s="90"/>
      <c r="D2" s="90" t="s">
        <v>4</v>
      </c>
      <c r="E2" s="90"/>
      <c r="F2" s="90" t="s">
        <v>5</v>
      </c>
      <c r="G2" s="90"/>
      <c r="H2" s="90" t="s">
        <v>6</v>
      </c>
      <c r="I2" s="90"/>
      <c r="J2" s="90" t="s">
        <v>7</v>
      </c>
      <c r="K2" s="90"/>
      <c r="L2" s="90" t="s">
        <v>40</v>
      </c>
      <c r="M2" s="90"/>
    </row>
    <row r="3" spans="1:13" x14ac:dyDescent="0.2">
      <c r="A3" s="89" t="s">
        <v>9</v>
      </c>
      <c r="B3" s="89" t="s">
        <v>10</v>
      </c>
      <c r="C3" s="89" t="s">
        <v>11</v>
      </c>
      <c r="D3" s="89" t="s">
        <v>10</v>
      </c>
      <c r="E3" s="89" t="s">
        <v>11</v>
      </c>
      <c r="F3" s="89" t="s">
        <v>10</v>
      </c>
      <c r="G3" s="89" t="s">
        <v>11</v>
      </c>
      <c r="H3" s="89" t="s">
        <v>10</v>
      </c>
      <c r="I3" s="89" t="s">
        <v>11</v>
      </c>
      <c r="J3" s="89" t="s">
        <v>10</v>
      </c>
      <c r="K3" s="89" t="s">
        <v>11</v>
      </c>
      <c r="L3" s="89" t="s">
        <v>10</v>
      </c>
      <c r="M3" s="89" t="s">
        <v>11</v>
      </c>
    </row>
    <row r="4" spans="1:13" x14ac:dyDescent="0.2">
      <c r="A4" s="89" t="str">
        <f>A3</f>
        <v>Gender</v>
      </c>
      <c r="B4" s="89" t="str">
        <f>CONCATENATE(B2,B3)</f>
        <v>AY07-08#</v>
      </c>
      <c r="C4" s="89" t="str">
        <f>CONCATENATE(B2,C3)</f>
        <v>AY07-08%</v>
      </c>
      <c r="D4" s="89" t="str">
        <f t="shared" ref="D4" si="0">CONCATENATE(D2,D3)</f>
        <v>AY08-09#</v>
      </c>
      <c r="E4" s="89" t="str">
        <f t="shared" ref="E4" si="1">CONCATENATE(D2,E3)</f>
        <v>AY08-09%</v>
      </c>
      <c r="F4" s="89" t="str">
        <f t="shared" ref="F4" si="2">CONCATENATE(F2,F3)</f>
        <v>AY09-10#</v>
      </c>
      <c r="G4" s="89" t="str">
        <f t="shared" ref="G4" si="3">CONCATENATE(F2,G3)</f>
        <v>AY09-10%</v>
      </c>
      <c r="H4" s="89" t="str">
        <f t="shared" ref="H4" si="4">CONCATENATE(H2,H3)</f>
        <v>AY10-11#</v>
      </c>
      <c r="I4" s="89" t="str">
        <f t="shared" ref="I4" si="5">CONCATENATE(H2,I3)</f>
        <v>AY10-11%</v>
      </c>
      <c r="J4" s="89" t="str">
        <f t="shared" ref="J4" si="6">CONCATENATE(J2,J3)</f>
        <v>AY11-12#</v>
      </c>
      <c r="K4" s="89" t="str">
        <f t="shared" ref="K4" si="7">CONCATENATE(J2,K3)</f>
        <v>AY11-12%</v>
      </c>
      <c r="L4" s="89" t="str">
        <f t="shared" ref="L4" si="8">CONCATENATE(L2,L3)</f>
        <v>2010 Census#</v>
      </c>
      <c r="M4" s="89" t="str">
        <f t="shared" ref="M4" si="9">CONCATENATE(L2,M3)</f>
        <v>2010 Census%</v>
      </c>
    </row>
    <row r="5" spans="1:13" x14ac:dyDescent="0.2">
      <c r="A5" s="89" t="s">
        <v>12</v>
      </c>
      <c r="B5" s="89">
        <f>gender!A3</f>
        <v>12909</v>
      </c>
      <c r="C5" s="89">
        <f>B5/B$8</f>
        <v>0.60614171010001405</v>
      </c>
      <c r="D5" s="89">
        <f>gender!B3</f>
        <v>14479</v>
      </c>
      <c r="E5" s="89">
        <f>D5/D$8</f>
        <v>0.59318284239419883</v>
      </c>
      <c r="F5" s="89">
        <f>gender!C3</f>
        <v>13953</v>
      </c>
      <c r="G5" s="89">
        <f>F5/F$8</f>
        <v>0.57975651306768605</v>
      </c>
      <c r="H5" s="89">
        <f>gender!D3</f>
        <v>12000</v>
      </c>
      <c r="I5" s="89">
        <f>H5/H$8</f>
        <v>0.57110222729868643</v>
      </c>
      <c r="J5" s="89">
        <f>gender!E3</f>
        <v>11055</v>
      </c>
      <c r="K5" s="89">
        <f>J5/J$8</f>
        <v>0.56593631616668372</v>
      </c>
      <c r="L5" s="89">
        <v>425726</v>
      </c>
      <c r="M5" s="89">
        <f>L5/L$8</f>
        <v>0.50871708836104401</v>
      </c>
    </row>
    <row r="6" spans="1:13" x14ac:dyDescent="0.2">
      <c r="A6" s="89" t="s">
        <v>13</v>
      </c>
      <c r="B6" s="89">
        <f>gender!A4</f>
        <v>8196</v>
      </c>
      <c r="C6" s="89">
        <f>B6/B$8</f>
        <v>0.38484293562473587</v>
      </c>
      <c r="D6" s="89">
        <f>gender!B4</f>
        <v>9592</v>
      </c>
      <c r="E6" s="89">
        <f>D6/D$8</f>
        <v>0.39296980621901756</v>
      </c>
      <c r="F6" s="89">
        <f>gender!C4</f>
        <v>9853</v>
      </c>
      <c r="G6" s="89">
        <f>F6/F$8</f>
        <v>0.4093987617900029</v>
      </c>
      <c r="H6" s="89">
        <f>gender!D4</f>
        <v>8784</v>
      </c>
      <c r="I6" s="89">
        <f>H6/H$8</f>
        <v>0.41804683038263851</v>
      </c>
      <c r="J6" s="89">
        <f>gender!E4</f>
        <v>8299</v>
      </c>
      <c r="K6" s="89">
        <f>J6/J$8</f>
        <v>0.42484898126343812</v>
      </c>
      <c r="L6" s="89">
        <v>411136</v>
      </c>
      <c r="M6" s="89">
        <f>L6/L$8</f>
        <v>0.49128291163895599</v>
      </c>
    </row>
    <row r="7" spans="1:13" x14ac:dyDescent="0.2">
      <c r="A7" s="89" t="s">
        <v>14</v>
      </c>
      <c r="B7" s="89">
        <f>gender!A5</f>
        <v>192</v>
      </c>
      <c r="C7" s="89">
        <f>B7/B$8</f>
        <v>9.015354275250036E-3</v>
      </c>
      <c r="D7" s="89">
        <f>gender!B5</f>
        <v>338</v>
      </c>
      <c r="E7" s="89">
        <f>D7/D$8</f>
        <v>1.3847351386783563E-2</v>
      </c>
      <c r="F7" s="89">
        <f>gender!C5</f>
        <v>261</v>
      </c>
      <c r="G7" s="89">
        <f>F7/F$8</f>
        <v>1.0844725142311048E-2</v>
      </c>
      <c r="H7" s="89">
        <f>gender!D5</f>
        <v>228</v>
      </c>
      <c r="I7" s="89">
        <f>H7/H$8</f>
        <v>1.0850942318675044E-2</v>
      </c>
      <c r="J7" s="89">
        <f>gender!E5</f>
        <v>180</v>
      </c>
      <c r="K7" s="89">
        <f>J7/J$8</f>
        <v>9.214702569878162E-3</v>
      </c>
      <c r="L7" s="89">
        <v>0</v>
      </c>
      <c r="M7" s="89">
        <f>L7/L$8</f>
        <v>0</v>
      </c>
    </row>
    <row r="8" spans="1:13" x14ac:dyDescent="0.2">
      <c r="A8" s="89" t="s">
        <v>15</v>
      </c>
      <c r="B8" s="89">
        <f>SUM(B5:B7)</f>
        <v>21297</v>
      </c>
      <c r="D8" s="89">
        <f>SUM(D5:D7)</f>
        <v>24409</v>
      </c>
      <c r="F8" s="89">
        <f>SUM(F5:F7)</f>
        <v>24067</v>
      </c>
      <c r="H8" s="89">
        <f>SUM(H5:H7)</f>
        <v>21012</v>
      </c>
      <c r="J8" s="89">
        <f>SUM(J5:J7)</f>
        <v>19534</v>
      </c>
      <c r="L8" s="89">
        <f>SUM(L5:L7)</f>
        <v>836862</v>
      </c>
    </row>
    <row r="10" spans="1:13" x14ac:dyDescent="0.2">
      <c r="B10" s="90" t="s">
        <v>43</v>
      </c>
      <c r="C10" s="90"/>
      <c r="D10" s="90"/>
      <c r="E10" s="90"/>
      <c r="F10" s="90"/>
      <c r="G10" s="90"/>
      <c r="H10" s="90"/>
      <c r="I10" s="90"/>
      <c r="J10" s="90"/>
      <c r="K10" s="90"/>
      <c r="L10" s="90" t="s">
        <v>1</v>
      </c>
      <c r="M10" s="90"/>
    </row>
    <row r="11" spans="1:13" x14ac:dyDescent="0.2">
      <c r="B11" s="90" t="s">
        <v>3</v>
      </c>
      <c r="C11" s="90"/>
      <c r="D11" s="90" t="s">
        <v>4</v>
      </c>
      <c r="E11" s="90"/>
      <c r="F11" s="90" t="s">
        <v>5</v>
      </c>
      <c r="G11" s="90"/>
      <c r="H11" s="90" t="s">
        <v>6</v>
      </c>
      <c r="I11" s="90"/>
      <c r="J11" s="90" t="s">
        <v>7</v>
      </c>
      <c r="K11" s="90"/>
      <c r="L11" s="90" t="s">
        <v>40</v>
      </c>
      <c r="M11" s="90"/>
    </row>
    <row r="12" spans="1:13" x14ac:dyDescent="0.2">
      <c r="A12" s="89" t="s">
        <v>16</v>
      </c>
      <c r="B12" s="89" t="s">
        <v>10</v>
      </c>
      <c r="C12" s="89" t="s">
        <v>11</v>
      </c>
      <c r="D12" s="89" t="s">
        <v>10</v>
      </c>
      <c r="E12" s="89" t="s">
        <v>11</v>
      </c>
      <c r="F12" s="89" t="s">
        <v>10</v>
      </c>
      <c r="G12" s="89" t="s">
        <v>11</v>
      </c>
      <c r="H12" s="89" t="s">
        <v>10</v>
      </c>
      <c r="I12" s="89" t="s">
        <v>11</v>
      </c>
      <c r="J12" s="89" t="s">
        <v>10</v>
      </c>
      <c r="K12" s="89" t="s">
        <v>11</v>
      </c>
      <c r="L12" s="89" t="s">
        <v>10</v>
      </c>
      <c r="M12" s="89" t="s">
        <v>11</v>
      </c>
    </row>
    <row r="13" spans="1:13" x14ac:dyDescent="0.2">
      <c r="A13" s="89" t="str">
        <f>A12</f>
        <v>Ethnicity</v>
      </c>
      <c r="B13" s="89" t="str">
        <f>B4</f>
        <v>AY07-08#</v>
      </c>
      <c r="C13" s="89" t="str">
        <f t="shared" ref="C13:M13" si="10">C4</f>
        <v>AY07-08%</v>
      </c>
      <c r="D13" s="89" t="str">
        <f t="shared" si="10"/>
        <v>AY08-09#</v>
      </c>
      <c r="E13" s="89" t="str">
        <f t="shared" si="10"/>
        <v>AY08-09%</v>
      </c>
      <c r="F13" s="89" t="str">
        <f t="shared" si="10"/>
        <v>AY09-10#</v>
      </c>
      <c r="G13" s="89" t="str">
        <f t="shared" si="10"/>
        <v>AY09-10%</v>
      </c>
      <c r="H13" s="89" t="str">
        <f t="shared" si="10"/>
        <v>AY10-11#</v>
      </c>
      <c r="I13" s="89" t="str">
        <f t="shared" si="10"/>
        <v>AY10-11%</v>
      </c>
      <c r="J13" s="89" t="str">
        <f t="shared" si="10"/>
        <v>AY11-12#</v>
      </c>
      <c r="K13" s="89" t="str">
        <f t="shared" si="10"/>
        <v>AY11-12%</v>
      </c>
      <c r="L13" s="89" t="str">
        <f t="shared" si="10"/>
        <v>2010 Census#</v>
      </c>
      <c r="M13" s="89" t="str">
        <f t="shared" si="10"/>
        <v>2010 Census%</v>
      </c>
    </row>
    <row r="14" spans="1:13" x14ac:dyDescent="0.2">
      <c r="A14" s="89" t="s">
        <v>17</v>
      </c>
      <c r="B14" s="89">
        <f>ethnic!A3</f>
        <v>9963</v>
      </c>
      <c r="C14" s="89">
        <f t="shared" ref="C14:C22" si="11">B14/(SUM(B$14:B$22))</f>
        <v>0.46781236793914638</v>
      </c>
      <c r="D14" s="89">
        <f>ethnic!B3</f>
        <v>10935</v>
      </c>
      <c r="E14" s="89">
        <f t="shared" ref="E14:E22" si="12">D14/(SUM(D$14:D$22))</f>
        <v>0.44799049530910728</v>
      </c>
      <c r="F14" s="89">
        <f>ethnic!C3</f>
        <v>10427</v>
      </c>
      <c r="G14" s="89">
        <f t="shared" ref="G14:G22" si="13">F14/(SUM(F$14:F$22))</f>
        <v>0.43324884696887855</v>
      </c>
      <c r="H14" s="89">
        <f>ethnic!D3</f>
        <v>8877</v>
      </c>
      <c r="I14" s="89">
        <f t="shared" ref="I14:I22" si="14">H14/(SUM(H$14:H$22))</f>
        <v>0.4224728726442033</v>
      </c>
      <c r="J14" s="89">
        <f>ethnic!E3</f>
        <v>7806</v>
      </c>
      <c r="K14" s="89">
        <f t="shared" ref="K14:K22" si="15">J14/(SUM(J$14:J$22))</f>
        <v>0.3996109347803829</v>
      </c>
      <c r="L14" s="89">
        <v>398271</v>
      </c>
      <c r="M14" s="89">
        <f t="shared" ref="M14:M22" si="16">L14/(SUM(L$14:L$22))</f>
        <v>0.47591000666776601</v>
      </c>
    </row>
    <row r="15" spans="1:13" x14ac:dyDescent="0.2">
      <c r="A15" s="89" t="s">
        <v>18</v>
      </c>
      <c r="B15" s="89">
        <f>ethnic!A4</f>
        <v>6040</v>
      </c>
      <c r="C15" s="89">
        <f t="shared" si="11"/>
        <v>0.28360801990890738</v>
      </c>
      <c r="D15" s="89">
        <f>ethnic!B4</f>
        <v>7149</v>
      </c>
      <c r="E15" s="89">
        <f t="shared" si="12"/>
        <v>0.29288377237904051</v>
      </c>
      <c r="F15" s="89">
        <f>ethnic!C4</f>
        <v>7520</v>
      </c>
      <c r="G15" s="89">
        <f t="shared" si="13"/>
        <v>0.31246104624589688</v>
      </c>
      <c r="H15" s="89">
        <f>ethnic!D4</f>
        <v>7022</v>
      </c>
      <c r="I15" s="89">
        <f t="shared" si="14"/>
        <v>0.33418998667428135</v>
      </c>
      <c r="J15" s="89">
        <f>ethnic!E4</f>
        <v>7295</v>
      </c>
      <c r="K15" s="89">
        <f t="shared" si="15"/>
        <v>0.37345141804033993</v>
      </c>
      <c r="L15" s="89">
        <v>318674</v>
      </c>
      <c r="M15" s="89">
        <f t="shared" si="16"/>
        <v>0.38079635591053246</v>
      </c>
    </row>
    <row r="16" spans="1:13" x14ac:dyDescent="0.2">
      <c r="A16" s="89" t="s">
        <v>19</v>
      </c>
      <c r="B16" s="89">
        <f>ethnic!A5</f>
        <v>1547</v>
      </c>
      <c r="C16" s="89">
        <f t="shared" si="11"/>
        <v>7.2639338874019813E-2</v>
      </c>
      <c r="D16" s="89">
        <f>ethnic!B5</f>
        <v>1956</v>
      </c>
      <c r="E16" s="89">
        <f t="shared" si="12"/>
        <v>8.0134376664345114E-2</v>
      </c>
      <c r="F16" s="89">
        <f>ethnic!C5</f>
        <v>1913</v>
      </c>
      <c r="G16" s="89">
        <f t="shared" si="13"/>
        <v>7.9486433705904344E-2</v>
      </c>
      <c r="H16" s="89">
        <f>ethnic!D5</f>
        <v>1641</v>
      </c>
      <c r="I16" s="89">
        <f t="shared" si="14"/>
        <v>7.8098229583095369E-2</v>
      </c>
      <c r="J16" s="89">
        <f>ethnic!E5</f>
        <v>1507</v>
      </c>
      <c r="K16" s="89">
        <f t="shared" si="15"/>
        <v>7.7147537626702165E-2</v>
      </c>
      <c r="L16" s="89">
        <v>43085</v>
      </c>
      <c r="M16" s="89">
        <f t="shared" si="16"/>
        <v>5.1483996166632011E-2</v>
      </c>
    </row>
    <row r="17" spans="1:13" x14ac:dyDescent="0.2">
      <c r="A17" s="89" t="s">
        <v>20</v>
      </c>
      <c r="B17" s="89">
        <f>ethnic!A6</f>
        <v>609</v>
      </c>
      <c r="C17" s="89">
        <f t="shared" si="11"/>
        <v>2.8595576841808707E-2</v>
      </c>
      <c r="D17" s="89">
        <f>ethnic!B6</f>
        <v>718</v>
      </c>
      <c r="E17" s="89">
        <f t="shared" si="12"/>
        <v>2.9415379573108278E-2</v>
      </c>
      <c r="F17" s="89">
        <f>ethnic!C6</f>
        <v>635</v>
      </c>
      <c r="G17" s="89">
        <f t="shared" si="13"/>
        <v>2.6384676112519219E-2</v>
      </c>
      <c r="H17" s="89">
        <f>ethnic!D6</f>
        <v>583</v>
      </c>
      <c r="I17" s="89">
        <f t="shared" si="14"/>
        <v>2.7746049876261183E-2</v>
      </c>
      <c r="J17" s="89">
        <f>ethnic!E6</f>
        <v>478</v>
      </c>
      <c r="K17" s="89">
        <f t="shared" si="15"/>
        <v>2.4470154602232005E-2</v>
      </c>
      <c r="L17" s="89">
        <v>21251</v>
      </c>
      <c r="M17" s="89">
        <f t="shared" si="16"/>
        <v>2.5393673030917881E-2</v>
      </c>
    </row>
    <row r="18" spans="1:13" x14ac:dyDescent="0.2">
      <c r="A18" s="89" t="s">
        <v>21</v>
      </c>
      <c r="B18" s="89">
        <f>ethnic!A7</f>
        <v>254</v>
      </c>
      <c r="C18" s="89">
        <f t="shared" si="11"/>
        <v>1.1926562426632859E-2</v>
      </c>
      <c r="D18" s="89">
        <f>ethnic!B7</f>
        <v>294</v>
      </c>
      <c r="E18" s="89">
        <f t="shared" si="12"/>
        <v>1.204473759678807E-2</v>
      </c>
      <c r="F18" s="89">
        <f>ethnic!C7</f>
        <v>250</v>
      </c>
      <c r="G18" s="89">
        <f t="shared" si="13"/>
        <v>1.0387667760834338E-2</v>
      </c>
      <c r="H18" s="89">
        <f>ethnic!D7</f>
        <v>182</v>
      </c>
      <c r="I18" s="89">
        <f t="shared" si="14"/>
        <v>8.6617171140300781E-3</v>
      </c>
      <c r="J18" s="89">
        <f>ethnic!E7</f>
        <v>141</v>
      </c>
      <c r="K18" s="89">
        <f t="shared" si="15"/>
        <v>7.2181836797378931E-3</v>
      </c>
      <c r="L18" s="89">
        <v>6071</v>
      </c>
      <c r="M18" s="89">
        <f t="shared" si="16"/>
        <v>7.254481623015503E-3</v>
      </c>
    </row>
    <row r="19" spans="1:13" x14ac:dyDescent="0.2">
      <c r="A19" s="89" t="s">
        <v>22</v>
      </c>
      <c r="B19" s="89">
        <f>ethnic!A8</f>
        <v>813</v>
      </c>
      <c r="C19" s="89">
        <f t="shared" si="11"/>
        <v>3.8174390759261871E-2</v>
      </c>
      <c r="D19" s="89">
        <f>ethnic!B8</f>
        <v>840</v>
      </c>
      <c r="E19" s="89">
        <f t="shared" si="12"/>
        <v>3.4413535990823058E-2</v>
      </c>
      <c r="F19" s="89">
        <f>ethnic!C8</f>
        <v>816</v>
      </c>
      <c r="G19" s="89">
        <f t="shared" si="13"/>
        <v>3.3905347571363278E-2</v>
      </c>
      <c r="H19" s="89">
        <f>ethnic!D8</f>
        <v>671</v>
      </c>
      <c r="I19" s="89">
        <f t="shared" si="14"/>
        <v>3.1934132876451554E-2</v>
      </c>
      <c r="J19" s="89">
        <f>ethnic!E8</f>
        <v>599</v>
      </c>
      <c r="K19" s="89">
        <f t="shared" si="15"/>
        <v>3.0664482440872325E-2</v>
      </c>
      <c r="L19" s="89">
        <v>23365</v>
      </c>
      <c r="M19" s="89">
        <f t="shared" si="16"/>
        <v>2.7919776498395197E-2</v>
      </c>
    </row>
    <row r="20" spans="1:13" x14ac:dyDescent="0.2">
      <c r="A20" s="89" t="s">
        <v>23</v>
      </c>
      <c r="B20" s="89">
        <f>ethnic!A9</f>
        <v>151</v>
      </c>
      <c r="C20" s="89">
        <f t="shared" si="11"/>
        <v>7.0902004977226839E-3</v>
      </c>
      <c r="D20" s="89">
        <f>ethnic!B9</f>
        <v>183</v>
      </c>
      <c r="E20" s="89">
        <f t="shared" si="12"/>
        <v>7.4972346265721659E-3</v>
      </c>
      <c r="F20" s="89">
        <f>ethnic!C9</f>
        <v>159</v>
      </c>
      <c r="G20" s="89">
        <f t="shared" si="13"/>
        <v>6.6065566958906389E-3</v>
      </c>
      <c r="H20" s="89">
        <f>ethnic!D9</f>
        <v>124</v>
      </c>
      <c r="I20" s="89">
        <f t="shared" si="14"/>
        <v>5.9013896820864272E-3</v>
      </c>
      <c r="J20" s="89">
        <f>ethnic!E9</f>
        <v>90</v>
      </c>
      <c r="K20" s="89">
        <f t="shared" si="15"/>
        <v>4.607351284939081E-3</v>
      </c>
      <c r="L20" s="89">
        <v>2305</v>
      </c>
      <c r="M20" s="89">
        <f t="shared" si="16"/>
        <v>2.7543370352579037E-3</v>
      </c>
    </row>
    <row r="21" spans="1:13" x14ac:dyDescent="0.2">
      <c r="A21" s="89" t="s">
        <v>24</v>
      </c>
      <c r="B21" s="89">
        <f>ethnic!A10</f>
        <v>330</v>
      </c>
      <c r="C21" s="89">
        <f t="shared" si="11"/>
        <v>1.5495140160585999E-2</v>
      </c>
      <c r="D21" s="89">
        <f>ethnic!B10</f>
        <v>399</v>
      </c>
      <c r="E21" s="89">
        <f t="shared" si="12"/>
        <v>1.6346429595640952E-2</v>
      </c>
      <c r="F21" s="89">
        <f>ethnic!C10</f>
        <v>657</v>
      </c>
      <c r="G21" s="89">
        <f t="shared" si="13"/>
        <v>2.7298790875472639E-2</v>
      </c>
      <c r="H21" s="89">
        <f>ethnic!D10</f>
        <v>833</v>
      </c>
      <c r="I21" s="89">
        <f t="shared" si="14"/>
        <v>3.964401294498382E-2</v>
      </c>
      <c r="J21" s="89">
        <f>ethnic!E10</f>
        <v>908</v>
      </c>
      <c r="K21" s="89">
        <f t="shared" si="15"/>
        <v>4.6483055185829833E-2</v>
      </c>
      <c r="L21" s="89">
        <v>22553</v>
      </c>
      <c r="M21" s="89">
        <f t="shared" si="16"/>
        <v>2.6949485100291326E-2</v>
      </c>
    </row>
    <row r="22" spans="1:13" x14ac:dyDescent="0.2">
      <c r="A22" s="89" t="s">
        <v>14</v>
      </c>
      <c r="B22" s="89">
        <f>ethnic!A11</f>
        <v>1590</v>
      </c>
      <c r="C22" s="89">
        <f t="shared" si="11"/>
        <v>7.465840259191435E-2</v>
      </c>
      <c r="D22" s="89">
        <f>ethnic!B11</f>
        <v>1935</v>
      </c>
      <c r="E22" s="89">
        <f t="shared" si="12"/>
        <v>7.9274038264574548E-2</v>
      </c>
      <c r="F22" s="89">
        <f>ethnic!C11</f>
        <v>1690</v>
      </c>
      <c r="G22" s="89">
        <f t="shared" si="13"/>
        <v>7.0220634063240125E-2</v>
      </c>
      <c r="H22" s="89">
        <f>ethnic!D11</f>
        <v>1079</v>
      </c>
      <c r="I22" s="89">
        <f t="shared" si="14"/>
        <v>5.1351608604606892E-2</v>
      </c>
      <c r="J22" s="89">
        <f>ethnic!E11</f>
        <v>710</v>
      </c>
      <c r="K22" s="89">
        <f t="shared" si="15"/>
        <v>3.6346882358963856E-2</v>
      </c>
      <c r="L22" s="89">
        <v>1287</v>
      </c>
      <c r="M22" s="89">
        <f t="shared" si="16"/>
        <v>1.5378879671917233E-3</v>
      </c>
    </row>
    <row r="24" spans="1:13" ht="15.75" customHeight="1" x14ac:dyDescent="0.2">
      <c r="B24" s="90" t="s">
        <v>43</v>
      </c>
      <c r="C24" s="90"/>
      <c r="D24" s="90"/>
      <c r="E24" s="90"/>
      <c r="F24" s="90"/>
      <c r="G24" s="90"/>
      <c r="H24" s="90"/>
      <c r="I24" s="90"/>
      <c r="J24" s="90"/>
      <c r="K24" s="90"/>
      <c r="L24" s="90" t="s">
        <v>1</v>
      </c>
      <c r="M24" s="90"/>
    </row>
    <row r="25" spans="1:13" x14ac:dyDescent="0.2">
      <c r="B25" s="90" t="s">
        <v>3</v>
      </c>
      <c r="C25" s="90"/>
      <c r="D25" s="90" t="s">
        <v>4</v>
      </c>
      <c r="E25" s="90"/>
      <c r="F25" s="90" t="s">
        <v>5</v>
      </c>
      <c r="G25" s="90"/>
      <c r="H25" s="90" t="s">
        <v>6</v>
      </c>
      <c r="I25" s="90"/>
      <c r="J25" s="90" t="s">
        <v>7</v>
      </c>
      <c r="K25" s="90"/>
      <c r="L25" s="90" t="s">
        <v>40</v>
      </c>
      <c r="M25" s="90"/>
    </row>
    <row r="26" spans="1:13" x14ac:dyDescent="0.2">
      <c r="A26" s="89" t="s">
        <v>25</v>
      </c>
      <c r="B26" s="89" t="s">
        <v>10</v>
      </c>
      <c r="C26" s="89" t="s">
        <v>11</v>
      </c>
      <c r="D26" s="89" t="s">
        <v>10</v>
      </c>
      <c r="E26" s="89" t="s">
        <v>11</v>
      </c>
      <c r="F26" s="89" t="s">
        <v>10</v>
      </c>
      <c r="G26" s="89" t="s">
        <v>11</v>
      </c>
      <c r="H26" s="89" t="s">
        <v>10</v>
      </c>
      <c r="I26" s="89" t="s">
        <v>11</v>
      </c>
      <c r="J26" s="89" t="s">
        <v>10</v>
      </c>
      <c r="K26" s="89" t="s">
        <v>11</v>
      </c>
      <c r="L26" s="89" t="s">
        <v>10</v>
      </c>
      <c r="M26" s="89" t="s">
        <v>11</v>
      </c>
    </row>
    <row r="27" spans="1:13" x14ac:dyDescent="0.2">
      <c r="A27" s="89" t="str">
        <f>A26</f>
        <v xml:space="preserve">Age </v>
      </c>
      <c r="B27" s="89" t="str">
        <f>B13</f>
        <v>AY07-08#</v>
      </c>
      <c r="C27" s="89" t="str">
        <f t="shared" ref="C27:M27" si="17">C13</f>
        <v>AY07-08%</v>
      </c>
      <c r="D27" s="89" t="str">
        <f t="shared" si="17"/>
        <v>AY08-09#</v>
      </c>
      <c r="E27" s="89" t="str">
        <f t="shared" si="17"/>
        <v>AY08-09%</v>
      </c>
      <c r="F27" s="89" t="str">
        <f t="shared" si="17"/>
        <v>AY09-10#</v>
      </c>
      <c r="G27" s="89" t="str">
        <f t="shared" si="17"/>
        <v>AY09-10%</v>
      </c>
      <c r="H27" s="89" t="str">
        <f t="shared" si="17"/>
        <v>AY10-11#</v>
      </c>
      <c r="I27" s="89" t="str">
        <f t="shared" si="17"/>
        <v>AY10-11%</v>
      </c>
      <c r="J27" s="89" t="str">
        <f t="shared" si="17"/>
        <v>AY11-12#</v>
      </c>
      <c r="K27" s="89" t="str">
        <f t="shared" si="17"/>
        <v>AY11-12%</v>
      </c>
      <c r="L27" s="89" t="str">
        <f t="shared" si="17"/>
        <v>2010 Census#</v>
      </c>
      <c r="M27" s="89" t="str">
        <f t="shared" si="17"/>
        <v>2010 Census%</v>
      </c>
    </row>
    <row r="28" spans="1:13" x14ac:dyDescent="0.2">
      <c r="A28" s="89" t="s">
        <v>26</v>
      </c>
      <c r="B28" s="89">
        <f>VLOOKUP($A28,'[1]age headcounts'!$A:$G,HLOOKUP(Sheet2!B$1,'[1]age headcounts'!$1:$2,2,FALSE),FALSE)</f>
        <v>733</v>
      </c>
      <c r="C28" s="89">
        <f>B28/(SUM(B$28:B$36))</f>
        <v>3.4417993144574353E-2</v>
      </c>
      <c r="D28" s="89">
        <f>VLOOKUP($A28,'[1]age headcounts'!$A:$G,HLOOKUP(Sheet2!D$1,'[1]age headcounts'!$1:$2,2,FALSE),FALSE)</f>
        <v>1026</v>
      </c>
      <c r="E28" s="89">
        <f>D28/(SUM(D$28:D$36))</f>
        <v>4.2033676103076734E-2</v>
      </c>
      <c r="F28" s="89">
        <f>VLOOKUP($A28,'[1]age headcounts'!$A:$G,HLOOKUP(Sheet2!F$1,'[1]age headcounts'!$1:$2,2,FALSE),FALSE)</f>
        <v>743</v>
      </c>
      <c r="G28" s="89">
        <f>F28/(SUM(F$28:F$36))</f>
        <v>3.0872148585199651E-2</v>
      </c>
      <c r="H28" s="89">
        <f>VLOOKUP($A28,'[1]age headcounts'!$A:$G,HLOOKUP(Sheet2!H$1,'[1]age headcounts'!$1:$2,2,FALSE),FALSE)</f>
        <v>336</v>
      </c>
      <c r="I28" s="89">
        <f>H28/(SUM(H$28:H$36))</f>
        <v>1.5990862364363222E-2</v>
      </c>
      <c r="J28" s="89">
        <f>VLOOKUP($A28,'[1]age headcounts'!$A:$G,HLOOKUP(Sheet2!J$1,'[1]age headcounts'!$1:$2,2,FALSE),FALSE)</f>
        <v>196</v>
      </c>
      <c r="K28" s="89">
        <f>J28/(SUM(J$28:J$36))</f>
        <v>1.003378724275622E-2</v>
      </c>
      <c r="L28" s="89">
        <v>245217</v>
      </c>
      <c r="M28" s="89">
        <f>L28/SUM(L$28:L$36)</f>
        <v>0.29301963764635031</v>
      </c>
    </row>
    <row r="29" spans="1:13" x14ac:dyDescent="0.2">
      <c r="A29" s="89" t="s">
        <v>27</v>
      </c>
      <c r="B29" s="89">
        <f>VLOOKUP($A29,'[1]age headcounts'!$A:$G,HLOOKUP(Sheet2!B$1,'[1]age headcounts'!$1:$2,2,FALSE),FALSE)</f>
        <v>4893</v>
      </c>
      <c r="C29" s="89">
        <f t="shared" ref="C29:C36" si="18">B29/(SUM(B$28:B$36))</f>
        <v>0.22975066910832512</v>
      </c>
      <c r="D29" s="89">
        <f>VLOOKUP($A29,'[1]age headcounts'!$A:$G,HLOOKUP(Sheet2!D$1,'[1]age headcounts'!$1:$2,2,FALSE),FALSE)</f>
        <v>5828</v>
      </c>
      <c r="E29" s="89">
        <f t="shared" ref="E29:E36" si="19">D29/(SUM(D$28:D$36))</f>
        <v>0.23876439018394854</v>
      </c>
      <c r="F29" s="89">
        <f>VLOOKUP($A29,'[1]age headcounts'!$A:$G,HLOOKUP(Sheet2!F$1,'[1]age headcounts'!$1:$2,2,FALSE),FALSE)</f>
        <v>5660</v>
      </c>
      <c r="G29" s="89">
        <f t="shared" ref="G29:G36" si="20">F29/(SUM(F$28:F$36))</f>
        <v>0.23517679810528941</v>
      </c>
      <c r="H29" s="89">
        <f>VLOOKUP($A29,'[1]age headcounts'!$A:$G,HLOOKUP(Sheet2!H$1,'[1]age headcounts'!$1:$2,2,FALSE),FALSE)</f>
        <v>4488</v>
      </c>
      <c r="I29" s="89">
        <f t="shared" ref="I29:I36" si="21">H29/(SUM(H$28:H$36))</f>
        <v>0.21359223300970873</v>
      </c>
      <c r="J29" s="89">
        <f>VLOOKUP($A29,'[1]age headcounts'!$A:$G,HLOOKUP(Sheet2!J$1,'[1]age headcounts'!$1:$2,2,FALSE),FALSE)</f>
        <v>4057</v>
      </c>
      <c r="K29" s="89">
        <f t="shared" ref="K29:K36" si="22">J29/(SUM(J$28:J$36))</f>
        <v>0.20768915736664278</v>
      </c>
      <c r="L29" s="89">
        <v>25706</v>
      </c>
      <c r="M29" s="89">
        <f t="shared" ref="M29:M36" si="23">L29/SUM(L$28:L$36)</f>
        <v>3.0717131378889231E-2</v>
      </c>
    </row>
    <row r="30" spans="1:13" x14ac:dyDescent="0.2">
      <c r="A30" s="89" t="s">
        <v>28</v>
      </c>
      <c r="B30" s="89">
        <f>VLOOKUP($A30,'[1]age headcounts'!$A:$G,HLOOKUP(Sheet2!B$1,'[1]age headcounts'!$1:$2,2,FALSE),FALSE)</f>
        <v>6750</v>
      </c>
      <c r="C30" s="89">
        <f t="shared" si="18"/>
        <v>0.31694604873925902</v>
      </c>
      <c r="D30" s="89">
        <f>VLOOKUP($A30,'[1]age headcounts'!$A:$G,HLOOKUP(Sheet2!D$1,'[1]age headcounts'!$1:$2,2,FALSE),FALSE)</f>
        <v>7632</v>
      </c>
      <c r="E30" s="89">
        <f t="shared" si="19"/>
        <v>0.31267155557376375</v>
      </c>
      <c r="F30" s="89">
        <f>VLOOKUP($A30,'[1]age headcounts'!$A:$G,HLOOKUP(Sheet2!F$1,'[1]age headcounts'!$1:$2,2,FALSE),FALSE)</f>
        <v>7750</v>
      </c>
      <c r="G30" s="89">
        <f t="shared" si="20"/>
        <v>0.32201770058586449</v>
      </c>
      <c r="H30" s="89">
        <f>VLOOKUP($A30,'[1]age headcounts'!$A:$G,HLOOKUP(Sheet2!H$1,'[1]age headcounts'!$1:$2,2,FALSE),FALSE)</f>
        <v>7563</v>
      </c>
      <c r="I30" s="89">
        <f t="shared" si="21"/>
        <v>0.35993717875499714</v>
      </c>
      <c r="J30" s="89">
        <f>VLOOKUP($A30,'[1]age headcounts'!$A:$G,HLOOKUP(Sheet2!J$1,'[1]age headcounts'!$1:$2,2,FALSE),FALSE)</f>
        <v>7524</v>
      </c>
      <c r="K30" s="89">
        <f t="shared" si="22"/>
        <v>0.38517456742090711</v>
      </c>
      <c r="L30" s="89">
        <v>52893</v>
      </c>
      <c r="M30" s="89">
        <f t="shared" si="23"/>
        <v>6.3203969113187125E-2</v>
      </c>
    </row>
    <row r="31" spans="1:13" x14ac:dyDescent="0.2">
      <c r="A31" s="89" t="s">
        <v>29</v>
      </c>
      <c r="B31" s="89">
        <f>VLOOKUP($A31,'[1]age headcounts'!$A:$G,HLOOKUP(Sheet2!B$1,'[1]age headcounts'!$1:$2,2,FALSE),FALSE)</f>
        <v>2617</v>
      </c>
      <c r="C31" s="89">
        <f t="shared" si="18"/>
        <v>0.12288115697046532</v>
      </c>
      <c r="D31" s="89">
        <f>VLOOKUP($A31,'[1]age headcounts'!$A:$G,HLOOKUP(Sheet2!D$1,'[1]age headcounts'!$1:$2,2,FALSE),FALSE)</f>
        <v>2960</v>
      </c>
      <c r="E31" s="89">
        <f t="shared" si="19"/>
        <v>0.1212667458724241</v>
      </c>
      <c r="F31" s="89">
        <f>VLOOKUP($A31,'[1]age headcounts'!$A:$G,HLOOKUP(Sheet2!F$1,'[1]age headcounts'!$1:$2,2,FALSE),FALSE)</f>
        <v>3092</v>
      </c>
      <c r="G31" s="89">
        <f t="shared" si="20"/>
        <v>0.12847467486599909</v>
      </c>
      <c r="H31" s="89">
        <f>VLOOKUP($A31,'[1]age headcounts'!$A:$G,HLOOKUP(Sheet2!H$1,'[1]age headcounts'!$1:$2,2,FALSE),FALSE)</f>
        <v>2847</v>
      </c>
      <c r="I31" s="89">
        <f t="shared" si="21"/>
        <v>0.13549400342661336</v>
      </c>
      <c r="J31" s="89">
        <f>VLOOKUP($A31,'[1]age headcounts'!$A:$G,HLOOKUP(Sheet2!J$1,'[1]age headcounts'!$1:$2,2,FALSE),FALSE)</f>
        <v>2625</v>
      </c>
      <c r="K31" s="89">
        <f t="shared" si="22"/>
        <v>0.1343810791440565</v>
      </c>
      <c r="L31" s="89">
        <v>52166</v>
      </c>
      <c r="M31" s="89">
        <f t="shared" si="23"/>
        <v>6.2335247627446341E-2</v>
      </c>
    </row>
    <row r="32" spans="1:13" x14ac:dyDescent="0.2">
      <c r="A32" s="89" t="s">
        <v>30</v>
      </c>
      <c r="B32" s="89">
        <f>VLOOKUP($A32,'[1]age headcounts'!$A:$G,HLOOKUP(Sheet2!B$1,'[1]age headcounts'!$1:$2,2,FALSE),FALSE)</f>
        <v>1668</v>
      </c>
      <c r="C32" s="89">
        <f t="shared" si="18"/>
        <v>7.8320890266234677E-2</v>
      </c>
      <c r="D32" s="89">
        <f>VLOOKUP($A32,'[1]age headcounts'!$A:$G,HLOOKUP(Sheet2!D$1,'[1]age headcounts'!$1:$2,2,FALSE),FALSE)</f>
        <v>1886</v>
      </c>
      <c r="E32" s="89">
        <f t="shared" si="19"/>
        <v>7.7266581998443204E-2</v>
      </c>
      <c r="F32" s="89">
        <f>VLOOKUP($A32,'[1]age headcounts'!$A:$G,HLOOKUP(Sheet2!F$1,'[1]age headcounts'!$1:$2,2,FALSE),FALSE)</f>
        <v>1849</v>
      </c>
      <c r="G32" s="89">
        <f t="shared" si="20"/>
        <v>7.6827190759130762E-2</v>
      </c>
      <c r="H32" s="89">
        <f>VLOOKUP($A32,'[1]age headcounts'!$A:$G,HLOOKUP(Sheet2!H$1,'[1]age headcounts'!$1:$2,2,FALSE),FALSE)</f>
        <v>1632</v>
      </c>
      <c r="I32" s="89">
        <f t="shared" si="21"/>
        <v>7.7669902912621352E-2</v>
      </c>
      <c r="J32" s="89">
        <f>VLOOKUP($A32,'[1]age headcounts'!$A:$G,HLOOKUP(Sheet2!J$1,'[1]age headcounts'!$1:$2,2,FALSE),FALSE)</f>
        <v>1536</v>
      </c>
      <c r="K32" s="89">
        <f t="shared" si="22"/>
        <v>7.8632128596293635E-2</v>
      </c>
      <c r="L32" s="89">
        <v>52145</v>
      </c>
      <c r="M32" s="89">
        <f t="shared" si="23"/>
        <v>6.2310153884391928E-2</v>
      </c>
    </row>
    <row r="33" spans="1:13" x14ac:dyDescent="0.2">
      <c r="A33" s="89" t="s">
        <v>31</v>
      </c>
      <c r="B33" s="89">
        <f>VLOOKUP($A33,'[1]age headcounts'!$A:$G,HLOOKUP(Sheet2!B$1,'[1]age headcounts'!$1:$2,2,FALSE),FALSE)</f>
        <v>1354</v>
      </c>
      <c r="C33" s="89">
        <f t="shared" si="18"/>
        <v>6.357702962858619E-2</v>
      </c>
      <c r="D33" s="89">
        <f>VLOOKUP($A33,'[1]age headcounts'!$A:$G,HLOOKUP(Sheet2!D$1,'[1]age headcounts'!$1:$2,2,FALSE),FALSE)</f>
        <v>1507</v>
      </c>
      <c r="E33" s="89">
        <f t="shared" si="19"/>
        <v>6.1739522307345654E-2</v>
      </c>
      <c r="F33" s="89">
        <f>VLOOKUP($A33,'[1]age headcounts'!$A:$G,HLOOKUP(Sheet2!F$1,'[1]age headcounts'!$1:$2,2,FALSE),FALSE)</f>
        <v>1438</v>
      </c>
      <c r="G33" s="89">
        <f t="shared" si="20"/>
        <v>5.9749864960319109E-2</v>
      </c>
      <c r="H33" s="89">
        <f>VLOOKUP($A33,'[1]age headcounts'!$A:$G,HLOOKUP(Sheet2!H$1,'[1]age headcounts'!$1:$2,2,FALSE),FALSE)</f>
        <v>1186</v>
      </c>
      <c r="I33" s="89">
        <f t="shared" si="21"/>
        <v>5.6443936798020178E-2</v>
      </c>
      <c r="J33" s="89">
        <f>VLOOKUP($A33,'[1]age headcounts'!$A:$G,HLOOKUP(Sheet2!J$1,'[1]age headcounts'!$1:$2,2,FALSE),FALSE)</f>
        <v>1074</v>
      </c>
      <c r="K33" s="89">
        <f t="shared" si="22"/>
        <v>5.4981058666939697E-2</v>
      </c>
      <c r="L33" s="89">
        <v>55384</v>
      </c>
      <c r="M33" s="89">
        <f t="shared" si="23"/>
        <v>6.6180565015498377E-2</v>
      </c>
    </row>
    <row r="34" spans="1:13" x14ac:dyDescent="0.2">
      <c r="A34" s="89" t="s">
        <v>32</v>
      </c>
      <c r="B34" s="89">
        <f>VLOOKUP($A34,'[1]age headcounts'!$A:$G,HLOOKUP(Sheet2!B$1,'[1]age headcounts'!$1:$2,2,FALSE),FALSE)</f>
        <v>2065</v>
      </c>
      <c r="C34" s="89">
        <f t="shared" si="18"/>
        <v>9.6962013429121474E-2</v>
      </c>
      <c r="D34" s="89">
        <f>VLOOKUP($A34,'[1]age headcounts'!$A:$G,HLOOKUP(Sheet2!D$1,'[1]age headcounts'!$1:$2,2,FALSE),FALSE)</f>
        <v>2241</v>
      </c>
      <c r="E34" s="89">
        <f t="shared" si="19"/>
        <v>9.1810397804088659E-2</v>
      </c>
      <c r="F34" s="89">
        <f>VLOOKUP($A34,'[1]age headcounts'!$A:$G,HLOOKUP(Sheet2!F$1,'[1]age headcounts'!$1:$2,2,FALSE),FALSE)</f>
        <v>2282</v>
      </c>
      <c r="G34" s="89">
        <f t="shared" si="20"/>
        <v>9.4818631320895838E-2</v>
      </c>
      <c r="H34" s="89">
        <f>VLOOKUP($A34,'[1]age headcounts'!$A:$G,HLOOKUP(Sheet2!H$1,'[1]age headcounts'!$1:$2,2,FALSE),FALSE)</f>
        <v>1900</v>
      </c>
      <c r="I34" s="89">
        <f t="shared" si="21"/>
        <v>9.0424519322292021E-2</v>
      </c>
      <c r="J34" s="89">
        <f>VLOOKUP($A34,'[1]age headcounts'!$A:$G,HLOOKUP(Sheet2!J$1,'[1]age headcounts'!$1:$2,2,FALSE),FALSE)</f>
        <v>1573</v>
      </c>
      <c r="K34" s="89">
        <f t="shared" si="22"/>
        <v>8.0526261902324148E-2</v>
      </c>
      <c r="L34" s="89">
        <v>116401</v>
      </c>
      <c r="M34" s="89">
        <f t="shared" si="23"/>
        <v>0.13909222787030598</v>
      </c>
    </row>
    <row r="35" spans="1:13" x14ac:dyDescent="0.2">
      <c r="A35" s="89" t="s">
        <v>33</v>
      </c>
      <c r="B35" s="89">
        <f>VLOOKUP($A35,'[1]age headcounts'!$A:$G,HLOOKUP(Sheet2!B$1,'[1]age headcounts'!$1:$2,2,FALSE),FALSE)</f>
        <v>1213</v>
      </c>
      <c r="C35" s="89">
        <f t="shared" si="18"/>
        <v>5.6956378832699439E-2</v>
      </c>
      <c r="D35" s="89">
        <f>VLOOKUP($A35,'[1]age headcounts'!$A:$G,HLOOKUP(Sheet2!D$1,'[1]age headcounts'!$1:$2,2,FALSE),FALSE)</f>
        <v>1329</v>
      </c>
      <c r="E35" s="89">
        <f t="shared" si="19"/>
        <v>5.4447130156909336E-2</v>
      </c>
      <c r="F35" s="89">
        <f>VLOOKUP($A35,'[1]age headcounts'!$A:$G,HLOOKUP(Sheet2!F$1,'[1]age headcounts'!$1:$2,2,FALSE),FALSE)</f>
        <v>1250</v>
      </c>
      <c r="G35" s="89">
        <f t="shared" si="20"/>
        <v>5.1938338804171688E-2</v>
      </c>
      <c r="H35" s="89">
        <f>VLOOKUP($A35,'[1]age headcounts'!$A:$G,HLOOKUP(Sheet2!H$1,'[1]age headcounts'!$1:$2,2,FALSE),FALSE)</f>
        <v>1058</v>
      </c>
      <c r="I35" s="89">
        <f t="shared" si="21"/>
        <v>5.0352179706834192E-2</v>
      </c>
      <c r="J35" s="89">
        <f>VLOOKUP($A35,'[1]age headcounts'!$A:$G,HLOOKUP(Sheet2!J$1,'[1]age headcounts'!$1:$2,2,FALSE),FALSE)</f>
        <v>947</v>
      </c>
      <c r="K35" s="89">
        <f t="shared" si="22"/>
        <v>4.8479574075970103E-2</v>
      </c>
      <c r="L35" s="89">
        <v>236950</v>
      </c>
      <c r="M35" s="89">
        <f t="shared" si="23"/>
        <v>0.28314106746393075</v>
      </c>
    </row>
    <row r="36" spans="1:13" x14ac:dyDescent="0.2">
      <c r="A36" s="89" t="s">
        <v>14</v>
      </c>
      <c r="B36" s="89">
        <f>VLOOKUP($A36,'[1]age headcounts'!$A:$G,HLOOKUP(Sheet2!B$1,'[1]age headcounts'!$1:$2,2,FALSE),FALSE)</f>
        <v>4</v>
      </c>
      <c r="C36" s="89">
        <f t="shared" si="18"/>
        <v>1.8781988073437574E-4</v>
      </c>
      <c r="D36" s="89">
        <f>VLOOKUP($A36,'[1]age headcounts'!$A:$G,HLOOKUP(Sheet2!D$1,'[1]age headcounts'!$1:$2,2,FALSE),FALSE)</f>
        <v>0</v>
      </c>
      <c r="E36" s="89">
        <f t="shared" si="19"/>
        <v>0</v>
      </c>
      <c r="F36" s="89">
        <f>VLOOKUP($A36,'[1]age headcounts'!$A:$G,HLOOKUP(Sheet2!F$1,'[1]age headcounts'!$1:$2,2,FALSE),FALSE)</f>
        <v>3</v>
      </c>
      <c r="G36" s="89">
        <f t="shared" si="20"/>
        <v>1.2465201313001205E-4</v>
      </c>
      <c r="H36" s="89">
        <f>VLOOKUP($A36,'[1]age headcounts'!$A:$G,HLOOKUP(Sheet2!H$1,'[1]age headcounts'!$1:$2,2,FALSE),FALSE)</f>
        <v>2</v>
      </c>
      <c r="I36" s="89">
        <f t="shared" si="21"/>
        <v>9.5183704549781079E-5</v>
      </c>
      <c r="J36" s="89">
        <f>VLOOKUP($A36,'[1]age headcounts'!$A:$G,HLOOKUP(Sheet2!J$1,'[1]age headcounts'!$1:$2,2,FALSE),FALSE)</f>
        <v>2</v>
      </c>
      <c r="K36" s="89">
        <f t="shared" si="22"/>
        <v>1.0238558410975735E-4</v>
      </c>
      <c r="L36" s="89">
        <v>0</v>
      </c>
      <c r="M36" s="89">
        <f t="shared" si="23"/>
        <v>0</v>
      </c>
    </row>
    <row r="37" spans="1:13" x14ac:dyDescent="0.2">
      <c r="A37" s="89" t="s">
        <v>34</v>
      </c>
      <c r="B37" s="89">
        <v>27.085804739513012</v>
      </c>
      <c r="D37" s="89">
        <v>26.740921673994464</v>
      </c>
      <c r="F37" s="89">
        <v>26.808411988739859</v>
      </c>
      <c r="H37" s="89">
        <v>26.616662002052429</v>
      </c>
      <c r="J37" s="89">
        <v>26.219426245781218</v>
      </c>
    </row>
    <row r="38" spans="1:13" x14ac:dyDescent="0.2">
      <c r="A38" s="89" t="s">
        <v>39</v>
      </c>
      <c r="B38" s="89">
        <v>22</v>
      </c>
      <c r="D38" s="89">
        <v>22</v>
      </c>
      <c r="F38" s="89">
        <v>22</v>
      </c>
      <c r="H38" s="89">
        <v>22</v>
      </c>
      <c r="J38" s="89">
        <v>22</v>
      </c>
    </row>
    <row r="40" spans="1:13" x14ac:dyDescent="0.2">
      <c r="B40" s="90" t="s">
        <v>43</v>
      </c>
      <c r="C40" s="90"/>
      <c r="D40" s="90"/>
      <c r="E40" s="90"/>
      <c r="F40" s="90"/>
      <c r="G40" s="90"/>
      <c r="H40" s="90"/>
      <c r="I40" s="90"/>
      <c r="J40" s="90"/>
      <c r="K40" s="90"/>
      <c r="L40" s="90" t="s">
        <v>42</v>
      </c>
      <c r="M40" s="90"/>
    </row>
    <row r="41" spans="1:13" x14ac:dyDescent="0.2">
      <c r="B41" s="90" t="s">
        <v>3</v>
      </c>
      <c r="C41" s="90"/>
      <c r="D41" s="90" t="s">
        <v>4</v>
      </c>
      <c r="E41" s="90"/>
      <c r="F41" s="90" t="s">
        <v>5</v>
      </c>
      <c r="G41" s="90"/>
      <c r="H41" s="90" t="s">
        <v>6</v>
      </c>
      <c r="I41" s="90"/>
      <c r="J41" s="90" t="s">
        <v>7</v>
      </c>
      <c r="K41" s="90"/>
      <c r="L41" s="90" t="s">
        <v>41</v>
      </c>
      <c r="M41" s="90"/>
    </row>
    <row r="42" spans="1:13" x14ac:dyDescent="0.2">
      <c r="A42" s="89" t="s">
        <v>35</v>
      </c>
      <c r="B42" s="89" t="s">
        <v>10</v>
      </c>
      <c r="C42" s="89" t="s">
        <v>11</v>
      </c>
      <c r="D42" s="89" t="s">
        <v>10</v>
      </c>
      <c r="E42" s="89" t="s">
        <v>11</v>
      </c>
      <c r="F42" s="89" t="s">
        <v>10</v>
      </c>
      <c r="G42" s="89" t="s">
        <v>11</v>
      </c>
      <c r="H42" s="89" t="s">
        <v>10</v>
      </c>
      <c r="I42" s="89" t="s">
        <v>11</v>
      </c>
      <c r="J42" s="89" t="s">
        <v>10</v>
      </c>
      <c r="K42" s="89" t="s">
        <v>11</v>
      </c>
      <c r="L42" s="89" t="s">
        <v>10</v>
      </c>
      <c r="M42" s="89" t="s">
        <v>11</v>
      </c>
    </row>
    <row r="43" spans="1:13" x14ac:dyDescent="0.2">
      <c r="A43" s="89" t="str">
        <f>A42</f>
        <v>DSPS</v>
      </c>
      <c r="B43" s="89" t="str">
        <f>B27</f>
        <v>AY07-08#</v>
      </c>
      <c r="C43" s="89" t="str">
        <f t="shared" ref="C43:M43" si="24">C27</f>
        <v>AY07-08%</v>
      </c>
      <c r="D43" s="89" t="str">
        <f t="shared" si="24"/>
        <v>AY08-09#</v>
      </c>
      <c r="E43" s="89" t="str">
        <f t="shared" si="24"/>
        <v>AY08-09%</v>
      </c>
      <c r="F43" s="89" t="str">
        <f t="shared" si="24"/>
        <v>AY09-10#</v>
      </c>
      <c r="G43" s="89" t="str">
        <f t="shared" si="24"/>
        <v>AY09-10%</v>
      </c>
      <c r="H43" s="89" t="str">
        <f t="shared" si="24"/>
        <v>AY10-11#</v>
      </c>
      <c r="I43" s="89" t="str">
        <f t="shared" si="24"/>
        <v>AY10-11%</v>
      </c>
      <c r="J43" s="89" t="str">
        <f t="shared" si="24"/>
        <v>AY11-12#</v>
      </c>
      <c r="K43" s="89" t="str">
        <f t="shared" si="24"/>
        <v>AY11-12%</v>
      </c>
      <c r="L43" s="89" t="str">
        <f t="shared" si="24"/>
        <v>2010 Census#</v>
      </c>
      <c r="M43" s="89" t="str">
        <f t="shared" si="24"/>
        <v>2010 Census%</v>
      </c>
    </row>
    <row r="44" spans="1:13" x14ac:dyDescent="0.2">
      <c r="A44" s="89" t="s">
        <v>44</v>
      </c>
      <c r="B44" s="89">
        <f>VLOOKUP($A42,[2]Sheet1!$A:$F,HLOOKUP(Sheet2!B$1,[2]Sheet1!$1:$2,2,FALSE),FALSE)</f>
        <v>649</v>
      </c>
      <c r="C44" s="89">
        <f>B44/B8</f>
        <v>3.0473775649152463E-2</v>
      </c>
      <c r="D44" s="89">
        <f>VLOOKUP($A42,[2]Sheet1!$A:$F,HLOOKUP(Sheet2!D$1,[2]Sheet1!$1:$2,2,FALSE),FALSE)</f>
        <v>963</v>
      </c>
      <c r="E44" s="89">
        <f>D44/D8</f>
        <v>3.9452660903765008E-2</v>
      </c>
      <c r="F44" s="89">
        <f>VLOOKUP($A42,[2]Sheet1!$A:$F,HLOOKUP(Sheet2!F$1,[2]Sheet1!$1:$2,2,FALSE),FALSE)</f>
        <v>1178</v>
      </c>
      <c r="G44" s="89">
        <f>F44/F8</f>
        <v>4.8946690489051398E-2</v>
      </c>
      <c r="H44" s="89">
        <f>VLOOKUP($A42,[2]Sheet1!$A:$F,HLOOKUP(Sheet2!H$1,[2]Sheet1!$1:$2,2,FALSE),FALSE)</f>
        <v>1155</v>
      </c>
      <c r="I44" s="89">
        <f>H44/H8</f>
        <v>5.4968589377498572E-2</v>
      </c>
      <c r="J44" s="89">
        <f>VLOOKUP($A42,[2]Sheet1!$A:$N,HLOOKUP(Sheet2!J$1,[2]Sheet1!$1:$2,2,FALSE),FALSE)</f>
        <v>1132</v>
      </c>
      <c r="K44" s="89">
        <f>J44/J8</f>
        <v>5.7950240606122659E-2</v>
      </c>
      <c r="L44" s="89">
        <v>105412</v>
      </c>
      <c r="M44" s="89">
        <f>L44/L45</f>
        <v>8.1095074304327316E-2</v>
      </c>
    </row>
    <row r="45" spans="1:13" x14ac:dyDescent="0.2">
      <c r="L45" s="89">
        <v>1299857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workbookViewId="0"/>
  </sheetViews>
  <sheetFormatPr defaultRowHeight="15" x14ac:dyDescent="0.25"/>
  <cols>
    <col min="1" max="1" width="13.28515625" bestFit="1" customWidth="1"/>
    <col min="2" max="2" width="15.7109375" customWidth="1"/>
    <col min="3" max="3" width="16.28515625" customWidth="1"/>
    <col min="4" max="4" width="5.5703125" customWidth="1"/>
    <col min="5" max="5" width="9.5703125" customWidth="1"/>
    <col min="6" max="6" width="11.28515625" customWidth="1"/>
    <col min="7" max="7" width="16.42578125" bestFit="1" customWidth="1"/>
    <col min="8" max="8" width="20.85546875" bestFit="1" customWidth="1"/>
    <col min="9" max="9" width="21.5703125" bestFit="1" customWidth="1"/>
    <col min="17" max="17" width="15.7109375" customWidth="1"/>
    <col min="18" max="18" width="16.28515625" customWidth="1"/>
    <col min="19" max="19" width="5.5703125" customWidth="1"/>
    <col min="20" max="20" width="15.140625" customWidth="1"/>
    <col min="21" max="21" width="11.28515625" customWidth="1"/>
    <col min="22" max="22" width="13.85546875" customWidth="1"/>
    <col min="23" max="23" width="22.85546875" customWidth="1"/>
    <col min="24" max="24" width="11.28515625" customWidth="1"/>
    <col min="25" max="26" width="22.85546875" customWidth="1"/>
    <col min="27" max="27" width="11.28515625" customWidth="1"/>
    <col min="28" max="29" width="22.85546875" customWidth="1"/>
    <col min="30" max="30" width="11.28515625" customWidth="1"/>
    <col min="31" max="31" width="23.85546875" customWidth="1"/>
    <col min="32" max="32" width="24.85546875" customWidth="1"/>
    <col min="33" max="33" width="11.28515625" customWidth="1"/>
    <col min="34" max="34" width="24.85546875" bestFit="1" customWidth="1"/>
    <col min="35" max="35" width="14.5703125" bestFit="1" customWidth="1"/>
    <col min="36" max="36" width="11.28515625" customWidth="1"/>
    <col min="37" max="40" width="14.5703125" bestFit="1" customWidth="1"/>
  </cols>
  <sheetData>
    <row r="1" spans="1:31" x14ac:dyDescent="0.25">
      <c r="A1" s="95" t="s">
        <v>58</v>
      </c>
      <c r="AB1" s="91" t="s">
        <v>50</v>
      </c>
    </row>
    <row r="2" spans="1:31" x14ac:dyDescent="0.25">
      <c r="AA2" s="91" t="s">
        <v>51</v>
      </c>
      <c r="AB2" s="31" t="s">
        <v>12</v>
      </c>
      <c r="AC2" s="31" t="s">
        <v>13</v>
      </c>
      <c r="AD2" s="31" t="s">
        <v>14</v>
      </c>
      <c r="AE2" s="31" t="s">
        <v>49</v>
      </c>
    </row>
    <row r="3" spans="1:31" x14ac:dyDescent="0.25">
      <c r="AA3" s="92" t="s">
        <v>53</v>
      </c>
      <c r="AB3" s="93">
        <v>12909</v>
      </c>
      <c r="AC3" s="93">
        <v>8196</v>
      </c>
      <c r="AD3" s="93">
        <v>192</v>
      </c>
      <c r="AE3" s="93">
        <v>21297</v>
      </c>
    </row>
    <row r="4" spans="1:31" x14ac:dyDescent="0.25">
      <c r="AA4" s="92" t="s">
        <v>54</v>
      </c>
      <c r="AB4" s="93">
        <v>14479</v>
      </c>
      <c r="AC4" s="93">
        <v>9592</v>
      </c>
      <c r="AD4" s="93">
        <v>338</v>
      </c>
      <c r="AE4" s="93">
        <v>24409</v>
      </c>
    </row>
    <row r="5" spans="1:31" x14ac:dyDescent="0.25">
      <c r="AA5" s="92" t="s">
        <v>55</v>
      </c>
      <c r="AB5" s="93">
        <v>13953</v>
      </c>
      <c r="AC5" s="93">
        <v>9853</v>
      </c>
      <c r="AD5" s="93">
        <v>261</v>
      </c>
      <c r="AE5" s="93">
        <v>24067</v>
      </c>
    </row>
    <row r="6" spans="1:31" x14ac:dyDescent="0.25">
      <c r="AA6" s="92" t="s">
        <v>56</v>
      </c>
      <c r="AB6" s="93">
        <v>12000</v>
      </c>
      <c r="AC6" s="93">
        <v>8784</v>
      </c>
      <c r="AD6" s="93">
        <v>228</v>
      </c>
      <c r="AE6" s="93">
        <v>21012</v>
      </c>
    </row>
    <row r="7" spans="1:31" x14ac:dyDescent="0.25">
      <c r="AA7" s="92" t="s">
        <v>57</v>
      </c>
      <c r="AB7" s="93">
        <v>11055</v>
      </c>
      <c r="AC7" s="93">
        <v>8299</v>
      </c>
      <c r="AD7" s="93">
        <v>180</v>
      </c>
      <c r="AE7" s="93">
        <v>19534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" max="2" width="15.7109375" customWidth="1"/>
    <col min="3" max="3" width="16.28515625" bestFit="1" customWidth="1"/>
    <col min="4" max="4" width="8.42578125" customWidth="1"/>
    <col min="5" max="5" width="9.5703125" customWidth="1"/>
    <col min="6" max="6" width="16.28515625" customWidth="1"/>
    <col min="7" max="7" width="7.7109375" customWidth="1"/>
    <col min="8" max="8" width="5.85546875" customWidth="1"/>
    <col min="9" max="9" width="10.7109375" customWidth="1"/>
    <col min="10" max="10" width="15.85546875" customWidth="1"/>
    <col min="11" max="11" width="14.42578125" customWidth="1"/>
    <col min="12" max="12" width="11.28515625" customWidth="1"/>
    <col min="13" max="19" width="16.28515625" bestFit="1" customWidth="1"/>
    <col min="20" max="21" width="20.85546875" bestFit="1" customWidth="1"/>
  </cols>
  <sheetData>
    <row r="1" spans="1:37" x14ac:dyDescent="0.25">
      <c r="A1" s="95" t="s">
        <v>58</v>
      </c>
      <c r="AB1" s="91" t="s">
        <v>50</v>
      </c>
    </row>
    <row r="2" spans="1:37" x14ac:dyDescent="0.25">
      <c r="AA2" s="91" t="s">
        <v>51</v>
      </c>
      <c r="AB2" s="31" t="s">
        <v>17</v>
      </c>
      <c r="AC2" s="31" t="s">
        <v>18</v>
      </c>
      <c r="AD2" s="31" t="s">
        <v>14</v>
      </c>
      <c r="AE2" s="31" t="s">
        <v>19</v>
      </c>
      <c r="AF2" s="31" t="s">
        <v>22</v>
      </c>
      <c r="AG2" s="31" t="s">
        <v>20</v>
      </c>
      <c r="AH2" s="31" t="s">
        <v>24</v>
      </c>
      <c r="AI2" s="31" t="s">
        <v>21</v>
      </c>
      <c r="AJ2" s="31" t="s">
        <v>23</v>
      </c>
      <c r="AK2" s="31" t="s">
        <v>49</v>
      </c>
    </row>
    <row r="3" spans="1:37" x14ac:dyDescent="0.25">
      <c r="AA3" s="92" t="s">
        <v>53</v>
      </c>
      <c r="AB3" s="93">
        <v>9963</v>
      </c>
      <c r="AC3" s="93">
        <v>6040</v>
      </c>
      <c r="AD3" s="93">
        <v>1590</v>
      </c>
      <c r="AE3" s="93">
        <v>1547</v>
      </c>
      <c r="AF3" s="93">
        <v>813</v>
      </c>
      <c r="AG3" s="93">
        <v>609</v>
      </c>
      <c r="AH3" s="93">
        <v>330</v>
      </c>
      <c r="AI3" s="93">
        <v>254</v>
      </c>
      <c r="AJ3" s="93">
        <v>151</v>
      </c>
      <c r="AK3" s="93">
        <v>21297</v>
      </c>
    </row>
    <row r="4" spans="1:37" x14ac:dyDescent="0.25">
      <c r="AA4" s="92" t="s">
        <v>54</v>
      </c>
      <c r="AB4" s="93">
        <v>10935</v>
      </c>
      <c r="AC4" s="93">
        <v>7149</v>
      </c>
      <c r="AD4" s="93">
        <v>1935</v>
      </c>
      <c r="AE4" s="93">
        <v>1956</v>
      </c>
      <c r="AF4" s="93">
        <v>840</v>
      </c>
      <c r="AG4" s="93">
        <v>718</v>
      </c>
      <c r="AH4" s="93">
        <v>399</v>
      </c>
      <c r="AI4" s="93">
        <v>294</v>
      </c>
      <c r="AJ4" s="93">
        <v>183</v>
      </c>
      <c r="AK4" s="93">
        <v>24409</v>
      </c>
    </row>
    <row r="5" spans="1:37" x14ac:dyDescent="0.25">
      <c r="AA5" s="92" t="s">
        <v>55</v>
      </c>
      <c r="AB5" s="93">
        <v>10427</v>
      </c>
      <c r="AC5" s="93">
        <v>7520</v>
      </c>
      <c r="AD5" s="93">
        <v>1690</v>
      </c>
      <c r="AE5" s="93">
        <v>1913</v>
      </c>
      <c r="AF5" s="93">
        <v>816</v>
      </c>
      <c r="AG5" s="93">
        <v>635</v>
      </c>
      <c r="AH5" s="93">
        <v>657</v>
      </c>
      <c r="AI5" s="93">
        <v>250</v>
      </c>
      <c r="AJ5" s="93">
        <v>159</v>
      </c>
      <c r="AK5" s="93">
        <v>24067</v>
      </c>
    </row>
    <row r="6" spans="1:37" x14ac:dyDescent="0.25">
      <c r="AA6" s="92" t="s">
        <v>56</v>
      </c>
      <c r="AB6" s="93">
        <v>8877</v>
      </c>
      <c r="AC6" s="93">
        <v>7022</v>
      </c>
      <c r="AD6" s="93">
        <v>1079</v>
      </c>
      <c r="AE6" s="93">
        <v>1641</v>
      </c>
      <c r="AF6" s="93">
        <v>671</v>
      </c>
      <c r="AG6" s="93">
        <v>583</v>
      </c>
      <c r="AH6" s="93">
        <v>833</v>
      </c>
      <c r="AI6" s="93">
        <v>182</v>
      </c>
      <c r="AJ6" s="93">
        <v>124</v>
      </c>
      <c r="AK6" s="93">
        <v>21012</v>
      </c>
    </row>
    <row r="7" spans="1:37" x14ac:dyDescent="0.25">
      <c r="AA7" s="92" t="s">
        <v>57</v>
      </c>
      <c r="AB7" s="93">
        <v>7806</v>
      </c>
      <c r="AC7" s="93">
        <v>7295</v>
      </c>
      <c r="AD7" s="93">
        <v>710</v>
      </c>
      <c r="AE7" s="93">
        <v>1507</v>
      </c>
      <c r="AF7" s="93">
        <v>599</v>
      </c>
      <c r="AG7" s="93">
        <v>478</v>
      </c>
      <c r="AH7" s="93">
        <v>908</v>
      </c>
      <c r="AI7" s="93">
        <v>141</v>
      </c>
      <c r="AJ7" s="93">
        <v>90</v>
      </c>
      <c r="AK7" s="93">
        <v>19534</v>
      </c>
    </row>
  </sheetData>
  <sortState columnSort="1" ref="AA1:AK7">
    <sortCondition descending="1" ref="C3"/>
  </sortState>
  <hyperlinks>
    <hyperlink ref="A1" location="TABLE!A1" display="back to tables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7" max="27" width="15.7109375" customWidth="1"/>
    <col min="28" max="28" width="16.28515625" bestFit="1" customWidth="1"/>
    <col min="29" max="29" width="7.42578125" customWidth="1"/>
    <col min="30" max="34" width="7.7109375" customWidth="1"/>
    <col min="35" max="35" width="5" customWidth="1"/>
    <col min="36" max="36" width="9.5703125" customWidth="1"/>
    <col min="37" max="37" width="11.28515625" customWidth="1"/>
    <col min="38" max="44" width="16.28515625" bestFit="1" customWidth="1"/>
    <col min="45" max="46" width="20.85546875" bestFit="1" customWidth="1"/>
  </cols>
  <sheetData>
    <row r="1" spans="1:37" x14ac:dyDescent="0.25">
      <c r="A1" s="95" t="s">
        <v>58</v>
      </c>
      <c r="AB1" s="91" t="s">
        <v>50</v>
      </c>
    </row>
    <row r="2" spans="1:37" x14ac:dyDescent="0.25">
      <c r="AA2" s="91" t="s">
        <v>51</v>
      </c>
      <c r="AB2" s="31" t="s">
        <v>26</v>
      </c>
      <c r="AC2" s="31" t="s">
        <v>27</v>
      </c>
      <c r="AD2" s="31" t="s">
        <v>28</v>
      </c>
      <c r="AE2" s="31" t="s">
        <v>29</v>
      </c>
      <c r="AF2" s="31" t="s">
        <v>30</v>
      </c>
      <c r="AG2" s="31" t="s">
        <v>31</v>
      </c>
      <c r="AH2" s="31" t="s">
        <v>32</v>
      </c>
      <c r="AI2" s="31" t="s">
        <v>33</v>
      </c>
      <c r="AJ2" s="31" t="s">
        <v>14</v>
      </c>
      <c r="AK2" s="31" t="s">
        <v>49</v>
      </c>
    </row>
    <row r="3" spans="1:37" x14ac:dyDescent="0.25">
      <c r="AA3" s="92" t="s">
        <v>53</v>
      </c>
      <c r="AB3" s="93">
        <v>733</v>
      </c>
      <c r="AC3" s="93">
        <v>4893</v>
      </c>
      <c r="AD3" s="93">
        <v>6750</v>
      </c>
      <c r="AE3" s="93">
        <v>2617</v>
      </c>
      <c r="AF3" s="93">
        <v>1668</v>
      </c>
      <c r="AG3" s="93">
        <v>1354</v>
      </c>
      <c r="AH3" s="93">
        <v>2065</v>
      </c>
      <c r="AI3" s="93">
        <v>1213</v>
      </c>
      <c r="AJ3" s="93">
        <v>4</v>
      </c>
      <c r="AK3" s="93">
        <v>21297</v>
      </c>
    </row>
    <row r="4" spans="1:37" x14ac:dyDescent="0.25">
      <c r="AA4" s="92" t="s">
        <v>54</v>
      </c>
      <c r="AB4" s="93">
        <v>1026</v>
      </c>
      <c r="AC4" s="93">
        <v>5828</v>
      </c>
      <c r="AD4" s="93">
        <v>7632</v>
      </c>
      <c r="AE4" s="93">
        <v>2960</v>
      </c>
      <c r="AF4" s="93">
        <v>1886</v>
      </c>
      <c r="AG4" s="93">
        <v>1507</v>
      </c>
      <c r="AH4" s="93">
        <v>2241</v>
      </c>
      <c r="AI4" s="93">
        <v>1329</v>
      </c>
      <c r="AJ4" s="93">
        <v>0</v>
      </c>
      <c r="AK4" s="93">
        <v>24409</v>
      </c>
    </row>
    <row r="5" spans="1:37" x14ac:dyDescent="0.25">
      <c r="AA5" s="92" t="s">
        <v>55</v>
      </c>
      <c r="AB5" s="93">
        <v>743</v>
      </c>
      <c r="AC5" s="93">
        <v>5660</v>
      </c>
      <c r="AD5" s="93">
        <v>7750</v>
      </c>
      <c r="AE5" s="93">
        <v>3092</v>
      </c>
      <c r="AF5" s="93">
        <v>1849</v>
      </c>
      <c r="AG5" s="93">
        <v>1438</v>
      </c>
      <c r="AH5" s="93">
        <v>2282</v>
      </c>
      <c r="AI5" s="93">
        <v>1250</v>
      </c>
      <c r="AJ5" s="93">
        <v>3</v>
      </c>
      <c r="AK5" s="93">
        <v>24067</v>
      </c>
    </row>
    <row r="6" spans="1:37" x14ac:dyDescent="0.25">
      <c r="AA6" s="92" t="s">
        <v>56</v>
      </c>
      <c r="AB6" s="93">
        <v>336</v>
      </c>
      <c r="AC6" s="93">
        <v>4488</v>
      </c>
      <c r="AD6" s="93">
        <v>7563</v>
      </c>
      <c r="AE6" s="93">
        <v>2847</v>
      </c>
      <c r="AF6" s="93">
        <v>1632</v>
      </c>
      <c r="AG6" s="93">
        <v>1186</v>
      </c>
      <c r="AH6" s="93">
        <v>1900</v>
      </c>
      <c r="AI6" s="93">
        <v>1058</v>
      </c>
      <c r="AJ6" s="93">
        <v>2</v>
      </c>
      <c r="AK6" s="93">
        <v>21012</v>
      </c>
    </row>
    <row r="7" spans="1:37" x14ac:dyDescent="0.25">
      <c r="AA7" s="92" t="s">
        <v>57</v>
      </c>
      <c r="AB7" s="93">
        <v>196</v>
      </c>
      <c r="AC7" s="93">
        <v>4057</v>
      </c>
      <c r="AD7" s="93">
        <v>7524</v>
      </c>
      <c r="AE7" s="93">
        <v>2625</v>
      </c>
      <c r="AF7" s="93">
        <v>1536</v>
      </c>
      <c r="AG7" s="93">
        <v>1074</v>
      </c>
      <c r="AH7" s="93">
        <v>1573</v>
      </c>
      <c r="AI7" s="93">
        <v>947</v>
      </c>
      <c r="AJ7" s="93">
        <v>2</v>
      </c>
      <c r="AK7" s="93">
        <v>19534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C24E47C-EC01-47E6-9FEA-F66CCE93F1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988310-56CA-4B6F-96AB-A1CA624E74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E95575-F015-44DF-93D4-C8554E340CC9}">
  <ds:schemaRefs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sharepoint/v3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</vt:lpstr>
      <vt:lpstr>gender</vt:lpstr>
      <vt:lpstr>ethnic</vt:lpstr>
      <vt:lpstr>Sheet2</vt:lpstr>
      <vt:lpstr>graph base</vt:lpstr>
      <vt:lpstr>gender graph</vt:lpstr>
      <vt:lpstr>ethnicity graph</vt:lpstr>
      <vt:lpstr>age graph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 Equity Access</dc:title>
  <dc:creator>nmesaris</dc:creator>
  <cp:lastModifiedBy>Wesley Klein</cp:lastModifiedBy>
  <dcterms:created xsi:type="dcterms:W3CDTF">2012-06-04T19:06:44Z</dcterms:created>
  <dcterms:modified xsi:type="dcterms:W3CDTF">2014-07-23T16:37:21Z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