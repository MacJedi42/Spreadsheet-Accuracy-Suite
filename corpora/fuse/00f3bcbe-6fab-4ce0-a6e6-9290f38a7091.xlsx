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11355" windowHeight="8130"/>
  </bookViews>
  <sheets>
    <sheet name="Compost Recipe" sheetId="1" r:id="rId1"/>
  </sheets>
  <definedNames>
    <definedName name="_xlnm.Print_Area" localSheetId="0">'Compost Recipe'!$A$1:$P$56</definedName>
  </definedNames>
  <calcPr calcId="145621"/>
</workbook>
</file>

<file path=xl/calcChain.xml><?xml version="1.0" encoding="utf-8"?>
<calcChain xmlns="http://schemas.openxmlformats.org/spreadsheetml/2006/main">
  <c r="M30" i="1" l="1"/>
  <c r="H24" i="1"/>
  <c r="C44" i="1" l="1"/>
  <c r="B33" i="1"/>
  <c r="N35" i="1" l="1"/>
  <c r="D28" i="1"/>
  <c r="M28" i="1"/>
  <c r="M44" i="1"/>
  <c r="M26" i="1"/>
  <c r="M27" i="1" s="1"/>
  <c r="M29" i="1" s="1"/>
  <c r="D26" i="1"/>
  <c r="D27" i="1" s="1"/>
  <c r="D29" i="1" s="1"/>
  <c r="D30" i="1" s="1"/>
  <c r="L21" i="1" l="1"/>
  <c r="C21" i="1"/>
  <c r="L35" i="1" l="1"/>
  <c r="L44" i="1" s="1"/>
  <c r="L49" i="1" l="1"/>
  <c r="L54" i="1" s="1"/>
  <c r="L41" i="1"/>
</calcChain>
</file>

<file path=xl/sharedStrings.xml><?xml version="1.0" encoding="utf-8"?>
<sst xmlns="http://schemas.openxmlformats.org/spreadsheetml/2006/main" count="123" uniqueCount="80">
  <si>
    <t>MANURE</t>
  </si>
  <si>
    <t>Material A:</t>
  </si>
  <si>
    <t>Material B:</t>
  </si>
  <si>
    <t>S =</t>
  </si>
  <si>
    <t>Moisture to Add:</t>
  </si>
  <si>
    <t>R</t>
  </si>
  <si>
    <t>(Ra - R)</t>
  </si>
  <si>
    <t>(R-Rb)</t>
  </si>
  <si>
    <t>Overall Mix Percentage:</t>
  </si>
  <si>
    <t>1 lb + S</t>
  </si>
  <si>
    <t>(By weight, NOT volume)</t>
  </si>
  <si>
    <t>(wet basis)</t>
  </si>
  <si>
    <t>(dry basis)</t>
  </si>
  <si>
    <t>=</t>
  </si>
  <si>
    <t>x</t>
  </si>
  <si>
    <t>pound of mix (wet)</t>
  </si>
  <si>
    <t xml:space="preserve"> </t>
  </si>
  <si>
    <t>(%Na,dry basis)</t>
  </si>
  <si>
    <t>(%Nb,dry basis)</t>
  </si>
  <si>
    <t>(1-Wwb)</t>
  </si>
  <si>
    <t xml:space="preserve">(1-Wwa)    </t>
  </si>
  <si>
    <t>ALL WEIGHTS AND PERCENTAGES ARE ON A WET, "AS IS" BASIS UNLESS OTHERWISE NOTED</t>
  </si>
  <si>
    <t>(1-(MCfinal/100))</t>
  </si>
  <si>
    <t>((MCfinal/100)-(MCmix/100))</t>
  </si>
  <si>
    <t>Lab Results:</t>
  </si>
  <si>
    <t>Manure</t>
  </si>
  <si>
    <t xml:space="preserve">S </t>
  </si>
  <si>
    <t xml:space="preserve">1 lb </t>
  </si>
  <si>
    <t>Initial Moisture Content:</t>
  </si>
  <si>
    <t>pound of moist manure</t>
  </si>
  <si>
    <t>(Wwa + (Wwb*S))</t>
  </si>
  <si>
    <t>Wt water to add</t>
  </si>
  <si>
    <t>%</t>
  </si>
  <si>
    <t>C:N (Ra):</t>
  </si>
  <si>
    <t>Nitrogen (Na):</t>
  </si>
  <si>
    <t>C:N (Rb):</t>
  </si>
  <si>
    <t>Nitrogen (Nb):</t>
  </si>
  <si>
    <t>Moisture Content (MCa) :</t>
  </si>
  <si>
    <t>Moisture Content (MCb) :</t>
  </si>
  <si>
    <t>Nitrogen (Na) on a  dry basis:</t>
  </si>
  <si>
    <t>Nitrogen (Na) on a dry basis:</t>
  </si>
  <si>
    <t>Desired Final Moisture (MC final):</t>
  </si>
  <si>
    <t xml:space="preserve">% </t>
  </si>
  <si>
    <t>Desired C:N Ratio (R):</t>
  </si>
  <si>
    <t>Assume 1 pound of moist manure</t>
  </si>
  <si>
    <t>Sawdust</t>
  </si>
  <si>
    <t>Notes:</t>
  </si>
  <si>
    <t>*</t>
  </si>
  <si>
    <t>Use an "x" to choose whether Nitrogen is reported on a "wet basis" or "dry basis"</t>
  </si>
  <si>
    <t xml:space="preserve">   Insert Values as prompted</t>
  </si>
  <si>
    <t xml:space="preserve">   Computed Results </t>
  </si>
  <si>
    <t>pounds of</t>
  </si>
  <si>
    <t>MANURE COMPOST RECIPE COMPUTATION SHEET</t>
  </si>
  <si>
    <t>pounds of water</t>
  </si>
  <si>
    <t>pounds of moist compost mix</t>
  </si>
  <si>
    <t xml:space="preserve">Amount of </t>
  </si>
  <si>
    <t>Needed Per lb of Manure (S):</t>
  </si>
  <si>
    <t>(%MCa/100)*1 lb =</t>
  </si>
  <si>
    <t>1lb - Wwa =</t>
  </si>
  <si>
    <t>wet basis =</t>
  </si>
  <si>
    <t>dry basis =</t>
  </si>
  <si>
    <t>Wna*Ra =</t>
  </si>
  <si>
    <t>(%MCb/100)*1 lb =</t>
  </si>
  <si>
    <t>1lb - Wwb =</t>
  </si>
  <si>
    <t>Wnb*Rb =</t>
  </si>
  <si>
    <t>%Nb/100x1 =</t>
  </si>
  <si>
    <t>%Nb/100xWdb =</t>
  </si>
  <si>
    <t>%Na/100x1 =</t>
  </si>
  <si>
    <t>%Na/100xWda =</t>
  </si>
  <si>
    <t>lb</t>
  </si>
  <si>
    <t>Wt of Water (Wwa):</t>
  </si>
  <si>
    <t>Dry Weight (Wda):</t>
  </si>
  <si>
    <t>Wt of Nitrogen (Wna):</t>
  </si>
  <si>
    <t>Wt of Carbon (Wca):</t>
  </si>
  <si>
    <t>Wt of Water (Wwb):</t>
  </si>
  <si>
    <t>Dry Weight (Wdb):</t>
  </si>
  <si>
    <t>Wt of Nitrogen (Wnb):</t>
  </si>
  <si>
    <t>Wt of Carbon (Wcb):</t>
  </si>
  <si>
    <t xml:space="preserve">Moisture Content of Mix (Mcmix)  = </t>
  </si>
  <si>
    <t>1 lb+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</si>
</sst>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4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Protection="1"/>
    <xf numFmtId="165" fontId="0" fillId="0" borderId="1" xfId="0" applyNumberFormat="1" applyFill="1" applyBorder="1" applyProtection="1"/>
    <xf numFmtId="0" fontId="0" fillId="0" borderId="0" xfId="0" applyFill="1" applyBorder="1" applyProtection="1"/>
    <xf numFmtId="165" fontId="0" fillId="0" borderId="0" xfId="0" applyNumberFormat="1" applyFill="1" applyBorder="1" applyProtection="1"/>
    <xf numFmtId="0" fontId="0" fillId="0" borderId="0" xfId="0" applyBorder="1" applyProtection="1"/>
    <xf numFmtId="0" fontId="0" fillId="0" borderId="1" xfId="0" applyBorder="1" applyProtection="1"/>
    <xf numFmtId="0" fontId="0" fillId="0" borderId="2" xfId="0" applyBorder="1" applyProtection="1"/>
    <xf numFmtId="164" fontId="0" fillId="0" borderId="2" xfId="0" applyNumberFormat="1" applyBorder="1" applyProtection="1"/>
    <xf numFmtId="164" fontId="0" fillId="0" borderId="0" xfId="0" applyNumberFormat="1" applyBorder="1" applyProtection="1"/>
    <xf numFmtId="164" fontId="0" fillId="0" borderId="1" xfId="0" applyNumberFormat="1" applyBorder="1" applyProtection="1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4" fillId="0" borderId="0" xfId="0" applyFont="1" applyBorder="1" applyAlignment="1" applyProtection="1">
      <alignment horizontal="right"/>
    </xf>
    <xf numFmtId="0" fontId="4" fillId="0" borderId="0" xfId="0" applyFont="1" applyAlignment="1" applyProtection="1">
      <alignment horizontal="center"/>
    </xf>
    <xf numFmtId="0" fontId="1" fillId="0" borderId="1" xfId="0" applyFont="1" applyBorder="1" applyProtection="1"/>
    <xf numFmtId="0" fontId="1" fillId="0" borderId="0" xfId="0" applyFont="1" applyBorder="1" applyAlignment="1" applyProtection="1">
      <alignment horizontal="center"/>
    </xf>
    <xf numFmtId="0" fontId="0" fillId="0" borderId="0" xfId="0" applyAlignment="1" applyProtection="1">
      <alignment horizontal="right"/>
    </xf>
    <xf numFmtId="0" fontId="0" fillId="0" borderId="0" xfId="0" applyAlignment="1" applyProtection="1">
      <alignment horizontal="center"/>
    </xf>
    <xf numFmtId="165" fontId="2" fillId="0" borderId="0" xfId="0" applyNumberFormat="1" applyFont="1" applyProtection="1"/>
    <xf numFmtId="0" fontId="2" fillId="0" borderId="0" xfId="0" applyFont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0" fillId="2" borderId="0" xfId="0" applyFill="1" applyProtection="1">
      <protection locked="0"/>
    </xf>
    <xf numFmtId="0" fontId="2" fillId="0" borderId="3" xfId="0" applyFont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2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0" xfId="0" applyFont="1" applyFill="1" applyProtection="1"/>
    <xf numFmtId="2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5" fillId="0" borderId="1" xfId="0" applyFont="1" applyBorder="1" applyAlignment="1" applyProtection="1">
      <alignment horizontal="center"/>
    </xf>
    <xf numFmtId="0" fontId="0" fillId="0" borderId="0" xfId="0" applyFill="1" applyProtection="1"/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 applyProtection="1">
      <alignment horizontal="center"/>
      <protection locked="0"/>
    </xf>
    <xf numFmtId="0" fontId="5" fillId="0" borderId="0" xfId="0" applyFont="1" applyProtection="1"/>
    <xf numFmtId="0" fontId="5" fillId="0" borderId="0" xfId="0" applyFont="1" applyAlignment="1" applyProtection="1">
      <alignment horizontal="center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0" xfId="0" quotePrefix="1" applyFont="1" applyFill="1" applyProtection="1"/>
    <xf numFmtId="0" fontId="0" fillId="0" borderId="0" xfId="0" applyFill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3" borderId="4" xfId="0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2" fillId="4" borderId="1" xfId="0" applyFont="1" applyFill="1" applyBorder="1" applyAlignment="1" applyProtection="1"/>
    <xf numFmtId="0" fontId="0" fillId="4" borderId="0" xfId="0" applyFill="1" applyProtection="1">
      <protection locked="0"/>
    </xf>
    <xf numFmtId="0" fontId="2" fillId="4" borderId="0" xfId="0" applyFont="1" applyFill="1" applyBorder="1" applyAlignment="1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right"/>
    </xf>
    <xf numFmtId="0" fontId="2" fillId="0" borderId="3" xfId="0" applyFont="1" applyBorder="1" applyAlignment="1" applyProtection="1">
      <alignment horizontal="center"/>
    </xf>
    <xf numFmtId="0" fontId="2" fillId="0" borderId="0" xfId="0" quotePrefix="1" applyFont="1" applyAlignment="1" applyProtection="1">
      <alignment horizontal="right"/>
    </xf>
    <xf numFmtId="0" fontId="2" fillId="0" borderId="0" xfId="0" applyFont="1" applyAlignment="1" applyProtection="1">
      <alignment horizontal="left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Border="1" applyAlignment="1" applyProtection="1">
      <alignment horizontal="right"/>
    </xf>
    <xf numFmtId="166" fontId="2" fillId="4" borderId="0" xfId="0" applyNumberFormat="1" applyFont="1" applyFill="1" applyAlignment="1" applyProtection="1">
      <alignment horizontal="center"/>
    </xf>
    <xf numFmtId="166" fontId="2" fillId="0" borderId="0" xfId="0" applyNumberFormat="1" applyFont="1" applyFill="1" applyBorder="1" applyAlignment="1" applyProtection="1">
      <alignment horizontal="center"/>
    </xf>
    <xf numFmtId="0" fontId="7" fillId="0" borderId="0" xfId="0" applyFont="1" applyProtection="1"/>
    <xf numFmtId="0" fontId="0" fillId="0" borderId="0" xfId="0" applyAlignment="1" applyProtection="1">
      <alignment horizontal="left"/>
    </xf>
    <xf numFmtId="0" fontId="1" fillId="0" borderId="0" xfId="0" applyFont="1" applyAlignment="1" applyProtection="1">
      <alignment horizontal="left"/>
    </xf>
    <xf numFmtId="0" fontId="2" fillId="4" borderId="1" xfId="0" applyFont="1" applyFill="1" applyBorder="1" applyAlignment="1" applyProtection="1">
      <alignment horizontal="left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  <protection locked="0"/>
    </xf>
    <xf numFmtId="165" fontId="2" fillId="4" borderId="0" xfId="0" applyNumberFormat="1" applyFont="1" applyFill="1" applyBorder="1" applyAlignment="1" applyProtection="1">
      <alignment horizontal="center" vertical="center"/>
    </xf>
    <xf numFmtId="0" fontId="2" fillId="4" borderId="5" xfId="0" applyFont="1" applyFill="1" applyBorder="1" applyAlignment="1" applyProtection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right"/>
    </xf>
    <xf numFmtId="0" fontId="0" fillId="0" borderId="1" xfId="0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right"/>
    </xf>
    <xf numFmtId="0" fontId="2" fillId="4" borderId="0" xfId="0" applyFont="1" applyFill="1" applyAlignment="1" applyProtection="1">
      <alignment horizontal="left"/>
    </xf>
    <xf numFmtId="0" fontId="0" fillId="0" borderId="0" xfId="0" applyAlignment="1" applyProtection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>
      <alignment horizontal="right"/>
    </xf>
    <xf numFmtId="0" fontId="0" fillId="0" borderId="0" xfId="0" quotePrefix="1" applyFont="1" applyAlignment="1" applyProtection="1">
      <alignment horizontal="center"/>
    </xf>
    <xf numFmtId="0" fontId="1" fillId="0" borderId="0" xfId="0" applyFont="1" applyAlignment="1" applyProtection="1">
      <alignment horizontal="right"/>
    </xf>
    <xf numFmtId="0" fontId="0" fillId="0" borderId="0" xfId="0" applyAlignment="1" applyProtection="1">
      <alignment horizontal="right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164" fontId="0" fillId="0" borderId="0" xfId="0" applyNumberForma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99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workbookViewId="0">
      <selection activeCell="A26" sqref="A26"/>
    </sheetView>
  </sheetViews>
  <sheetFormatPr defaultRowHeight="12.75" x14ac:dyDescent="0.2"/>
  <cols>
    <col min="1" max="1" width="18.42578125" style="1" customWidth="1"/>
    <col min="2" max="2" width="16.28515625" style="1" customWidth="1"/>
    <col min="3" max="3" width="15.140625" style="1" customWidth="1"/>
    <col min="4" max="4" width="10.7109375" style="1" customWidth="1"/>
    <col min="5" max="5" width="3" style="1" customWidth="1"/>
    <col min="6" max="6" width="10.7109375" style="1" customWidth="1"/>
    <col min="7" max="7" width="2.5703125" style="1" customWidth="1"/>
    <col min="8" max="8" width="18.42578125" style="1" customWidth="1"/>
    <col min="9" max="9" width="2.28515625" style="1" customWidth="1"/>
    <col min="10" max="10" width="16.140625" style="1" customWidth="1"/>
    <col min="11" max="11" width="2.5703125" style="1" customWidth="1"/>
    <col min="12" max="12" width="14.85546875" style="1" customWidth="1"/>
    <col min="13" max="13" width="10.7109375" style="1" customWidth="1"/>
    <col min="14" max="14" width="2.85546875" style="1" customWidth="1"/>
    <col min="15" max="15" width="9.7109375" style="1" customWidth="1"/>
    <col min="16" max="16384" width="9.140625" style="1"/>
  </cols>
  <sheetData>
    <row r="1" spans="1:13" ht="20.100000000000001" customHeight="1" x14ac:dyDescent="0.25">
      <c r="D1" s="70" t="s">
        <v>52</v>
      </c>
      <c r="E1" s="70"/>
      <c r="F1" s="70"/>
      <c r="G1" s="70"/>
      <c r="H1" s="70"/>
      <c r="I1" s="70"/>
      <c r="J1" s="70"/>
      <c r="K1" s="70"/>
      <c r="L1" s="70"/>
    </row>
    <row r="2" spans="1:13" x14ac:dyDescent="0.2">
      <c r="C2" s="27" t="s">
        <v>21</v>
      </c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"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x14ac:dyDescent="0.2"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x14ac:dyDescent="0.2">
      <c r="C5" s="47"/>
      <c r="D5" s="49" t="s">
        <v>46</v>
      </c>
      <c r="E5" s="47"/>
      <c r="F5" s="47"/>
      <c r="G5" s="47"/>
      <c r="H5" s="47"/>
      <c r="I5" s="47"/>
      <c r="J5" s="47"/>
      <c r="K5" s="47"/>
      <c r="L5" s="47"/>
      <c r="M5" s="47"/>
    </row>
    <row r="6" spans="1:13" x14ac:dyDescent="0.2">
      <c r="E6" s="49" t="s">
        <v>47</v>
      </c>
      <c r="F6" s="50"/>
      <c r="G6" s="78" t="s">
        <v>49</v>
      </c>
      <c r="H6" s="78"/>
      <c r="I6" s="78"/>
      <c r="J6" s="78"/>
      <c r="K6" s="78"/>
      <c r="L6" s="78"/>
      <c r="M6" s="78"/>
    </row>
    <row r="7" spans="1:13" x14ac:dyDescent="0.2">
      <c r="E7" s="49" t="s">
        <v>47</v>
      </c>
      <c r="F7" s="77" t="s">
        <v>48</v>
      </c>
      <c r="G7" s="77"/>
      <c r="H7" s="77"/>
      <c r="I7" s="77"/>
      <c r="J7" s="77"/>
      <c r="K7" s="77"/>
      <c r="L7" s="77"/>
      <c r="M7" s="77"/>
    </row>
    <row r="8" spans="1:13" x14ac:dyDescent="0.2">
      <c r="C8" s="47"/>
      <c r="D8" s="47"/>
      <c r="E8" s="49" t="s">
        <v>47</v>
      </c>
      <c r="F8" s="51"/>
      <c r="G8" s="78" t="s">
        <v>50</v>
      </c>
      <c r="H8" s="78"/>
      <c r="I8" s="78"/>
      <c r="J8" s="78"/>
      <c r="K8" s="78"/>
      <c r="L8" s="78"/>
      <c r="M8" s="78"/>
    </row>
    <row r="10" spans="1:13" ht="13.5" thickBot="1" x14ac:dyDescent="0.25">
      <c r="A10" s="76" t="s">
        <v>43</v>
      </c>
      <c r="B10" s="76"/>
      <c r="C10" s="76"/>
      <c r="D10" s="29">
        <v>25</v>
      </c>
      <c r="E10" s="1" t="s">
        <v>5</v>
      </c>
    </row>
    <row r="11" spans="1:13" ht="14.25" thickTop="1" thickBot="1" x14ac:dyDescent="0.25">
      <c r="A11" s="76" t="s">
        <v>41</v>
      </c>
      <c r="B11" s="76"/>
      <c r="C11" s="76"/>
      <c r="D11" s="30">
        <v>60</v>
      </c>
      <c r="E11" s="43" t="s">
        <v>42</v>
      </c>
    </row>
    <row r="12" spans="1:13" ht="13.5" thickTop="1" x14ac:dyDescent="0.2">
      <c r="A12" s="31"/>
      <c r="B12" s="32"/>
      <c r="C12" s="4"/>
    </row>
    <row r="13" spans="1:13" x14ac:dyDescent="0.2">
      <c r="A13" s="31"/>
      <c r="B13" s="32"/>
      <c r="C13" s="4"/>
    </row>
    <row r="14" spans="1:13" ht="13.5" thickBot="1" x14ac:dyDescent="0.25">
      <c r="A14" s="28" t="s">
        <v>24</v>
      </c>
      <c r="B14" s="32"/>
      <c r="C14" s="4"/>
    </row>
    <row r="15" spans="1:13" ht="13.5" thickTop="1" x14ac:dyDescent="0.2"/>
    <row r="16" spans="1:13" x14ac:dyDescent="0.2">
      <c r="A16" s="2" t="s">
        <v>1</v>
      </c>
      <c r="B16" s="48" t="s">
        <v>0</v>
      </c>
      <c r="C16" s="3"/>
      <c r="H16" s="2" t="s">
        <v>2</v>
      </c>
      <c r="I16" s="2"/>
      <c r="J16" s="73" t="s">
        <v>45</v>
      </c>
      <c r="K16" s="73"/>
      <c r="L16" s="73"/>
    </row>
    <row r="17" spans="1:15" x14ac:dyDescent="0.2">
      <c r="A17" s="43" t="s">
        <v>37</v>
      </c>
      <c r="C17" s="33">
        <v>70</v>
      </c>
      <c r="D17" s="43" t="s">
        <v>32</v>
      </c>
      <c r="H17" s="43" t="s">
        <v>38</v>
      </c>
      <c r="L17" s="29">
        <v>15</v>
      </c>
      <c r="M17" s="43" t="s">
        <v>32</v>
      </c>
    </row>
    <row r="18" spans="1:15" x14ac:dyDescent="0.2">
      <c r="A18" s="43" t="s">
        <v>33</v>
      </c>
      <c r="C18" s="30">
        <v>10</v>
      </c>
      <c r="H18" s="43" t="s">
        <v>35</v>
      </c>
      <c r="L18" s="30">
        <v>128</v>
      </c>
    </row>
    <row r="19" spans="1:15" x14ac:dyDescent="0.2">
      <c r="A19" s="43" t="s">
        <v>34</v>
      </c>
      <c r="C19" s="30">
        <v>6</v>
      </c>
      <c r="D19" s="43" t="s">
        <v>32</v>
      </c>
      <c r="E19" s="91"/>
      <c r="F19" s="1" t="s">
        <v>11</v>
      </c>
      <c r="H19" s="43" t="s">
        <v>36</v>
      </c>
      <c r="L19" s="30">
        <v>0.3</v>
      </c>
      <c r="M19" s="43" t="s">
        <v>32</v>
      </c>
      <c r="N19" s="39"/>
      <c r="O19" s="1" t="s">
        <v>11</v>
      </c>
    </row>
    <row r="20" spans="1:15" x14ac:dyDescent="0.2">
      <c r="C20" s="4"/>
      <c r="E20" s="92" t="s">
        <v>14</v>
      </c>
      <c r="F20" s="1" t="s">
        <v>12</v>
      </c>
      <c r="L20" s="4"/>
      <c r="N20" s="40" t="s">
        <v>14</v>
      </c>
      <c r="O20" s="1" t="s">
        <v>12</v>
      </c>
    </row>
    <row r="21" spans="1:15" x14ac:dyDescent="0.2">
      <c r="A21" s="41" t="s">
        <v>39</v>
      </c>
      <c r="B21" s="5"/>
      <c r="C21" s="6">
        <f>IF($E$19="x",$D$28/$D$27*100,$C$19)</f>
        <v>6</v>
      </c>
      <c r="D21" s="43" t="s">
        <v>32</v>
      </c>
      <c r="E21" s="7" t="s">
        <v>16</v>
      </c>
      <c r="F21" s="5"/>
      <c r="G21" s="5"/>
      <c r="H21" s="41" t="s">
        <v>40</v>
      </c>
      <c r="I21" s="5"/>
      <c r="J21" s="5"/>
      <c r="K21" s="5"/>
      <c r="L21" s="6">
        <f>IF($N$19="x",$M$28/$M$27*100,$L$19)</f>
        <v>0.3</v>
      </c>
      <c r="M21" s="43" t="s">
        <v>32</v>
      </c>
      <c r="N21" s="7"/>
      <c r="O21" s="5"/>
    </row>
    <row r="22" spans="1:15" x14ac:dyDescent="0.2">
      <c r="A22" s="5"/>
      <c r="B22" s="5"/>
      <c r="C22" s="8"/>
      <c r="D22" s="5"/>
      <c r="E22" s="7"/>
      <c r="F22" s="5"/>
      <c r="G22" s="5"/>
      <c r="H22" s="5"/>
      <c r="I22" s="5"/>
      <c r="J22" s="5"/>
      <c r="K22" s="5"/>
      <c r="L22" s="7"/>
      <c r="M22" s="5"/>
      <c r="N22" s="7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66" t="s">
        <v>44</v>
      </c>
      <c r="B24" s="5"/>
      <c r="C24" s="5"/>
      <c r="D24" s="5"/>
      <c r="E24" s="5"/>
      <c r="F24" s="5"/>
      <c r="G24" s="5"/>
      <c r="H24" s="66" t="str">
        <f>"Assume 1 pound of moist Material B"</f>
        <v>Assume 1 pound of moist Material B</v>
      </c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">
      <c r="A26" s="68" t="s">
        <v>70</v>
      </c>
      <c r="B26" s="86" t="s">
        <v>57</v>
      </c>
      <c r="C26" s="9"/>
      <c r="D26" s="10">
        <f>$C$17/100</f>
        <v>0.7</v>
      </c>
      <c r="E26" s="85" t="s">
        <v>69</v>
      </c>
      <c r="F26" s="84"/>
      <c r="G26" s="5"/>
      <c r="H26" s="68" t="s">
        <v>74</v>
      </c>
      <c r="I26" s="5"/>
      <c r="J26" s="86" t="s">
        <v>62</v>
      </c>
      <c r="K26" s="88"/>
      <c r="L26" s="9"/>
      <c r="M26" s="10">
        <f>($L$17/100)</f>
        <v>0.15</v>
      </c>
      <c r="N26" s="85" t="s">
        <v>69</v>
      </c>
      <c r="O26" s="84"/>
    </row>
    <row r="27" spans="1:15" x14ac:dyDescent="0.2">
      <c r="A27" s="68" t="s">
        <v>71</v>
      </c>
      <c r="B27" s="86" t="s">
        <v>58</v>
      </c>
      <c r="C27" s="9"/>
      <c r="D27" s="11">
        <f>1-$D$26</f>
        <v>0.30000000000000004</v>
      </c>
      <c r="E27" s="85" t="s">
        <v>69</v>
      </c>
      <c r="F27" s="84"/>
      <c r="G27" s="5"/>
      <c r="H27" s="68" t="s">
        <v>75</v>
      </c>
      <c r="I27" s="5"/>
      <c r="J27" s="86" t="s">
        <v>63</v>
      </c>
      <c r="K27" s="88"/>
      <c r="L27" s="9"/>
      <c r="M27" s="11">
        <f>1-$M$26</f>
        <v>0.85</v>
      </c>
      <c r="N27" s="85" t="s">
        <v>69</v>
      </c>
      <c r="O27" s="84"/>
    </row>
    <row r="28" spans="1:15" x14ac:dyDescent="0.2">
      <c r="A28" s="68" t="s">
        <v>72</v>
      </c>
      <c r="B28" s="86" t="s">
        <v>59</v>
      </c>
      <c r="C28" s="87" t="s">
        <v>67</v>
      </c>
      <c r="D28" s="12" t="str">
        <f>IF($E$19="x",$C$19/100*1,"")</f>
        <v/>
      </c>
      <c r="E28" s="85" t="s">
        <v>69</v>
      </c>
      <c r="F28" s="84"/>
      <c r="G28" s="5"/>
      <c r="H28" s="68" t="s">
        <v>76</v>
      </c>
      <c r="J28" s="87" t="s">
        <v>59</v>
      </c>
      <c r="K28" s="88"/>
      <c r="L28" s="86" t="s">
        <v>65</v>
      </c>
      <c r="M28" s="12" t="str">
        <f>IF($N$19="x",$L$19/100*1,"")</f>
        <v/>
      </c>
      <c r="N28" s="85" t="s">
        <v>69</v>
      </c>
      <c r="O28" s="84"/>
    </row>
    <row r="29" spans="1:15" x14ac:dyDescent="0.2">
      <c r="A29" s="67"/>
      <c r="B29" s="86" t="s">
        <v>60</v>
      </c>
      <c r="C29" s="86" t="s">
        <v>68</v>
      </c>
      <c r="D29" s="12">
        <f>IF($E$20="x",$C$19/100*$D$27,"")</f>
        <v>1.8000000000000002E-2</v>
      </c>
      <c r="E29" s="85" t="s">
        <v>69</v>
      </c>
      <c r="F29" s="84"/>
      <c r="G29" s="5"/>
      <c r="H29" s="67"/>
      <c r="J29" s="87" t="s">
        <v>60</v>
      </c>
      <c r="K29" s="88"/>
      <c r="L29" s="86" t="s">
        <v>66</v>
      </c>
      <c r="M29" s="12">
        <f>IF($N$20= "x",$L$19/100*$M$27,"")</f>
        <v>2.5500000000000002E-3</v>
      </c>
      <c r="N29" s="85" t="s">
        <v>69</v>
      </c>
      <c r="O29" s="84"/>
    </row>
    <row r="30" spans="1:15" x14ac:dyDescent="0.2">
      <c r="A30" s="68" t="s">
        <v>73</v>
      </c>
      <c r="B30" s="86" t="s">
        <v>61</v>
      </c>
      <c r="C30" s="93"/>
      <c r="D30" s="14">
        <f>IF($E$19="x",$D$28*$C$18,$D$29*$C$18)</f>
        <v>0.18000000000000002</v>
      </c>
      <c r="E30" s="85" t="s">
        <v>69</v>
      </c>
      <c r="F30" s="84"/>
      <c r="G30" s="5"/>
      <c r="H30" s="68" t="s">
        <v>77</v>
      </c>
      <c r="I30" s="5"/>
      <c r="J30" s="86" t="s">
        <v>64</v>
      </c>
      <c r="K30" s="88"/>
      <c r="L30" s="9"/>
      <c r="M30" s="14">
        <f>IF($N$19="x",$M$28*$L$18,$M$29*$L$18)</f>
        <v>0.32640000000000002</v>
      </c>
      <c r="N30" s="85" t="s">
        <v>69</v>
      </c>
      <c r="O30" s="84"/>
    </row>
    <row r="31" spans="1:15" x14ac:dyDescent="0.2">
      <c r="A31" s="5"/>
      <c r="B31" s="5"/>
      <c r="C31" s="5"/>
      <c r="D31" s="13"/>
      <c r="E31" s="5"/>
      <c r="F31" s="5"/>
      <c r="G31" s="5"/>
      <c r="H31" s="5"/>
      <c r="I31" s="5"/>
      <c r="J31" s="5"/>
      <c r="K31" s="5"/>
      <c r="L31" s="9"/>
      <c r="M31" s="13"/>
      <c r="N31" s="5"/>
      <c r="O31" s="5"/>
    </row>
    <row r="32" spans="1:15" x14ac:dyDescent="0.2">
      <c r="A32" s="5"/>
      <c r="B32" s="5"/>
      <c r="C32" s="5"/>
      <c r="D32" s="13"/>
      <c r="E32" s="5"/>
      <c r="F32" s="5"/>
      <c r="G32" s="5"/>
      <c r="H32" s="5"/>
      <c r="I32" s="5"/>
      <c r="J32" s="5"/>
      <c r="K32" s="5"/>
      <c r="L32" s="9"/>
      <c r="M32" s="13"/>
      <c r="N32" s="5"/>
      <c r="O32" s="5"/>
    </row>
    <row r="33" spans="1:15" ht="13.5" thickBot="1" x14ac:dyDescent="0.25">
      <c r="A33" s="57" t="s">
        <v>55</v>
      </c>
      <c r="B33" s="58" t="str">
        <f>J16</f>
        <v>Sawdust</v>
      </c>
      <c r="C33" s="81" t="s">
        <v>56</v>
      </c>
      <c r="D33" s="81"/>
      <c r="E33" s="81"/>
      <c r="F33" s="5"/>
      <c r="G33" s="5"/>
      <c r="H33" s="5"/>
      <c r="I33" s="5"/>
      <c r="J33" s="5"/>
      <c r="K33" s="5"/>
      <c r="L33" s="9"/>
      <c r="M33" s="13"/>
      <c r="N33" s="5"/>
      <c r="O33" s="5"/>
    </row>
    <row r="34" spans="1:15" ht="13.5" thickTop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">
      <c r="A35" s="16" t="s">
        <v>3</v>
      </c>
      <c r="B35" s="17" t="s">
        <v>17</v>
      </c>
      <c r="C35" s="18" t="s">
        <v>6</v>
      </c>
      <c r="D35" s="19" t="s">
        <v>20</v>
      </c>
      <c r="E35" s="20" t="s">
        <v>13</v>
      </c>
      <c r="F35" s="19"/>
      <c r="G35" s="20" t="s">
        <v>14</v>
      </c>
      <c r="H35" s="10"/>
      <c r="I35" s="26" t="s">
        <v>14</v>
      </c>
      <c r="J35" s="10"/>
      <c r="K35" s="25" t="s">
        <v>13</v>
      </c>
      <c r="L35" s="74">
        <f>($C$21*($C$18-$D$10)*(1-($C$17/100)))/($L$21*($D$10-$L$18)*(1-($L$17/100)))</f>
        <v>1.027984009137636</v>
      </c>
      <c r="M35" s="52" t="s">
        <v>51</v>
      </c>
      <c r="N35" s="69" t="str">
        <f>J16</f>
        <v>Sawdust</v>
      </c>
      <c r="O35" s="69"/>
    </row>
    <row r="36" spans="1:15" x14ac:dyDescent="0.2">
      <c r="A36" s="5"/>
      <c r="B36" s="21" t="s">
        <v>18</v>
      </c>
      <c r="C36" s="22" t="s">
        <v>7</v>
      </c>
      <c r="D36" s="5" t="s">
        <v>19</v>
      </c>
      <c r="E36" s="5"/>
      <c r="F36" s="5"/>
      <c r="G36" s="22"/>
      <c r="H36" s="5"/>
      <c r="I36" s="22"/>
      <c r="J36" s="5"/>
      <c r="K36" s="22"/>
      <c r="L36" s="74"/>
      <c r="M36" s="75" t="s">
        <v>29</v>
      </c>
      <c r="N36" s="75"/>
      <c r="O36" s="75"/>
    </row>
    <row r="37" spans="1:15" x14ac:dyDescent="0.2">
      <c r="A37" s="5"/>
      <c r="B37" s="21"/>
      <c r="C37" s="56"/>
      <c r="D37" s="5"/>
      <c r="E37" s="5"/>
      <c r="F37" s="5"/>
      <c r="G37" s="56"/>
      <c r="H37" s="5"/>
      <c r="I37" s="56"/>
      <c r="J37" s="5"/>
      <c r="K37" s="56"/>
      <c r="L37" s="61"/>
      <c r="M37" s="62"/>
      <c r="N37" s="62"/>
      <c r="O37" s="62"/>
    </row>
    <row r="38" spans="1:15" ht="13.5" thickBot="1" x14ac:dyDescent="0.25">
      <c r="A38" s="79" t="s">
        <v>8</v>
      </c>
      <c r="B38" s="79"/>
      <c r="C38" s="56"/>
      <c r="D38" s="5"/>
      <c r="E38" s="5"/>
      <c r="F38" s="5"/>
      <c r="G38" s="56"/>
      <c r="H38" s="5"/>
      <c r="I38" s="56"/>
      <c r="J38" s="5"/>
      <c r="K38" s="56"/>
      <c r="L38" s="61"/>
      <c r="M38" s="62"/>
      <c r="N38" s="62"/>
      <c r="O38" s="62"/>
    </row>
    <row r="39" spans="1:15" ht="13.5" thickTop="1" x14ac:dyDescent="0.2">
      <c r="A39" s="82" t="s">
        <v>10</v>
      </c>
      <c r="B39" s="82"/>
      <c r="C39" s="22"/>
      <c r="D39" s="5"/>
      <c r="E39" s="5"/>
      <c r="F39" s="5"/>
      <c r="G39" s="22"/>
      <c r="H39" s="5"/>
      <c r="I39" s="22"/>
      <c r="J39" s="5"/>
      <c r="K39" s="22"/>
      <c r="L39" s="35"/>
      <c r="M39" s="36"/>
      <c r="N39" s="36"/>
      <c r="O39" s="36"/>
    </row>
    <row r="40" spans="1:15" x14ac:dyDescent="0.2">
      <c r="C40" s="22"/>
      <c r="D40" s="5"/>
      <c r="E40" s="5"/>
      <c r="F40" s="5"/>
      <c r="G40" s="22"/>
      <c r="H40" s="5"/>
      <c r="I40" s="22"/>
      <c r="J40" s="15"/>
      <c r="K40" s="24"/>
      <c r="L40" s="5"/>
      <c r="M40" s="23"/>
      <c r="N40" s="15"/>
      <c r="O40" s="5"/>
    </row>
    <row r="41" spans="1:15" x14ac:dyDescent="0.2">
      <c r="B41" s="59" t="s">
        <v>32</v>
      </c>
      <c r="C41" s="60" t="s">
        <v>25</v>
      </c>
      <c r="D41" s="37" t="s">
        <v>27</v>
      </c>
      <c r="E41" s="45" t="s">
        <v>14</v>
      </c>
      <c r="F41" s="44">
        <v>100</v>
      </c>
      <c r="G41" s="25" t="s">
        <v>13</v>
      </c>
      <c r="H41" s="10"/>
      <c r="I41" s="22" t="s">
        <v>14</v>
      </c>
      <c r="J41" s="42">
        <v>100</v>
      </c>
      <c r="K41" s="24" t="s">
        <v>13</v>
      </c>
      <c r="L41" s="64">
        <f>1/($L$35+1)</f>
        <v>0.49310053506054624</v>
      </c>
      <c r="M41" s="34" t="s">
        <v>25</v>
      </c>
      <c r="N41" s="15"/>
      <c r="O41" s="5"/>
    </row>
    <row r="42" spans="1:15" x14ac:dyDescent="0.2">
      <c r="C42" s="22"/>
      <c r="D42" s="22" t="s">
        <v>9</v>
      </c>
      <c r="E42" s="44"/>
      <c r="G42" s="22"/>
      <c r="H42" s="5"/>
      <c r="I42" s="22"/>
      <c r="J42" s="15"/>
      <c r="K42" s="24"/>
      <c r="L42" s="56"/>
      <c r="M42" s="15"/>
      <c r="N42" s="15"/>
      <c r="O42" s="5"/>
    </row>
    <row r="43" spans="1:15" x14ac:dyDescent="0.2">
      <c r="A43" s="5"/>
      <c r="B43" s="21"/>
      <c r="C43" s="22"/>
      <c r="D43" s="22"/>
      <c r="E43" s="44"/>
      <c r="G43" s="22"/>
      <c r="H43" s="5"/>
      <c r="I43" s="22"/>
      <c r="J43" s="15"/>
      <c r="K43" s="24"/>
      <c r="L43" s="56"/>
      <c r="M43" s="15"/>
      <c r="N43" s="15"/>
      <c r="O43" s="5"/>
    </row>
    <row r="44" spans="1:15" x14ac:dyDescent="0.2">
      <c r="A44" s="5"/>
      <c r="B44" s="59" t="s">
        <v>32</v>
      </c>
      <c r="C44" s="60" t="str">
        <f>J16</f>
        <v>Sawdust</v>
      </c>
      <c r="D44" s="37" t="s">
        <v>26</v>
      </c>
      <c r="E44" s="45" t="s">
        <v>14</v>
      </c>
      <c r="F44" s="44">
        <v>100</v>
      </c>
      <c r="G44" s="25" t="s">
        <v>13</v>
      </c>
      <c r="H44" s="10"/>
      <c r="I44" s="22" t="s">
        <v>14</v>
      </c>
      <c r="J44" s="42">
        <v>100</v>
      </c>
      <c r="K44" s="24" t="s">
        <v>13</v>
      </c>
      <c r="L44" s="64">
        <f>$L$35/($L$35+1)</f>
        <v>0.50689946493945381</v>
      </c>
      <c r="M44" s="83" t="str">
        <f>J16</f>
        <v>Sawdust</v>
      </c>
      <c r="N44" s="83"/>
      <c r="O44" s="83"/>
    </row>
    <row r="45" spans="1:15" x14ac:dyDescent="0.2">
      <c r="A45" s="5"/>
      <c r="B45" s="21"/>
      <c r="C45" s="22"/>
      <c r="D45" s="22" t="s">
        <v>9</v>
      </c>
      <c r="E45" s="22"/>
      <c r="F45" s="22"/>
      <c r="G45" s="22"/>
      <c r="H45" s="5"/>
      <c r="I45" s="22"/>
      <c r="J45" s="15"/>
      <c r="K45" s="24"/>
      <c r="L45" s="56"/>
      <c r="M45" s="23"/>
      <c r="N45" s="15"/>
      <c r="O45" s="5"/>
    </row>
    <row r="46" spans="1:15" x14ac:dyDescent="0.2">
      <c r="A46" s="5"/>
      <c r="B46" s="5"/>
      <c r="C46" s="5"/>
      <c r="D46" s="5"/>
      <c r="E46" s="22"/>
      <c r="F46" s="5"/>
      <c r="G46" s="22"/>
      <c r="H46" s="5"/>
      <c r="I46" s="22"/>
      <c r="J46" s="5"/>
      <c r="K46" s="22"/>
      <c r="L46" s="56"/>
      <c r="M46" s="23"/>
      <c r="N46" s="15"/>
      <c r="O46" s="5"/>
    </row>
    <row r="47" spans="1:15" ht="13.5" thickBot="1" x14ac:dyDescent="0.25">
      <c r="A47" s="79" t="s">
        <v>28</v>
      </c>
      <c r="B47" s="79"/>
      <c r="C47" s="55"/>
      <c r="D47" s="5"/>
      <c r="E47" s="22"/>
      <c r="F47" s="5"/>
      <c r="G47" s="22"/>
      <c r="H47" s="5"/>
      <c r="I47" s="22"/>
      <c r="J47" s="5"/>
      <c r="K47" s="22"/>
      <c r="L47" s="56"/>
      <c r="M47" s="5"/>
      <c r="N47" s="5"/>
      <c r="O47" s="5"/>
    </row>
    <row r="48" spans="1:15" ht="13.5" thickTop="1" x14ac:dyDescent="0.2">
      <c r="A48" s="5"/>
      <c r="B48" s="5"/>
      <c r="C48" s="5"/>
      <c r="D48" s="5"/>
      <c r="E48" s="22"/>
      <c r="F48" s="5"/>
      <c r="G48" s="22"/>
      <c r="H48" s="5"/>
      <c r="I48" s="22"/>
      <c r="J48" s="5"/>
      <c r="K48" s="22"/>
      <c r="L48" s="56"/>
      <c r="M48" s="5"/>
      <c r="N48" s="5"/>
      <c r="O48" s="5"/>
    </row>
    <row r="49" spans="1:16" x14ac:dyDescent="0.2">
      <c r="A49" s="89" t="s">
        <v>78</v>
      </c>
      <c r="B49" s="90"/>
      <c r="C49" s="72" t="s">
        <v>30</v>
      </c>
      <c r="D49" s="72"/>
      <c r="E49" s="45" t="s">
        <v>14</v>
      </c>
      <c r="F49" s="22">
        <v>100</v>
      </c>
      <c r="G49" s="22" t="s">
        <v>13</v>
      </c>
      <c r="H49" s="10"/>
      <c r="I49" s="22" t="s">
        <v>14</v>
      </c>
      <c r="J49" s="42">
        <v>100</v>
      </c>
      <c r="K49" s="22" t="s">
        <v>13</v>
      </c>
      <c r="L49" s="65">
        <f>($D$26+($M$26*$L$35))/(1+($L$35*1))</f>
        <v>0.42120529428330045</v>
      </c>
      <c r="M49" s="46"/>
      <c r="N49" s="38"/>
      <c r="O49" s="38"/>
    </row>
    <row r="50" spans="1:16" x14ac:dyDescent="0.2">
      <c r="B50" s="5"/>
      <c r="C50" s="71" t="s">
        <v>79</v>
      </c>
      <c r="D50" s="71"/>
      <c r="E50" s="5"/>
      <c r="F50" s="5"/>
      <c r="G50" s="22"/>
      <c r="H50" s="5"/>
      <c r="I50" s="5"/>
      <c r="J50" s="5"/>
      <c r="K50" s="22"/>
      <c r="L50" s="5"/>
      <c r="M50" s="5"/>
      <c r="N50" s="5"/>
      <c r="O50" s="5"/>
    </row>
    <row r="51" spans="1:16" x14ac:dyDescent="0.2">
      <c r="A51" s="5"/>
      <c r="B51" s="5"/>
      <c r="C51" s="5"/>
      <c r="D51" s="5"/>
      <c r="E51" s="5"/>
      <c r="F51" s="5"/>
      <c r="G51" s="22"/>
      <c r="H51" s="5"/>
      <c r="I51" s="5"/>
      <c r="J51" s="5"/>
      <c r="K51" s="22"/>
      <c r="L51" s="5"/>
      <c r="M51" s="5"/>
      <c r="N51" s="5"/>
      <c r="O51" s="5"/>
    </row>
    <row r="52" spans="1:16" ht="13.5" thickBot="1" x14ac:dyDescent="0.25">
      <c r="A52" s="79" t="s">
        <v>4</v>
      </c>
      <c r="B52" s="79"/>
      <c r="C52" s="5"/>
      <c r="D52" s="5"/>
      <c r="E52" s="5"/>
      <c r="F52" s="5"/>
      <c r="G52" s="5"/>
      <c r="H52" s="5"/>
      <c r="I52" s="5"/>
      <c r="J52" s="5"/>
      <c r="K52" s="22"/>
      <c r="L52" s="5"/>
      <c r="M52" s="5"/>
      <c r="N52" s="5"/>
      <c r="O52" s="5"/>
    </row>
    <row r="53" spans="1:16" ht="13.5" thickTop="1" x14ac:dyDescent="0.2">
      <c r="A53" s="63"/>
      <c r="B53" s="63"/>
      <c r="C53" s="5"/>
      <c r="D53" s="5"/>
      <c r="E53" s="5"/>
      <c r="F53" s="5"/>
      <c r="G53" s="5"/>
      <c r="H53" s="5"/>
      <c r="I53" s="5"/>
      <c r="J53" s="5"/>
      <c r="K53" s="56"/>
      <c r="L53" s="5"/>
      <c r="M53" s="5"/>
      <c r="N53" s="5"/>
      <c r="O53" s="5"/>
    </row>
    <row r="54" spans="1:16" x14ac:dyDescent="0.2">
      <c r="A54" s="5"/>
      <c r="C54" s="22" t="s">
        <v>13</v>
      </c>
      <c r="D54" s="72" t="s">
        <v>31</v>
      </c>
      <c r="E54" s="72"/>
      <c r="F54" s="72"/>
      <c r="G54" s="26" t="s">
        <v>13</v>
      </c>
      <c r="H54" s="80" t="s">
        <v>23</v>
      </c>
      <c r="I54" s="80"/>
      <c r="J54" s="80"/>
      <c r="K54" s="22" t="s">
        <v>13</v>
      </c>
      <c r="L54" s="74">
        <f>(($D$11/100)-($L$49/100))/(1-($D$11/100))</f>
        <v>1.4894698676429174</v>
      </c>
      <c r="M54" s="69" t="s">
        <v>53</v>
      </c>
      <c r="N54" s="69"/>
      <c r="O54" s="69"/>
      <c r="P54" s="69"/>
    </row>
    <row r="55" spans="1:16" x14ac:dyDescent="0.2">
      <c r="A55" s="5"/>
      <c r="C55" s="9"/>
      <c r="D55" s="71" t="s">
        <v>15</v>
      </c>
      <c r="E55" s="71"/>
      <c r="F55" s="71"/>
      <c r="G55" s="22"/>
      <c r="H55" s="71" t="s">
        <v>22</v>
      </c>
      <c r="I55" s="71"/>
      <c r="J55" s="71"/>
      <c r="K55" s="22"/>
      <c r="L55" s="74"/>
      <c r="M55" s="54" t="s">
        <v>54</v>
      </c>
      <c r="N55" s="54"/>
      <c r="O55" s="54"/>
      <c r="P55" s="53"/>
    </row>
  </sheetData>
  <sheetProtection password="E07E" sheet="1" objects="1" scenarios="1"/>
  <mergeCells count="25">
    <mergeCell ref="A49:B49"/>
    <mergeCell ref="N35:O35"/>
    <mergeCell ref="C33:E33"/>
    <mergeCell ref="A47:B47"/>
    <mergeCell ref="A39:B39"/>
    <mergeCell ref="A38:B38"/>
    <mergeCell ref="M44:O44"/>
    <mergeCell ref="A52:B52"/>
    <mergeCell ref="L54:L55"/>
    <mergeCell ref="C49:D49"/>
    <mergeCell ref="C50:D50"/>
    <mergeCell ref="H54:J54"/>
    <mergeCell ref="A11:C11"/>
    <mergeCell ref="A10:C10"/>
    <mergeCell ref="F7:M7"/>
    <mergeCell ref="G6:M6"/>
    <mergeCell ref="G8:M8"/>
    <mergeCell ref="M54:P54"/>
    <mergeCell ref="D1:L1"/>
    <mergeCell ref="H55:J55"/>
    <mergeCell ref="D54:F54"/>
    <mergeCell ref="D55:F55"/>
    <mergeCell ref="J16:L16"/>
    <mergeCell ref="L35:L36"/>
    <mergeCell ref="M36:O36"/>
  </mergeCells>
  <phoneticPr fontId="3" type="noConversion"/>
  <pageMargins left="0.75" right="0.75" top="1" bottom="1" header="0.5" footer="0.5"/>
  <pageSetup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Compost Recipe</vt:lpstr>
      <vt:lpstr>'Compost Recipe'!Print_Area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karen.hoffman</dc:creator>
  <cp:lastModifiedBy>Karen Hoffman</cp:lastModifiedBy>
  <cp:lastPrinted>2014-04-21T23:29:34Z</cp:lastPrinted>
  <dcterms:created xsi:type="dcterms:W3CDTF">2007-05-23T19:55:01Z</dcterms:created>
  <dcterms:modified xsi:type="dcterms:W3CDTF">2014-04-24T16:31:00Z</dcterms:modified>
</cp:coreProperties>
</file>