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91A1" lockStructure="1"/>
  <bookViews>
    <workbookView xWindow="0" yWindow="1416" windowWidth="12120" windowHeight="9108"/>
  </bookViews>
  <sheets>
    <sheet name="IDG" sheetId="1" r:id="rId1"/>
  </sheets>
  <definedNames>
    <definedName name="_xlnm.Print_Area" localSheetId="0">IDG!$A$1:$F$51</definedName>
  </definedNames>
  <calcPr calcId="145621"/>
</workbook>
</file>

<file path=xl/calcChain.xml><?xml version="1.0" encoding="utf-8"?>
<calcChain xmlns="http://schemas.openxmlformats.org/spreadsheetml/2006/main">
  <c r="D41" i="1" l="1"/>
  <c r="D28" i="1" l="1"/>
  <c r="D31" i="1"/>
  <c r="D33" i="1" l="1"/>
  <c r="D43" i="1"/>
  <c r="D26" i="1" l="1"/>
  <c r="D39" i="1"/>
  <c r="F16" i="1" s="1"/>
  <c r="D40" i="1"/>
  <c r="D37" i="1"/>
  <c r="D27" i="1"/>
  <c r="F18" i="1" s="1"/>
  <c r="D29" i="1"/>
  <c r="D30" i="1"/>
  <c r="D32" i="1"/>
  <c r="F19" i="1" s="1"/>
  <c r="D34" i="1"/>
  <c r="D35" i="1"/>
  <c r="D38" i="1"/>
  <c r="D23" i="1"/>
  <c r="D24" i="1"/>
  <c r="D25" i="1"/>
  <c r="F15" i="1" l="1"/>
  <c r="F17" i="1"/>
  <c r="F21" i="1" l="1"/>
</calcChain>
</file>

<file path=xl/sharedStrings.xml><?xml version="1.0" encoding="utf-8"?>
<sst xmlns="http://schemas.openxmlformats.org/spreadsheetml/2006/main" count="87" uniqueCount="80">
  <si>
    <t>Journal Number</t>
  </si>
  <si>
    <t>Department</t>
  </si>
  <si>
    <t>Zip Code</t>
  </si>
  <si>
    <t>Contact</t>
  </si>
  <si>
    <t>Phone</t>
  </si>
  <si>
    <t>INDEX</t>
  </si>
  <si>
    <t>FUND</t>
  </si>
  <si>
    <t>ACCT</t>
  </si>
  <si>
    <t>ACTV</t>
  </si>
  <si>
    <t>AMOUNT</t>
  </si>
  <si>
    <t>CREDIT</t>
  </si>
  <si>
    <t>DESCRIPTION</t>
  </si>
  <si>
    <t>R3573E</t>
  </si>
  <si>
    <t>DESCRIP</t>
  </si>
  <si>
    <t>LABOR</t>
  </si>
  <si>
    <t>PRINTING</t>
  </si>
  <si>
    <t>TABBING</t>
  </si>
  <si>
    <t>R3572E</t>
  </si>
  <si>
    <t>TABBQC</t>
  </si>
  <si>
    <t>Date Processed</t>
  </si>
  <si>
    <t>Campus Mail Center</t>
  </si>
  <si>
    <t>Address Printing</t>
  </si>
  <si>
    <t>Labels</t>
  </si>
  <si>
    <t>Merge/Purge</t>
  </si>
  <si>
    <t>PIECES</t>
  </si>
  <si>
    <t>Total Pieces</t>
  </si>
  <si>
    <t>NOTES:</t>
  </si>
  <si>
    <t>CAMPUS MAIL CENTER</t>
  </si>
  <si>
    <t>CHARGE &amp; CREDIT</t>
  </si>
  <si>
    <t>AMOUNT EACH</t>
  </si>
  <si>
    <t>TOTAL</t>
  </si>
  <si>
    <t xml:space="preserve">Mailing Date </t>
  </si>
  <si>
    <t>RAY050</t>
  </si>
  <si>
    <t>Foreign processing</t>
  </si>
  <si>
    <t>CASS/PAVE</t>
  </si>
  <si>
    <t>885-7011</t>
  </si>
  <si>
    <t>Gerlene</t>
  </si>
  <si>
    <t xml:space="preserve">          2282       *</t>
  </si>
  <si>
    <t>Permit Postage</t>
  </si>
  <si>
    <t xml:space="preserve">Metered  Postage </t>
  </si>
  <si>
    <t>Date In:</t>
  </si>
  <si>
    <t>Database name:</t>
  </si>
  <si>
    <t>E-mail:</t>
  </si>
  <si>
    <t>Process List</t>
  </si>
  <si>
    <t xml:space="preserve">SZ= </t>
  </si>
  <si>
    <t>Extended Services</t>
  </si>
  <si>
    <t>FOLDRA</t>
  </si>
  <si>
    <t>FOLDER/INSERTER</t>
  </si>
  <si>
    <t>NCOA</t>
  </si>
  <si>
    <t>NCOARA</t>
  </si>
  <si>
    <t>Description of mailpiece:</t>
  </si>
  <si>
    <t>Special request:</t>
  </si>
  <si>
    <t>Department:</t>
  </si>
  <si>
    <t>Campus Zip:</t>
  </si>
  <si>
    <t>Contact:</t>
  </si>
  <si>
    <t>Phone number:</t>
  </si>
  <si>
    <t>Manual Inserting</t>
  </si>
  <si>
    <t>Indicia Printing</t>
  </si>
  <si>
    <t>Return Add. Printing</t>
  </si>
  <si>
    <t>Sealing</t>
  </si>
  <si>
    <t>Manual Labeling</t>
  </si>
  <si>
    <t>Fold/Insert-DS100</t>
  </si>
  <si>
    <t>Fold/Insert-M3000</t>
  </si>
  <si>
    <t>Please do not change the format of this Excel file.</t>
  </si>
  <si>
    <t>CMS Approval Signature</t>
  </si>
  <si>
    <t>Approved in Department by:</t>
  </si>
  <si>
    <t>Fill in the shaded areas only.</t>
  </si>
  <si>
    <t>TH=</t>
  </si>
  <si>
    <t xml:space="preserve">10= </t>
  </si>
  <si>
    <t>Budget number</t>
  </si>
  <si>
    <t>and Activity code:</t>
  </si>
  <si>
    <t>Outsourced paperwork</t>
  </si>
  <si>
    <t>Bundle/Sack/Tray</t>
  </si>
  <si>
    <t>Tabbing KT2</t>
  </si>
  <si>
    <t>Tabbing TA25</t>
  </si>
  <si>
    <t>File Name of Excel mailing list:</t>
  </si>
  <si>
    <r>
      <rPr>
        <b/>
        <u/>
        <sz val="9"/>
        <rFont val="Arial"/>
        <family val="2"/>
      </rPr>
      <t>Class of Mail:</t>
    </r>
    <r>
      <rPr>
        <b/>
        <sz val="9"/>
        <rFont val="Arial"/>
        <family val="2"/>
      </rPr>
      <t xml:space="preserve"> (first class or nonprofit?)</t>
    </r>
  </si>
  <si>
    <r>
      <rPr>
        <b/>
        <u/>
        <sz val="9"/>
        <rFont val="Arial"/>
        <family val="2"/>
      </rPr>
      <t>Address layout:</t>
    </r>
    <r>
      <rPr>
        <sz val="9"/>
        <rFont val="Arial"/>
        <family val="2"/>
      </rPr>
      <t>(which fields get printed in the address)</t>
    </r>
  </si>
  <si>
    <t>Revised 7/1/2012</t>
  </si>
  <si>
    <t>875 Perimeter Dr MS 2282  MOSCOW ID 83844-2282                885-7011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</si>
</sst>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&quot;$&quot;#,##0.00;[Red]&quot;$&quot;#,##0.00"/>
    <numFmt numFmtId="166" formatCode="&quot;$&quot;#,##0.00"/>
    <numFmt numFmtId="167" formatCode="&quot;$&quot;#,##0.000"/>
    <numFmt numFmtId="168" formatCode="&quot;$&quot;#,##0.000;[Red]&quot;$&quot;#,##0.000"/>
    <numFmt numFmtId="169" formatCode="[$-409]mmmm\ d\,\ yyyy;@"/>
  </numFmts>
  <fonts count="1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Gigi"/>
      <family val="5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6"/>
      <name val="Script MT Bold"/>
      <family val="4"/>
    </font>
    <font>
      <sz val="9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b/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167" fontId="0" fillId="0" borderId="0" applyFont="0" applyFill="0" applyAlignment="0" applyProtection="0"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83">
    <xf numFmtId="167" fontId="0" fillId="0" borderId="0" xfId="0" applyProtection="1"/>
    <xf numFmtId="167" fontId="6" fillId="0" borderId="7" xfId="0" applyFont="1" applyFill="1" applyBorder="1" applyProtection="1"/>
    <xf numFmtId="167" fontId="2" fillId="0" borderId="0" xfId="0" applyFont="1" applyFill="1" applyAlignment="1" applyProtection="1"/>
    <xf numFmtId="167" fontId="2" fillId="0" borderId="0" xfId="0" applyFont="1" applyFill="1" applyAlignment="1" applyProtection="1">
      <alignment horizontal="center"/>
    </xf>
    <xf numFmtId="167" fontId="2" fillId="0" borderId="9" xfId="0" applyFont="1" applyFill="1" applyBorder="1" applyAlignment="1" applyProtection="1">
      <alignment horizontal="center"/>
    </xf>
    <xf numFmtId="167" fontId="1" fillId="0" borderId="0" xfId="0" applyFont="1" applyFill="1" applyAlignment="1" applyProtection="1">
      <alignment horizontal="center"/>
    </xf>
    <xf numFmtId="167" fontId="6" fillId="0" borderId="0" xfId="0" applyFont="1" applyFill="1" applyBorder="1" applyProtection="1"/>
    <xf numFmtId="167" fontId="1" fillId="0" borderId="1" xfId="0" applyFont="1" applyFill="1" applyBorder="1" applyProtection="1"/>
    <xf numFmtId="167" fontId="1" fillId="0" borderId="2" xfId="0" applyFont="1" applyFill="1" applyBorder="1" applyProtection="1"/>
    <xf numFmtId="167" fontId="1" fillId="0" borderId="3" xfId="0" applyFont="1" applyFill="1" applyBorder="1" applyProtection="1"/>
    <xf numFmtId="167" fontId="1" fillId="0" borderId="0" xfId="0" applyFont="1" applyFill="1" applyBorder="1" applyProtection="1"/>
    <xf numFmtId="167" fontId="1" fillId="0" borderId="5" xfId="0" applyFont="1" applyFill="1" applyBorder="1" applyProtection="1"/>
    <xf numFmtId="167" fontId="3" fillId="0" borderId="0" xfId="0" applyFont="1" applyFill="1" applyProtection="1"/>
    <xf numFmtId="167" fontId="3" fillId="0" borderId="8" xfId="0" applyFont="1" applyFill="1" applyBorder="1" applyProtection="1"/>
    <xf numFmtId="167" fontId="3" fillId="0" borderId="6" xfId="0" applyFont="1" applyFill="1" applyBorder="1" applyProtection="1"/>
    <xf numFmtId="167" fontId="1" fillId="0" borderId="12" xfId="0" applyFont="1" applyFill="1" applyBorder="1" applyProtection="1"/>
    <xf numFmtId="167" fontId="1" fillId="0" borderId="13" xfId="0" applyFont="1" applyFill="1" applyBorder="1" applyProtection="1"/>
    <xf numFmtId="167" fontId="1" fillId="0" borderId="11" xfId="0" applyFont="1" applyFill="1" applyBorder="1" applyProtection="1"/>
    <xf numFmtId="167" fontId="7" fillId="0" borderId="30" xfId="0" applyFont="1" applyFill="1" applyBorder="1" applyProtection="1"/>
    <xf numFmtId="167" fontId="4" fillId="0" borderId="0" xfId="0" applyFont="1" applyFill="1" applyBorder="1" applyProtection="1"/>
    <xf numFmtId="164" fontId="1" fillId="0" borderId="19" xfId="0" applyNumberFormat="1" applyFont="1" applyFill="1" applyBorder="1" applyProtection="1"/>
    <xf numFmtId="165" fontId="1" fillId="0" borderId="26" xfId="0" applyNumberFormat="1" applyFont="1" applyFill="1" applyBorder="1" applyProtection="1"/>
    <xf numFmtId="167" fontId="9" fillId="0" borderId="0" xfId="0" applyFont="1" applyFill="1" applyBorder="1" applyProtection="1"/>
    <xf numFmtId="167" fontId="8" fillId="0" borderId="19" xfId="0" applyFont="1" applyFill="1" applyBorder="1" applyProtection="1"/>
    <xf numFmtId="49" fontId="6" fillId="0" borderId="0" xfId="0" applyNumberFormat="1" applyFont="1" applyFill="1" applyProtection="1"/>
    <xf numFmtId="167" fontId="6" fillId="0" borderId="16" xfId="0" applyFont="1" applyFill="1" applyBorder="1" applyProtection="1"/>
    <xf numFmtId="167" fontId="1" fillId="0" borderId="0" xfId="0" applyFont="1" applyFill="1" applyAlignment="1" applyProtection="1"/>
    <xf numFmtId="167" fontId="6" fillId="0" borderId="0" xfId="0" applyFont="1" applyFill="1" applyProtection="1"/>
    <xf numFmtId="167" fontId="10" fillId="0" borderId="0" xfId="1" applyNumberFormat="1" applyFont="1" applyFill="1" applyAlignment="1" applyProtection="1">
      <alignment horizontal="center"/>
    </xf>
    <xf numFmtId="167" fontId="1" fillId="0" borderId="0" xfId="0" applyFont="1" applyFill="1" applyAlignment="1" applyProtection="1">
      <alignment horizontal="right"/>
    </xf>
    <xf numFmtId="167" fontId="1" fillId="0" borderId="35" xfId="0" applyFont="1" applyFill="1" applyBorder="1" applyProtection="1"/>
    <xf numFmtId="167" fontId="1" fillId="0" borderId="34" xfId="0" applyFont="1" applyFill="1" applyBorder="1" applyProtection="1"/>
    <xf numFmtId="49" fontId="6" fillId="0" borderId="18" xfId="0" applyNumberFormat="1" applyFont="1" applyFill="1" applyBorder="1" applyProtection="1"/>
    <xf numFmtId="167" fontId="6" fillId="0" borderId="5" xfId="0" applyFont="1" applyFill="1" applyBorder="1" applyProtection="1"/>
    <xf numFmtId="14" fontId="6" fillId="0" borderId="18" xfId="0" applyNumberFormat="1" applyFont="1" applyFill="1" applyBorder="1" applyProtection="1"/>
    <xf numFmtId="167" fontId="6" fillId="0" borderId="4" xfId="0" applyFont="1" applyFill="1" applyBorder="1" applyProtection="1"/>
    <xf numFmtId="165" fontId="6" fillId="0" borderId="7" xfId="0" applyNumberFormat="1" applyFont="1" applyFill="1" applyBorder="1" applyProtection="1"/>
    <xf numFmtId="167" fontId="6" fillId="0" borderId="10" xfId="0" applyFont="1" applyFill="1" applyBorder="1" applyProtection="1"/>
    <xf numFmtId="165" fontId="6" fillId="0" borderId="10" xfId="0" applyNumberFormat="1" applyFont="1" applyFill="1" applyBorder="1" applyProtection="1"/>
    <xf numFmtId="167" fontId="3" fillId="0" borderId="27" xfId="0" applyFont="1" applyFill="1" applyBorder="1" applyProtection="1"/>
    <xf numFmtId="167" fontId="6" fillId="0" borderId="14" xfId="0" applyFont="1" applyFill="1" applyBorder="1" applyAlignment="1" applyProtection="1"/>
    <xf numFmtId="167" fontId="1" fillId="0" borderId="15" xfId="0" applyFont="1" applyFill="1" applyBorder="1" applyAlignment="1" applyProtection="1"/>
    <xf numFmtId="167" fontId="1" fillId="0" borderId="20" xfId="0" applyFont="1" applyFill="1" applyBorder="1" applyAlignment="1" applyProtection="1"/>
    <xf numFmtId="167" fontId="1" fillId="0" borderId="23" xfId="0" applyFont="1" applyFill="1" applyBorder="1" applyAlignment="1" applyProtection="1"/>
    <xf numFmtId="2" fontId="6" fillId="0" borderId="29" xfId="0" applyNumberFormat="1" applyFont="1" applyFill="1" applyBorder="1" applyProtection="1"/>
    <xf numFmtId="165" fontId="6" fillId="0" borderId="21" xfId="0" applyNumberFormat="1" applyFont="1" applyFill="1" applyBorder="1" applyProtection="1"/>
    <xf numFmtId="165" fontId="6" fillId="0" borderId="24" xfId="0" applyNumberFormat="1" applyFont="1" applyFill="1" applyBorder="1" applyProtection="1"/>
    <xf numFmtId="168" fontId="6" fillId="0" borderId="21" xfId="0" applyNumberFormat="1" applyFont="1" applyFill="1" applyBorder="1" applyProtection="1"/>
    <xf numFmtId="167" fontId="6" fillId="0" borderId="19" xfId="0" applyFont="1" applyFill="1" applyBorder="1" applyProtection="1"/>
    <xf numFmtId="166" fontId="6" fillId="0" borderId="21" xfId="0" applyNumberFormat="1" applyFont="1" applyFill="1" applyBorder="1" applyProtection="1"/>
    <xf numFmtId="167" fontId="6" fillId="0" borderId="30" xfId="0" applyFont="1" applyFill="1" applyBorder="1" applyProtection="1"/>
    <xf numFmtId="49" fontId="6" fillId="0" borderId="21" xfId="0" applyNumberFormat="1" applyFont="1" applyFill="1" applyBorder="1" applyProtection="1"/>
    <xf numFmtId="49" fontId="6" fillId="0" borderId="24" xfId="0" applyNumberFormat="1" applyFont="1" applyFill="1" applyBorder="1" applyProtection="1"/>
    <xf numFmtId="167" fontId="6" fillId="0" borderId="17" xfId="0" applyFont="1" applyFill="1" applyBorder="1" applyProtection="1"/>
    <xf numFmtId="165" fontId="6" fillId="0" borderId="22" xfId="0" applyNumberFormat="1" applyFont="1" applyFill="1" applyBorder="1" applyProtection="1"/>
    <xf numFmtId="165" fontId="6" fillId="0" borderId="25" xfId="0" applyNumberFormat="1" applyFont="1" applyFill="1" applyBorder="1" applyProtection="1"/>
    <xf numFmtId="167" fontId="6" fillId="0" borderId="31" xfId="0" applyFont="1" applyFill="1" applyBorder="1" applyProtection="1"/>
    <xf numFmtId="167" fontId="6" fillId="0" borderId="32" xfId="0" applyFont="1" applyFill="1" applyBorder="1" applyProtection="1"/>
    <xf numFmtId="167" fontId="6" fillId="0" borderId="29" xfId="0" applyFont="1" applyFill="1" applyBorder="1" applyProtection="1"/>
    <xf numFmtId="14" fontId="6" fillId="0" borderId="28" xfId="0" applyNumberFormat="1" applyFont="1" applyFill="1" applyBorder="1" applyProtection="1"/>
    <xf numFmtId="167" fontId="12" fillId="0" borderId="0" xfId="0" applyFont="1" applyFill="1" applyBorder="1" applyProtection="1"/>
    <xf numFmtId="167" fontId="2" fillId="2" borderId="0" xfId="0" applyFont="1" applyFill="1" applyAlignment="1" applyProtection="1">
      <alignment horizontal="left"/>
    </xf>
    <xf numFmtId="167" fontId="1" fillId="2" borderId="0" xfId="0" applyFont="1" applyFill="1" applyAlignment="1" applyProtection="1">
      <alignment horizontal="left"/>
    </xf>
    <xf numFmtId="167" fontId="10" fillId="3" borderId="12" xfId="1" applyNumberFormat="1" applyFont="1" applyFill="1" applyBorder="1" applyAlignment="1" applyProtection="1">
      <alignment horizontal="center"/>
    </xf>
    <xf numFmtId="167" fontId="10" fillId="3" borderId="11" xfId="1" applyNumberFormat="1" applyFont="1" applyFill="1" applyBorder="1" applyAlignment="1" applyProtection="1">
      <alignment horizontal="center"/>
    </xf>
    <xf numFmtId="167" fontId="6" fillId="3" borderId="0" xfId="0" applyFont="1" applyFill="1" applyBorder="1" applyAlignment="1" applyProtection="1"/>
    <xf numFmtId="1" fontId="6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49" fontId="6" fillId="3" borderId="0" xfId="0" applyNumberFormat="1" applyFont="1" applyFill="1" applyBorder="1" applyProtection="1"/>
    <xf numFmtId="49" fontId="6" fillId="3" borderId="33" xfId="0" applyNumberFormat="1" applyFont="1" applyFill="1" applyBorder="1" applyProtection="1"/>
    <xf numFmtId="1" fontId="6" fillId="3" borderId="5" xfId="0" applyNumberFormat="1" applyFont="1" applyFill="1" applyBorder="1" applyAlignment="1" applyProtection="1"/>
    <xf numFmtId="1" fontId="6" fillId="3" borderId="5" xfId="0" applyNumberFormat="1" applyFont="1" applyFill="1" applyBorder="1" applyProtection="1"/>
    <xf numFmtId="49" fontId="6" fillId="3" borderId="5" xfId="0" applyNumberFormat="1" applyFont="1" applyFill="1" applyBorder="1" applyProtection="1"/>
    <xf numFmtId="49" fontId="6" fillId="3" borderId="18" xfId="0" applyNumberFormat="1" applyFont="1" applyFill="1" applyBorder="1" applyProtection="1"/>
    <xf numFmtId="167" fontId="6" fillId="3" borderId="36" xfId="0" applyFont="1" applyFill="1" applyBorder="1" applyProtection="1"/>
    <xf numFmtId="167" fontId="6" fillId="3" borderId="5" xfId="0" applyFont="1" applyFill="1" applyBorder="1" applyProtection="1"/>
    <xf numFmtId="167" fontId="1" fillId="3" borderId="13" xfId="0" applyFont="1" applyFill="1" applyBorder="1" applyAlignment="1" applyProtection="1"/>
    <xf numFmtId="167" fontId="1" fillId="3" borderId="11" xfId="0" applyFont="1" applyFill="1" applyBorder="1" applyAlignment="1" applyProtection="1"/>
    <xf numFmtId="167" fontId="13" fillId="0" borderId="37" xfId="0" applyFont="1" applyFill="1" applyBorder="1" applyProtection="1"/>
    <xf numFmtId="1" fontId="11" fillId="3" borderId="0" xfId="0" applyNumberFormat="1" applyFont="1" applyFill="1" applyBorder="1" applyProtection="1"/>
    <xf numFmtId="1" fontId="1" fillId="0" borderId="38" xfId="0" applyNumberFormat="1" applyFont="1" applyFill="1" applyBorder="1" applyProtection="1"/>
    <xf numFmtId="167" fontId="14" fillId="0" borderId="0" xfId="0" applyFont="1" applyFill="1" applyBorder="1" applyProtection="1"/>
    <xf numFmtId="169" fontId="15" fillId="0" borderId="0" xfId="0" applyNumberFormat="1" applyFont="1" applyFill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Zeros="0" tabSelected="1" workbookViewId="0">
      <selection activeCell="F3" sqref="F3"/>
    </sheetView>
  </sheetViews>
  <sheetFormatPr defaultRowHeight="13.2" x14ac:dyDescent="0.25"/>
  <cols>
    <col min="1" max="1" width="16.33203125" style="27" customWidth="1"/>
    <col min="2" max="5" width="15.6640625" style="27" customWidth="1"/>
    <col min="6" max="6" width="19.88671875" style="27" customWidth="1"/>
    <col min="7" max="16384" width="8.88671875" style="27"/>
  </cols>
  <sheetData>
    <row r="1" spans="1:9" ht="17.399999999999999" x14ac:dyDescent="0.3">
      <c r="A1" s="82" t="s">
        <v>78</v>
      </c>
      <c r="B1" s="2"/>
      <c r="C1" s="3"/>
      <c r="D1" s="2"/>
      <c r="E1" s="26" t="s">
        <v>0</v>
      </c>
      <c r="F1" s="4"/>
    </row>
    <row r="2" spans="1:9" ht="17.399999999999999" x14ac:dyDescent="0.3">
      <c r="A2" s="61" t="s">
        <v>63</v>
      </c>
      <c r="B2" s="61"/>
      <c r="C2" s="61"/>
      <c r="D2" s="61"/>
      <c r="E2" s="61" t="s">
        <v>66</v>
      </c>
      <c r="F2" s="62"/>
    </row>
    <row r="3" spans="1:9" ht="17.399999999999999" x14ac:dyDescent="0.3">
      <c r="A3" s="3"/>
      <c r="B3" s="3" t="s">
        <v>27</v>
      </c>
      <c r="C3" s="3"/>
      <c r="D3" s="3" t="s">
        <v>28</v>
      </c>
      <c r="E3" s="3"/>
      <c r="F3" s="3"/>
    </row>
    <row r="4" spans="1:9" ht="18" thickBot="1" x14ac:dyDescent="0.35">
      <c r="A4" s="3"/>
      <c r="B4" s="3"/>
      <c r="C4" s="5" t="s">
        <v>79</v>
      </c>
      <c r="D4" s="3"/>
      <c r="E4" s="3"/>
      <c r="F4" s="28"/>
    </row>
    <row r="5" spans="1:9" ht="16.8" thickTop="1" thickBot="1" x14ac:dyDescent="0.35">
      <c r="A5" s="12"/>
      <c r="D5" s="29" t="s">
        <v>42</v>
      </c>
      <c r="E5" s="63"/>
      <c r="F5" s="64"/>
    </row>
    <row r="6" spans="1:9" ht="12.75" customHeight="1" thickTop="1" thickBot="1" x14ac:dyDescent="0.3">
      <c r="A6" s="10" t="s">
        <v>69</v>
      </c>
      <c r="B6" s="30" t="s">
        <v>52</v>
      </c>
      <c r="C6" s="30"/>
      <c r="D6" s="30" t="s">
        <v>53</v>
      </c>
      <c r="E6" s="30" t="s">
        <v>54</v>
      </c>
      <c r="F6" s="31" t="s">
        <v>55</v>
      </c>
      <c r="I6" s="5"/>
    </row>
    <row r="7" spans="1:9" ht="12.75" customHeight="1" thickTop="1" x14ac:dyDescent="0.25">
      <c r="A7" s="78" t="s">
        <v>70</v>
      </c>
      <c r="B7" s="65"/>
      <c r="C7" s="66"/>
      <c r="D7" s="67"/>
      <c r="E7" s="68"/>
      <c r="F7" s="69"/>
      <c r="I7" s="5"/>
    </row>
    <row r="8" spans="1:9" ht="20.100000000000001" customHeight="1" thickBot="1" x14ac:dyDescent="0.3">
      <c r="A8" s="79"/>
      <c r="B8" s="70"/>
      <c r="C8" s="71"/>
      <c r="D8" s="72"/>
      <c r="E8" s="72"/>
      <c r="F8" s="73"/>
    </row>
    <row r="9" spans="1:9" ht="20.100000000000001" customHeight="1" thickBot="1" x14ac:dyDescent="0.3">
      <c r="A9" s="80"/>
      <c r="B9" s="7" t="s">
        <v>65</v>
      </c>
      <c r="C9" s="8"/>
      <c r="D9" s="8"/>
      <c r="E9" s="9" t="s">
        <v>40</v>
      </c>
    </row>
    <row r="10" spans="1:9" ht="18" customHeight="1" thickBot="1" x14ac:dyDescent="0.3">
      <c r="A10" s="10"/>
      <c r="B10" s="74"/>
      <c r="C10" s="75"/>
      <c r="D10" s="11"/>
      <c r="E10" s="34"/>
      <c r="F10" s="6"/>
    </row>
    <row r="11" spans="1:9" ht="16.8" thickTop="1" thickBot="1" x14ac:dyDescent="0.35">
      <c r="A11" s="12" t="s">
        <v>10</v>
      </c>
    </row>
    <row r="12" spans="1:9" ht="20.100000000000001" customHeight="1" x14ac:dyDescent="0.25">
      <c r="A12" s="7"/>
      <c r="B12" s="8" t="s">
        <v>1</v>
      </c>
      <c r="C12" s="8"/>
      <c r="D12" s="8" t="s">
        <v>2</v>
      </c>
      <c r="E12" s="8" t="s">
        <v>3</v>
      </c>
      <c r="F12" s="9" t="s">
        <v>4</v>
      </c>
    </row>
    <row r="13" spans="1:9" ht="13.8" thickBot="1" x14ac:dyDescent="0.3">
      <c r="A13" s="35"/>
      <c r="B13" s="33" t="s">
        <v>20</v>
      </c>
      <c r="C13" s="35"/>
      <c r="D13" s="33" t="s">
        <v>37</v>
      </c>
      <c r="E13" s="33" t="s">
        <v>36</v>
      </c>
      <c r="F13" s="32" t="s">
        <v>35</v>
      </c>
    </row>
    <row r="14" spans="1:9" ht="15" customHeight="1" thickBot="1" x14ac:dyDescent="0.35">
      <c r="A14" s="13" t="s">
        <v>5</v>
      </c>
      <c r="B14" s="14" t="s">
        <v>6</v>
      </c>
      <c r="C14" s="14" t="s">
        <v>13</v>
      </c>
      <c r="D14" s="14" t="s">
        <v>7</v>
      </c>
      <c r="E14" s="14" t="s">
        <v>8</v>
      </c>
      <c r="F14" s="14" t="s">
        <v>9</v>
      </c>
    </row>
    <row r="15" spans="1:9" ht="15" customHeight="1" thickTop="1" x14ac:dyDescent="0.25">
      <c r="A15" s="1" t="s">
        <v>32</v>
      </c>
      <c r="B15" s="1"/>
      <c r="C15" s="1" t="s">
        <v>14</v>
      </c>
      <c r="D15" s="1" t="s">
        <v>12</v>
      </c>
      <c r="E15" s="1"/>
      <c r="F15" s="36">
        <f>SUM(D26+D30+D29+D31+D35+D37+D38+D40+D34+D43)</f>
        <v>0</v>
      </c>
    </row>
    <row r="16" spans="1:9" ht="15" customHeight="1" x14ac:dyDescent="0.25">
      <c r="A16" s="1" t="s">
        <v>32</v>
      </c>
      <c r="B16" s="1"/>
      <c r="C16" s="1" t="s">
        <v>48</v>
      </c>
      <c r="D16" s="1"/>
      <c r="E16" s="1" t="s">
        <v>49</v>
      </c>
      <c r="F16" s="36">
        <f>SUM(D39)</f>
        <v>0</v>
      </c>
    </row>
    <row r="17" spans="1:6" ht="15" customHeight="1" x14ac:dyDescent="0.25">
      <c r="A17" s="1" t="s">
        <v>32</v>
      </c>
      <c r="B17" s="1"/>
      <c r="C17" s="1" t="s">
        <v>15</v>
      </c>
      <c r="D17" s="1" t="s">
        <v>17</v>
      </c>
      <c r="E17" s="1"/>
      <c r="F17" s="36">
        <f>SUM(D23:D25)</f>
        <v>0</v>
      </c>
    </row>
    <row r="18" spans="1:6" ht="15" customHeight="1" x14ac:dyDescent="0.25">
      <c r="A18" s="1" t="s">
        <v>32</v>
      </c>
      <c r="B18" s="1"/>
      <c r="C18" s="1" t="s">
        <v>16</v>
      </c>
      <c r="D18" s="1" t="s">
        <v>17</v>
      </c>
      <c r="E18" s="1" t="s">
        <v>18</v>
      </c>
      <c r="F18" s="36">
        <f>SUM(D27+D28)</f>
        <v>0</v>
      </c>
    </row>
    <row r="19" spans="1:6" ht="13.8" thickBot="1" x14ac:dyDescent="0.3">
      <c r="A19" s="1" t="s">
        <v>32</v>
      </c>
      <c r="B19" s="37"/>
      <c r="C19" s="25" t="s">
        <v>47</v>
      </c>
      <c r="D19" s="37" t="s">
        <v>17</v>
      </c>
      <c r="E19" s="37" t="s">
        <v>46</v>
      </c>
      <c r="F19" s="38">
        <f>SUM(D32+D33)</f>
        <v>0</v>
      </c>
    </row>
    <row r="20" spans="1:6" ht="20.100000000000001" customHeight="1" thickTop="1" x14ac:dyDescent="0.3">
      <c r="B20" s="15" t="s">
        <v>64</v>
      </c>
      <c r="C20" s="16"/>
      <c r="D20" s="16"/>
      <c r="E20" s="17" t="s">
        <v>19</v>
      </c>
      <c r="F20" s="39" t="s">
        <v>30</v>
      </c>
    </row>
    <row r="21" spans="1:6" ht="18" customHeight="1" thickBot="1" x14ac:dyDescent="0.55000000000000004">
      <c r="A21" s="10"/>
      <c r="B21" s="18"/>
      <c r="C21" s="19"/>
      <c r="D21" s="10"/>
      <c r="E21" s="20"/>
      <c r="F21" s="21">
        <f>SUM(F15:F19)</f>
        <v>0</v>
      </c>
    </row>
    <row r="22" spans="1:6" ht="20.25" customHeight="1" thickTop="1" x14ac:dyDescent="0.25">
      <c r="A22" s="40" t="s">
        <v>11</v>
      </c>
      <c r="B22" s="41" t="s">
        <v>24</v>
      </c>
      <c r="C22" s="42" t="s">
        <v>29</v>
      </c>
      <c r="D22" s="43" t="s">
        <v>30</v>
      </c>
      <c r="E22" s="76" t="s">
        <v>26</v>
      </c>
      <c r="F22" s="77"/>
    </row>
    <row r="23" spans="1:6" x14ac:dyDescent="0.25">
      <c r="A23" s="25" t="s">
        <v>21</v>
      </c>
      <c r="B23" s="44"/>
      <c r="C23" s="45">
        <v>7.0000000000000007E-2</v>
      </c>
      <c r="D23" s="46">
        <f>SUM(B23*C23)</f>
        <v>0</v>
      </c>
      <c r="E23" s="22" t="s">
        <v>76</v>
      </c>
      <c r="F23" s="23"/>
    </row>
    <row r="24" spans="1:6" x14ac:dyDescent="0.25">
      <c r="A24" s="25" t="s">
        <v>57</v>
      </c>
      <c r="B24" s="44"/>
      <c r="C24" s="47">
        <v>0.01</v>
      </c>
      <c r="D24" s="46">
        <f>SUM(B24*C24)</f>
        <v>0</v>
      </c>
      <c r="E24" s="10"/>
      <c r="F24" s="48"/>
    </row>
    <row r="25" spans="1:6" x14ac:dyDescent="0.25">
      <c r="A25" s="25" t="s">
        <v>58</v>
      </c>
      <c r="B25" s="44"/>
      <c r="C25" s="47">
        <v>0.01</v>
      </c>
      <c r="D25" s="46">
        <f>SUM(B25*C25)</f>
        <v>0</v>
      </c>
      <c r="E25" s="22" t="s">
        <v>77</v>
      </c>
      <c r="F25" s="48"/>
    </row>
    <row r="26" spans="1:6" x14ac:dyDescent="0.25">
      <c r="A26" s="25" t="s">
        <v>59</v>
      </c>
      <c r="B26" s="44"/>
      <c r="C26" s="27">
        <v>0.01</v>
      </c>
      <c r="D26" s="46">
        <f>SUM(B26*C26)</f>
        <v>0</v>
      </c>
      <c r="E26" s="6"/>
      <c r="F26" s="48"/>
    </row>
    <row r="27" spans="1:6" x14ac:dyDescent="0.25">
      <c r="A27" s="25" t="s">
        <v>73</v>
      </c>
      <c r="B27" s="44"/>
      <c r="C27" s="45">
        <v>0.02</v>
      </c>
      <c r="D27" s="46">
        <f t="shared" ref="D27:D35" si="0">SUM(B27*C27)</f>
        <v>0</v>
      </c>
      <c r="E27" s="6"/>
      <c r="F27" s="48"/>
    </row>
    <row r="28" spans="1:6" x14ac:dyDescent="0.25">
      <c r="A28" s="25" t="s">
        <v>74</v>
      </c>
      <c r="B28" s="44"/>
      <c r="C28" s="45">
        <v>0.03</v>
      </c>
      <c r="D28" s="46">
        <f>SUM(B28*C28)</f>
        <v>0</v>
      </c>
      <c r="E28" s="22"/>
      <c r="F28" s="23"/>
    </row>
    <row r="29" spans="1:6" x14ac:dyDescent="0.25">
      <c r="A29" s="25" t="s">
        <v>60</v>
      </c>
      <c r="B29" s="44"/>
      <c r="C29" s="45">
        <v>41</v>
      </c>
      <c r="D29" s="46">
        <f>SUM(B29*C29)</f>
        <v>0</v>
      </c>
      <c r="E29" s="6"/>
      <c r="F29" s="48"/>
    </row>
    <row r="30" spans="1:6" x14ac:dyDescent="0.25">
      <c r="A30" s="25" t="s">
        <v>56</v>
      </c>
      <c r="B30" s="44"/>
      <c r="C30" s="45">
        <v>41</v>
      </c>
      <c r="D30" s="46">
        <f t="shared" si="0"/>
        <v>0</v>
      </c>
      <c r="E30" s="22"/>
      <c r="F30" s="23"/>
    </row>
    <row r="31" spans="1:6" x14ac:dyDescent="0.25">
      <c r="A31" s="25" t="s">
        <v>72</v>
      </c>
      <c r="B31" s="44"/>
      <c r="C31" s="45">
        <v>41</v>
      </c>
      <c r="D31" s="46">
        <f t="shared" si="0"/>
        <v>0</v>
      </c>
      <c r="E31" s="81" t="s">
        <v>50</v>
      </c>
      <c r="F31" s="48"/>
    </row>
    <row r="32" spans="1:6" x14ac:dyDescent="0.25">
      <c r="A32" s="25" t="s">
        <v>61</v>
      </c>
      <c r="B32" s="44"/>
      <c r="C32" s="45">
        <v>41</v>
      </c>
      <c r="D32" s="46">
        <f t="shared" si="0"/>
        <v>0</v>
      </c>
      <c r="E32" s="6"/>
      <c r="F32" s="48"/>
    </row>
    <row r="33" spans="1:6" x14ac:dyDescent="0.25">
      <c r="A33" s="25" t="s">
        <v>62</v>
      </c>
      <c r="B33" s="44"/>
      <c r="C33" s="45">
        <v>41</v>
      </c>
      <c r="D33" s="46">
        <f t="shared" si="0"/>
        <v>0</v>
      </c>
      <c r="E33" s="22" t="s">
        <v>75</v>
      </c>
      <c r="F33" s="48"/>
    </row>
    <row r="34" spans="1:6" x14ac:dyDescent="0.25">
      <c r="A34" s="25" t="s">
        <v>22</v>
      </c>
      <c r="B34" s="44"/>
      <c r="C34" s="45">
        <v>1.4999999999999999E-2</v>
      </c>
      <c r="D34" s="46">
        <f>SUM(B34*C34)</f>
        <v>0</v>
      </c>
      <c r="E34" s="60"/>
      <c r="F34" s="48"/>
    </row>
    <row r="35" spans="1:6" x14ac:dyDescent="0.25">
      <c r="A35" s="25" t="s">
        <v>33</v>
      </c>
      <c r="B35" s="44"/>
      <c r="C35" s="45">
        <v>0.15</v>
      </c>
      <c r="D35" s="46">
        <f t="shared" si="0"/>
        <v>0</v>
      </c>
      <c r="E35" s="10"/>
      <c r="F35" s="48"/>
    </row>
    <row r="36" spans="1:6" x14ac:dyDescent="0.25">
      <c r="A36" s="25"/>
      <c r="B36" s="44"/>
      <c r="C36" s="45"/>
      <c r="D36" s="46"/>
      <c r="E36" s="10" t="s">
        <v>51</v>
      </c>
      <c r="F36" s="48"/>
    </row>
    <row r="37" spans="1:6" x14ac:dyDescent="0.25">
      <c r="A37" s="25" t="s">
        <v>23</v>
      </c>
      <c r="B37" s="44"/>
      <c r="C37" s="45">
        <v>41</v>
      </c>
      <c r="D37" s="46">
        <f>SUM(B37*C37)</f>
        <v>0</v>
      </c>
      <c r="E37" s="22"/>
      <c r="F37" s="48"/>
    </row>
    <row r="38" spans="1:6" x14ac:dyDescent="0.25">
      <c r="A38" s="25" t="s">
        <v>34</v>
      </c>
      <c r="B38" s="44"/>
      <c r="C38" s="45">
        <v>41</v>
      </c>
      <c r="D38" s="46">
        <f>SUM(B38*C38)</f>
        <v>0</v>
      </c>
      <c r="E38" s="6"/>
      <c r="F38" s="48"/>
    </row>
    <row r="39" spans="1:6" x14ac:dyDescent="0.25">
      <c r="A39" s="25" t="s">
        <v>45</v>
      </c>
      <c r="B39" s="44"/>
      <c r="C39" s="47">
        <v>5.0000000000000001E-3</v>
      </c>
      <c r="D39" s="46">
        <f>SUM(B39*C39)</f>
        <v>0</v>
      </c>
      <c r="E39" s="6"/>
      <c r="F39" s="48"/>
    </row>
    <row r="40" spans="1:6" x14ac:dyDescent="0.25">
      <c r="A40" s="25" t="s">
        <v>43</v>
      </c>
      <c r="B40" s="44"/>
      <c r="C40" s="45">
        <v>41</v>
      </c>
      <c r="D40" s="46">
        <f>SUM(B40*C40)</f>
        <v>0</v>
      </c>
      <c r="E40" s="6"/>
      <c r="F40" s="48"/>
    </row>
    <row r="41" spans="1:6" x14ac:dyDescent="0.25">
      <c r="A41" s="25" t="s">
        <v>38</v>
      </c>
      <c r="B41" s="44"/>
      <c r="C41" s="49"/>
      <c r="D41" s="46">
        <f>SUM(C41*0.07)+C41</f>
        <v>0</v>
      </c>
      <c r="E41" s="6"/>
      <c r="F41" s="48"/>
    </row>
    <row r="42" spans="1:6" x14ac:dyDescent="0.25">
      <c r="A42" s="25" t="s">
        <v>39</v>
      </c>
      <c r="B42" s="44"/>
      <c r="C42" s="49"/>
      <c r="D42" s="46"/>
      <c r="E42" s="6"/>
      <c r="F42" s="48"/>
    </row>
    <row r="43" spans="1:6" x14ac:dyDescent="0.25">
      <c r="A43" s="25" t="s">
        <v>71</v>
      </c>
      <c r="B43" s="44"/>
      <c r="C43" s="45">
        <v>41</v>
      </c>
      <c r="D43" s="46">
        <f>SUM(B43*C43)</f>
        <v>0</v>
      </c>
      <c r="E43" s="50"/>
      <c r="F43" s="48"/>
    </row>
    <row r="44" spans="1:6" x14ac:dyDescent="0.25">
      <c r="A44" s="25"/>
      <c r="B44" s="44"/>
      <c r="C44" s="45"/>
      <c r="D44" s="46"/>
      <c r="E44" s="6"/>
      <c r="F44" s="48"/>
    </row>
    <row r="45" spans="1:6" x14ac:dyDescent="0.25">
      <c r="A45" s="25" t="s">
        <v>25</v>
      </c>
      <c r="B45" s="44"/>
      <c r="C45" s="51"/>
      <c r="D45" s="52"/>
      <c r="E45" s="6"/>
      <c r="F45" s="48"/>
    </row>
    <row r="46" spans="1:6" ht="13.8" thickBot="1" x14ac:dyDescent="0.3">
      <c r="A46" s="53" t="s">
        <v>31</v>
      </c>
      <c r="B46" s="59"/>
      <c r="C46" s="54"/>
      <c r="D46" s="55"/>
      <c r="E46" s="56"/>
      <c r="F46" s="57"/>
    </row>
    <row r="47" spans="1:6" ht="13.8" thickTop="1" x14ac:dyDescent="0.25"/>
    <row r="48" spans="1:6" x14ac:dyDescent="0.25">
      <c r="A48" s="58" t="s">
        <v>68</v>
      </c>
      <c r="B48" s="24"/>
    </row>
    <row r="49" spans="1:2" x14ac:dyDescent="0.25">
      <c r="A49" s="58" t="s">
        <v>67</v>
      </c>
      <c r="B49" s="24"/>
    </row>
    <row r="50" spans="1:2" x14ac:dyDescent="0.25">
      <c r="A50" s="58" t="s">
        <v>44</v>
      </c>
      <c r="B50" s="24"/>
    </row>
    <row r="51" spans="1:2" x14ac:dyDescent="0.25">
      <c r="A51" s="6" t="s">
        <v>41</v>
      </c>
    </row>
  </sheetData>
  <phoneticPr fontId="0" type="noConversion"/>
  <pageMargins left="0.36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IDG</vt:lpstr>
      <vt:lpstr>IDG!Print_Area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Campus Mail Invoice 2011</dc:title>
  <dc:creator>ykeach</dc:creator>
  <cp:lastModifiedBy>Keach, Yvonne</cp:lastModifiedBy>
  <cp:lastPrinted>2011-09-30T19:32:16Z</cp:lastPrinted>
  <dcterms:created xsi:type="dcterms:W3CDTF">2002-06-12T21:09:39Z</dcterms:created>
  <dcterms:modified xsi:type="dcterms:W3CDTF">2012-07-25T18:00:26Z</dcterms:modified>
</cp:coreProperties>
</file>