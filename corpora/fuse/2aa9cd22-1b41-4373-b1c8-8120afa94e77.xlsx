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<sst xmlns="http://schemas.openxmlformats.org/spreadsheetml/2006/main" count="565" uniqueCount="401">
  <si>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</si>
  <si>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</si>
  <si>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</si>
  <si>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</si>
  <si>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</si>
  <si>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</si>
  <si>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</si>
  <si>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</si>
  <si>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</si>
  <si>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</si>
  <si>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</si>
  <si>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</si>
  <si>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</si>
  <si>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</si>
  <si>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</si>
  <si>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</si>
  <si>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</si>
  <si>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</si>
  <si>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</si>
  <si>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</si>
  <si>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</si>
  <si>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</si>
  <si>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</si>
  <si>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</si>
  <si>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</si>
  <si>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</si>
  <si>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</si>
  <si>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</si>
  <si>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</si>
  <si>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</si>
  <si>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</si>
  <si>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</si>
  <si>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</si>
  <si>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</si>
  <si>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</si>
  <si>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</si>
  <si>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</si>
  <si>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</si>
  <si>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</si>
  <si>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</si>
  <si>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</si>
  <si>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</si>
  <si>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</si>
  <si>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</si>
  <si>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</si>
  <si>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</si>
  <si>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</si>
  <si>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</si>
  <si>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</si>
  <si>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</si>
  <si>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</si>
  <si>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</si>
  <si>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</si>
  <si>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</si>
  <si>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</si>
  <si>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</si>
  <si>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</si>
  <si>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</si>
  <si>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</si>
  <si>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</si>
  <si>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</si>
  <si>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</si>
  <si>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</si>
  <si>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</si>
  <si>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</si>
  <si>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</si>
  <si>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</si>
  <si>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</si>
  <si>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</si>
  <si>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</si>
  <si>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</si>
  <si>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</si>
  <si>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</si>
  <si>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</si>
  <si>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</si>
  <si>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</si>
  <si>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</si>
  <si>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</si>
  <si>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</si>
  <si>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</si>
  <si>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</si>
  <si>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</si>
  <si>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</si>
  <si>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</si>
  <si>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</si>
  <si>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</si>
  <si>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</si>
  <si>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</si>
  <si>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</si>
  <si>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</si>
  <si>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</si>
  <si>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</si>
  <si>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</si>
  <si>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</si>
  <si>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</si>
  <si>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</si>
  <si>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</si>
  <si>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</si>
  <si>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</si>
  <si>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</si>
  <si>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</si>
  <si>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</si>
  <si>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</si>
  <si>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</si>
  <si>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</si>
  <si>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</si>
  <si>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</si>
  <si>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</si>
  <si>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</si>
  <si>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</si>
  <si>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</si>
  <si>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</si>
  <si>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</si>
  <si>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</si>
  <si>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</si>
  <si>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</si>
  <si>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</si>
  <si>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</si>
  <si>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</si>
  <si>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</si>
  <si>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</si>
  <si>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</si>
  <si>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</si>
  <si>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</si>
  <si>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</si>
  <si>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</si>
  <si>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</si>
  <si>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</si>
  <si>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</si>
  <si>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</si>
  <si>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</si>
  <si>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</si>
  <si>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</si>
  <si>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</si>
  <si>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</si>
  <si>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</si>
  <si>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</si>
  <si>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</si>
  <si>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</si>
  <si>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</si>
  <si>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</si>
  <si>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</si>
  <si>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</si>
  <si>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</si>
  <si>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</si>
  <si>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</si>
  <si>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</si>
  <si>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</si>
  <si>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</si>
  <si>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</si>
  <si>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</si>
  <si>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</si>
  <si>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</si>
  <si>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</si>
  <si>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</si>
  <si>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</si>
  <si>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</si>
  <si>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</si>
  <si>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</si>
  <si>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</si>
  <si>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</si>
  <si>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</si>
  <si>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</si>
  <si>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</si>
  <si>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</si>
  <si>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</si>
  <si>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</si>
  <si>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</si>
  <si>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</si>
  <si>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</si>
  <si>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</si>
  <si>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</si>
  <si>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</si>
  <si>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</si>
  <si>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</si>
  <si>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</si>
  <si>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</si>
  <si>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</si>
  <si>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</si>
  <si>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</si>
  <si>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</si>
  <si>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</si>
  <si>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</si>
  <si>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</si>
  <si>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</si>
  <si>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</si>
  <si>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</si>
  <si>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</si>
  <si>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</si>
  <si>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</si>
  <si>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</si>
  <si>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</si>
  <si>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</si>
  <si>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</si>
  <si>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</si>
  <si>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</si>
  <si>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</si>
  <si>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</si>
  <si>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</si>
  <si>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</si>
  <si>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</si>
  <si>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</si>
  <si>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</si>
  <si>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</si>
  <si>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</si>
  <si>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</si>
  <si>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</si>
  <si>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</si>
  <si>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</si>
  <si>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</si>
  <si>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</si>
  <si>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</si>
  <si>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</si>
  <si>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</si>
  <si>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</si>
  <si>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</si>
  <si>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</si>
  <si>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</si>
  <si>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</si>
  <si>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</si>
  <si>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</si>
  <si>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</si>
  <si>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</si>
  <si>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</si>
  <si>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</si>
  <si>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</si>
  <si>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</si>
  <si>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</si>
  <si>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</si>
  <si>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</si>
  <si>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</si>
  <si>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</si>
  <si>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</si>
  <si>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</si>
  <si>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</si>
  <si>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</si>
  <si>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</si>
  <si>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</si>
  <si>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</si>
  <si>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</si>
  <si>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</si>
  <si>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</si>
  <si>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</si>
  <si>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</si>
  <si>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</si>
  <si>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</si>
  <si>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</si>
  <si>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</si>
  <si>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</si>
  <si>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</si>
  <si>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</si>
  <si>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</si>
  <si>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</si>
  <si>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</si>
  <si>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</si>
  <si>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</si>
  <si>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</si>
  <si>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</si>
  <si>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</si>
  <si>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</si>
  <si>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</si>
  <si>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</si>
  <si>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</si>
  <si>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</si>
  <si>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</si>
  <si>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</si>
  <si>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</si>
  <si>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</si>
  <si>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</si>
  <si>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</si>
  <si>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</si>
  <si>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</si>
  <si>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</si>
  <si>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</si>
  <si>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</si>
  <si>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</si>
  <si>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</si>
  <si>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</si>
  <si>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</si>
  <si>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</si>
  <si>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</si>
  <si>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</si>
  <si>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</si>
  <si>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</si>
  <si>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</si>
  <si>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</si>
  <si>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</si>
  <si>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</si>
  <si>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</si>
  <si>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</si>
  <si>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</si>
  <si>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</si>
  <si>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</si>
  <si>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</si>
  <si>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</si>
  <si>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</si>
  <si>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</si>
  <si>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</si>
  <si>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</si>
  <si>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</si>
  <si>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</si>
  <si>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</si>
  <si>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</si>
  <si>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</si>
  <si>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</si>
  <si>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</si>
  <si>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</si>
  <si>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</si>
  <si>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</si>
  <si>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</si>
  <si>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</si>
  <si>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</si>
  <si>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</si>
  <si>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</si>
  <si>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</si>
  <si>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</si>
  <si>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</si>
  <si>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</si>
  <si>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</si>
  <si>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</si>
  <si>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</si>
  <si>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</si>
  <si>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</si>
  <si>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</si>
  <si>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</si>
  <si>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</si>
  <si>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</si>
  <si>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</si>
  <si>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</si>
  <si>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</si>
  <si>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</si>
  <si>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</si>
  <si>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</si>
  <si>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</si>
  <si>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</si>
  <si>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</si>
  <si>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</si>
  <si>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</si>
  <si>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</si>
  <si>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</si>
  <si>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</si>
  <si>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</si>
  <si>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</si>
  <si>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</si>
  <si>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</si>
  <si>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</si>
  <si>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</si>
  <si>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</si>
  <si>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</si>
  <si>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</si>
  <si>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</si>
  <si>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</si>
  <si>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</si>
  <si>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</si>
  <si>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</si>
  <si>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</si>
  <si>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</si>
  <si>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</si>
  <si>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</si>
  <si>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</si>
  <si>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</si>
  <si>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</si>
  <si>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</si>
  <si>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</si>
  <si>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</si>
  <si>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</si>
  <si>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</si>
  <si>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</si>
  <si>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</si>
  <si>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</si>
  <si>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</si>
  <si>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</si>
  <si>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</si>
  <si>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</si>
  <si>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</si>
  <si>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</si>
  <si>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</si>
  <si>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</si>
  <si>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</si>
  <si>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</si>
  <si>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</si>
  <si>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</si>
  <si>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</si>
  <si>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</si>
  <si>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</si>
  <si>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</si>
  <si>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</si>
  <si>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</si>
  <si>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</si>
  <si>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</si>
  <si>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</si>
  <si>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</si>
  <si>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</si>
  <si>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</si>
  <si>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</si>
  <si>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WQ0029635</t>
  </si>
  <si>
    <t>Sunset Pointe Subdivision</t>
  </si>
  <si>
    <t>Continuous</t>
  </si>
  <si>
    <t>3 x Year</t>
  </si>
  <si>
    <t>Monthly</t>
  </si>
  <si>
    <t>See Permit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</si>
</sst>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166</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27</v>
      </c>
      <c r="G3" s="18" t="s">
        <v>19</v>
      </c>
      <c r="H3" s="46" t="s">
        <v>48</v>
      </c>
      <c r="I3" s="18" t="s">
        <v>34</v>
      </c>
      <c r="J3" s="46" t="s">
        <v>33</v>
      </c>
      <c r="K3" s="18" t="s">
        <v>44</v>
      </c>
      <c r="L3" s="46" t="s">
        <v>45</v>
      </c>
      <c r="M3" s="18"/>
      <c r="N3" s="46"/>
      <c r="O3" s="18"/>
      <c r="P3" s="46"/>
      <c r="Q3" s="18"/>
      <c r="R3" s="46"/>
      <c r="S3" s="28"/>
    </row>
    <row r="4" spans="1:20" ht="71.25" customHeight="1">
      <c r="A4" s="87"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Nitrite + Nitrate</v>
      </c>
      <c r="H4" s="48" t="str">
        <f>IF(ISBLANK(H$3), " ", VLOOKUP(H$3,'PCS Parameter Codes'!$A$1:$D$76,2,FALSE))</f>
        <v>Ammonia</v>
      </c>
      <c r="I4" s="47" t="str">
        <f>IF(ISBLANK(I$3), " ", VLOOKUP(I$3,'PCS Parameter Codes'!$A$1:$D$76,2,FALSE))</f>
        <v>Total Kjeldahl Nitrogen</v>
      </c>
      <c r="J4" s="48" t="str">
        <f>IF(ISBLANK(J$3), " ", VLOOKUP(J$3,'PCS Parameter Codes'!$A$1:$D$76,2,FALSE))</f>
        <v>pH</v>
      </c>
      <c r="K4" s="47" t="str">
        <f>IF(ISBLANK(K$3), " ", VLOOKUP(K$3,'PCS Parameter Codes'!$A$1:$D$76,2,FALSE))</f>
        <v>Total Phosphorus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5" t="s">
        <v>72</v>
      </c>
      <c r="B38" s="96"/>
      <c r="C38" s="9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8" t="s">
        <v>73</v>
      </c>
      <c r="B39" s="99"/>
      <c r="C39" s="10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89" t="s">
        <v>373</v>
      </c>
      <c r="B41" s="90"/>
      <c r="C41" s="91"/>
      <c r="D41" s="65">
        <v>75000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397</v>
      </c>
      <c r="E43" s="67" t="s">
        <v>398</v>
      </c>
      <c r="F43" s="68" t="s">
        <v>398</v>
      </c>
      <c r="G43" s="67" t="s">
        <v>398</v>
      </c>
      <c r="H43" s="68" t="s">
        <v>398</v>
      </c>
      <c r="I43" s="67" t="s">
        <v>398</v>
      </c>
      <c r="J43" s="68" t="s">
        <v>398</v>
      </c>
      <c r="K43" s="67" t="s">
        <v>398</v>
      </c>
      <c r="L43" s="68" t="s">
        <v>398</v>
      </c>
      <c r="M43" s="67"/>
      <c r="N43" s="68"/>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166</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27</v>
      </c>
      <c r="H3" s="46" t="s">
        <v>48</v>
      </c>
      <c r="I3" s="18" t="s">
        <v>34</v>
      </c>
      <c r="J3" s="46" t="s">
        <v>24</v>
      </c>
      <c r="K3" s="18" t="s">
        <v>33</v>
      </c>
      <c r="L3" s="46" t="s">
        <v>44</v>
      </c>
      <c r="M3" s="18">
        <v>70300</v>
      </c>
      <c r="N3" s="46" t="s">
        <v>45</v>
      </c>
      <c r="O3" s="18"/>
      <c r="P3" s="46"/>
      <c r="Q3" s="18"/>
      <c r="R3" s="46"/>
      <c r="S3" s="28"/>
    </row>
    <row r="4" spans="1:20" ht="71.25" customHeight="1">
      <c r="A4" s="87"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Suspended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5" t="s">
        <v>72</v>
      </c>
      <c r="B38" s="96"/>
      <c r="C38" s="9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8" t="s">
        <v>73</v>
      </c>
      <c r="B39" s="99"/>
      <c r="C39" s="10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89" t="s">
        <v>373</v>
      </c>
      <c r="B41" s="90"/>
      <c r="C41" s="91"/>
      <c r="D41" s="65">
        <v>75000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397</v>
      </c>
      <c r="E43" s="67" t="s">
        <v>399</v>
      </c>
      <c r="F43" s="68" t="s">
        <v>398</v>
      </c>
      <c r="G43" s="67" t="s">
        <v>399</v>
      </c>
      <c r="H43" s="68" t="s">
        <v>399</v>
      </c>
      <c r="I43" s="67" t="s">
        <v>399</v>
      </c>
      <c r="J43" s="68" t="s">
        <v>399</v>
      </c>
      <c r="K43" s="67" t="s">
        <v>400</v>
      </c>
      <c r="L43" s="68" t="s">
        <v>399</v>
      </c>
      <c r="M43" s="67" t="s">
        <v>398</v>
      </c>
      <c r="N43" s="68" t="s">
        <v>399</v>
      </c>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51"/>
      <c r="D2" s="193"/>
      <c r="E2" s="193"/>
      <c r="F2" s="193"/>
      <c r="G2" s="193"/>
      <c r="H2" s="193"/>
      <c r="I2" s="193"/>
      <c r="J2" s="194"/>
      <c r="K2" s="26" t="s">
        <v>77</v>
      </c>
      <c r="L2" s="151"/>
      <c r="M2" s="152"/>
      <c r="N2" s="152"/>
      <c r="O2" s="152"/>
      <c r="P2" s="152"/>
      <c r="Q2" s="152"/>
      <c r="R2" s="152"/>
      <c r="S2" s="157"/>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58" t="s">
        <v>219</v>
      </c>
      <c r="B9" s="159"/>
      <c r="C9" s="160"/>
      <c r="D9" s="161"/>
      <c r="E9" s="161"/>
      <c r="F9" s="161"/>
      <c r="G9" s="161"/>
      <c r="H9" s="161"/>
      <c r="I9" s="161"/>
      <c r="J9" s="162"/>
      <c r="K9" s="163" t="s">
        <v>215</v>
      </c>
      <c r="L9" s="159"/>
      <c r="M9" s="160"/>
      <c r="N9" s="161"/>
      <c r="O9" s="161"/>
      <c r="P9" s="161"/>
      <c r="Q9" s="161"/>
      <c r="R9" s="161"/>
      <c r="S9" s="164"/>
    </row>
    <row r="10" spans="1:20" ht="30.75" customHeight="1">
      <c r="A10" s="165" t="s">
        <v>220</v>
      </c>
      <c r="B10" s="150"/>
      <c r="C10" s="150"/>
      <c r="D10" s="151"/>
      <c r="E10" s="152"/>
      <c r="F10" s="152"/>
      <c r="G10" s="152"/>
      <c r="H10" s="152"/>
      <c r="I10" s="152"/>
      <c r="J10" s="166"/>
      <c r="K10" s="149" t="s">
        <v>216</v>
      </c>
      <c r="L10" s="150"/>
      <c r="M10" s="156"/>
      <c r="N10" s="152"/>
      <c r="O10" s="152"/>
      <c r="P10" s="152"/>
      <c r="Q10" s="152"/>
      <c r="R10" s="152"/>
      <c r="S10" s="157"/>
    </row>
    <row r="11" spans="1:20" ht="30.75" customHeight="1">
      <c r="A11" s="165" t="s">
        <v>221</v>
      </c>
      <c r="B11" s="150"/>
      <c r="C11" s="151"/>
      <c r="D11" s="151"/>
      <c r="E11" s="167" t="s">
        <v>78</v>
      </c>
      <c r="F11" s="150"/>
      <c r="G11" s="151"/>
      <c r="H11" s="152"/>
      <c r="I11" s="152"/>
      <c r="J11" s="166"/>
      <c r="K11" s="149" t="s">
        <v>217</v>
      </c>
      <c r="L11" s="150"/>
      <c r="M11" s="150"/>
      <c r="N11" s="156"/>
      <c r="O11" s="152"/>
      <c r="P11" s="152"/>
      <c r="Q11" s="152"/>
      <c r="R11" s="152"/>
      <c r="S11" s="157"/>
    </row>
    <row r="12" spans="1:20" ht="30.75" customHeight="1">
      <c r="A12" s="146" t="s">
        <v>222</v>
      </c>
      <c r="B12" s="147"/>
      <c r="C12" s="147"/>
      <c r="D12" s="147"/>
      <c r="E12" s="147"/>
      <c r="F12" s="147"/>
      <c r="G12" s="147"/>
      <c r="H12" s="147"/>
      <c r="I12" s="147"/>
      <c r="J12" s="148"/>
      <c r="K12" s="149" t="s">
        <v>218</v>
      </c>
      <c r="L12" s="150"/>
      <c r="M12" s="151"/>
      <c r="N12" s="152"/>
      <c r="O12" s="152"/>
      <c r="P12" s="153" t="s">
        <v>361</v>
      </c>
      <c r="Q12" s="150"/>
      <c r="R12" s="154"/>
      <c r="S12" s="155"/>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2011-12-14T13:41:07Z</dcterms:modified>
</cp:coreProperties>
</file>