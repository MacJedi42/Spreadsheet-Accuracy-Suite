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dmin\LesLee\AnnualReport\2012-2013\files\filesfinal\"/>
    </mc:Choice>
  </mc:AlternateContent>
  <bookViews>
    <workbookView xWindow="6045" yWindow="270" windowWidth="12120" windowHeight="8940"/>
  </bookViews>
  <sheets>
    <sheet name="Data" sheetId="1" r:id="rId1"/>
  </sheets>
  <definedNames>
    <definedName name="_xlnm.Print_Area" localSheetId="0">Data!$C$1:$AJ$48</definedName>
  </definedNames>
  <calcPr calcId="152511"/>
</workbook>
</file>

<file path=xl/calcChain.xml><?xml version="1.0" encoding="utf-8"?>
<calcChain xmlns="http://schemas.openxmlformats.org/spreadsheetml/2006/main">
  <c r="AJ9" i="1" l="1"/>
  <c r="AI46" i="1" l="1"/>
  <c r="AG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8" i="1"/>
  <c r="AJ7" i="1"/>
  <c r="AJ6" i="1"/>
  <c r="AJ5" i="1"/>
  <c r="AH46" i="1" l="1"/>
  <c r="AH9" i="1"/>
  <c r="AH39" i="1"/>
  <c r="AH27" i="1"/>
  <c r="AH34" i="1"/>
  <c r="AH5" i="1"/>
  <c r="AH22" i="1"/>
  <c r="AH10" i="1"/>
  <c r="AH17" i="1"/>
  <c r="AH43" i="1"/>
  <c r="AH38" i="1"/>
  <c r="AH13" i="1"/>
  <c r="AH18" i="1"/>
  <c r="AH23" i="1"/>
  <c r="AH35" i="1"/>
  <c r="AH30" i="1"/>
  <c r="AH14" i="1"/>
  <c r="AH19" i="1"/>
  <c r="AH6" i="1"/>
  <c r="AH15" i="1"/>
  <c r="AH11" i="1"/>
  <c r="AH26" i="1"/>
  <c r="AH31" i="1"/>
  <c r="AH42" i="1"/>
  <c r="AH7" i="1"/>
  <c r="AJ46" i="1"/>
  <c r="AH8" i="1"/>
  <c r="AH12" i="1"/>
  <c r="AH16" i="1"/>
  <c r="AH20" i="1"/>
  <c r="AH24" i="1"/>
  <c r="AH28" i="1"/>
  <c r="AH32" i="1"/>
  <c r="AH36" i="1"/>
  <c r="AH40" i="1"/>
  <c r="AH44" i="1"/>
  <c r="AH21" i="1"/>
  <c r="AH25" i="1"/>
  <c r="AH29" i="1"/>
  <c r="AH33" i="1"/>
  <c r="AH37" i="1"/>
  <c r="AH41" i="1"/>
  <c r="AH45" i="1"/>
  <c r="AF32" i="1"/>
  <c r="AF5" i="1"/>
  <c r="AE46" i="1" l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C46" i="1" l="1"/>
  <c r="AD6" i="1" l="1"/>
  <c r="AD10" i="1"/>
  <c r="AD14" i="1"/>
  <c r="AD18" i="1"/>
  <c r="AD22" i="1"/>
  <c r="AD26" i="1"/>
  <c r="AD30" i="1"/>
  <c r="AD34" i="1"/>
  <c r="AD38" i="1"/>
  <c r="AD42" i="1"/>
  <c r="AD5" i="1"/>
  <c r="AD7" i="1"/>
  <c r="AD11" i="1"/>
  <c r="AD15" i="1"/>
  <c r="AD19" i="1"/>
  <c r="AD23" i="1"/>
  <c r="AD27" i="1"/>
  <c r="AD31" i="1"/>
  <c r="AD35" i="1"/>
  <c r="AD39" i="1"/>
  <c r="AD43" i="1"/>
  <c r="AD46" i="1"/>
  <c r="AD8" i="1"/>
  <c r="AD12" i="1"/>
  <c r="AD16" i="1"/>
  <c r="AD20" i="1"/>
  <c r="AD24" i="1"/>
  <c r="AD28" i="1"/>
  <c r="AD32" i="1"/>
  <c r="AD36" i="1"/>
  <c r="AD40" i="1"/>
  <c r="AD44" i="1"/>
  <c r="AD9" i="1"/>
  <c r="AD13" i="1"/>
  <c r="AD17" i="1"/>
  <c r="AD21" i="1"/>
  <c r="AD25" i="1"/>
  <c r="AD29" i="1"/>
  <c r="AD33" i="1"/>
  <c r="AD37" i="1"/>
  <c r="AD41" i="1"/>
  <c r="AD45" i="1"/>
  <c r="AF46" i="1"/>
  <c r="Y46" i="1"/>
  <c r="Z30" i="1" s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A46" i="1"/>
  <c r="AB5" i="1"/>
  <c r="X9" i="1"/>
  <c r="W46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6" i="1"/>
  <c r="X7" i="1"/>
  <c r="X8" i="1"/>
  <c r="X5" i="1"/>
  <c r="U46" i="1"/>
  <c r="V44" i="1" s="1"/>
  <c r="Q46" i="1"/>
  <c r="R35" i="1" s="1"/>
  <c r="S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8" i="1"/>
  <c r="T7" i="1"/>
  <c r="T6" i="1"/>
  <c r="T5" i="1"/>
  <c r="R24" i="1"/>
  <c r="R21" i="1"/>
  <c r="R17" i="1"/>
  <c r="R6" i="1" l="1"/>
  <c r="V12" i="1"/>
  <c r="T46" i="1"/>
  <c r="R44" i="1"/>
  <c r="R33" i="1"/>
  <c r="R25" i="1"/>
  <c r="R5" i="1"/>
  <c r="R22" i="1"/>
  <c r="Z17" i="1"/>
  <c r="R38" i="1"/>
  <c r="Z43" i="1"/>
  <c r="R27" i="1"/>
  <c r="R10" i="1"/>
  <c r="R19" i="1"/>
  <c r="R42" i="1"/>
  <c r="R14" i="1"/>
  <c r="R11" i="1"/>
  <c r="R31" i="1"/>
  <c r="R23" i="1"/>
  <c r="R37" i="1"/>
  <c r="Z13" i="1"/>
  <c r="R45" i="1"/>
  <c r="Z11" i="1"/>
  <c r="Z41" i="1"/>
  <c r="Z42" i="1"/>
  <c r="Z32" i="1"/>
  <c r="R41" i="1"/>
  <c r="R18" i="1"/>
  <c r="R29" i="1"/>
  <c r="R40" i="1"/>
  <c r="Z34" i="1"/>
  <c r="V42" i="1"/>
  <c r="R28" i="1"/>
  <c r="R26" i="1"/>
  <c r="R13" i="1"/>
  <c r="R30" i="1"/>
  <c r="Z5" i="1"/>
  <c r="V33" i="1"/>
  <c r="R36" i="1"/>
  <c r="R34" i="1"/>
  <c r="V7" i="1"/>
  <c r="Z16" i="1"/>
  <c r="Z31" i="1"/>
  <c r="Z7" i="1"/>
  <c r="Z46" i="1"/>
  <c r="V39" i="1"/>
  <c r="Z6" i="1"/>
  <c r="Z8" i="1"/>
  <c r="Z28" i="1"/>
  <c r="Z21" i="1"/>
  <c r="Z36" i="1"/>
  <c r="V11" i="1"/>
  <c r="V10" i="1"/>
  <c r="V30" i="1"/>
  <c r="V23" i="1"/>
  <c r="Z29" i="1"/>
  <c r="V16" i="1"/>
  <c r="V37" i="1"/>
  <c r="Z37" i="1"/>
  <c r="Z19" i="1"/>
  <c r="Z39" i="1"/>
  <c r="Z35" i="1"/>
  <c r="V8" i="1"/>
  <c r="V13" i="1"/>
  <c r="V45" i="1"/>
  <c r="Z9" i="1"/>
  <c r="Z20" i="1"/>
  <c r="Z18" i="1"/>
  <c r="Z26" i="1"/>
  <c r="V40" i="1"/>
  <c r="V31" i="1"/>
  <c r="R12" i="1"/>
  <c r="R8" i="1"/>
  <c r="R15" i="1"/>
  <c r="R16" i="1"/>
  <c r="V19" i="1"/>
  <c r="X46" i="1"/>
  <c r="V6" i="1"/>
  <c r="V32" i="1"/>
  <c r="Z15" i="1"/>
  <c r="Z38" i="1"/>
  <c r="Z33" i="1"/>
  <c r="Z45" i="1"/>
  <c r="V17" i="1"/>
  <c r="V43" i="1"/>
  <c r="V28" i="1"/>
  <c r="R20" i="1"/>
  <c r="R39" i="1"/>
  <c r="R43" i="1"/>
  <c r="R32" i="1"/>
  <c r="R7" i="1"/>
  <c r="V41" i="1"/>
  <c r="V20" i="1"/>
  <c r="V38" i="1"/>
  <c r="V27" i="1"/>
  <c r="V22" i="1"/>
  <c r="V21" i="1"/>
  <c r="V34" i="1"/>
  <c r="Z25" i="1"/>
  <c r="Z12" i="1"/>
  <c r="AB46" i="1"/>
  <c r="Z10" i="1"/>
  <c r="Z24" i="1"/>
  <c r="V26" i="1"/>
  <c r="V46" i="1"/>
  <c r="V24" i="1"/>
  <c r="V5" i="1"/>
  <c r="V18" i="1"/>
  <c r="V35" i="1"/>
  <c r="V14" i="1"/>
  <c r="Z27" i="1"/>
  <c r="Z44" i="1"/>
  <c r="Z22" i="1"/>
  <c r="Z23" i="1"/>
  <c r="Z40" i="1"/>
  <c r="V29" i="1"/>
  <c r="V15" i="1"/>
  <c r="V9" i="1"/>
  <c r="V36" i="1"/>
  <c r="Z14" i="1"/>
  <c r="V25" i="1"/>
</calcChain>
</file>

<file path=xl/sharedStrings.xml><?xml version="1.0" encoding="utf-8"?>
<sst xmlns="http://schemas.openxmlformats.org/spreadsheetml/2006/main" count="129" uniqueCount="65">
  <si>
    <t>Per</t>
  </si>
  <si>
    <t>Home</t>
  </si>
  <si>
    <t>Fall 2002</t>
  </si>
  <si>
    <t>Fall 2003</t>
  </si>
  <si>
    <t>Fall 2004</t>
  </si>
  <si>
    <t>Fall 2005</t>
  </si>
  <si>
    <t>Schooled</t>
  </si>
  <si>
    <t>Enrolled in</t>
  </si>
  <si>
    <t>Public</t>
  </si>
  <si>
    <t>Count</t>
  </si>
  <si>
    <t>Share</t>
  </si>
  <si>
    <t>Public School</t>
  </si>
  <si>
    <t>Students</t>
  </si>
  <si>
    <t>Alpine</t>
  </si>
  <si>
    <t>Beaver</t>
  </si>
  <si>
    <t>Box Elder</t>
  </si>
  <si>
    <t>Cache</t>
  </si>
  <si>
    <t>Carbon</t>
  </si>
  <si>
    <t>Daggett</t>
  </si>
  <si>
    <t>Duchesne</t>
  </si>
  <si>
    <t>Emery</t>
  </si>
  <si>
    <t>Garfield</t>
  </si>
  <si>
    <t>Grand</t>
  </si>
  <si>
    <t>Granite</t>
  </si>
  <si>
    <t>Iron</t>
  </si>
  <si>
    <t>Jordan</t>
  </si>
  <si>
    <t>Juab</t>
  </si>
  <si>
    <t>Kane</t>
  </si>
  <si>
    <t>Logan</t>
  </si>
  <si>
    <t>Millard</t>
  </si>
  <si>
    <t>Morgan</t>
  </si>
  <si>
    <t>Murray</t>
  </si>
  <si>
    <t>Nebo</t>
  </si>
  <si>
    <t>North Sanpete</t>
  </si>
  <si>
    <t>North Summit</t>
  </si>
  <si>
    <t>Ogden</t>
  </si>
  <si>
    <t>Park City</t>
  </si>
  <si>
    <t>Piute</t>
  </si>
  <si>
    <t>Provo</t>
  </si>
  <si>
    <t>Rich</t>
  </si>
  <si>
    <t>San Juan</t>
  </si>
  <si>
    <t>Sevier</t>
  </si>
  <si>
    <t>South Sanpete</t>
  </si>
  <si>
    <t>South Summit</t>
  </si>
  <si>
    <t>Tintic</t>
  </si>
  <si>
    <t>Tooele</t>
  </si>
  <si>
    <t>Uintah</t>
  </si>
  <si>
    <t>Wasatch</t>
  </si>
  <si>
    <t>Washington</t>
  </si>
  <si>
    <t>Wayne</t>
  </si>
  <si>
    <t>Weber</t>
  </si>
  <si>
    <t>TOTAL</t>
  </si>
  <si>
    <t>Salt Lake</t>
  </si>
  <si>
    <t>Fall 2008</t>
  </si>
  <si>
    <t>inst_id</t>
  </si>
  <si>
    <t>dist_no</t>
  </si>
  <si>
    <t>Fall 2009</t>
  </si>
  <si>
    <t>Public Schools</t>
  </si>
  <si>
    <t>Fall 2010</t>
  </si>
  <si>
    <t>Fall 2012</t>
  </si>
  <si>
    <t>Fall 2011</t>
  </si>
  <si>
    <t>na</t>
  </si>
  <si>
    <r>
      <t>Canyons</t>
    </r>
    <r>
      <rPr>
        <vertAlign val="superscript"/>
        <sz val="10"/>
        <rFont val="Calibri"/>
        <family val="2"/>
        <scheme val="minor"/>
      </rPr>
      <t>2</t>
    </r>
  </si>
  <si>
    <r>
      <t>Davis</t>
    </r>
    <r>
      <rPr>
        <vertAlign val="superscript"/>
        <sz val="10"/>
        <rFont val="Calibri"/>
        <family val="2"/>
        <scheme val="minor"/>
      </rPr>
      <t>2</t>
    </r>
  </si>
  <si>
    <r>
      <t>Salt Lake City</t>
    </r>
    <r>
      <rPr>
        <vertAlign val="superscript"/>
        <sz val="10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</si>
</sst>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%"/>
    <numFmt numFmtId="165" formatCode="0.0_)"/>
    <numFmt numFmtId="166" formatCode="0.0_);\(0.0\)"/>
    <numFmt numFmtId="167" formatCode="0.000"/>
  </numFmts>
  <fonts count="2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80">
    <xf numFmtId="0" fontId="0" fillId="0" borderId="0" xfId="0"/>
    <xf numFmtId="0" fontId="20" fillId="0" borderId="0" xfId="0" applyFont="1"/>
    <xf numFmtId="1" fontId="20" fillId="0" borderId="0" xfId="0" applyNumberFormat="1" applyFont="1"/>
    <xf numFmtId="0" fontId="20" fillId="0" borderId="21" xfId="0" applyFont="1" applyBorder="1"/>
    <xf numFmtId="0" fontId="20" fillId="0" borderId="0" xfId="0" applyFont="1" applyBorder="1"/>
    <xf numFmtId="0" fontId="20" fillId="0" borderId="20" xfId="0" applyFont="1" applyBorder="1"/>
    <xf numFmtId="0" fontId="21" fillId="0" borderId="20" xfId="0" applyFont="1" applyBorder="1" applyAlignment="1">
      <alignment horizontal="center"/>
    </xf>
    <xf numFmtId="0" fontId="20" fillId="0" borderId="21" xfId="0" applyFont="1" applyBorder="1" applyAlignment="1"/>
    <xf numFmtId="0" fontId="20" fillId="0" borderId="22" xfId="0" applyFont="1" applyBorder="1" applyAlignment="1"/>
    <xf numFmtId="0" fontId="21" fillId="0" borderId="23" xfId="0" applyFont="1" applyBorder="1" applyAlignment="1">
      <alignment horizontal="center"/>
    </xf>
    <xf numFmtId="1" fontId="21" fillId="0" borderId="21" xfId="0" applyNumberFormat="1" applyFont="1" applyFill="1" applyBorder="1" applyAlignment="1">
      <alignment horizontal="center"/>
    </xf>
    <xf numFmtId="0" fontId="21" fillId="0" borderId="21" xfId="0" applyFont="1" applyFill="1" applyBorder="1" applyAlignment="1">
      <alignment horizontal="center"/>
    </xf>
    <xf numFmtId="0" fontId="21" fillId="0" borderId="20" xfId="0" applyFont="1" applyFill="1" applyBorder="1" applyAlignment="1">
      <alignment horizontal="center"/>
    </xf>
    <xf numFmtId="0" fontId="20" fillId="0" borderId="10" xfId="0" applyFont="1" applyBorder="1"/>
    <xf numFmtId="0" fontId="21" fillId="0" borderId="10" xfId="0" applyFont="1" applyBorder="1" applyAlignment="1">
      <alignment horizontal="center"/>
    </xf>
    <xf numFmtId="0" fontId="21" fillId="0" borderId="0" xfId="0" applyFont="1" applyBorder="1" applyAlignment="1"/>
    <xf numFmtId="0" fontId="21" fillId="0" borderId="16" xfId="0" applyFont="1" applyBorder="1" applyAlignment="1">
      <alignment horizontal="center"/>
    </xf>
    <xf numFmtId="3" fontId="21" fillId="0" borderId="11" xfId="0" applyNumberFormat="1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1" fontId="21" fillId="0" borderId="0" xfId="0" applyNumberFormat="1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3" fontId="21" fillId="0" borderId="0" xfId="0" applyNumberFormat="1" applyFont="1" applyFill="1" applyBorder="1" applyAlignment="1">
      <alignment horizontal="center"/>
    </xf>
    <xf numFmtId="0" fontId="21" fillId="0" borderId="10" xfId="0" applyFont="1" applyFill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0" fillId="0" borderId="12" xfId="0" applyFont="1" applyBorder="1"/>
    <xf numFmtId="0" fontId="21" fillId="0" borderId="12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3" fontId="21" fillId="0" borderId="13" xfId="0" applyNumberFormat="1" applyFont="1" applyBorder="1" applyAlignment="1">
      <alignment horizontal="center"/>
    </xf>
    <xf numFmtId="1" fontId="21" fillId="0" borderId="19" xfId="0" applyNumberFormat="1" applyFont="1" applyFill="1" applyBorder="1" applyAlignment="1">
      <alignment horizontal="center"/>
    </xf>
    <xf numFmtId="0" fontId="21" fillId="0" borderId="19" xfId="0" applyFont="1" applyFill="1" applyBorder="1" applyAlignment="1">
      <alignment horizontal="center"/>
    </xf>
    <xf numFmtId="0" fontId="21" fillId="0" borderId="12" xfId="0" applyFont="1" applyFill="1" applyBorder="1" applyAlignment="1">
      <alignment horizontal="center"/>
    </xf>
    <xf numFmtId="1" fontId="20" fillId="0" borderId="0" xfId="0" applyNumberFormat="1" applyFont="1" applyBorder="1" applyAlignment="1">
      <alignment horizontal="right"/>
    </xf>
    <xf numFmtId="165" fontId="20" fillId="0" borderId="24" xfId="0" applyNumberFormat="1" applyFont="1" applyBorder="1" applyAlignment="1" applyProtection="1">
      <alignment horizontal="left"/>
    </xf>
    <xf numFmtId="3" fontId="20" fillId="0" borderId="15" xfId="0" applyNumberFormat="1" applyFont="1" applyBorder="1"/>
    <xf numFmtId="164" fontId="20" fillId="0" borderId="18" xfId="0" applyNumberFormat="1" applyFont="1" applyBorder="1"/>
    <xf numFmtId="3" fontId="20" fillId="0" borderId="18" xfId="0" applyNumberFormat="1" applyFont="1" applyBorder="1"/>
    <xf numFmtId="166" fontId="20" fillId="0" borderId="14" xfId="0" applyNumberFormat="1" applyFont="1" applyBorder="1"/>
    <xf numFmtId="1" fontId="20" fillId="0" borderId="15" xfId="0" applyNumberFormat="1" applyFont="1" applyBorder="1"/>
    <xf numFmtId="0" fontId="20" fillId="0" borderId="18" xfId="0" applyFont="1" applyBorder="1"/>
    <xf numFmtId="37" fontId="20" fillId="0" borderId="18" xfId="0" applyNumberFormat="1" applyFont="1" applyFill="1" applyBorder="1"/>
    <xf numFmtId="37" fontId="20" fillId="0" borderId="21" xfId="0" applyNumberFormat="1" applyFont="1" applyFill="1" applyBorder="1"/>
    <xf numFmtId="0" fontId="20" fillId="0" borderId="0" xfId="0" applyFont="1" applyAlignment="1">
      <alignment vertical="center" wrapText="1"/>
    </xf>
    <xf numFmtId="3" fontId="20" fillId="0" borderId="0" xfId="0" applyNumberFormat="1" applyFont="1" applyFill="1" applyBorder="1" applyAlignment="1">
      <alignment horizontal="right" vertical="top"/>
    </xf>
    <xf numFmtId="165" fontId="20" fillId="0" borderId="25" xfId="0" applyNumberFormat="1" applyFont="1" applyBorder="1" applyAlignment="1" applyProtection="1">
      <alignment horizontal="left"/>
    </xf>
    <xf numFmtId="3" fontId="20" fillId="0" borderId="10" xfId="0" applyNumberFormat="1" applyFont="1" applyBorder="1"/>
    <xf numFmtId="164" fontId="20" fillId="0" borderId="0" xfId="0" applyNumberFormat="1" applyFont="1" applyBorder="1"/>
    <xf numFmtId="3" fontId="20" fillId="0" borderId="0" xfId="0" applyNumberFormat="1" applyFont="1" applyBorder="1"/>
    <xf numFmtId="166" fontId="20" fillId="0" borderId="11" xfId="0" applyNumberFormat="1" applyFont="1" applyBorder="1"/>
    <xf numFmtId="1" fontId="20" fillId="0" borderId="10" xfId="0" applyNumberFormat="1" applyFont="1" applyBorder="1"/>
    <xf numFmtId="37" fontId="20" fillId="0" borderId="0" xfId="0" applyNumberFormat="1" applyFont="1" applyFill="1" applyBorder="1"/>
    <xf numFmtId="165" fontId="20" fillId="0" borderId="26" xfId="0" applyNumberFormat="1" applyFont="1" applyBorder="1" applyAlignment="1" applyProtection="1">
      <alignment horizontal="left"/>
    </xf>
    <xf numFmtId="3" fontId="20" fillId="0" borderId="12" xfId="0" applyNumberFormat="1" applyFont="1" applyBorder="1"/>
    <xf numFmtId="164" fontId="20" fillId="0" borderId="19" xfId="0" applyNumberFormat="1" applyFont="1" applyBorder="1"/>
    <xf numFmtId="3" fontId="20" fillId="0" borderId="19" xfId="0" applyNumberFormat="1" applyFont="1" applyBorder="1"/>
    <xf numFmtId="166" fontId="20" fillId="0" borderId="13" xfId="0" applyNumberFormat="1" applyFont="1" applyBorder="1"/>
    <xf numFmtId="3" fontId="20" fillId="0" borderId="12" xfId="0" applyNumberFormat="1" applyFont="1" applyBorder="1" applyAlignment="1">
      <alignment horizontal="right"/>
    </xf>
    <xf numFmtId="1" fontId="20" fillId="0" borderId="12" xfId="0" applyNumberFormat="1" applyFont="1" applyBorder="1"/>
    <xf numFmtId="0" fontId="20" fillId="0" borderId="19" xfId="0" applyFont="1" applyFill="1" applyBorder="1"/>
    <xf numFmtId="37" fontId="20" fillId="0" borderId="19" xfId="0" applyNumberFormat="1" applyFont="1" applyFill="1" applyBorder="1"/>
    <xf numFmtId="0" fontId="20" fillId="0" borderId="19" xfId="0" applyFont="1" applyBorder="1"/>
    <xf numFmtId="0" fontId="20" fillId="0" borderId="19" xfId="0" applyFont="1" applyBorder="1" applyAlignment="1">
      <alignment horizontal="right"/>
    </xf>
    <xf numFmtId="0" fontId="20" fillId="0" borderId="12" xfId="0" applyFont="1" applyBorder="1" applyAlignment="1">
      <alignment vertical="center" wrapText="1"/>
    </xf>
    <xf numFmtId="1" fontId="20" fillId="0" borderId="0" xfId="0" applyNumberFormat="1" applyFont="1" applyFill="1" applyBorder="1" applyAlignment="1">
      <alignment horizontal="right"/>
    </xf>
    <xf numFmtId="37" fontId="20" fillId="0" borderId="31" xfId="0" applyNumberFormat="1" applyFont="1" applyFill="1" applyBorder="1"/>
    <xf numFmtId="3" fontId="21" fillId="0" borderId="28" xfId="0" applyNumberFormat="1" applyFont="1" applyBorder="1"/>
    <xf numFmtId="164" fontId="20" fillId="0" borderId="29" xfId="0" applyNumberFormat="1" applyFont="1" applyBorder="1"/>
    <xf numFmtId="3" fontId="20" fillId="0" borderId="29" xfId="0" applyNumberFormat="1" applyFont="1" applyBorder="1"/>
    <xf numFmtId="166" fontId="21" fillId="0" borderId="30" xfId="0" applyNumberFormat="1" applyFont="1" applyBorder="1"/>
    <xf numFmtId="1" fontId="21" fillId="0" borderId="28" xfId="0" applyNumberFormat="1" applyFont="1" applyBorder="1"/>
    <xf numFmtId="3" fontId="20" fillId="0" borderId="31" xfId="0" applyNumberFormat="1" applyFont="1" applyBorder="1"/>
    <xf numFmtId="166" fontId="20" fillId="0" borderId="30" xfId="0" applyNumberFormat="1" applyFont="1" applyBorder="1"/>
    <xf numFmtId="0" fontId="20" fillId="0" borderId="0" xfId="0" applyFont="1" applyBorder="1" applyAlignment="1">
      <alignment horizontal="center"/>
    </xf>
    <xf numFmtId="167" fontId="20" fillId="0" borderId="0" xfId="0" applyNumberFormat="1" applyFont="1"/>
    <xf numFmtId="0" fontId="23" fillId="0" borderId="0" xfId="0" applyFont="1"/>
    <xf numFmtId="0" fontId="24" fillId="0" borderId="0" xfId="0" applyFont="1"/>
    <xf numFmtId="1" fontId="24" fillId="0" borderId="0" xfId="0" applyNumberFormat="1" applyFont="1"/>
    <xf numFmtId="3" fontId="21" fillId="0" borderId="17" xfId="0" applyNumberFormat="1" applyFont="1" applyBorder="1" applyAlignment="1">
      <alignment horizontal="center"/>
    </xf>
    <xf numFmtId="0" fontId="21" fillId="0" borderId="27" xfId="0" applyFont="1" applyBorder="1" applyAlignment="1">
      <alignment horizontal="lef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51"/>
  <sheetViews>
    <sheetView tabSelected="1" view="pageLayout" topLeftCell="C1" zoomScale="75" zoomScaleNormal="100" zoomScalePageLayoutView="75" workbookViewId="0">
      <selection activeCell="T48" sqref="T48"/>
    </sheetView>
  </sheetViews>
  <sheetFormatPr defaultRowHeight="12.75" x14ac:dyDescent="0.2"/>
  <cols>
    <col min="1" max="2" width="7.140625" style="1" hidden="1" customWidth="1"/>
    <col min="3" max="3" width="21.28515625" style="1" customWidth="1"/>
    <col min="4" max="5" width="9.140625" style="1" hidden="1" customWidth="1"/>
    <col min="6" max="6" width="11.140625" style="1" hidden="1" customWidth="1"/>
    <col min="7" max="9" width="9.140625" style="1" hidden="1" customWidth="1"/>
    <col min="10" max="10" width="11.140625" style="1" hidden="1" customWidth="1"/>
    <col min="11" max="11" width="9.140625" style="1" hidden="1" customWidth="1"/>
    <col min="12" max="13" width="0" style="1" hidden="1" customWidth="1"/>
    <col min="14" max="14" width="11.140625" style="1" hidden="1" customWidth="1"/>
    <col min="15" max="15" width="0" style="1" hidden="1" customWidth="1"/>
    <col min="16" max="16" width="11.140625" style="1" hidden="1" customWidth="1"/>
    <col min="17" max="18" width="9.140625" style="1"/>
    <col min="19" max="19" width="9.140625" style="1" hidden="1" customWidth="1"/>
    <col min="20" max="20" width="9.140625" style="1"/>
    <col min="21" max="21" width="9.140625" style="2"/>
    <col min="22" max="22" width="9.140625" style="1"/>
    <col min="23" max="23" width="9.140625" style="1" hidden="1" customWidth="1"/>
    <col min="24" max="24" width="9.140625" style="1" customWidth="1"/>
    <col min="25" max="26" width="9.140625" style="1"/>
    <col min="27" max="27" width="9.140625" style="1" hidden="1" customWidth="1"/>
    <col min="28" max="30" width="9.140625" style="1"/>
    <col min="31" max="31" width="8.85546875" style="1" hidden="1" customWidth="1"/>
    <col min="32" max="32" width="9.140625" style="1"/>
    <col min="33" max="33" width="8.85546875" style="1"/>
    <col min="34" max="34" width="9.140625" style="1"/>
    <col min="35" max="35" width="8.85546875" style="1" hidden="1" customWidth="1"/>
    <col min="36" max="16384" width="9.140625" style="1"/>
  </cols>
  <sheetData>
    <row r="1" spans="1:36" x14ac:dyDescent="0.2">
      <c r="C1" s="5"/>
      <c r="D1" s="6">
        <v>2003</v>
      </c>
      <c r="E1" s="7"/>
      <c r="F1" s="8"/>
      <c r="G1" s="9" t="s">
        <v>0</v>
      </c>
      <c r="H1" s="6">
        <v>2004</v>
      </c>
      <c r="I1" s="7"/>
      <c r="J1" s="8"/>
      <c r="K1" s="9" t="s">
        <v>0</v>
      </c>
      <c r="L1" s="6">
        <v>2005</v>
      </c>
      <c r="M1" s="7"/>
      <c r="N1" s="7"/>
      <c r="O1" s="9" t="s">
        <v>0</v>
      </c>
      <c r="P1" s="7"/>
      <c r="Q1" s="6">
        <v>2009</v>
      </c>
      <c r="R1" s="7"/>
      <c r="S1" s="7"/>
      <c r="T1" s="9" t="s">
        <v>0</v>
      </c>
      <c r="U1" s="10">
        <v>2010</v>
      </c>
      <c r="V1" s="3"/>
      <c r="W1" s="11"/>
      <c r="X1" s="11" t="s">
        <v>0</v>
      </c>
      <c r="Y1" s="12">
        <v>2011</v>
      </c>
      <c r="Z1" s="7"/>
      <c r="AA1" s="7"/>
      <c r="AB1" s="9" t="s">
        <v>0</v>
      </c>
      <c r="AC1" s="12">
        <v>2012</v>
      </c>
      <c r="AD1" s="7"/>
      <c r="AE1" s="7"/>
      <c r="AF1" s="9" t="s">
        <v>0</v>
      </c>
      <c r="AG1" s="12">
        <v>2013</v>
      </c>
      <c r="AH1" s="7"/>
      <c r="AI1" s="7"/>
      <c r="AJ1" s="9" t="s">
        <v>0</v>
      </c>
    </row>
    <row r="2" spans="1:36" x14ac:dyDescent="0.2">
      <c r="C2" s="13"/>
      <c r="D2" s="14" t="s">
        <v>1</v>
      </c>
      <c r="E2" s="15"/>
      <c r="F2" s="16" t="s">
        <v>2</v>
      </c>
      <c r="G2" s="17">
        <v>1000</v>
      </c>
      <c r="H2" s="14" t="s">
        <v>1</v>
      </c>
      <c r="I2" s="15"/>
      <c r="J2" s="16" t="s">
        <v>3</v>
      </c>
      <c r="K2" s="17">
        <v>1000</v>
      </c>
      <c r="L2" s="14" t="s">
        <v>1</v>
      </c>
      <c r="M2" s="15"/>
      <c r="N2" s="18" t="s">
        <v>4</v>
      </c>
      <c r="O2" s="17">
        <v>1000</v>
      </c>
      <c r="P2" s="18" t="s">
        <v>5</v>
      </c>
      <c r="Q2" s="14" t="s">
        <v>1</v>
      </c>
      <c r="R2" s="15"/>
      <c r="S2" s="18" t="s">
        <v>53</v>
      </c>
      <c r="T2" s="17">
        <v>1000</v>
      </c>
      <c r="U2" s="19" t="s">
        <v>1</v>
      </c>
      <c r="V2" s="4"/>
      <c r="W2" s="20" t="s">
        <v>56</v>
      </c>
      <c r="X2" s="21">
        <v>1000</v>
      </c>
      <c r="Y2" s="22" t="s">
        <v>1</v>
      </c>
      <c r="Z2" s="15"/>
      <c r="AA2" s="18" t="s">
        <v>58</v>
      </c>
      <c r="AB2" s="17">
        <v>1000</v>
      </c>
      <c r="AC2" s="22" t="s">
        <v>1</v>
      </c>
      <c r="AD2" s="15"/>
      <c r="AE2" s="18" t="s">
        <v>60</v>
      </c>
      <c r="AF2" s="17">
        <v>1000</v>
      </c>
      <c r="AG2" s="22" t="s">
        <v>1</v>
      </c>
      <c r="AH2" s="15"/>
      <c r="AI2" s="18" t="s">
        <v>59</v>
      </c>
      <c r="AJ2" s="17">
        <v>1000</v>
      </c>
    </row>
    <row r="3" spans="1:36" x14ac:dyDescent="0.2">
      <c r="C3" s="13"/>
      <c r="D3" s="14" t="s">
        <v>6</v>
      </c>
      <c r="E3" s="15"/>
      <c r="F3" s="16" t="s">
        <v>7</v>
      </c>
      <c r="G3" s="23" t="s">
        <v>8</v>
      </c>
      <c r="H3" s="14" t="s">
        <v>6</v>
      </c>
      <c r="I3" s="15"/>
      <c r="J3" s="16" t="s">
        <v>7</v>
      </c>
      <c r="K3" s="23" t="s">
        <v>8</v>
      </c>
      <c r="L3" s="14" t="s">
        <v>6</v>
      </c>
      <c r="M3" s="15"/>
      <c r="N3" s="18" t="s">
        <v>7</v>
      </c>
      <c r="O3" s="23" t="s">
        <v>8</v>
      </c>
      <c r="P3" s="18" t="s">
        <v>7</v>
      </c>
      <c r="Q3" s="14" t="s">
        <v>6</v>
      </c>
      <c r="R3" s="15"/>
      <c r="S3" s="18" t="s">
        <v>7</v>
      </c>
      <c r="T3" s="23" t="s">
        <v>8</v>
      </c>
      <c r="U3" s="19" t="s">
        <v>6</v>
      </c>
      <c r="V3" s="4"/>
      <c r="W3" s="20" t="s">
        <v>7</v>
      </c>
      <c r="X3" s="20" t="s">
        <v>8</v>
      </c>
      <c r="Y3" s="22" t="s">
        <v>6</v>
      </c>
      <c r="Z3" s="15"/>
      <c r="AA3" s="18" t="s">
        <v>7</v>
      </c>
      <c r="AB3" s="23" t="s">
        <v>8</v>
      </c>
      <c r="AC3" s="22" t="s">
        <v>6</v>
      </c>
      <c r="AD3" s="15"/>
      <c r="AE3" s="18" t="s">
        <v>7</v>
      </c>
      <c r="AF3" s="23" t="s">
        <v>8</v>
      </c>
      <c r="AG3" s="22" t="s">
        <v>6</v>
      </c>
      <c r="AH3" s="15"/>
      <c r="AI3" s="18" t="s">
        <v>7</v>
      </c>
      <c r="AJ3" s="23" t="s">
        <v>8</v>
      </c>
    </row>
    <row r="4" spans="1:36" ht="13.5" thickBot="1" x14ac:dyDescent="0.25">
      <c r="A4" s="24" t="s">
        <v>54</v>
      </c>
      <c r="B4" s="24" t="s">
        <v>55</v>
      </c>
      <c r="C4" s="25"/>
      <c r="D4" s="26" t="s">
        <v>9</v>
      </c>
      <c r="E4" s="27" t="s">
        <v>10</v>
      </c>
      <c r="F4" s="28" t="s">
        <v>11</v>
      </c>
      <c r="G4" s="29" t="s">
        <v>12</v>
      </c>
      <c r="H4" s="26" t="s">
        <v>9</v>
      </c>
      <c r="I4" s="27" t="s">
        <v>10</v>
      </c>
      <c r="J4" s="28" t="s">
        <v>11</v>
      </c>
      <c r="K4" s="29" t="s">
        <v>12</v>
      </c>
      <c r="L4" s="26" t="s">
        <v>9</v>
      </c>
      <c r="M4" s="27" t="s">
        <v>10</v>
      </c>
      <c r="N4" s="27" t="s">
        <v>11</v>
      </c>
      <c r="O4" s="29" t="s">
        <v>12</v>
      </c>
      <c r="P4" s="27" t="s">
        <v>11</v>
      </c>
      <c r="Q4" s="26" t="s">
        <v>9</v>
      </c>
      <c r="R4" s="27" t="s">
        <v>10</v>
      </c>
      <c r="S4" s="27" t="s">
        <v>11</v>
      </c>
      <c r="T4" s="29" t="s">
        <v>12</v>
      </c>
      <c r="U4" s="30" t="s">
        <v>9</v>
      </c>
      <c r="V4" s="31" t="s">
        <v>10</v>
      </c>
      <c r="W4" s="31" t="s">
        <v>57</v>
      </c>
      <c r="X4" s="31" t="s">
        <v>12</v>
      </c>
      <c r="Y4" s="32" t="s">
        <v>9</v>
      </c>
      <c r="Z4" s="27" t="s">
        <v>10</v>
      </c>
      <c r="AA4" s="27" t="s">
        <v>11</v>
      </c>
      <c r="AB4" s="29" t="s">
        <v>12</v>
      </c>
      <c r="AC4" s="32" t="s">
        <v>9</v>
      </c>
      <c r="AD4" s="27" t="s">
        <v>10</v>
      </c>
      <c r="AE4" s="27" t="s">
        <v>11</v>
      </c>
      <c r="AF4" s="29" t="s">
        <v>12</v>
      </c>
      <c r="AG4" s="32" t="s">
        <v>9</v>
      </c>
      <c r="AH4" s="27" t="s">
        <v>10</v>
      </c>
      <c r="AI4" s="27" t="s">
        <v>11</v>
      </c>
      <c r="AJ4" s="78" t="s">
        <v>12</v>
      </c>
    </row>
    <row r="5" spans="1:36" x14ac:dyDescent="0.2">
      <c r="A5" s="1">
        <v>122</v>
      </c>
      <c r="B5" s="33">
        <v>1</v>
      </c>
      <c r="C5" s="34" t="s">
        <v>13</v>
      </c>
      <c r="D5" s="35">
        <v>1148</v>
      </c>
      <c r="E5" s="36">
        <v>0.16313770072474065</v>
      </c>
      <c r="F5" s="37">
        <v>49159</v>
      </c>
      <c r="G5" s="38">
        <v>23.352793994995828</v>
      </c>
      <c r="H5" s="35">
        <v>927</v>
      </c>
      <c r="I5" s="36">
        <v>0.13338129496402878</v>
      </c>
      <c r="J5" s="37">
        <v>51118</v>
      </c>
      <c r="K5" s="38">
        <v>18.134512304863257</v>
      </c>
      <c r="L5" s="35">
        <v>938</v>
      </c>
      <c r="M5" s="36">
        <v>0.12386108543509837</v>
      </c>
      <c r="N5" s="37">
        <v>52825</v>
      </c>
      <c r="O5" s="38">
        <v>17.756743965925224</v>
      </c>
      <c r="P5" s="37">
        <v>54773</v>
      </c>
      <c r="Q5" s="37">
        <v>1083</v>
      </c>
      <c r="R5" s="36">
        <f t="shared" ref="R5:R45" si="0">Q5/Q$46</f>
        <v>0.11801242236024845</v>
      </c>
      <c r="S5" s="37">
        <v>61223</v>
      </c>
      <c r="T5" s="38">
        <f t="shared" ref="T5:T46" si="1">(Q5/S5)*1000</f>
        <v>17.689430442807442</v>
      </c>
      <c r="U5" s="39">
        <v>1076</v>
      </c>
      <c r="V5" s="36">
        <f>U5/U$46</f>
        <v>0.13195977434388032</v>
      </c>
      <c r="W5" s="37">
        <v>64351</v>
      </c>
      <c r="X5" s="38">
        <f>(U5/W5)*1000</f>
        <v>16.720796879613371</v>
      </c>
      <c r="Y5" s="40">
        <v>1017</v>
      </c>
      <c r="Z5" s="36">
        <f>Y5/Y$46</f>
        <v>0.12676056338028169</v>
      </c>
      <c r="AA5" s="41">
        <v>66044</v>
      </c>
      <c r="AB5" s="38">
        <f>(Y5/AA5)*1000</f>
        <v>15.398825025740415</v>
      </c>
      <c r="AC5" s="40">
        <v>1024</v>
      </c>
      <c r="AD5" s="36">
        <f>AC5/AC$46</f>
        <v>0.12397094430992736</v>
      </c>
      <c r="AE5" s="42">
        <v>68233</v>
      </c>
      <c r="AF5" s="38">
        <f>(AC5/AE5)*1000</f>
        <v>15.007401110899417</v>
      </c>
      <c r="AG5" s="43">
        <v>1069</v>
      </c>
      <c r="AH5" s="36">
        <f>AG5/AG$46</f>
        <v>0.1189363595905652</v>
      </c>
      <c r="AI5" s="44">
        <v>72419</v>
      </c>
      <c r="AJ5" s="38">
        <f>(AG5/AI5)*1000</f>
        <v>14.761319543213798</v>
      </c>
    </row>
    <row r="6" spans="1:36" x14ac:dyDescent="0.2">
      <c r="A6" s="1">
        <v>197</v>
      </c>
      <c r="B6" s="33">
        <v>2</v>
      </c>
      <c r="C6" s="45" t="s">
        <v>14</v>
      </c>
      <c r="D6" s="46">
        <v>11</v>
      </c>
      <c r="E6" s="47">
        <v>1.5631661219269574E-3</v>
      </c>
      <c r="F6" s="48">
        <v>1469</v>
      </c>
      <c r="G6" s="49">
        <v>7.4880871341048332</v>
      </c>
      <c r="H6" s="46">
        <v>22</v>
      </c>
      <c r="I6" s="47">
        <v>3.1654676258992807E-3</v>
      </c>
      <c r="J6" s="48">
        <v>1472</v>
      </c>
      <c r="K6" s="49">
        <v>14.945652173913045</v>
      </c>
      <c r="L6" s="46">
        <v>21</v>
      </c>
      <c r="M6" s="47">
        <v>2.7730093754126501E-3</v>
      </c>
      <c r="N6" s="48">
        <v>1508</v>
      </c>
      <c r="O6" s="49">
        <v>13.925729442970823</v>
      </c>
      <c r="P6" s="48">
        <v>1536</v>
      </c>
      <c r="Q6" s="48">
        <v>14</v>
      </c>
      <c r="R6" s="47">
        <f t="shared" si="0"/>
        <v>1.5255530129672007E-3</v>
      </c>
      <c r="S6" s="48">
        <v>1577</v>
      </c>
      <c r="T6" s="49">
        <f t="shared" si="1"/>
        <v>8.8776157260621424</v>
      </c>
      <c r="U6" s="50">
        <v>2</v>
      </c>
      <c r="V6" s="47">
        <f t="shared" ref="V6:V46" si="2">U6/U$46</f>
        <v>2.4527839097375519E-4</v>
      </c>
      <c r="W6" s="48">
        <v>1600</v>
      </c>
      <c r="X6" s="49">
        <f t="shared" ref="X6:X46" si="3">(U6/W6)*1000</f>
        <v>1.25</v>
      </c>
      <c r="Y6" s="4">
        <v>10</v>
      </c>
      <c r="Z6" s="47">
        <f t="shared" ref="Z6:Z45" si="4">Y6/Y$46</f>
        <v>1.2464165524118161E-3</v>
      </c>
      <c r="AA6" s="51">
        <v>1566</v>
      </c>
      <c r="AB6" s="49">
        <f t="shared" ref="AB6:AB45" si="5">(Y6/AA6)*1000</f>
        <v>6.3856960408684547</v>
      </c>
      <c r="AC6" s="4">
        <v>19</v>
      </c>
      <c r="AD6" s="47">
        <f t="shared" ref="AD6:AD45" si="6">AC6/AC$46</f>
        <v>2.3002421307506053E-3</v>
      </c>
      <c r="AE6" s="51">
        <v>1540</v>
      </c>
      <c r="AF6" s="49">
        <f t="shared" ref="AF6:AF45" si="7">(AC6/AE6)*1000</f>
        <v>12.337662337662339</v>
      </c>
      <c r="AG6" s="43">
        <v>23</v>
      </c>
      <c r="AH6" s="47">
        <f t="shared" ref="AH6:AH45" si="8">AG6/AG$46</f>
        <v>2.5589675122385403E-3</v>
      </c>
      <c r="AI6" s="44">
        <v>1579</v>
      </c>
      <c r="AJ6" s="49">
        <f t="shared" ref="AJ6:AJ31" si="9">(AG6/AI6)*1000</f>
        <v>14.566181127295756</v>
      </c>
    </row>
    <row r="7" spans="1:36" x14ac:dyDescent="0.2">
      <c r="A7" s="1">
        <v>205</v>
      </c>
      <c r="B7" s="33">
        <v>3</v>
      </c>
      <c r="C7" s="45" t="s">
        <v>15</v>
      </c>
      <c r="D7" s="46">
        <v>205</v>
      </c>
      <c r="E7" s="47">
        <v>2.9131732272275116E-2</v>
      </c>
      <c r="F7" s="48">
        <v>10660</v>
      </c>
      <c r="G7" s="49">
        <v>19.230769230769234</v>
      </c>
      <c r="H7" s="46">
        <v>177</v>
      </c>
      <c r="I7" s="47">
        <v>2.5467625899280574E-2</v>
      </c>
      <c r="J7" s="48">
        <v>10529</v>
      </c>
      <c r="K7" s="49">
        <v>16.810713268116633</v>
      </c>
      <c r="L7" s="46">
        <v>181</v>
      </c>
      <c r="M7" s="47">
        <v>2.3900699854747128E-2</v>
      </c>
      <c r="N7" s="48">
        <v>10561</v>
      </c>
      <c r="O7" s="49">
        <v>17.138528548432912</v>
      </c>
      <c r="P7" s="48">
        <v>10625</v>
      </c>
      <c r="Q7" s="48">
        <v>176</v>
      </c>
      <c r="R7" s="47">
        <f t="shared" si="0"/>
        <v>1.9178380734444809E-2</v>
      </c>
      <c r="S7" s="48">
        <v>11132</v>
      </c>
      <c r="T7" s="49">
        <f t="shared" si="1"/>
        <v>15.810276679841897</v>
      </c>
      <c r="U7" s="50">
        <v>173</v>
      </c>
      <c r="V7" s="47">
        <f t="shared" si="2"/>
        <v>2.1216580819229825E-2</v>
      </c>
      <c r="W7" s="48">
        <v>11052</v>
      </c>
      <c r="X7" s="49">
        <f t="shared" si="3"/>
        <v>15.653275425262397</v>
      </c>
      <c r="Y7" s="4">
        <v>161</v>
      </c>
      <c r="Z7" s="47">
        <f t="shared" si="4"/>
        <v>2.0067306493830237E-2</v>
      </c>
      <c r="AA7" s="51">
        <v>11187</v>
      </c>
      <c r="AB7" s="49">
        <f t="shared" si="5"/>
        <v>14.391704657191383</v>
      </c>
      <c r="AC7" s="4">
        <v>146</v>
      </c>
      <c r="AD7" s="47">
        <f t="shared" si="6"/>
        <v>1.7675544794188862E-2</v>
      </c>
      <c r="AE7" s="51">
        <v>11273</v>
      </c>
      <c r="AF7" s="49">
        <f t="shared" si="7"/>
        <v>12.951299565333098</v>
      </c>
      <c r="AG7" s="43">
        <v>170</v>
      </c>
      <c r="AH7" s="47">
        <f t="shared" si="8"/>
        <v>1.8914107699154428E-2</v>
      </c>
      <c r="AI7" s="44">
        <v>11131</v>
      </c>
      <c r="AJ7" s="49">
        <f t="shared" si="9"/>
        <v>15.272661935136105</v>
      </c>
    </row>
    <row r="8" spans="1:36" x14ac:dyDescent="0.2">
      <c r="A8" s="1">
        <v>243</v>
      </c>
      <c r="B8" s="33">
        <v>4</v>
      </c>
      <c r="C8" s="45" t="s">
        <v>16</v>
      </c>
      <c r="D8" s="46">
        <v>150</v>
      </c>
      <c r="E8" s="47">
        <v>2.131590166264033E-2</v>
      </c>
      <c r="F8" s="48">
        <v>13081</v>
      </c>
      <c r="G8" s="49">
        <v>11.467013225288586</v>
      </c>
      <c r="H8" s="46">
        <v>147</v>
      </c>
      <c r="I8" s="47">
        <v>2.1151079136690648E-2</v>
      </c>
      <c r="J8" s="48">
        <v>13315</v>
      </c>
      <c r="K8" s="49">
        <v>11.04018024784078</v>
      </c>
      <c r="L8" s="46">
        <v>149</v>
      </c>
      <c r="M8" s="47">
        <v>1.9675161758880233E-2</v>
      </c>
      <c r="N8" s="48">
        <v>13388</v>
      </c>
      <c r="O8" s="49">
        <v>11.129369584702719</v>
      </c>
      <c r="P8" s="48">
        <v>13428</v>
      </c>
      <c r="Q8" s="48">
        <v>225</v>
      </c>
      <c r="R8" s="47">
        <f t="shared" si="0"/>
        <v>2.4517816279830011E-2</v>
      </c>
      <c r="S8" s="48">
        <v>14579</v>
      </c>
      <c r="T8" s="49">
        <f t="shared" si="1"/>
        <v>15.433157281020645</v>
      </c>
      <c r="U8" s="50">
        <v>200</v>
      </c>
      <c r="V8" s="47">
        <f t="shared" si="2"/>
        <v>2.452783909737552E-2</v>
      </c>
      <c r="W8" s="48">
        <v>14917</v>
      </c>
      <c r="X8" s="49">
        <f t="shared" si="3"/>
        <v>13.407521619628611</v>
      </c>
      <c r="Y8" s="4">
        <v>115</v>
      </c>
      <c r="Z8" s="47">
        <f t="shared" si="4"/>
        <v>1.4333790352735885E-2</v>
      </c>
      <c r="AA8" s="51">
        <v>15409</v>
      </c>
      <c r="AB8" s="49">
        <f t="shared" si="5"/>
        <v>7.4631708741644491</v>
      </c>
      <c r="AC8" s="4">
        <v>226</v>
      </c>
      <c r="AD8" s="47">
        <f t="shared" si="6"/>
        <v>2.7360774818401937E-2</v>
      </c>
      <c r="AE8" s="51">
        <v>15605</v>
      </c>
      <c r="AF8" s="49">
        <f t="shared" si="7"/>
        <v>14.482537648189682</v>
      </c>
      <c r="AG8" s="43">
        <v>276</v>
      </c>
      <c r="AH8" s="47">
        <f t="shared" si="8"/>
        <v>3.0707610146862484E-2</v>
      </c>
      <c r="AI8" s="44">
        <v>16038</v>
      </c>
      <c r="AJ8" s="49">
        <f t="shared" si="9"/>
        <v>17.209128320239433</v>
      </c>
    </row>
    <row r="9" spans="1:36" ht="15" x14ac:dyDescent="0.2">
      <c r="B9" s="33"/>
      <c r="C9" s="52" t="s">
        <v>62</v>
      </c>
      <c r="D9" s="53"/>
      <c r="E9" s="54"/>
      <c r="F9" s="55"/>
      <c r="G9" s="56"/>
      <c r="H9" s="53"/>
      <c r="I9" s="54"/>
      <c r="J9" s="55"/>
      <c r="K9" s="56"/>
      <c r="L9" s="53"/>
      <c r="M9" s="54"/>
      <c r="N9" s="55"/>
      <c r="O9" s="56"/>
      <c r="P9" s="55"/>
      <c r="Q9" s="57" t="s">
        <v>61</v>
      </c>
      <c r="R9" s="54"/>
      <c r="S9" s="55"/>
      <c r="T9" s="56"/>
      <c r="U9" s="58">
        <v>500</v>
      </c>
      <c r="V9" s="54">
        <f t="shared" si="2"/>
        <v>6.13195977434388E-2</v>
      </c>
      <c r="W9" s="55">
        <v>33184</v>
      </c>
      <c r="X9" s="56">
        <f t="shared" si="3"/>
        <v>15.067502410800385</v>
      </c>
      <c r="Y9" s="59">
        <v>399</v>
      </c>
      <c r="Z9" s="54">
        <f t="shared" si="4"/>
        <v>4.9732020441231463E-2</v>
      </c>
      <c r="AA9" s="60">
        <v>33469</v>
      </c>
      <c r="AB9" s="56">
        <f t="shared" si="5"/>
        <v>11.921479578117063</v>
      </c>
      <c r="AC9" s="61">
        <v>420</v>
      </c>
      <c r="AD9" s="54">
        <f t="shared" si="6"/>
        <v>5.0847457627118647E-2</v>
      </c>
      <c r="AE9" s="51">
        <v>33490</v>
      </c>
      <c r="AF9" s="56">
        <f t="shared" si="7"/>
        <v>12.541057031949837</v>
      </c>
      <c r="AG9" s="62">
        <v>402</v>
      </c>
      <c r="AH9" s="54">
        <f t="shared" si="8"/>
        <v>4.4726301735647532E-2</v>
      </c>
      <c r="AI9" s="44">
        <v>33674</v>
      </c>
      <c r="AJ9" s="56">
        <f t="shared" si="9"/>
        <v>11.937993704341629</v>
      </c>
    </row>
    <row r="10" spans="1:36" x14ac:dyDescent="0.2">
      <c r="A10" s="1">
        <v>279</v>
      </c>
      <c r="B10" s="33">
        <v>5</v>
      </c>
      <c r="C10" s="34" t="s">
        <v>17</v>
      </c>
      <c r="D10" s="35">
        <v>0</v>
      </c>
      <c r="E10" s="36">
        <v>0</v>
      </c>
      <c r="F10" s="37">
        <v>3827</v>
      </c>
      <c r="G10" s="38">
        <v>0</v>
      </c>
      <c r="H10" s="35">
        <v>35</v>
      </c>
      <c r="I10" s="36">
        <v>5.0359712230215823E-3</v>
      </c>
      <c r="J10" s="37">
        <v>3622</v>
      </c>
      <c r="K10" s="38">
        <v>9.6631695196024303</v>
      </c>
      <c r="L10" s="35">
        <v>34</v>
      </c>
      <c r="M10" s="36">
        <v>4.4896342268585764E-3</v>
      </c>
      <c r="N10" s="37">
        <v>3488</v>
      </c>
      <c r="O10" s="38">
        <v>9.74770642201835</v>
      </c>
      <c r="P10" s="37">
        <v>3389</v>
      </c>
      <c r="Q10" s="37">
        <v>65</v>
      </c>
      <c r="R10" s="36">
        <f t="shared" si="0"/>
        <v>7.0829247030620027E-3</v>
      </c>
      <c r="S10" s="37">
        <v>3502</v>
      </c>
      <c r="T10" s="38">
        <f t="shared" si="1"/>
        <v>18.56082238720731</v>
      </c>
      <c r="U10" s="39">
        <v>51</v>
      </c>
      <c r="V10" s="36">
        <f t="shared" si="2"/>
        <v>6.2545989698307583E-3</v>
      </c>
      <c r="W10" s="37">
        <v>3462</v>
      </c>
      <c r="X10" s="38">
        <f t="shared" si="3"/>
        <v>14.731369150779896</v>
      </c>
      <c r="Y10" s="40">
        <v>49</v>
      </c>
      <c r="Z10" s="36">
        <f t="shared" si="4"/>
        <v>6.1074411068178982E-3</v>
      </c>
      <c r="AA10" s="41">
        <v>3458</v>
      </c>
      <c r="AB10" s="38">
        <f t="shared" si="5"/>
        <v>14.17004048582996</v>
      </c>
      <c r="AC10" s="40">
        <v>50</v>
      </c>
      <c r="AD10" s="36">
        <f t="shared" si="6"/>
        <v>6.0532687651331718E-3</v>
      </c>
      <c r="AE10" s="51">
        <v>3423</v>
      </c>
      <c r="AF10" s="38">
        <f t="shared" si="7"/>
        <v>14.607069821793749</v>
      </c>
      <c r="AG10" s="43">
        <v>46</v>
      </c>
      <c r="AH10" s="36">
        <f t="shared" si="8"/>
        <v>5.1179350244770806E-3</v>
      </c>
      <c r="AI10" s="44">
        <v>3369</v>
      </c>
      <c r="AJ10" s="38">
        <f t="shared" si="9"/>
        <v>13.653903235381419</v>
      </c>
    </row>
    <row r="11" spans="1:36" x14ac:dyDescent="0.2">
      <c r="A11" s="1">
        <v>300</v>
      </c>
      <c r="B11" s="33">
        <v>6</v>
      </c>
      <c r="C11" s="45" t="s">
        <v>18</v>
      </c>
      <c r="D11" s="46">
        <v>2</v>
      </c>
      <c r="E11" s="47">
        <v>2.8421202216853773E-4</v>
      </c>
      <c r="F11" s="48">
        <v>130</v>
      </c>
      <c r="G11" s="49">
        <v>15.384615384615385</v>
      </c>
      <c r="H11" s="46">
        <v>2</v>
      </c>
      <c r="I11" s="47">
        <v>2.8776978417266187E-4</v>
      </c>
      <c r="J11" s="48">
        <v>132</v>
      </c>
      <c r="K11" s="49">
        <v>15.151515151515152</v>
      </c>
      <c r="L11" s="46">
        <v>2</v>
      </c>
      <c r="M11" s="47">
        <v>2.6409613099168095E-4</v>
      </c>
      <c r="N11" s="48">
        <v>136</v>
      </c>
      <c r="O11" s="49">
        <v>14.705882352941176</v>
      </c>
      <c r="P11" s="48">
        <v>156</v>
      </c>
      <c r="Q11" s="48">
        <v>1</v>
      </c>
      <c r="R11" s="47">
        <f t="shared" si="0"/>
        <v>1.0896807235480004E-4</v>
      </c>
      <c r="S11" s="48">
        <v>142</v>
      </c>
      <c r="T11" s="49">
        <f t="shared" si="1"/>
        <v>7.042253521126761</v>
      </c>
      <c r="U11" s="50">
        <v>1</v>
      </c>
      <c r="V11" s="47">
        <f t="shared" si="2"/>
        <v>1.226391954868776E-4</v>
      </c>
      <c r="W11" s="48">
        <v>147</v>
      </c>
      <c r="X11" s="49">
        <f t="shared" si="3"/>
        <v>6.8027210884353737</v>
      </c>
      <c r="Y11" s="4">
        <v>1</v>
      </c>
      <c r="Z11" s="47">
        <f t="shared" si="4"/>
        <v>1.2464165524118161E-4</v>
      </c>
      <c r="AA11" s="51">
        <v>168</v>
      </c>
      <c r="AB11" s="49">
        <f t="shared" si="5"/>
        <v>5.9523809523809517</v>
      </c>
      <c r="AC11" s="4">
        <v>0</v>
      </c>
      <c r="AD11" s="47">
        <f t="shared" si="6"/>
        <v>0</v>
      </c>
      <c r="AE11" s="51">
        <v>169</v>
      </c>
      <c r="AF11" s="49">
        <f t="shared" si="7"/>
        <v>0</v>
      </c>
      <c r="AG11" s="43">
        <v>2</v>
      </c>
      <c r="AH11" s="47">
        <f t="shared" si="8"/>
        <v>2.2251891410769915E-4</v>
      </c>
      <c r="AI11" s="44">
        <v>194</v>
      </c>
      <c r="AJ11" s="49">
        <f t="shared" si="9"/>
        <v>10.309278350515465</v>
      </c>
    </row>
    <row r="12" spans="1:36" ht="15" x14ac:dyDescent="0.2">
      <c r="A12" s="1">
        <v>308</v>
      </c>
      <c r="B12" s="33">
        <v>7</v>
      </c>
      <c r="C12" s="45" t="s">
        <v>63</v>
      </c>
      <c r="D12" s="46">
        <v>852</v>
      </c>
      <c r="E12" s="47">
        <v>0.12107432144379707</v>
      </c>
      <c r="F12" s="48">
        <v>59536</v>
      </c>
      <c r="G12" s="49">
        <v>14.31066917495297</v>
      </c>
      <c r="H12" s="46">
        <v>896</v>
      </c>
      <c r="I12" s="47">
        <v>0.12892086330935251</v>
      </c>
      <c r="J12" s="48">
        <v>60025</v>
      </c>
      <c r="K12" s="49">
        <v>14.927113702623908</v>
      </c>
      <c r="L12" s="46">
        <v>960</v>
      </c>
      <c r="M12" s="47">
        <v>0.12676614287600688</v>
      </c>
      <c r="N12" s="48">
        <v>60606</v>
      </c>
      <c r="O12" s="49">
        <v>15.840015840015841</v>
      </c>
      <c r="P12" s="48">
        <v>62456</v>
      </c>
      <c r="Q12" s="48">
        <v>1622</v>
      </c>
      <c r="R12" s="47">
        <f t="shared" si="0"/>
        <v>0.17674621335948568</v>
      </c>
      <c r="S12" s="48">
        <v>65014</v>
      </c>
      <c r="T12" s="49">
        <f t="shared" si="1"/>
        <v>24.948472636662871</v>
      </c>
      <c r="U12" s="50">
        <v>1584</v>
      </c>
      <c r="V12" s="47">
        <f t="shared" si="2"/>
        <v>0.19426048565121412</v>
      </c>
      <c r="W12" s="48">
        <v>65452</v>
      </c>
      <c r="X12" s="49">
        <f t="shared" si="3"/>
        <v>24.200941147711298</v>
      </c>
      <c r="Y12" s="4">
        <v>1756</v>
      </c>
      <c r="Z12" s="47">
        <f t="shared" si="4"/>
        <v>0.21887074660351488</v>
      </c>
      <c r="AA12" s="51">
        <v>66019</v>
      </c>
      <c r="AB12" s="49">
        <f t="shared" si="5"/>
        <v>26.598403489904424</v>
      </c>
      <c r="AC12" s="4">
        <v>2082</v>
      </c>
      <c r="AD12" s="47">
        <f t="shared" si="6"/>
        <v>0.25205811138014528</v>
      </c>
      <c r="AE12" s="51">
        <v>67736</v>
      </c>
      <c r="AF12" s="49">
        <f t="shared" si="7"/>
        <v>30.736978859100034</v>
      </c>
      <c r="AG12" s="43">
        <v>2437</v>
      </c>
      <c r="AH12" s="47">
        <f t="shared" si="8"/>
        <v>0.27113929684023141</v>
      </c>
      <c r="AI12" s="44">
        <v>68573</v>
      </c>
      <c r="AJ12" s="49">
        <f t="shared" si="9"/>
        <v>35.538768903212635</v>
      </c>
    </row>
    <row r="13" spans="1:36" x14ac:dyDescent="0.2">
      <c r="A13" s="1">
        <v>422</v>
      </c>
      <c r="B13" s="33">
        <v>8</v>
      </c>
      <c r="C13" s="45" t="s">
        <v>19</v>
      </c>
      <c r="D13" s="46">
        <v>44</v>
      </c>
      <c r="E13" s="47">
        <v>6.2526644877078296E-3</v>
      </c>
      <c r="F13" s="48">
        <v>3993</v>
      </c>
      <c r="G13" s="49">
        <v>11.019283746556475</v>
      </c>
      <c r="H13" s="46">
        <v>45</v>
      </c>
      <c r="I13" s="47">
        <v>6.4748201438848919E-3</v>
      </c>
      <c r="J13" s="48">
        <v>3900</v>
      </c>
      <c r="K13" s="49">
        <v>11.538461538461538</v>
      </c>
      <c r="L13" s="46">
        <v>49</v>
      </c>
      <c r="M13" s="47">
        <v>6.4703552092961842E-3</v>
      </c>
      <c r="N13" s="48">
        <v>3894</v>
      </c>
      <c r="O13" s="49">
        <v>12.583461736004109</v>
      </c>
      <c r="P13" s="48">
        <v>3993</v>
      </c>
      <c r="Q13" s="48">
        <v>115</v>
      </c>
      <c r="R13" s="47">
        <f t="shared" si="0"/>
        <v>1.2531328320802004E-2</v>
      </c>
      <c r="S13" s="48">
        <v>4355</v>
      </c>
      <c r="T13" s="49">
        <f t="shared" si="1"/>
        <v>26.40642939150402</v>
      </c>
      <c r="U13" s="50">
        <v>53</v>
      </c>
      <c r="V13" s="47">
        <f t="shared" si="2"/>
        <v>6.4998773608045133E-3</v>
      </c>
      <c r="W13" s="48">
        <v>4436</v>
      </c>
      <c r="X13" s="49">
        <f t="shared" si="3"/>
        <v>11.947700631199279</v>
      </c>
      <c r="Y13" s="4">
        <v>70</v>
      </c>
      <c r="Z13" s="47">
        <f t="shared" si="4"/>
        <v>8.7249158668827129E-3</v>
      </c>
      <c r="AA13" s="51">
        <v>4448</v>
      </c>
      <c r="AB13" s="49">
        <f t="shared" si="5"/>
        <v>15.737410071942445</v>
      </c>
      <c r="AC13" s="4">
        <v>58</v>
      </c>
      <c r="AD13" s="47">
        <f t="shared" si="6"/>
        <v>7.0217917675544795E-3</v>
      </c>
      <c r="AE13" s="51">
        <v>4574</v>
      </c>
      <c r="AF13" s="49">
        <f t="shared" si="7"/>
        <v>12.680367293397463</v>
      </c>
      <c r="AG13" s="43">
        <v>63</v>
      </c>
      <c r="AH13" s="47">
        <f t="shared" si="8"/>
        <v>7.0093457943925233E-3</v>
      </c>
      <c r="AI13" s="44">
        <v>5021</v>
      </c>
      <c r="AJ13" s="49">
        <f t="shared" si="9"/>
        <v>12.54730133439554</v>
      </c>
    </row>
    <row r="14" spans="1:36" x14ac:dyDescent="0.2">
      <c r="A14" s="1">
        <v>442</v>
      </c>
      <c r="B14" s="33">
        <v>9</v>
      </c>
      <c r="C14" s="52" t="s">
        <v>20</v>
      </c>
      <c r="D14" s="53">
        <v>62</v>
      </c>
      <c r="E14" s="54">
        <v>8.8105726872246704E-3</v>
      </c>
      <c r="F14" s="55">
        <v>2442</v>
      </c>
      <c r="G14" s="56">
        <v>25.389025389025388</v>
      </c>
      <c r="H14" s="53">
        <v>55</v>
      </c>
      <c r="I14" s="54">
        <v>7.9136690647482015E-3</v>
      </c>
      <c r="J14" s="55">
        <v>2434</v>
      </c>
      <c r="K14" s="56">
        <v>22.596548890714871</v>
      </c>
      <c r="L14" s="53">
        <v>30</v>
      </c>
      <c r="M14" s="54">
        <v>3.9614419648752149E-3</v>
      </c>
      <c r="N14" s="55">
        <v>2366</v>
      </c>
      <c r="O14" s="56">
        <v>12.679628064243449</v>
      </c>
      <c r="P14" s="55">
        <v>2335</v>
      </c>
      <c r="Q14" s="55">
        <v>49</v>
      </c>
      <c r="R14" s="54">
        <f t="shared" si="0"/>
        <v>5.3394355453852023E-3</v>
      </c>
      <c r="S14" s="55">
        <v>2256</v>
      </c>
      <c r="T14" s="56">
        <f t="shared" si="1"/>
        <v>21.719858156028369</v>
      </c>
      <c r="U14" s="58">
        <v>35</v>
      </c>
      <c r="V14" s="54">
        <f t="shared" si="2"/>
        <v>4.2923718420407164E-3</v>
      </c>
      <c r="W14" s="55">
        <v>2316</v>
      </c>
      <c r="X14" s="56">
        <f t="shared" si="3"/>
        <v>15.112262521588947</v>
      </c>
      <c r="Y14" s="61">
        <v>28</v>
      </c>
      <c r="Z14" s="54">
        <f t="shared" si="4"/>
        <v>3.4899663467530847E-3</v>
      </c>
      <c r="AA14" s="60">
        <v>2359</v>
      </c>
      <c r="AB14" s="56">
        <f t="shared" si="5"/>
        <v>11.869436201780417</v>
      </c>
      <c r="AC14" s="61">
        <v>21</v>
      </c>
      <c r="AD14" s="54">
        <f t="shared" si="6"/>
        <v>2.542372881355932E-3</v>
      </c>
      <c r="AE14" s="51">
        <v>2313</v>
      </c>
      <c r="AF14" s="56">
        <f t="shared" si="7"/>
        <v>9.0791180285343724</v>
      </c>
      <c r="AG14" s="63">
        <v>34</v>
      </c>
      <c r="AH14" s="54">
        <f t="shared" si="8"/>
        <v>3.7828215398308857E-3</v>
      </c>
      <c r="AI14" s="44">
        <v>2310</v>
      </c>
      <c r="AJ14" s="56">
        <f t="shared" si="9"/>
        <v>14.71861471861472</v>
      </c>
    </row>
    <row r="15" spans="1:36" x14ac:dyDescent="0.2">
      <c r="A15" s="1">
        <v>456</v>
      </c>
      <c r="B15" s="33">
        <v>10</v>
      </c>
      <c r="C15" s="34" t="s">
        <v>21</v>
      </c>
      <c r="D15" s="35">
        <v>0</v>
      </c>
      <c r="E15" s="36">
        <v>0</v>
      </c>
      <c r="F15" s="37">
        <v>1040</v>
      </c>
      <c r="G15" s="38">
        <v>0</v>
      </c>
      <c r="H15" s="35">
        <v>3</v>
      </c>
      <c r="I15" s="36">
        <v>4.3165467625899283E-4</v>
      </c>
      <c r="J15" s="37">
        <v>969</v>
      </c>
      <c r="K15" s="38">
        <v>3.0959752321981426</v>
      </c>
      <c r="L15" s="35">
        <v>6</v>
      </c>
      <c r="M15" s="36">
        <v>7.9228839297504296E-4</v>
      </c>
      <c r="N15" s="37">
        <v>947</v>
      </c>
      <c r="O15" s="38">
        <v>6.3357972544878569</v>
      </c>
      <c r="P15" s="37">
        <v>940</v>
      </c>
      <c r="Q15" s="37">
        <v>9</v>
      </c>
      <c r="R15" s="36">
        <f t="shared" si="0"/>
        <v>9.8071265119320039E-4</v>
      </c>
      <c r="S15" s="37">
        <v>911</v>
      </c>
      <c r="T15" s="38">
        <f t="shared" si="1"/>
        <v>9.8792535675082327</v>
      </c>
      <c r="U15" s="39">
        <v>7</v>
      </c>
      <c r="V15" s="36">
        <f t="shared" si="2"/>
        <v>8.5847436840814321E-4</v>
      </c>
      <c r="W15" s="37">
        <v>931</v>
      </c>
      <c r="X15" s="38">
        <f t="shared" si="3"/>
        <v>7.518796992481203</v>
      </c>
      <c r="Y15" s="40">
        <v>15</v>
      </c>
      <c r="Z15" s="36">
        <f t="shared" si="4"/>
        <v>1.869624828617724E-3</v>
      </c>
      <c r="AA15" s="41">
        <v>925</v>
      </c>
      <c r="AB15" s="38">
        <f t="shared" si="5"/>
        <v>16.216216216216218</v>
      </c>
      <c r="AC15" s="40">
        <v>15</v>
      </c>
      <c r="AD15" s="36">
        <f t="shared" si="6"/>
        <v>1.8159806295399517E-3</v>
      </c>
      <c r="AE15" s="51">
        <v>927</v>
      </c>
      <c r="AF15" s="38">
        <f t="shared" si="7"/>
        <v>16.181229773462782</v>
      </c>
      <c r="AG15" s="43">
        <v>17</v>
      </c>
      <c r="AH15" s="36">
        <f t="shared" si="8"/>
        <v>1.8914107699154429E-3</v>
      </c>
      <c r="AI15" s="44">
        <v>930</v>
      </c>
      <c r="AJ15" s="38">
        <f t="shared" si="9"/>
        <v>18.27956989247312</v>
      </c>
    </row>
    <row r="16" spans="1:36" x14ac:dyDescent="0.2">
      <c r="A16" s="1">
        <v>468</v>
      </c>
      <c r="B16" s="33">
        <v>11</v>
      </c>
      <c r="C16" s="45" t="s">
        <v>22</v>
      </c>
      <c r="D16" s="46">
        <v>33</v>
      </c>
      <c r="E16" s="47">
        <v>4.6894983657808729E-3</v>
      </c>
      <c r="F16" s="48">
        <v>1455</v>
      </c>
      <c r="G16" s="49">
        <v>22.680412371134018</v>
      </c>
      <c r="H16" s="46">
        <v>34</v>
      </c>
      <c r="I16" s="47">
        <v>4.8920863309352518E-3</v>
      </c>
      <c r="J16" s="48">
        <v>1474</v>
      </c>
      <c r="K16" s="49">
        <v>23.066485753052916</v>
      </c>
      <c r="L16" s="46">
        <v>45</v>
      </c>
      <c r="M16" s="47">
        <v>5.9421629473128219E-3</v>
      </c>
      <c r="N16" s="48">
        <v>1418</v>
      </c>
      <c r="O16" s="49">
        <v>31.734837799717912</v>
      </c>
      <c r="P16" s="48">
        <v>1470</v>
      </c>
      <c r="Q16" s="48">
        <v>26</v>
      </c>
      <c r="R16" s="47">
        <f t="shared" si="0"/>
        <v>2.833169881224801E-3</v>
      </c>
      <c r="S16" s="48">
        <v>1498</v>
      </c>
      <c r="T16" s="49">
        <f t="shared" si="1"/>
        <v>17.356475300400533</v>
      </c>
      <c r="U16" s="50">
        <v>31</v>
      </c>
      <c r="V16" s="47">
        <f t="shared" si="2"/>
        <v>3.8018150600932056E-3</v>
      </c>
      <c r="W16" s="48">
        <v>1526</v>
      </c>
      <c r="X16" s="49">
        <f t="shared" si="3"/>
        <v>20.314547837483616</v>
      </c>
      <c r="Y16" s="4">
        <v>20</v>
      </c>
      <c r="Z16" s="47">
        <f t="shared" si="4"/>
        <v>2.4928331048236323E-3</v>
      </c>
      <c r="AA16" s="51">
        <v>1510</v>
      </c>
      <c r="AB16" s="49">
        <f t="shared" si="5"/>
        <v>13.245033112582782</v>
      </c>
      <c r="AC16" s="4">
        <v>33</v>
      </c>
      <c r="AD16" s="47">
        <f t="shared" si="6"/>
        <v>3.9951573849878932E-3</v>
      </c>
      <c r="AE16" s="51">
        <v>1467</v>
      </c>
      <c r="AF16" s="49">
        <f t="shared" si="7"/>
        <v>22.494887525562373</v>
      </c>
      <c r="AG16" s="43">
        <v>28</v>
      </c>
      <c r="AH16" s="47">
        <f t="shared" si="8"/>
        <v>3.1152647975077881E-3</v>
      </c>
      <c r="AI16" s="44">
        <v>1455</v>
      </c>
      <c r="AJ16" s="49">
        <f t="shared" si="9"/>
        <v>19.243986254295535</v>
      </c>
    </row>
    <row r="17" spans="1:36" x14ac:dyDescent="0.2">
      <c r="A17" s="1">
        <v>480</v>
      </c>
      <c r="B17" s="33">
        <v>12</v>
      </c>
      <c r="C17" s="45" t="s">
        <v>23</v>
      </c>
      <c r="D17" s="46">
        <v>517</v>
      </c>
      <c r="E17" s="47">
        <v>7.3468807730567007E-2</v>
      </c>
      <c r="F17" s="48">
        <v>69600</v>
      </c>
      <c r="G17" s="49">
        <v>7.4281609195402298</v>
      </c>
      <c r="H17" s="46">
        <v>571</v>
      </c>
      <c r="I17" s="47">
        <v>8.2158273381294958E-2</v>
      </c>
      <c r="J17" s="48">
        <v>69072</v>
      </c>
      <c r="K17" s="49">
        <v>8.2667361593699322</v>
      </c>
      <c r="L17" s="46">
        <v>697</v>
      </c>
      <c r="M17" s="47">
        <v>9.2037501650600817E-2</v>
      </c>
      <c r="N17" s="48">
        <v>68568</v>
      </c>
      <c r="O17" s="49">
        <v>10.165091587912729</v>
      </c>
      <c r="P17" s="48">
        <v>69048</v>
      </c>
      <c r="Q17" s="48">
        <v>571</v>
      </c>
      <c r="R17" s="47">
        <f t="shared" si="0"/>
        <v>6.2220769314590828E-2</v>
      </c>
      <c r="S17" s="48">
        <v>68403</v>
      </c>
      <c r="T17" s="49">
        <f t="shared" si="1"/>
        <v>8.3475870941332992</v>
      </c>
      <c r="U17" s="50">
        <v>492</v>
      </c>
      <c r="V17" s="47">
        <f t="shared" si="2"/>
        <v>6.033848417954378E-2</v>
      </c>
      <c r="W17" s="48">
        <v>68131</v>
      </c>
      <c r="X17" s="49">
        <f t="shared" si="3"/>
        <v>7.2213823369684871</v>
      </c>
      <c r="Y17" s="4">
        <v>482</v>
      </c>
      <c r="Z17" s="47">
        <f t="shared" si="4"/>
        <v>6.0077277826249532E-2</v>
      </c>
      <c r="AA17" s="51">
        <v>68573</v>
      </c>
      <c r="AB17" s="49">
        <f t="shared" si="5"/>
        <v>7.0290055852886706</v>
      </c>
      <c r="AC17" s="4">
        <v>413</v>
      </c>
      <c r="AD17" s="47">
        <f t="shared" si="6"/>
        <v>0.05</v>
      </c>
      <c r="AE17" s="51">
        <v>67736</v>
      </c>
      <c r="AF17" s="49">
        <f t="shared" si="7"/>
        <v>6.0972008976024563</v>
      </c>
      <c r="AG17" s="43">
        <v>439</v>
      </c>
      <c r="AH17" s="47">
        <f t="shared" si="8"/>
        <v>4.8842901646639965E-2</v>
      </c>
      <c r="AI17" s="44">
        <v>68106</v>
      </c>
      <c r="AJ17" s="49">
        <f t="shared" si="9"/>
        <v>6.4458344345578951</v>
      </c>
    </row>
    <row r="18" spans="1:36" x14ac:dyDescent="0.2">
      <c r="A18" s="1">
        <v>635</v>
      </c>
      <c r="B18" s="33">
        <v>13</v>
      </c>
      <c r="C18" s="45" t="s">
        <v>24</v>
      </c>
      <c r="D18" s="46">
        <v>159</v>
      </c>
      <c r="E18" s="47">
        <v>2.2594855762398749E-2</v>
      </c>
      <c r="F18" s="48">
        <v>7240</v>
      </c>
      <c r="G18" s="49">
        <v>21.961325966850829</v>
      </c>
      <c r="H18" s="46">
        <v>215</v>
      </c>
      <c r="I18" s="47">
        <v>3.0935251798561152E-2</v>
      </c>
      <c r="J18" s="48">
        <v>7443</v>
      </c>
      <c r="K18" s="49">
        <v>28.886201800349323</v>
      </c>
      <c r="L18" s="46">
        <v>231</v>
      </c>
      <c r="M18" s="47">
        <v>3.0503103129539154E-2</v>
      </c>
      <c r="N18" s="48">
        <v>7788</v>
      </c>
      <c r="O18" s="49">
        <v>29.661016949152543</v>
      </c>
      <c r="P18" s="48">
        <v>8230</v>
      </c>
      <c r="Q18" s="48">
        <v>266</v>
      </c>
      <c r="R18" s="47">
        <f t="shared" si="0"/>
        <v>2.8985507246376812E-2</v>
      </c>
      <c r="S18" s="48">
        <v>8344</v>
      </c>
      <c r="T18" s="49">
        <f t="shared" si="1"/>
        <v>31.879194630872487</v>
      </c>
      <c r="U18" s="50">
        <v>208</v>
      </c>
      <c r="V18" s="47">
        <f t="shared" si="2"/>
        <v>2.5508952661270543E-2</v>
      </c>
      <c r="W18" s="48">
        <v>8365</v>
      </c>
      <c r="X18" s="49">
        <f t="shared" si="3"/>
        <v>24.865511057979678</v>
      </c>
      <c r="Y18" s="4">
        <v>201</v>
      </c>
      <c r="Z18" s="47">
        <f t="shared" si="4"/>
        <v>2.5052972703477502E-2</v>
      </c>
      <c r="AA18" s="51">
        <v>8483</v>
      </c>
      <c r="AB18" s="49">
        <f t="shared" si="5"/>
        <v>23.694447718967346</v>
      </c>
      <c r="AC18" s="4">
        <v>214</v>
      </c>
      <c r="AD18" s="47">
        <f t="shared" si="6"/>
        <v>2.5907990314769976E-2</v>
      </c>
      <c r="AE18" s="51">
        <v>8508</v>
      </c>
      <c r="AF18" s="49">
        <f t="shared" si="7"/>
        <v>25.152797367183826</v>
      </c>
      <c r="AG18" s="43">
        <v>215</v>
      </c>
      <c r="AH18" s="47">
        <f t="shared" si="8"/>
        <v>2.392078326657766E-2</v>
      </c>
      <c r="AI18" s="44">
        <v>8685</v>
      </c>
      <c r="AJ18" s="49">
        <f t="shared" si="9"/>
        <v>24.755325273459988</v>
      </c>
    </row>
    <row r="19" spans="1:36" x14ac:dyDescent="0.2">
      <c r="A19" s="1">
        <v>653</v>
      </c>
      <c r="B19" s="33">
        <v>14</v>
      </c>
      <c r="C19" s="52" t="s">
        <v>25</v>
      </c>
      <c r="D19" s="53">
        <v>1030</v>
      </c>
      <c r="E19" s="54">
        <v>0.14636919141679694</v>
      </c>
      <c r="F19" s="55">
        <v>73808</v>
      </c>
      <c r="G19" s="56">
        <v>13.955126815521353</v>
      </c>
      <c r="H19" s="53">
        <v>1071</v>
      </c>
      <c r="I19" s="54">
        <v>0.15410071942446044</v>
      </c>
      <c r="J19" s="55">
        <v>74761</v>
      </c>
      <c r="K19" s="56">
        <v>14.325651074758229</v>
      </c>
      <c r="L19" s="53">
        <v>1248</v>
      </c>
      <c r="M19" s="54">
        <v>0.16479598573880894</v>
      </c>
      <c r="N19" s="55">
        <v>75716</v>
      </c>
      <c r="O19" s="56">
        <v>16.482645675946959</v>
      </c>
      <c r="P19" s="55">
        <v>77369</v>
      </c>
      <c r="Q19" s="55">
        <v>1226</v>
      </c>
      <c r="R19" s="54">
        <f t="shared" si="0"/>
        <v>0.13359485670698484</v>
      </c>
      <c r="S19" s="55">
        <v>81017</v>
      </c>
      <c r="T19" s="56">
        <f t="shared" si="1"/>
        <v>15.132626485799276</v>
      </c>
      <c r="U19" s="58">
        <v>730</v>
      </c>
      <c r="V19" s="54">
        <f t="shared" si="2"/>
        <v>8.9526612705420658E-2</v>
      </c>
      <c r="W19" s="55">
        <v>48411</v>
      </c>
      <c r="X19" s="56">
        <f t="shared" si="3"/>
        <v>15.079217533205263</v>
      </c>
      <c r="Y19" s="59">
        <v>691</v>
      </c>
      <c r="Z19" s="54">
        <f t="shared" si="4"/>
        <v>8.6127383771656491E-2</v>
      </c>
      <c r="AA19" s="60">
        <v>49729</v>
      </c>
      <c r="AB19" s="56">
        <f t="shared" si="5"/>
        <v>13.895312594260893</v>
      </c>
      <c r="AC19" s="61">
        <v>664</v>
      </c>
      <c r="AD19" s="54">
        <f t="shared" si="6"/>
        <v>8.0387409200968526E-2</v>
      </c>
      <c r="AE19" s="51">
        <v>50581</v>
      </c>
      <c r="AF19" s="56">
        <f t="shared" si="7"/>
        <v>13.127458927265179</v>
      </c>
      <c r="AG19" s="63">
        <v>681</v>
      </c>
      <c r="AH19" s="54">
        <f t="shared" si="8"/>
        <v>7.5767690253671569E-2</v>
      </c>
      <c r="AI19" s="44">
        <v>52855</v>
      </c>
      <c r="AJ19" s="56">
        <f t="shared" si="9"/>
        <v>12.884306120518399</v>
      </c>
    </row>
    <row r="20" spans="1:36" x14ac:dyDescent="0.2">
      <c r="A20" s="1">
        <v>765</v>
      </c>
      <c r="B20" s="33">
        <v>15</v>
      </c>
      <c r="C20" s="34" t="s">
        <v>26</v>
      </c>
      <c r="D20" s="35">
        <v>72</v>
      </c>
      <c r="E20" s="36">
        <v>1.0231632798067358E-2</v>
      </c>
      <c r="F20" s="37">
        <v>1872</v>
      </c>
      <c r="G20" s="38">
        <v>38.461538461538467</v>
      </c>
      <c r="H20" s="35">
        <v>77</v>
      </c>
      <c r="I20" s="36">
        <v>1.1079136690647482E-2</v>
      </c>
      <c r="J20" s="37">
        <v>1939</v>
      </c>
      <c r="K20" s="38">
        <v>39.711191335740075</v>
      </c>
      <c r="L20" s="35">
        <v>70</v>
      </c>
      <c r="M20" s="36">
        <v>9.2433645847088339E-3</v>
      </c>
      <c r="N20" s="37">
        <v>1963</v>
      </c>
      <c r="O20" s="38">
        <v>35.65970453387672</v>
      </c>
      <c r="P20" s="37">
        <v>1992</v>
      </c>
      <c r="Q20" s="37">
        <v>43</v>
      </c>
      <c r="R20" s="36">
        <f t="shared" si="0"/>
        <v>4.685627111256402E-3</v>
      </c>
      <c r="S20" s="37">
        <v>2203</v>
      </c>
      <c r="T20" s="38">
        <f t="shared" si="1"/>
        <v>19.518837948252383</v>
      </c>
      <c r="U20" s="39">
        <v>49</v>
      </c>
      <c r="V20" s="36">
        <f t="shared" si="2"/>
        <v>6.0093205788570025E-3</v>
      </c>
      <c r="W20" s="37">
        <v>2244</v>
      </c>
      <c r="X20" s="38">
        <f t="shared" si="3"/>
        <v>21.836007130124777</v>
      </c>
      <c r="Y20" s="40">
        <v>35</v>
      </c>
      <c r="Z20" s="36">
        <f t="shared" si="4"/>
        <v>4.3624579334413565E-3</v>
      </c>
      <c r="AA20" s="41">
        <v>2286</v>
      </c>
      <c r="AB20" s="38">
        <f t="shared" si="5"/>
        <v>15.310586176727909</v>
      </c>
      <c r="AC20" s="40">
        <v>24</v>
      </c>
      <c r="AD20" s="36">
        <f t="shared" si="6"/>
        <v>2.9055690072639223E-3</v>
      </c>
      <c r="AE20" s="51">
        <v>2297</v>
      </c>
      <c r="AF20" s="38">
        <f t="shared" si="7"/>
        <v>10.448410970831519</v>
      </c>
      <c r="AG20" s="43">
        <v>27</v>
      </c>
      <c r="AH20" s="36">
        <f t="shared" si="8"/>
        <v>3.0040053404539386E-3</v>
      </c>
      <c r="AI20" s="44">
        <v>2287</v>
      </c>
      <c r="AJ20" s="38">
        <f t="shared" si="9"/>
        <v>11.805859204197638</v>
      </c>
    </row>
    <row r="21" spans="1:36" x14ac:dyDescent="0.2">
      <c r="A21" s="1">
        <v>772</v>
      </c>
      <c r="B21" s="33">
        <v>16</v>
      </c>
      <c r="C21" s="45" t="s">
        <v>27</v>
      </c>
      <c r="D21" s="46">
        <v>7</v>
      </c>
      <c r="E21" s="47">
        <v>9.9474207758988207E-4</v>
      </c>
      <c r="F21" s="48">
        <v>1235</v>
      </c>
      <c r="G21" s="49">
        <v>5.668016194331984</v>
      </c>
      <c r="H21" s="46">
        <v>15</v>
      </c>
      <c r="I21" s="47">
        <v>2.158273381294964E-3</v>
      </c>
      <c r="J21" s="48">
        <v>1200</v>
      </c>
      <c r="K21" s="49">
        <v>12.5</v>
      </c>
      <c r="L21" s="46">
        <v>20</v>
      </c>
      <c r="M21" s="47">
        <v>2.6409613099168099E-3</v>
      </c>
      <c r="N21" s="48">
        <v>1196</v>
      </c>
      <c r="O21" s="49">
        <v>16.722408026755851</v>
      </c>
      <c r="P21" s="48">
        <v>1194</v>
      </c>
      <c r="Q21" s="48">
        <v>20</v>
      </c>
      <c r="R21" s="47">
        <f t="shared" si="0"/>
        <v>2.1793614470960007E-3</v>
      </c>
      <c r="S21" s="48">
        <v>1202</v>
      </c>
      <c r="T21" s="49">
        <f t="shared" si="1"/>
        <v>16.638935108153078</v>
      </c>
      <c r="U21" s="50">
        <v>20</v>
      </c>
      <c r="V21" s="47">
        <f t="shared" si="2"/>
        <v>2.4527839097375523E-3</v>
      </c>
      <c r="W21" s="48">
        <v>1194</v>
      </c>
      <c r="X21" s="49">
        <f t="shared" si="3"/>
        <v>16.75041876046901</v>
      </c>
      <c r="Y21" s="4">
        <v>19</v>
      </c>
      <c r="Z21" s="47">
        <f t="shared" si="4"/>
        <v>2.3681914495824507E-3</v>
      </c>
      <c r="AA21" s="51">
        <v>1176</v>
      </c>
      <c r="AB21" s="49">
        <f t="shared" si="5"/>
        <v>16.156462585034014</v>
      </c>
      <c r="AC21" s="4">
        <v>21</v>
      </c>
      <c r="AD21" s="47">
        <f t="shared" si="6"/>
        <v>2.542372881355932E-3</v>
      </c>
      <c r="AE21" s="51">
        <v>1175</v>
      </c>
      <c r="AF21" s="49">
        <f t="shared" si="7"/>
        <v>17.872340425531917</v>
      </c>
      <c r="AG21" s="43">
        <v>22</v>
      </c>
      <c r="AH21" s="47">
        <f t="shared" si="8"/>
        <v>2.4477080551846908E-3</v>
      </c>
      <c r="AI21" s="44">
        <v>1212</v>
      </c>
      <c r="AJ21" s="49">
        <f t="shared" si="9"/>
        <v>18.151815181518153</v>
      </c>
    </row>
    <row r="22" spans="1:36" x14ac:dyDescent="0.2">
      <c r="A22" s="1">
        <v>1261</v>
      </c>
      <c r="B22" s="64">
        <v>39</v>
      </c>
      <c r="C22" s="45" t="s">
        <v>28</v>
      </c>
      <c r="D22" s="46">
        <v>94</v>
      </c>
      <c r="E22" s="47">
        <v>1.3357965041921273E-2</v>
      </c>
      <c r="F22" s="48">
        <v>5858</v>
      </c>
      <c r="G22" s="49">
        <v>16.04643222942984</v>
      </c>
      <c r="H22" s="46">
        <v>98</v>
      </c>
      <c r="I22" s="47">
        <v>1.4100719424460431E-2</v>
      </c>
      <c r="J22" s="48">
        <v>5872</v>
      </c>
      <c r="K22" s="49">
        <v>16.689373297002724</v>
      </c>
      <c r="L22" s="46">
        <v>96</v>
      </c>
      <c r="M22" s="47">
        <v>1.2676614287600687E-2</v>
      </c>
      <c r="N22" s="48">
        <v>5821</v>
      </c>
      <c r="O22" s="49">
        <v>16.492011681841607</v>
      </c>
      <c r="P22" s="48">
        <v>5737</v>
      </c>
      <c r="Q22" s="48">
        <v>116</v>
      </c>
      <c r="R22" s="47">
        <f t="shared" si="0"/>
        <v>1.2640296393156805E-2</v>
      </c>
      <c r="S22" s="48">
        <v>5960</v>
      </c>
      <c r="T22" s="49">
        <f t="shared" si="1"/>
        <v>19.463087248322147</v>
      </c>
      <c r="U22" s="50">
        <v>149</v>
      </c>
      <c r="V22" s="47">
        <f t="shared" si="2"/>
        <v>1.8273240127544763E-2</v>
      </c>
      <c r="W22" s="48">
        <v>6123</v>
      </c>
      <c r="X22" s="49">
        <f t="shared" si="3"/>
        <v>24.334476563775926</v>
      </c>
      <c r="Y22" s="4">
        <v>105</v>
      </c>
      <c r="Z22" s="47">
        <f t="shared" si="4"/>
        <v>1.3087373800324069E-2</v>
      </c>
      <c r="AA22" s="51">
        <v>6133</v>
      </c>
      <c r="AB22" s="49">
        <f t="shared" si="5"/>
        <v>17.120495679112995</v>
      </c>
      <c r="AC22" s="4">
        <v>128</v>
      </c>
      <c r="AD22" s="47">
        <f t="shared" si="6"/>
        <v>1.549636803874092E-2</v>
      </c>
      <c r="AE22" s="51">
        <v>6120</v>
      </c>
      <c r="AF22" s="49">
        <f t="shared" si="7"/>
        <v>20.915032679738562</v>
      </c>
      <c r="AG22" s="43">
        <v>168</v>
      </c>
      <c r="AH22" s="47">
        <f t="shared" si="8"/>
        <v>1.8691588785046728E-2</v>
      </c>
      <c r="AI22" s="44">
        <v>5987</v>
      </c>
      <c r="AJ22" s="49">
        <f t="shared" si="9"/>
        <v>28.060798396525808</v>
      </c>
    </row>
    <row r="23" spans="1:36" x14ac:dyDescent="0.2">
      <c r="A23" s="1">
        <v>783</v>
      </c>
      <c r="B23" s="64">
        <v>17</v>
      </c>
      <c r="C23" s="45" t="s">
        <v>29</v>
      </c>
      <c r="D23" s="46">
        <v>44</v>
      </c>
      <c r="E23" s="47">
        <v>6.2526644877078296E-3</v>
      </c>
      <c r="F23" s="48">
        <v>3142</v>
      </c>
      <c r="G23" s="49">
        <v>14.003819223424571</v>
      </c>
      <c r="H23" s="46">
        <v>54</v>
      </c>
      <c r="I23" s="47">
        <v>7.7697841726618701E-3</v>
      </c>
      <c r="J23" s="48">
        <v>3083</v>
      </c>
      <c r="K23" s="49">
        <v>17.515407071034705</v>
      </c>
      <c r="L23" s="46">
        <v>50</v>
      </c>
      <c r="M23" s="47">
        <v>6.6024032747920239E-3</v>
      </c>
      <c r="N23" s="48">
        <v>2957</v>
      </c>
      <c r="O23" s="49">
        <v>16.909029421711192</v>
      </c>
      <c r="P23" s="48">
        <v>2952</v>
      </c>
      <c r="Q23" s="48">
        <v>54</v>
      </c>
      <c r="R23" s="47">
        <f t="shared" si="0"/>
        <v>5.8842759071592024E-3</v>
      </c>
      <c r="S23" s="48">
        <v>2829</v>
      </c>
      <c r="T23" s="49">
        <f t="shared" si="1"/>
        <v>19.088016967126194</v>
      </c>
      <c r="U23" s="50">
        <v>73</v>
      </c>
      <c r="V23" s="47">
        <f t="shared" si="2"/>
        <v>8.9526612705420651E-3</v>
      </c>
      <c r="W23" s="48">
        <v>2820</v>
      </c>
      <c r="X23" s="49">
        <f t="shared" si="3"/>
        <v>25.886524822695034</v>
      </c>
      <c r="Y23" s="4">
        <v>56</v>
      </c>
      <c r="Z23" s="47">
        <f t="shared" si="4"/>
        <v>6.9799326935061695E-3</v>
      </c>
      <c r="AA23" s="51">
        <v>2826</v>
      </c>
      <c r="AB23" s="49">
        <f t="shared" si="5"/>
        <v>19.815994338287332</v>
      </c>
      <c r="AC23" s="4">
        <v>57</v>
      </c>
      <c r="AD23" s="47">
        <f t="shared" si="6"/>
        <v>6.9007263922518164E-3</v>
      </c>
      <c r="AE23" s="51">
        <v>2815</v>
      </c>
      <c r="AF23" s="49">
        <f t="shared" si="7"/>
        <v>20.24866785079929</v>
      </c>
      <c r="AG23" s="43">
        <v>62</v>
      </c>
      <c r="AH23" s="47">
        <f t="shared" si="8"/>
        <v>6.8980863373386738E-3</v>
      </c>
      <c r="AI23" s="44">
        <v>2841</v>
      </c>
      <c r="AJ23" s="49">
        <f t="shared" si="9"/>
        <v>21.823301654347063</v>
      </c>
    </row>
    <row r="24" spans="1:36" x14ac:dyDescent="0.2">
      <c r="A24" s="1">
        <v>795</v>
      </c>
      <c r="B24" s="64">
        <v>18</v>
      </c>
      <c r="C24" s="52" t="s">
        <v>30</v>
      </c>
      <c r="D24" s="53">
        <v>7</v>
      </c>
      <c r="E24" s="54">
        <v>9.9474207758988207E-4</v>
      </c>
      <c r="F24" s="55">
        <v>1984</v>
      </c>
      <c r="G24" s="56">
        <v>3.528225806451613</v>
      </c>
      <c r="H24" s="53">
        <v>14</v>
      </c>
      <c r="I24" s="54">
        <v>2.014388489208633E-3</v>
      </c>
      <c r="J24" s="55">
        <v>1955</v>
      </c>
      <c r="K24" s="56">
        <v>7.1611253196930953</v>
      </c>
      <c r="L24" s="53">
        <v>11</v>
      </c>
      <c r="M24" s="54">
        <v>1.4525287204542453E-3</v>
      </c>
      <c r="N24" s="55">
        <v>1967</v>
      </c>
      <c r="O24" s="56">
        <v>5.5922724961870864</v>
      </c>
      <c r="P24" s="55">
        <v>2029</v>
      </c>
      <c r="Q24" s="55">
        <v>43</v>
      </c>
      <c r="R24" s="54">
        <f t="shared" si="0"/>
        <v>4.685627111256402E-3</v>
      </c>
      <c r="S24" s="55">
        <v>2276</v>
      </c>
      <c r="T24" s="56">
        <f t="shared" si="1"/>
        <v>18.892794376098418</v>
      </c>
      <c r="U24" s="58">
        <v>33</v>
      </c>
      <c r="V24" s="54">
        <f t="shared" si="2"/>
        <v>4.0470934510669614E-3</v>
      </c>
      <c r="W24" s="55">
        <v>2338</v>
      </c>
      <c r="X24" s="56">
        <f t="shared" si="3"/>
        <v>14.114627887082978</v>
      </c>
      <c r="Y24" s="61">
        <v>32</v>
      </c>
      <c r="Z24" s="54">
        <f t="shared" si="4"/>
        <v>3.9885329677178116E-3</v>
      </c>
      <c r="AA24" s="60">
        <v>2437</v>
      </c>
      <c r="AB24" s="56">
        <f t="shared" si="5"/>
        <v>13.130898645876076</v>
      </c>
      <c r="AC24" s="61">
        <v>25</v>
      </c>
      <c r="AD24" s="54">
        <f t="shared" si="6"/>
        <v>3.0266343825665859E-3</v>
      </c>
      <c r="AE24" s="51">
        <v>2421</v>
      </c>
      <c r="AF24" s="56">
        <f t="shared" si="7"/>
        <v>10.326311441553077</v>
      </c>
      <c r="AG24" s="63">
        <v>57</v>
      </c>
      <c r="AH24" s="54">
        <f t="shared" si="8"/>
        <v>6.3417890520694256E-3</v>
      </c>
      <c r="AI24" s="44">
        <v>2632</v>
      </c>
      <c r="AJ24" s="56">
        <f t="shared" si="9"/>
        <v>21.656534954407295</v>
      </c>
    </row>
    <row r="25" spans="1:36" x14ac:dyDescent="0.2">
      <c r="A25" s="1">
        <v>1275</v>
      </c>
      <c r="B25" s="64">
        <v>40</v>
      </c>
      <c r="C25" s="34" t="s">
        <v>31</v>
      </c>
      <c r="D25" s="35">
        <v>49</v>
      </c>
      <c r="E25" s="36">
        <v>6.9631945431291743E-3</v>
      </c>
      <c r="F25" s="37">
        <v>6336</v>
      </c>
      <c r="G25" s="38">
        <v>7.733585858585859</v>
      </c>
      <c r="H25" s="35">
        <v>44</v>
      </c>
      <c r="I25" s="36">
        <v>6.3309352517985614E-3</v>
      </c>
      <c r="J25" s="37">
        <v>6482</v>
      </c>
      <c r="K25" s="38">
        <v>6.7880283863005246</v>
      </c>
      <c r="L25" s="35">
        <v>43</v>
      </c>
      <c r="M25" s="36">
        <v>5.6780668163211407E-3</v>
      </c>
      <c r="N25" s="37">
        <v>6492</v>
      </c>
      <c r="O25" s="38">
        <v>6.6235366605052377</v>
      </c>
      <c r="P25" s="37">
        <v>6469</v>
      </c>
      <c r="Q25" s="37">
        <v>51</v>
      </c>
      <c r="R25" s="36">
        <f t="shared" si="0"/>
        <v>5.5573716900948018E-3</v>
      </c>
      <c r="S25" s="37">
        <v>6458</v>
      </c>
      <c r="T25" s="38">
        <f t="shared" si="1"/>
        <v>7.8971817900278722</v>
      </c>
      <c r="U25" s="39">
        <v>50</v>
      </c>
      <c r="V25" s="36">
        <f t="shared" si="2"/>
        <v>6.13195977434388E-3</v>
      </c>
      <c r="W25" s="37">
        <v>6515</v>
      </c>
      <c r="X25" s="38">
        <f t="shared" si="3"/>
        <v>7.6745970836531079</v>
      </c>
      <c r="Y25" s="40">
        <v>56</v>
      </c>
      <c r="Z25" s="36">
        <f t="shared" si="4"/>
        <v>6.9799326935061695E-3</v>
      </c>
      <c r="AA25" s="41">
        <v>6500</v>
      </c>
      <c r="AB25" s="38">
        <f t="shared" si="5"/>
        <v>8.615384615384615</v>
      </c>
      <c r="AC25" s="40">
        <v>43</v>
      </c>
      <c r="AD25" s="36">
        <f t="shared" si="6"/>
        <v>5.2058111380145281E-3</v>
      </c>
      <c r="AE25" s="51">
        <v>6417</v>
      </c>
      <c r="AF25" s="38">
        <f t="shared" si="7"/>
        <v>6.7009505999688335</v>
      </c>
      <c r="AG25" s="43">
        <v>74</v>
      </c>
      <c r="AH25" s="36">
        <f t="shared" si="8"/>
        <v>8.2331998219848691E-3</v>
      </c>
      <c r="AI25" s="44">
        <v>6435</v>
      </c>
      <c r="AJ25" s="38">
        <f t="shared" si="9"/>
        <v>11.4996114996115</v>
      </c>
    </row>
    <row r="26" spans="1:36" x14ac:dyDescent="0.2">
      <c r="A26" s="1">
        <v>800</v>
      </c>
      <c r="B26" s="64">
        <v>19</v>
      </c>
      <c r="C26" s="45" t="s">
        <v>32</v>
      </c>
      <c r="D26" s="46">
        <v>437</v>
      </c>
      <c r="E26" s="47">
        <v>6.2100326843825493E-2</v>
      </c>
      <c r="F26" s="48">
        <v>23078</v>
      </c>
      <c r="G26" s="49">
        <v>18.935782996793481</v>
      </c>
      <c r="H26" s="46">
        <v>420</v>
      </c>
      <c r="I26" s="47">
        <v>6.0431654676258995E-2</v>
      </c>
      <c r="J26" s="48">
        <v>23900</v>
      </c>
      <c r="K26" s="49">
        <v>17.573221757322177</v>
      </c>
      <c r="L26" s="46">
        <v>526</v>
      </c>
      <c r="M26" s="47">
        <v>6.9457282450812091E-2</v>
      </c>
      <c r="N26" s="48">
        <v>24887</v>
      </c>
      <c r="O26" s="49">
        <v>21.135532607385382</v>
      </c>
      <c r="P26" s="48">
        <v>24742</v>
      </c>
      <c r="Q26" s="48">
        <v>395</v>
      </c>
      <c r="R26" s="47">
        <f t="shared" si="0"/>
        <v>4.3042388580146015E-2</v>
      </c>
      <c r="S26" s="48">
        <v>27592</v>
      </c>
      <c r="T26" s="49">
        <f t="shared" si="1"/>
        <v>14.315743693824297</v>
      </c>
      <c r="U26" s="50">
        <v>392</v>
      </c>
      <c r="V26" s="47">
        <f t="shared" si="2"/>
        <v>4.807456463085602E-2</v>
      </c>
      <c r="W26" s="48">
        <v>28282</v>
      </c>
      <c r="X26" s="49">
        <f t="shared" si="3"/>
        <v>13.860405911887419</v>
      </c>
      <c r="Y26" s="4">
        <v>361</v>
      </c>
      <c r="Z26" s="47">
        <f t="shared" si="4"/>
        <v>4.4995637542066556E-2</v>
      </c>
      <c r="AA26" s="51">
        <v>29136</v>
      </c>
      <c r="AB26" s="49">
        <f t="shared" si="5"/>
        <v>12.390170236133992</v>
      </c>
      <c r="AC26" s="4">
        <v>402</v>
      </c>
      <c r="AD26" s="47">
        <f t="shared" si="6"/>
        <v>4.8668280871670702E-2</v>
      </c>
      <c r="AE26" s="51">
        <v>29724</v>
      </c>
      <c r="AF26" s="49">
        <f t="shared" si="7"/>
        <v>13.524424707307228</v>
      </c>
      <c r="AG26" s="43">
        <v>431</v>
      </c>
      <c r="AH26" s="47">
        <f t="shared" si="8"/>
        <v>4.7952825990209169E-2</v>
      </c>
      <c r="AI26" s="44">
        <v>31230</v>
      </c>
      <c r="AJ26" s="49">
        <f t="shared" si="9"/>
        <v>13.800832532821005</v>
      </c>
    </row>
    <row r="27" spans="1:36" x14ac:dyDescent="0.2">
      <c r="A27" s="1">
        <v>837</v>
      </c>
      <c r="B27" s="64">
        <v>20</v>
      </c>
      <c r="C27" s="45" t="s">
        <v>33</v>
      </c>
      <c r="D27" s="46">
        <v>64</v>
      </c>
      <c r="E27" s="47">
        <v>9.0947847093932072E-3</v>
      </c>
      <c r="F27" s="48">
        <v>2443</v>
      </c>
      <c r="G27" s="49">
        <v>26.197298403602129</v>
      </c>
      <c r="H27" s="46">
        <v>78</v>
      </c>
      <c r="I27" s="47">
        <v>1.1223021582733812E-2</v>
      </c>
      <c r="J27" s="48">
        <v>2370</v>
      </c>
      <c r="K27" s="49">
        <v>32.911392405063296</v>
      </c>
      <c r="L27" s="46">
        <v>72</v>
      </c>
      <c r="M27" s="47">
        <v>9.507460715700515E-3</v>
      </c>
      <c r="N27" s="48">
        <v>2313</v>
      </c>
      <c r="O27" s="49">
        <v>31.1284046692607</v>
      </c>
      <c r="P27" s="48">
        <v>2321</v>
      </c>
      <c r="Q27" s="48">
        <v>77</v>
      </c>
      <c r="R27" s="47">
        <f t="shared" si="0"/>
        <v>8.3905415713196041E-3</v>
      </c>
      <c r="S27" s="48">
        <v>2329</v>
      </c>
      <c r="T27" s="49">
        <f t="shared" si="1"/>
        <v>33.061399742378704</v>
      </c>
      <c r="U27" s="50">
        <v>73</v>
      </c>
      <c r="V27" s="47">
        <f t="shared" si="2"/>
        <v>8.9526612705420651E-3</v>
      </c>
      <c r="W27" s="48">
        <v>2319</v>
      </c>
      <c r="X27" s="49">
        <f t="shared" si="3"/>
        <v>31.479085812850368</v>
      </c>
      <c r="Y27" s="4">
        <v>77</v>
      </c>
      <c r="Z27" s="47">
        <f t="shared" si="4"/>
        <v>9.5974074535709834E-3</v>
      </c>
      <c r="AA27" s="51">
        <v>2419</v>
      </c>
      <c r="AB27" s="49">
        <f t="shared" si="5"/>
        <v>31.831335262505167</v>
      </c>
      <c r="AC27" s="4">
        <v>74</v>
      </c>
      <c r="AD27" s="47">
        <f t="shared" si="6"/>
        <v>8.9588377723970949E-3</v>
      </c>
      <c r="AE27" s="51">
        <v>2420</v>
      </c>
      <c r="AF27" s="49">
        <f t="shared" si="7"/>
        <v>30.578512396694215</v>
      </c>
      <c r="AG27" s="43">
        <v>44</v>
      </c>
      <c r="AH27" s="47">
        <f t="shared" si="8"/>
        <v>4.8954161103693817E-3</v>
      </c>
      <c r="AI27" s="44">
        <v>2408</v>
      </c>
      <c r="AJ27" s="49">
        <f t="shared" si="9"/>
        <v>18.272425249169437</v>
      </c>
    </row>
    <row r="28" spans="1:36" x14ac:dyDescent="0.2">
      <c r="A28" s="1">
        <v>849</v>
      </c>
      <c r="B28" s="64">
        <v>21</v>
      </c>
      <c r="C28" s="45" t="s">
        <v>34</v>
      </c>
      <c r="D28" s="46">
        <v>6</v>
      </c>
      <c r="E28" s="47">
        <v>8.5263606650561323E-4</v>
      </c>
      <c r="F28" s="48">
        <v>968</v>
      </c>
      <c r="G28" s="49">
        <v>6.1983471074380168</v>
      </c>
      <c r="H28" s="46">
        <v>4</v>
      </c>
      <c r="I28" s="47">
        <v>5.7553956834532373E-4</v>
      </c>
      <c r="J28" s="48">
        <v>969</v>
      </c>
      <c r="K28" s="49">
        <v>4.1279669762641893</v>
      </c>
      <c r="L28" s="46">
        <v>4</v>
      </c>
      <c r="M28" s="47">
        <v>5.281922619833619E-4</v>
      </c>
      <c r="N28" s="48">
        <v>986</v>
      </c>
      <c r="O28" s="49">
        <v>4.056795131845842</v>
      </c>
      <c r="P28" s="48">
        <v>982</v>
      </c>
      <c r="Q28" s="48">
        <v>7</v>
      </c>
      <c r="R28" s="47">
        <f t="shared" si="0"/>
        <v>7.6277650648360034E-4</v>
      </c>
      <c r="S28" s="48">
        <v>988</v>
      </c>
      <c r="T28" s="49">
        <f t="shared" si="1"/>
        <v>7.0850202429149798</v>
      </c>
      <c r="U28" s="50">
        <v>16</v>
      </c>
      <c r="V28" s="47">
        <f t="shared" si="2"/>
        <v>1.9622271277900416E-3</v>
      </c>
      <c r="W28" s="48">
        <v>1003</v>
      </c>
      <c r="X28" s="49">
        <f t="shared" si="3"/>
        <v>15.952143569292122</v>
      </c>
      <c r="Y28" s="4">
        <v>14</v>
      </c>
      <c r="Z28" s="47">
        <f t="shared" si="4"/>
        <v>1.7449831733765424E-3</v>
      </c>
      <c r="AA28" s="51">
        <v>978</v>
      </c>
      <c r="AB28" s="49">
        <f t="shared" si="5"/>
        <v>14.314928425357873</v>
      </c>
      <c r="AC28" s="4">
        <v>14</v>
      </c>
      <c r="AD28" s="47">
        <f t="shared" si="6"/>
        <v>1.6949152542372881E-3</v>
      </c>
      <c r="AE28" s="51">
        <v>983</v>
      </c>
      <c r="AF28" s="49">
        <f t="shared" si="7"/>
        <v>14.242115971515769</v>
      </c>
      <c r="AG28" s="43">
        <v>18</v>
      </c>
      <c r="AH28" s="47">
        <f t="shared" si="8"/>
        <v>2.0026702269692926E-3</v>
      </c>
      <c r="AI28" s="44">
        <v>990</v>
      </c>
      <c r="AJ28" s="49">
        <f t="shared" si="9"/>
        <v>18.18181818181818</v>
      </c>
    </row>
    <row r="29" spans="1:36" x14ac:dyDescent="0.2">
      <c r="A29" s="1">
        <v>1183</v>
      </c>
      <c r="B29" s="64">
        <v>37</v>
      </c>
      <c r="C29" s="52" t="s">
        <v>35</v>
      </c>
      <c r="D29" s="53">
        <v>198</v>
      </c>
      <c r="E29" s="54">
        <v>2.8136990194685234E-2</v>
      </c>
      <c r="F29" s="55">
        <v>13141</v>
      </c>
      <c r="G29" s="56">
        <v>15.067346472871167</v>
      </c>
      <c r="H29" s="53">
        <v>169</v>
      </c>
      <c r="I29" s="54">
        <v>2.4316546762589927E-2</v>
      </c>
      <c r="J29" s="55">
        <v>12963</v>
      </c>
      <c r="K29" s="56">
        <v>13.037105608269689</v>
      </c>
      <c r="L29" s="53">
        <v>181</v>
      </c>
      <c r="M29" s="54">
        <v>2.3900699854747128E-2</v>
      </c>
      <c r="N29" s="55">
        <v>12684</v>
      </c>
      <c r="O29" s="56">
        <v>14.269946389151688</v>
      </c>
      <c r="P29" s="55">
        <v>12542</v>
      </c>
      <c r="Q29" s="55">
        <v>180</v>
      </c>
      <c r="R29" s="54">
        <f t="shared" si="0"/>
        <v>1.9614253023864006E-2</v>
      </c>
      <c r="S29" s="55">
        <v>12884</v>
      </c>
      <c r="T29" s="56">
        <f t="shared" si="1"/>
        <v>13.970816516609748</v>
      </c>
      <c r="U29" s="58">
        <v>190</v>
      </c>
      <c r="V29" s="54">
        <f t="shared" si="2"/>
        <v>2.3301447142506745E-2</v>
      </c>
      <c r="W29" s="55">
        <v>12578</v>
      </c>
      <c r="X29" s="56">
        <f t="shared" si="3"/>
        <v>15.105740181268883</v>
      </c>
      <c r="Y29" s="59">
        <v>166</v>
      </c>
      <c r="Z29" s="54">
        <f t="shared" si="4"/>
        <v>2.0690514770036146E-2</v>
      </c>
      <c r="AA29" s="60">
        <v>12568</v>
      </c>
      <c r="AB29" s="56">
        <f t="shared" si="5"/>
        <v>13.208147676639083</v>
      </c>
      <c r="AC29" s="61">
        <v>138</v>
      </c>
      <c r="AD29" s="54">
        <f t="shared" si="6"/>
        <v>1.6707021791767553E-2</v>
      </c>
      <c r="AE29" s="51">
        <v>12652</v>
      </c>
      <c r="AF29" s="56">
        <f t="shared" si="7"/>
        <v>10.907366424280745</v>
      </c>
      <c r="AG29" s="63">
        <v>251</v>
      </c>
      <c r="AH29" s="54">
        <f t="shared" si="8"/>
        <v>2.7926123720516245E-2</v>
      </c>
      <c r="AI29" s="44">
        <v>12489</v>
      </c>
      <c r="AJ29" s="56">
        <f t="shared" si="9"/>
        <v>20.097685963648008</v>
      </c>
    </row>
    <row r="30" spans="1:36" x14ac:dyDescent="0.2">
      <c r="A30" s="1">
        <v>856</v>
      </c>
      <c r="B30" s="64">
        <v>22</v>
      </c>
      <c r="C30" s="34" t="s">
        <v>36</v>
      </c>
      <c r="D30" s="35">
        <v>72</v>
      </c>
      <c r="E30" s="36">
        <v>1.0231632798067358E-2</v>
      </c>
      <c r="F30" s="37">
        <v>3957</v>
      </c>
      <c r="G30" s="38">
        <v>18.195602729340408</v>
      </c>
      <c r="H30" s="35">
        <v>77</v>
      </c>
      <c r="I30" s="36">
        <v>1.1079136690647482E-2</v>
      </c>
      <c r="J30" s="37">
        <v>4059</v>
      </c>
      <c r="K30" s="38">
        <v>18.970189701897016</v>
      </c>
      <c r="L30" s="35">
        <v>70</v>
      </c>
      <c r="M30" s="36">
        <v>9.2433645847088339E-3</v>
      </c>
      <c r="N30" s="37">
        <v>4212</v>
      </c>
      <c r="O30" s="38">
        <v>16.619183285849953</v>
      </c>
      <c r="P30" s="37">
        <v>4367</v>
      </c>
      <c r="Q30" s="37">
        <v>18</v>
      </c>
      <c r="R30" s="36">
        <f t="shared" si="0"/>
        <v>1.9614253023864008E-3</v>
      </c>
      <c r="S30" s="37">
        <v>4477</v>
      </c>
      <c r="T30" s="38">
        <f t="shared" si="1"/>
        <v>4.0205494750949295</v>
      </c>
      <c r="U30" s="39">
        <v>41</v>
      </c>
      <c r="V30" s="36">
        <f t="shared" si="2"/>
        <v>5.028207014961982E-3</v>
      </c>
      <c r="W30" s="37">
        <v>4563</v>
      </c>
      <c r="X30" s="38">
        <f t="shared" si="3"/>
        <v>8.98531667762437</v>
      </c>
      <c r="Y30" s="40">
        <v>26</v>
      </c>
      <c r="Z30" s="36">
        <f t="shared" si="4"/>
        <v>3.2406830362707215E-3</v>
      </c>
      <c r="AA30" s="41">
        <v>4351</v>
      </c>
      <c r="AB30" s="38">
        <f t="shared" si="5"/>
        <v>5.9756377844173754</v>
      </c>
      <c r="AC30" s="40">
        <v>37</v>
      </c>
      <c r="AD30" s="36">
        <f t="shared" si="6"/>
        <v>4.4794188861985475E-3</v>
      </c>
      <c r="AE30" s="51">
        <v>4400</v>
      </c>
      <c r="AF30" s="38">
        <f t="shared" si="7"/>
        <v>8.4090909090909101</v>
      </c>
      <c r="AG30" s="43">
        <v>18</v>
      </c>
      <c r="AH30" s="36">
        <f t="shared" si="8"/>
        <v>2.0026702269692926E-3</v>
      </c>
      <c r="AI30" s="44">
        <v>4630</v>
      </c>
      <c r="AJ30" s="38">
        <f t="shared" si="9"/>
        <v>3.8876889848812093</v>
      </c>
    </row>
    <row r="31" spans="1:36" x14ac:dyDescent="0.2">
      <c r="A31" s="1">
        <v>865</v>
      </c>
      <c r="B31" s="64">
        <v>23</v>
      </c>
      <c r="C31" s="45" t="s">
        <v>37</v>
      </c>
      <c r="D31" s="46">
        <v>0</v>
      </c>
      <c r="E31" s="47">
        <v>0</v>
      </c>
      <c r="F31" s="48">
        <v>312</v>
      </c>
      <c r="G31" s="49">
        <v>0</v>
      </c>
      <c r="H31" s="46">
        <v>4</v>
      </c>
      <c r="I31" s="47">
        <v>5.7553956834532373E-4</v>
      </c>
      <c r="J31" s="48">
        <v>307</v>
      </c>
      <c r="K31" s="49">
        <v>13.029315960912053</v>
      </c>
      <c r="L31" s="46">
        <v>0</v>
      </c>
      <c r="M31" s="47">
        <v>0</v>
      </c>
      <c r="N31" s="48">
        <v>345</v>
      </c>
      <c r="O31" s="49">
        <v>0</v>
      </c>
      <c r="P31" s="48">
        <v>302</v>
      </c>
      <c r="Q31" s="48">
        <v>8</v>
      </c>
      <c r="R31" s="47">
        <f t="shared" si="0"/>
        <v>8.7174457883840031E-4</v>
      </c>
      <c r="S31" s="48">
        <v>319</v>
      </c>
      <c r="T31" s="49">
        <f t="shared" si="1"/>
        <v>25.078369905956112</v>
      </c>
      <c r="U31" s="50">
        <v>6</v>
      </c>
      <c r="V31" s="47">
        <f t="shared" si="2"/>
        <v>7.3583517292126564E-4</v>
      </c>
      <c r="W31" s="48">
        <v>328</v>
      </c>
      <c r="X31" s="49">
        <f t="shared" si="3"/>
        <v>18.292682926829269</v>
      </c>
      <c r="Y31" s="4">
        <v>7</v>
      </c>
      <c r="Z31" s="47">
        <f t="shared" si="4"/>
        <v>8.7249158668827119E-4</v>
      </c>
      <c r="AA31" s="51">
        <v>305</v>
      </c>
      <c r="AB31" s="49">
        <f t="shared" si="5"/>
        <v>22.950819672131146</v>
      </c>
      <c r="AC31" s="4">
        <v>5</v>
      </c>
      <c r="AD31" s="47">
        <f t="shared" si="6"/>
        <v>6.0532687651331722E-4</v>
      </c>
      <c r="AE31" s="51">
        <v>317</v>
      </c>
      <c r="AF31" s="49">
        <f t="shared" si="7"/>
        <v>15.772870662460567</v>
      </c>
      <c r="AG31" s="43">
        <v>7</v>
      </c>
      <c r="AH31" s="47">
        <f t="shared" si="8"/>
        <v>7.7881619937694702E-4</v>
      </c>
      <c r="AI31" s="44">
        <v>304</v>
      </c>
      <c r="AJ31" s="49">
        <f t="shared" si="9"/>
        <v>23.026315789473681</v>
      </c>
    </row>
    <row r="32" spans="1:36" x14ac:dyDescent="0.2">
      <c r="A32" s="1">
        <v>1222</v>
      </c>
      <c r="B32" s="64">
        <v>38</v>
      </c>
      <c r="C32" s="45" t="s">
        <v>38</v>
      </c>
      <c r="D32" s="46">
        <v>222</v>
      </c>
      <c r="E32" s="47">
        <v>3.1547534460707689E-2</v>
      </c>
      <c r="F32" s="48">
        <v>13177</v>
      </c>
      <c r="G32" s="49">
        <v>16.84753737573044</v>
      </c>
      <c r="H32" s="46">
        <v>239</v>
      </c>
      <c r="I32" s="47">
        <v>3.4388489208633091E-2</v>
      </c>
      <c r="J32" s="48">
        <v>13103</v>
      </c>
      <c r="K32" s="49">
        <v>18.240097687552471</v>
      </c>
      <c r="L32" s="46">
        <v>252</v>
      </c>
      <c r="M32" s="47">
        <v>3.3276112504951799E-2</v>
      </c>
      <c r="N32" s="48">
        <v>13359</v>
      </c>
      <c r="O32" s="49">
        <v>18.86368740175163</v>
      </c>
      <c r="P32" s="48">
        <v>13273</v>
      </c>
      <c r="Q32" s="48">
        <v>309</v>
      </c>
      <c r="R32" s="47">
        <f t="shared" si="0"/>
        <v>3.3671134357633213E-2</v>
      </c>
      <c r="S32" s="48">
        <v>13288</v>
      </c>
      <c r="T32" s="49">
        <f t="shared" si="1"/>
        <v>23.254063816977723</v>
      </c>
      <c r="U32" s="50">
        <v>284</v>
      </c>
      <c r="V32" s="47">
        <f t="shared" si="2"/>
        <v>3.4829531518273241E-2</v>
      </c>
      <c r="W32" s="48">
        <v>13241</v>
      </c>
      <c r="X32" s="49">
        <f t="shared" si="3"/>
        <v>21.448531077713163</v>
      </c>
      <c r="Y32" s="4">
        <v>211</v>
      </c>
      <c r="Z32" s="47">
        <f t="shared" si="4"/>
        <v>2.629938925588932E-2</v>
      </c>
      <c r="AA32" s="51">
        <v>13376</v>
      </c>
      <c r="AB32" s="49">
        <f t="shared" si="5"/>
        <v>15.774521531100479</v>
      </c>
      <c r="AC32" s="4">
        <v>264</v>
      </c>
      <c r="AD32" s="47">
        <f t="shared" si="6"/>
        <v>3.1961259079903145E-2</v>
      </c>
      <c r="AE32" s="51">
        <v>13779</v>
      </c>
      <c r="AF32" s="49">
        <f>(AC32/AE32)*1000</f>
        <v>19.159590681471805</v>
      </c>
      <c r="AG32" s="43">
        <v>219</v>
      </c>
      <c r="AH32" s="47">
        <f t="shared" si="8"/>
        <v>2.4365821094793058E-2</v>
      </c>
      <c r="AI32" s="44">
        <v>14799</v>
      </c>
      <c r="AJ32" s="49">
        <f>(AG32/AI32)*1000</f>
        <v>14.798297182242043</v>
      </c>
    </row>
    <row r="33" spans="1:39" x14ac:dyDescent="0.2">
      <c r="A33" s="1">
        <v>870</v>
      </c>
      <c r="B33" s="64">
        <v>24</v>
      </c>
      <c r="C33" s="45" t="s">
        <v>39</v>
      </c>
      <c r="D33" s="46">
        <v>4</v>
      </c>
      <c r="E33" s="47">
        <v>5.6842404433707545E-4</v>
      </c>
      <c r="F33" s="48">
        <v>473</v>
      </c>
      <c r="G33" s="49">
        <v>8.456659619450317</v>
      </c>
      <c r="H33" s="46">
        <v>4</v>
      </c>
      <c r="I33" s="47">
        <v>5.7553956834532373E-4</v>
      </c>
      <c r="J33" s="48">
        <v>454</v>
      </c>
      <c r="K33" s="49">
        <v>8.8105726872246706</v>
      </c>
      <c r="L33" s="46">
        <v>0</v>
      </c>
      <c r="M33" s="47">
        <v>0</v>
      </c>
      <c r="N33" s="48">
        <v>429</v>
      </c>
      <c r="O33" s="49">
        <v>0</v>
      </c>
      <c r="P33" s="48">
        <v>416</v>
      </c>
      <c r="Q33" s="48">
        <v>9</v>
      </c>
      <c r="R33" s="47">
        <f t="shared" si="0"/>
        <v>9.8071265119320039E-4</v>
      </c>
      <c r="S33" s="48">
        <v>450</v>
      </c>
      <c r="T33" s="49">
        <f t="shared" si="1"/>
        <v>20</v>
      </c>
      <c r="U33" s="50">
        <v>8</v>
      </c>
      <c r="V33" s="47">
        <f t="shared" si="2"/>
        <v>9.8111356389502078E-4</v>
      </c>
      <c r="W33" s="48">
        <v>457</v>
      </c>
      <c r="X33" s="49">
        <f t="shared" si="3"/>
        <v>17.505470459518598</v>
      </c>
      <c r="Y33" s="4">
        <v>6</v>
      </c>
      <c r="Z33" s="47">
        <f t="shared" si="4"/>
        <v>7.4784993144708957E-4</v>
      </c>
      <c r="AA33" s="51">
        <v>484</v>
      </c>
      <c r="AB33" s="49">
        <f t="shared" si="5"/>
        <v>12.396694214876034</v>
      </c>
      <c r="AC33" s="4">
        <v>6</v>
      </c>
      <c r="AD33" s="47">
        <f t="shared" si="6"/>
        <v>7.2639225181598058E-4</v>
      </c>
      <c r="AE33" s="51">
        <v>491</v>
      </c>
      <c r="AF33" s="49">
        <f t="shared" si="7"/>
        <v>12.219959266802444</v>
      </c>
      <c r="AG33" s="43">
        <v>6</v>
      </c>
      <c r="AH33" s="47">
        <f t="shared" si="8"/>
        <v>6.6755674232309744E-4</v>
      </c>
      <c r="AI33" s="44">
        <v>479</v>
      </c>
      <c r="AJ33" s="49">
        <f t="shared" ref="AJ33:AJ45" si="10">(AG33/AI33)*1000</f>
        <v>12.526096033402924</v>
      </c>
    </row>
    <row r="34" spans="1:39" ht="15" x14ac:dyDescent="0.2">
      <c r="A34" s="1">
        <v>1107</v>
      </c>
      <c r="B34" s="64">
        <v>36</v>
      </c>
      <c r="C34" s="52" t="s">
        <v>64</v>
      </c>
      <c r="D34" s="53">
        <v>172</v>
      </c>
      <c r="E34" s="54">
        <v>2.4442233906494245E-2</v>
      </c>
      <c r="F34" s="55">
        <v>24382</v>
      </c>
      <c r="G34" s="56">
        <v>7.0543843819210901</v>
      </c>
      <c r="H34" s="53">
        <v>82</v>
      </c>
      <c r="I34" s="54">
        <v>1.1798561151079136E-2</v>
      </c>
      <c r="J34" s="55">
        <v>23966</v>
      </c>
      <c r="K34" s="56">
        <v>3.4215138112325794</v>
      </c>
      <c r="L34" s="53">
        <v>135</v>
      </c>
      <c r="M34" s="54">
        <v>1.7826488841938465E-2</v>
      </c>
      <c r="N34" s="55">
        <v>23595</v>
      </c>
      <c r="O34" s="56">
        <v>5.7215511760966304</v>
      </c>
      <c r="P34" s="55">
        <v>23728</v>
      </c>
      <c r="Q34" s="55">
        <v>232</v>
      </c>
      <c r="R34" s="54">
        <f t="shared" si="0"/>
        <v>2.5280592786313609E-2</v>
      </c>
      <c r="S34" s="55">
        <v>23678</v>
      </c>
      <c r="T34" s="56">
        <f t="shared" si="1"/>
        <v>9.7981248416251372</v>
      </c>
      <c r="U34" s="58">
        <v>219</v>
      </c>
      <c r="V34" s="54">
        <f t="shared" si="2"/>
        <v>2.6857983811626195E-2</v>
      </c>
      <c r="W34" s="55">
        <v>23850</v>
      </c>
      <c r="X34" s="56">
        <f t="shared" si="3"/>
        <v>9.1823899371069189</v>
      </c>
      <c r="Y34" s="61">
        <v>219</v>
      </c>
      <c r="Z34" s="54">
        <f t="shared" si="4"/>
        <v>2.7296522497818772E-2</v>
      </c>
      <c r="AA34" s="60">
        <v>23960</v>
      </c>
      <c r="AB34" s="56">
        <f t="shared" si="5"/>
        <v>9.1402337228714536</v>
      </c>
      <c r="AC34" s="61">
        <v>248</v>
      </c>
      <c r="AD34" s="54">
        <f t="shared" si="6"/>
        <v>3.0024213075060532E-2</v>
      </c>
      <c r="AE34" s="51">
        <v>23919</v>
      </c>
      <c r="AF34" s="56">
        <f t="shared" si="7"/>
        <v>10.368326435051632</v>
      </c>
      <c r="AG34" s="63">
        <v>212</v>
      </c>
      <c r="AH34" s="54">
        <f t="shared" si="8"/>
        <v>2.3587004895416111E-2</v>
      </c>
      <c r="AI34" s="44">
        <v>23965</v>
      </c>
      <c r="AJ34" s="56">
        <f t="shared" si="10"/>
        <v>8.8462340913832662</v>
      </c>
    </row>
    <row r="35" spans="1:39" x14ac:dyDescent="0.2">
      <c r="A35" s="1">
        <v>880</v>
      </c>
      <c r="B35" s="64">
        <v>25</v>
      </c>
      <c r="C35" s="34" t="s">
        <v>40</v>
      </c>
      <c r="D35" s="35">
        <v>35</v>
      </c>
      <c r="E35" s="36">
        <v>4.9737103879494106E-3</v>
      </c>
      <c r="F35" s="37">
        <v>2978</v>
      </c>
      <c r="G35" s="38">
        <v>11.752854264607119</v>
      </c>
      <c r="H35" s="35">
        <v>26</v>
      </c>
      <c r="I35" s="36">
        <v>3.7410071942446045E-3</v>
      </c>
      <c r="J35" s="37">
        <v>2979</v>
      </c>
      <c r="K35" s="38">
        <v>8.7277609936220202</v>
      </c>
      <c r="L35" s="35">
        <v>27</v>
      </c>
      <c r="M35" s="36">
        <v>3.5652977683876931E-3</v>
      </c>
      <c r="N35" s="37">
        <v>2957</v>
      </c>
      <c r="O35" s="38">
        <v>9.130875887724045</v>
      </c>
      <c r="P35" s="37">
        <v>2908</v>
      </c>
      <c r="Q35" s="37">
        <v>45</v>
      </c>
      <c r="R35" s="36">
        <f t="shared" si="0"/>
        <v>4.9035632559660015E-3</v>
      </c>
      <c r="S35" s="37">
        <v>2889</v>
      </c>
      <c r="T35" s="38">
        <f t="shared" si="1"/>
        <v>15.576323987538942</v>
      </c>
      <c r="U35" s="39">
        <v>45</v>
      </c>
      <c r="V35" s="36">
        <f t="shared" si="2"/>
        <v>5.5187637969094927E-3</v>
      </c>
      <c r="W35" s="37">
        <v>2953</v>
      </c>
      <c r="X35" s="38">
        <f t="shared" si="3"/>
        <v>15.238740264138166</v>
      </c>
      <c r="Y35" s="40">
        <v>40</v>
      </c>
      <c r="Z35" s="36">
        <f t="shared" si="4"/>
        <v>4.9856662096472645E-3</v>
      </c>
      <c r="AA35" s="41">
        <v>2912</v>
      </c>
      <c r="AB35" s="38">
        <f t="shared" si="5"/>
        <v>13.736263736263735</v>
      </c>
      <c r="AC35" s="40">
        <v>38</v>
      </c>
      <c r="AD35" s="36">
        <f t="shared" si="6"/>
        <v>4.6004842615012106E-3</v>
      </c>
      <c r="AE35" s="51">
        <v>2922</v>
      </c>
      <c r="AF35" s="38">
        <f t="shared" si="7"/>
        <v>13.004791238877482</v>
      </c>
      <c r="AG35" s="43">
        <v>35</v>
      </c>
      <c r="AH35" s="36">
        <f t="shared" si="8"/>
        <v>3.8940809968847352E-3</v>
      </c>
      <c r="AI35" s="44">
        <v>3020</v>
      </c>
      <c r="AJ35" s="38">
        <f t="shared" si="10"/>
        <v>11.589403973509935</v>
      </c>
    </row>
    <row r="36" spans="1:39" x14ac:dyDescent="0.2">
      <c r="A36" s="1">
        <v>900</v>
      </c>
      <c r="B36" s="64">
        <v>26</v>
      </c>
      <c r="C36" s="45" t="s">
        <v>41</v>
      </c>
      <c r="D36" s="46">
        <v>54</v>
      </c>
      <c r="E36" s="47">
        <v>7.6737245985505189E-3</v>
      </c>
      <c r="F36" s="48">
        <v>4370</v>
      </c>
      <c r="G36" s="49">
        <v>12.356979405034325</v>
      </c>
      <c r="H36" s="46">
        <v>63</v>
      </c>
      <c r="I36" s="47">
        <v>9.0647482014388492E-3</v>
      </c>
      <c r="J36" s="48">
        <v>4316</v>
      </c>
      <c r="K36" s="49">
        <v>14.596848934198333</v>
      </c>
      <c r="L36" s="46">
        <v>51</v>
      </c>
      <c r="M36" s="47">
        <v>6.7344513402878645E-3</v>
      </c>
      <c r="N36" s="48">
        <v>4305</v>
      </c>
      <c r="O36" s="49">
        <v>11.846689895470384</v>
      </c>
      <c r="P36" s="48">
        <v>4288</v>
      </c>
      <c r="Q36" s="48">
        <v>73</v>
      </c>
      <c r="R36" s="47">
        <f t="shared" si="0"/>
        <v>7.9546692819004033E-3</v>
      </c>
      <c r="S36" s="48">
        <v>4511</v>
      </c>
      <c r="T36" s="49">
        <f t="shared" si="1"/>
        <v>16.182664597650188</v>
      </c>
      <c r="U36" s="50">
        <v>79</v>
      </c>
      <c r="V36" s="47">
        <f t="shared" si="2"/>
        <v>9.6884964434633316E-3</v>
      </c>
      <c r="W36" s="48">
        <v>4528</v>
      </c>
      <c r="X36" s="49">
        <f t="shared" si="3"/>
        <v>17.446996466431095</v>
      </c>
      <c r="Y36" s="4">
        <v>83</v>
      </c>
      <c r="Z36" s="47">
        <f t="shared" si="4"/>
        <v>1.0345257385018073E-2</v>
      </c>
      <c r="AA36" s="51">
        <v>4533</v>
      </c>
      <c r="AB36" s="49">
        <f t="shared" si="5"/>
        <v>18.310169865431284</v>
      </c>
      <c r="AC36" s="4">
        <v>57</v>
      </c>
      <c r="AD36" s="47">
        <f t="shared" si="6"/>
        <v>6.9007263922518164E-3</v>
      </c>
      <c r="AE36" s="51">
        <v>4546</v>
      </c>
      <c r="AF36" s="49">
        <f t="shared" si="7"/>
        <v>12.538495380554332</v>
      </c>
      <c r="AG36" s="43">
        <v>104</v>
      </c>
      <c r="AH36" s="47">
        <f t="shared" si="8"/>
        <v>1.1570983533600357E-2</v>
      </c>
      <c r="AI36" s="44">
        <v>4585</v>
      </c>
      <c r="AJ36" s="49">
        <f t="shared" si="10"/>
        <v>22.682660850599781</v>
      </c>
    </row>
    <row r="37" spans="1:39" x14ac:dyDescent="0.2">
      <c r="A37" s="1">
        <v>921</v>
      </c>
      <c r="B37" s="64">
        <v>27</v>
      </c>
      <c r="C37" s="45" t="s">
        <v>42</v>
      </c>
      <c r="D37" s="46">
        <v>0</v>
      </c>
      <c r="E37" s="47">
        <v>0</v>
      </c>
      <c r="F37" s="48">
        <v>2792</v>
      </c>
      <c r="G37" s="49">
        <v>0</v>
      </c>
      <c r="H37" s="46">
        <v>0</v>
      </c>
      <c r="I37" s="47">
        <v>0</v>
      </c>
      <c r="J37" s="48">
        <v>2772</v>
      </c>
      <c r="K37" s="49">
        <v>0</v>
      </c>
      <c r="L37" s="46">
        <v>0</v>
      </c>
      <c r="M37" s="47">
        <v>0</v>
      </c>
      <c r="N37" s="48">
        <v>2739</v>
      </c>
      <c r="O37" s="49">
        <v>0</v>
      </c>
      <c r="P37" s="48">
        <v>2764</v>
      </c>
      <c r="Q37" s="48">
        <v>52</v>
      </c>
      <c r="R37" s="47">
        <f t="shared" si="0"/>
        <v>5.666339762449602E-3</v>
      </c>
      <c r="S37" s="48">
        <v>2955</v>
      </c>
      <c r="T37" s="49">
        <f t="shared" si="1"/>
        <v>17.597292724196276</v>
      </c>
      <c r="U37" s="50">
        <v>66</v>
      </c>
      <c r="V37" s="47">
        <f t="shared" si="2"/>
        <v>8.0941869021339229E-3</v>
      </c>
      <c r="W37" s="48">
        <v>3025</v>
      </c>
      <c r="X37" s="49">
        <f t="shared" si="3"/>
        <v>21.81818181818182</v>
      </c>
      <c r="Y37" s="4">
        <v>68</v>
      </c>
      <c r="Z37" s="47">
        <f t="shared" si="4"/>
        <v>8.4756325564003497E-3</v>
      </c>
      <c r="AA37" s="51">
        <v>3038</v>
      </c>
      <c r="AB37" s="49">
        <f t="shared" si="5"/>
        <v>22.383146807109942</v>
      </c>
      <c r="AC37" s="4">
        <v>27</v>
      </c>
      <c r="AD37" s="47">
        <f t="shared" si="6"/>
        <v>3.268765133171913E-3</v>
      </c>
      <c r="AE37" s="51">
        <v>3124</v>
      </c>
      <c r="AF37" s="49">
        <f t="shared" si="7"/>
        <v>8.6427656850192065</v>
      </c>
      <c r="AG37" s="43">
        <v>30</v>
      </c>
      <c r="AH37" s="47">
        <f t="shared" si="8"/>
        <v>3.3377837116154874E-3</v>
      </c>
      <c r="AI37" s="44">
        <v>3162</v>
      </c>
      <c r="AJ37" s="49">
        <f t="shared" si="10"/>
        <v>9.4876660341555965</v>
      </c>
    </row>
    <row r="38" spans="1:39" x14ac:dyDescent="0.2">
      <c r="A38" s="1">
        <v>930</v>
      </c>
      <c r="B38" s="64">
        <v>28</v>
      </c>
      <c r="C38" s="45" t="s">
        <v>43</v>
      </c>
      <c r="D38" s="46">
        <v>20</v>
      </c>
      <c r="E38" s="47">
        <v>2.8421202216853771E-3</v>
      </c>
      <c r="F38" s="48">
        <v>1320</v>
      </c>
      <c r="G38" s="49">
        <v>15.151515151515152</v>
      </c>
      <c r="H38" s="46">
        <v>18</v>
      </c>
      <c r="I38" s="47">
        <v>2.5899280575539568E-3</v>
      </c>
      <c r="J38" s="48">
        <v>1312</v>
      </c>
      <c r="K38" s="49">
        <v>13.719512195121951</v>
      </c>
      <c r="L38" s="46">
        <v>33</v>
      </c>
      <c r="M38" s="47">
        <v>4.3575861613627358E-3</v>
      </c>
      <c r="N38" s="48">
        <v>1322</v>
      </c>
      <c r="O38" s="49">
        <v>24.962178517397884</v>
      </c>
      <c r="P38" s="48">
        <v>1344</v>
      </c>
      <c r="Q38" s="48">
        <v>19</v>
      </c>
      <c r="R38" s="47">
        <f t="shared" si="0"/>
        <v>2.070393374741201E-3</v>
      </c>
      <c r="S38" s="48">
        <v>1427</v>
      </c>
      <c r="T38" s="49">
        <f t="shared" si="1"/>
        <v>13.314646110721794</v>
      </c>
      <c r="U38" s="50">
        <v>26</v>
      </c>
      <c r="V38" s="47">
        <f t="shared" si="2"/>
        <v>3.1886190826588179E-3</v>
      </c>
      <c r="W38" s="48">
        <v>1424</v>
      </c>
      <c r="X38" s="49">
        <f t="shared" si="3"/>
        <v>18.258426966292134</v>
      </c>
      <c r="Y38" s="4">
        <v>34</v>
      </c>
      <c r="Z38" s="47">
        <f t="shared" si="4"/>
        <v>4.2378162782001749E-3</v>
      </c>
      <c r="AA38" s="51">
        <v>1433</v>
      </c>
      <c r="AB38" s="49">
        <f t="shared" si="5"/>
        <v>23.726448011165388</v>
      </c>
      <c r="AC38" s="4">
        <v>25</v>
      </c>
      <c r="AD38" s="47">
        <f t="shared" si="6"/>
        <v>3.0266343825665859E-3</v>
      </c>
      <c r="AE38" s="51">
        <v>1457</v>
      </c>
      <c r="AF38" s="49">
        <f t="shared" si="7"/>
        <v>17.158544955387786</v>
      </c>
      <c r="AG38" s="43">
        <v>31</v>
      </c>
      <c r="AH38" s="47">
        <f t="shared" si="8"/>
        <v>3.4490431686693369E-3</v>
      </c>
      <c r="AI38" s="44">
        <v>1495</v>
      </c>
      <c r="AJ38" s="49">
        <f t="shared" si="10"/>
        <v>20.73578595317726</v>
      </c>
    </row>
    <row r="39" spans="1:39" x14ac:dyDescent="0.2">
      <c r="A39" s="1">
        <v>940</v>
      </c>
      <c r="B39" s="64">
        <v>29</v>
      </c>
      <c r="C39" s="52" t="s">
        <v>44</v>
      </c>
      <c r="D39" s="53">
        <v>0</v>
      </c>
      <c r="E39" s="54">
        <v>0</v>
      </c>
      <c r="F39" s="55">
        <v>275</v>
      </c>
      <c r="G39" s="56">
        <v>0</v>
      </c>
      <c r="H39" s="53">
        <v>0</v>
      </c>
      <c r="I39" s="54">
        <v>0</v>
      </c>
      <c r="J39" s="55">
        <v>250</v>
      </c>
      <c r="K39" s="56">
        <v>0</v>
      </c>
      <c r="L39" s="53">
        <v>0</v>
      </c>
      <c r="M39" s="54">
        <v>0</v>
      </c>
      <c r="N39" s="55">
        <v>262</v>
      </c>
      <c r="O39" s="56">
        <v>0</v>
      </c>
      <c r="P39" s="55">
        <v>274</v>
      </c>
      <c r="Q39" s="55">
        <v>1</v>
      </c>
      <c r="R39" s="54">
        <f t="shared" si="0"/>
        <v>1.0896807235480004E-4</v>
      </c>
      <c r="S39" s="55">
        <v>232</v>
      </c>
      <c r="T39" s="56">
        <f t="shared" si="1"/>
        <v>4.3103448275862064</v>
      </c>
      <c r="U39" s="58">
        <v>2</v>
      </c>
      <c r="V39" s="54">
        <f t="shared" si="2"/>
        <v>2.4527839097375519E-4</v>
      </c>
      <c r="W39" s="55">
        <v>233</v>
      </c>
      <c r="X39" s="56">
        <f t="shared" si="3"/>
        <v>8.5836909871244629</v>
      </c>
      <c r="Y39" s="59">
        <v>0</v>
      </c>
      <c r="Z39" s="54">
        <f t="shared" si="4"/>
        <v>0</v>
      </c>
      <c r="AA39" s="60">
        <v>220</v>
      </c>
      <c r="AB39" s="56">
        <f t="shared" si="5"/>
        <v>0</v>
      </c>
      <c r="AC39" s="61">
        <v>1</v>
      </c>
      <c r="AD39" s="54">
        <f t="shared" si="6"/>
        <v>1.2106537530266344E-4</v>
      </c>
      <c r="AE39" s="51">
        <v>210</v>
      </c>
      <c r="AF39" s="56">
        <f t="shared" si="7"/>
        <v>4.7619047619047628</v>
      </c>
      <c r="AG39" s="63">
        <v>1</v>
      </c>
      <c r="AH39" s="54">
        <f t="shared" si="8"/>
        <v>1.1125945705384957E-4</v>
      </c>
      <c r="AI39" s="44">
        <v>250</v>
      </c>
      <c r="AJ39" s="56">
        <f t="shared" si="10"/>
        <v>4</v>
      </c>
    </row>
    <row r="40" spans="1:39" x14ac:dyDescent="0.2">
      <c r="A40" s="1">
        <v>947</v>
      </c>
      <c r="B40" s="64">
        <v>30</v>
      </c>
      <c r="C40" s="34" t="s">
        <v>45</v>
      </c>
      <c r="D40" s="35">
        <v>253</v>
      </c>
      <c r="E40" s="36">
        <v>3.5952820804320024E-2</v>
      </c>
      <c r="F40" s="37">
        <v>10034</v>
      </c>
      <c r="G40" s="38">
        <v>25.214271476978272</v>
      </c>
      <c r="H40" s="35">
        <v>277</v>
      </c>
      <c r="I40" s="36">
        <v>3.9856115107913669E-2</v>
      </c>
      <c r="J40" s="37">
        <v>10508</v>
      </c>
      <c r="K40" s="38">
        <v>26.360867910163684</v>
      </c>
      <c r="L40" s="35">
        <v>296</v>
      </c>
      <c r="M40" s="36">
        <v>3.9086227386768785E-2</v>
      </c>
      <c r="N40" s="37">
        <v>11039</v>
      </c>
      <c r="O40" s="38">
        <v>26.814023009330555</v>
      </c>
      <c r="P40" s="37">
        <v>11793</v>
      </c>
      <c r="Q40" s="37">
        <v>286</v>
      </c>
      <c r="R40" s="36">
        <f t="shared" si="0"/>
        <v>3.1164868693472812E-2</v>
      </c>
      <c r="S40" s="37">
        <v>13406</v>
      </c>
      <c r="T40" s="38">
        <f t="shared" si="1"/>
        <v>21.333731165149935</v>
      </c>
      <c r="U40" s="39">
        <v>253</v>
      </c>
      <c r="V40" s="36">
        <f t="shared" si="2"/>
        <v>3.1027716458180036E-2</v>
      </c>
      <c r="W40" s="37">
        <v>13180</v>
      </c>
      <c r="X40" s="38">
        <f t="shared" si="3"/>
        <v>19.195751138088013</v>
      </c>
      <c r="Y40" s="40">
        <v>262</v>
      </c>
      <c r="Z40" s="36">
        <f t="shared" si="4"/>
        <v>3.2656113673189581E-2</v>
      </c>
      <c r="AA40" s="41">
        <v>13439</v>
      </c>
      <c r="AB40" s="38">
        <f t="shared" si="5"/>
        <v>19.495498176947688</v>
      </c>
      <c r="AC40" s="40">
        <v>359</v>
      </c>
      <c r="AD40" s="36">
        <f t="shared" si="6"/>
        <v>4.3462469733656174E-2</v>
      </c>
      <c r="AE40" s="51">
        <v>13675</v>
      </c>
      <c r="AF40" s="38">
        <f t="shared" si="7"/>
        <v>26.252285191956126</v>
      </c>
      <c r="AG40" s="43">
        <v>326</v>
      </c>
      <c r="AH40" s="36">
        <f t="shared" si="8"/>
        <v>3.6270582999554962E-2</v>
      </c>
      <c r="AI40" s="44">
        <v>14107</v>
      </c>
      <c r="AJ40" s="38">
        <f t="shared" si="10"/>
        <v>23.109094775643296</v>
      </c>
    </row>
    <row r="41" spans="1:39" x14ac:dyDescent="0.2">
      <c r="A41" s="1">
        <v>972</v>
      </c>
      <c r="B41" s="64">
        <v>31</v>
      </c>
      <c r="C41" s="45" t="s">
        <v>46</v>
      </c>
      <c r="D41" s="46">
        <v>214</v>
      </c>
      <c r="E41" s="47">
        <v>3.0410686372033539E-2</v>
      </c>
      <c r="F41" s="48">
        <v>5682</v>
      </c>
      <c r="G41" s="49">
        <v>37.6627947905667</v>
      </c>
      <c r="H41" s="46">
        <v>204</v>
      </c>
      <c r="I41" s="47">
        <v>2.9352517985611511E-2</v>
      </c>
      <c r="J41" s="48">
        <v>5607</v>
      </c>
      <c r="K41" s="49">
        <v>36.383092562867844</v>
      </c>
      <c r="L41" s="46">
        <v>227</v>
      </c>
      <c r="M41" s="47">
        <v>2.9974910867555792E-2</v>
      </c>
      <c r="N41" s="48">
        <v>5642</v>
      </c>
      <c r="O41" s="49">
        <v>40.233959588798299</v>
      </c>
      <c r="P41" s="48">
        <v>5539</v>
      </c>
      <c r="Q41" s="48">
        <v>192</v>
      </c>
      <c r="R41" s="47">
        <f t="shared" si="0"/>
        <v>2.0921869892121608E-2</v>
      </c>
      <c r="S41" s="48">
        <v>6408</v>
      </c>
      <c r="T41" s="49">
        <f t="shared" si="1"/>
        <v>29.962546816479399</v>
      </c>
      <c r="U41" s="50">
        <v>169</v>
      </c>
      <c r="V41" s="47">
        <f t="shared" si="2"/>
        <v>2.0726024037282315E-2</v>
      </c>
      <c r="W41" s="48">
        <v>6489</v>
      </c>
      <c r="X41" s="49">
        <f t="shared" si="3"/>
        <v>26.044074587763909</v>
      </c>
      <c r="Y41" s="4">
        <v>198</v>
      </c>
      <c r="Z41" s="47">
        <f t="shared" si="4"/>
        <v>2.4679047737753958E-2</v>
      </c>
      <c r="AA41" s="51">
        <v>6683</v>
      </c>
      <c r="AB41" s="49">
        <f t="shared" si="5"/>
        <v>29.627412838545563</v>
      </c>
      <c r="AC41" s="4">
        <v>194</v>
      </c>
      <c r="AD41" s="47">
        <f t="shared" si="6"/>
        <v>2.3486682808716706E-2</v>
      </c>
      <c r="AE41" s="51">
        <v>6993</v>
      </c>
      <c r="AF41" s="49">
        <f t="shared" si="7"/>
        <v>27.742027742027741</v>
      </c>
      <c r="AG41" s="43">
        <v>222</v>
      </c>
      <c r="AH41" s="47">
        <f t="shared" si="8"/>
        <v>2.4699599465954607E-2</v>
      </c>
      <c r="AI41" s="44">
        <v>7591</v>
      </c>
      <c r="AJ41" s="49">
        <f t="shared" si="10"/>
        <v>29.245158740613885</v>
      </c>
    </row>
    <row r="42" spans="1:39" x14ac:dyDescent="0.2">
      <c r="A42" s="1">
        <v>992</v>
      </c>
      <c r="B42" s="64">
        <v>32</v>
      </c>
      <c r="C42" s="45" t="s">
        <v>47</v>
      </c>
      <c r="D42" s="46">
        <v>56</v>
      </c>
      <c r="E42" s="47">
        <v>7.9579366207190565E-3</v>
      </c>
      <c r="F42" s="48">
        <v>3916</v>
      </c>
      <c r="G42" s="49">
        <v>14.300306435137896</v>
      </c>
      <c r="H42" s="46">
        <v>56</v>
      </c>
      <c r="I42" s="47">
        <v>8.057553956834532E-3</v>
      </c>
      <c r="J42" s="48">
        <v>4022</v>
      </c>
      <c r="K42" s="49">
        <v>13.923421183490801</v>
      </c>
      <c r="L42" s="46">
        <v>58</v>
      </c>
      <c r="M42" s="47">
        <v>7.6587877987587486E-3</v>
      </c>
      <c r="N42" s="48">
        <v>4136</v>
      </c>
      <c r="O42" s="49">
        <v>14.023210831721471</v>
      </c>
      <c r="P42" s="48">
        <v>4303</v>
      </c>
      <c r="Q42" s="48">
        <v>63</v>
      </c>
      <c r="R42" s="47">
        <f t="shared" si="0"/>
        <v>6.8649885583524023E-3</v>
      </c>
      <c r="S42" s="48">
        <v>4745</v>
      </c>
      <c r="T42" s="49">
        <f t="shared" si="1"/>
        <v>13.277133825079032</v>
      </c>
      <c r="U42" s="50">
        <v>61</v>
      </c>
      <c r="V42" s="47">
        <f t="shared" si="2"/>
        <v>7.4809909246995338E-3</v>
      </c>
      <c r="W42" s="48">
        <v>4959</v>
      </c>
      <c r="X42" s="49">
        <f t="shared" si="3"/>
        <v>12.300867110304496</v>
      </c>
      <c r="Y42" s="4">
        <v>80</v>
      </c>
      <c r="Z42" s="47">
        <f t="shared" si="4"/>
        <v>9.9713324192945291E-3</v>
      </c>
      <c r="AA42" s="51">
        <v>5089</v>
      </c>
      <c r="AB42" s="49">
        <f t="shared" si="5"/>
        <v>15.720180782078996</v>
      </c>
      <c r="AC42" s="4">
        <v>47</v>
      </c>
      <c r="AD42" s="47">
        <f t="shared" si="6"/>
        <v>5.6900726392251815E-3</v>
      </c>
      <c r="AE42" s="51">
        <v>5253</v>
      </c>
      <c r="AF42" s="49">
        <f t="shared" si="7"/>
        <v>8.9472682276794213</v>
      </c>
      <c r="AG42" s="43">
        <v>48</v>
      </c>
      <c r="AH42" s="47">
        <f t="shared" si="8"/>
        <v>5.3404539385847796E-3</v>
      </c>
      <c r="AI42" s="44">
        <v>5786</v>
      </c>
      <c r="AJ42" s="49">
        <f t="shared" si="10"/>
        <v>8.2958866228828203</v>
      </c>
    </row>
    <row r="43" spans="1:39" x14ac:dyDescent="0.2">
      <c r="A43" s="1">
        <v>1002</v>
      </c>
      <c r="B43" s="64">
        <v>33</v>
      </c>
      <c r="C43" s="45" t="s">
        <v>48</v>
      </c>
      <c r="D43" s="46">
        <v>319</v>
      </c>
      <c r="E43" s="47">
        <v>4.5331817535881766E-2</v>
      </c>
      <c r="F43" s="48">
        <v>19617</v>
      </c>
      <c r="G43" s="49">
        <v>16.261405923433756</v>
      </c>
      <c r="H43" s="46">
        <v>342</v>
      </c>
      <c r="I43" s="47">
        <v>4.9208633093525182E-2</v>
      </c>
      <c r="J43" s="48">
        <v>20317</v>
      </c>
      <c r="K43" s="49">
        <v>16.833193877048778</v>
      </c>
      <c r="L43" s="46">
        <v>350</v>
      </c>
      <c r="M43" s="47">
        <v>4.6216822923544169E-2</v>
      </c>
      <c r="N43" s="48">
        <v>21584</v>
      </c>
      <c r="O43" s="49">
        <v>16.215715344699777</v>
      </c>
      <c r="P43" s="48">
        <v>23189</v>
      </c>
      <c r="Q43" s="48">
        <v>1018</v>
      </c>
      <c r="R43" s="47">
        <f t="shared" si="0"/>
        <v>0.11092949765718645</v>
      </c>
      <c r="S43" s="48">
        <v>25775</v>
      </c>
      <c r="T43" s="49">
        <f t="shared" si="1"/>
        <v>39.495635305528609</v>
      </c>
      <c r="U43" s="50">
        <v>286</v>
      </c>
      <c r="V43" s="47">
        <f t="shared" si="2"/>
        <v>3.5074809909246996E-2</v>
      </c>
      <c r="W43" s="48">
        <v>25202</v>
      </c>
      <c r="X43" s="49">
        <f t="shared" si="3"/>
        <v>11.348305690024601</v>
      </c>
      <c r="Y43" s="4">
        <v>423</v>
      </c>
      <c r="Z43" s="47">
        <f t="shared" si="4"/>
        <v>5.2723420167019815E-2</v>
      </c>
      <c r="AA43" s="51">
        <v>25671</v>
      </c>
      <c r="AB43" s="49">
        <f t="shared" si="5"/>
        <v>16.477737524833472</v>
      </c>
      <c r="AC43" s="4">
        <v>264</v>
      </c>
      <c r="AD43" s="47">
        <f t="shared" si="6"/>
        <v>3.1961259079903145E-2</v>
      </c>
      <c r="AE43" s="51">
        <v>26206</v>
      </c>
      <c r="AF43" s="49">
        <f t="shared" si="7"/>
        <v>10.074028848355338</v>
      </c>
      <c r="AG43" s="43">
        <v>355</v>
      </c>
      <c r="AH43" s="47">
        <f t="shared" si="8"/>
        <v>3.9497107254116599E-2</v>
      </c>
      <c r="AI43" s="44">
        <v>27099</v>
      </c>
      <c r="AJ43" s="49">
        <f t="shared" si="10"/>
        <v>13.100114395365143</v>
      </c>
    </row>
    <row r="44" spans="1:39" x14ac:dyDescent="0.2">
      <c r="A44" s="1">
        <v>1042</v>
      </c>
      <c r="B44" s="64">
        <v>34</v>
      </c>
      <c r="C44" s="45" t="s">
        <v>49</v>
      </c>
      <c r="D44" s="46">
        <v>6</v>
      </c>
      <c r="E44" s="47">
        <v>8.5263606650561323E-4</v>
      </c>
      <c r="F44" s="48">
        <v>520</v>
      </c>
      <c r="G44" s="49">
        <v>11.538461538461538</v>
      </c>
      <c r="H44" s="46">
        <v>4</v>
      </c>
      <c r="I44" s="47">
        <v>5.7553956834532373E-4</v>
      </c>
      <c r="J44" s="48">
        <v>518</v>
      </c>
      <c r="K44" s="49">
        <v>7.7220077220077226</v>
      </c>
      <c r="L44" s="46">
        <v>5</v>
      </c>
      <c r="M44" s="47">
        <v>6.6024032747920248E-4</v>
      </c>
      <c r="N44" s="48">
        <v>517</v>
      </c>
      <c r="O44" s="49">
        <v>9.6711798839458414</v>
      </c>
      <c r="P44" s="48">
        <v>514</v>
      </c>
      <c r="Q44" s="48">
        <v>7</v>
      </c>
      <c r="R44" s="47">
        <f t="shared" si="0"/>
        <v>7.6277650648360034E-4</v>
      </c>
      <c r="S44" s="48">
        <v>531</v>
      </c>
      <c r="T44" s="49">
        <f t="shared" si="1"/>
        <v>13.182674199623353</v>
      </c>
      <c r="U44" s="50">
        <v>3</v>
      </c>
      <c r="V44" s="47">
        <f t="shared" si="2"/>
        <v>3.6791758646063282E-4</v>
      </c>
      <c r="W44" s="48">
        <v>561</v>
      </c>
      <c r="X44" s="49">
        <f t="shared" si="3"/>
        <v>5.3475935828877006</v>
      </c>
      <c r="Y44" s="4">
        <v>12</v>
      </c>
      <c r="Z44" s="47">
        <f t="shared" si="4"/>
        <v>1.4956998628941791E-3</v>
      </c>
      <c r="AA44" s="51">
        <v>567</v>
      </c>
      <c r="AB44" s="49">
        <f t="shared" si="5"/>
        <v>21.164021164021165</v>
      </c>
      <c r="AC44" s="4">
        <v>11</v>
      </c>
      <c r="AD44" s="47">
        <f t="shared" si="6"/>
        <v>1.3317191283292978E-3</v>
      </c>
      <c r="AE44" s="51">
        <v>539</v>
      </c>
      <c r="AF44" s="49">
        <f t="shared" si="7"/>
        <v>20.408163265306122</v>
      </c>
      <c r="AG44" s="43">
        <v>9</v>
      </c>
      <c r="AH44" s="47">
        <f t="shared" si="8"/>
        <v>1.0013351134846463E-3</v>
      </c>
      <c r="AI44" s="44">
        <v>501</v>
      </c>
      <c r="AJ44" s="49">
        <f t="shared" si="10"/>
        <v>17.964071856287426</v>
      </c>
    </row>
    <row r="45" spans="1:39" ht="13.5" thickBot="1" x14ac:dyDescent="0.25">
      <c r="A45" s="1">
        <v>1050</v>
      </c>
      <c r="B45" s="64">
        <v>35</v>
      </c>
      <c r="C45" s="45" t="s">
        <v>50</v>
      </c>
      <c r="D45" s="46">
        <v>419</v>
      </c>
      <c r="E45" s="47">
        <v>5.9542418644308655E-2</v>
      </c>
      <c r="F45" s="48">
        <v>28315</v>
      </c>
      <c r="G45" s="49">
        <v>14.797810347872153</v>
      </c>
      <c r="H45" s="46">
        <v>381</v>
      </c>
      <c r="I45" s="47">
        <v>5.4820143884892085E-2</v>
      </c>
      <c r="J45" s="48">
        <v>28196</v>
      </c>
      <c r="K45" s="49">
        <v>13.512554972336501</v>
      </c>
      <c r="L45" s="46">
        <v>405</v>
      </c>
      <c r="M45" s="47">
        <v>5.3479466525815395E-2</v>
      </c>
      <c r="N45" s="48">
        <v>28527</v>
      </c>
      <c r="O45" s="49">
        <v>14.197076453885792</v>
      </c>
      <c r="P45" s="48">
        <v>28774</v>
      </c>
      <c r="Q45" s="48">
        <v>411</v>
      </c>
      <c r="R45" s="47">
        <f t="shared" si="0"/>
        <v>4.4785877737822818E-2</v>
      </c>
      <c r="S45" s="48">
        <v>29879</v>
      </c>
      <c r="T45" s="49">
        <f t="shared" si="1"/>
        <v>13.755480437765653</v>
      </c>
      <c r="U45" s="50">
        <v>418</v>
      </c>
      <c r="V45" s="47">
        <f t="shared" si="2"/>
        <v>5.1263183713514841E-2</v>
      </c>
      <c r="W45" s="48">
        <v>30417</v>
      </c>
      <c r="X45" s="49">
        <f t="shared" si="3"/>
        <v>13.742315152710654</v>
      </c>
      <c r="Y45" s="4">
        <v>418</v>
      </c>
      <c r="Z45" s="47">
        <f t="shared" si="4"/>
        <v>5.2100211890813909E-2</v>
      </c>
      <c r="AA45" s="51">
        <v>30347</v>
      </c>
      <c r="AB45" s="49">
        <f t="shared" si="5"/>
        <v>13.774013905822651</v>
      </c>
      <c r="AC45" s="4">
        <v>366</v>
      </c>
      <c r="AD45" s="47">
        <f t="shared" si="6"/>
        <v>4.4309927360774819E-2</v>
      </c>
      <c r="AE45" s="65">
        <v>30423</v>
      </c>
      <c r="AF45" s="49">
        <f t="shared" si="7"/>
        <v>12.030371758209251</v>
      </c>
      <c r="AG45" s="43">
        <v>309</v>
      </c>
      <c r="AH45" s="47">
        <f t="shared" si="8"/>
        <v>3.4379172229639522E-2</v>
      </c>
      <c r="AI45" s="44">
        <v>31028</v>
      </c>
      <c r="AJ45" s="49">
        <f t="shared" si="10"/>
        <v>9.9587469382493232</v>
      </c>
    </row>
    <row r="46" spans="1:39" ht="13.5" thickBot="1" x14ac:dyDescent="0.25">
      <c r="C46" s="79" t="s">
        <v>51</v>
      </c>
      <c r="D46" s="66">
        <v>7037</v>
      </c>
      <c r="E46" s="67">
        <v>1</v>
      </c>
      <c r="F46" s="68">
        <v>479617</v>
      </c>
      <c r="G46" s="69">
        <v>14.672123798781112</v>
      </c>
      <c r="H46" s="66">
        <v>6950</v>
      </c>
      <c r="I46" s="67">
        <v>1</v>
      </c>
      <c r="J46" s="68">
        <v>483685</v>
      </c>
      <c r="K46" s="69">
        <v>14.368855763565129</v>
      </c>
      <c r="L46" s="66">
        <v>7573</v>
      </c>
      <c r="M46" s="67">
        <v>1</v>
      </c>
      <c r="N46" s="68">
        <v>489445</v>
      </c>
      <c r="O46" s="69">
        <v>15.472627159333532</v>
      </c>
      <c r="P46" s="68">
        <v>498484</v>
      </c>
      <c r="Q46" s="66">
        <f>SUM(Q5:Q45)</f>
        <v>9177</v>
      </c>
      <c r="R46" s="67">
        <v>1</v>
      </c>
      <c r="S46" s="68">
        <f>SUM(S5:S45)</f>
        <v>523644</v>
      </c>
      <c r="T46" s="69">
        <f t="shared" si="1"/>
        <v>17.525265256548344</v>
      </c>
      <c r="U46" s="70">
        <f>SUM(U5:U45)</f>
        <v>8154</v>
      </c>
      <c r="V46" s="67">
        <f t="shared" si="2"/>
        <v>1</v>
      </c>
      <c r="W46" s="71">
        <f>SUM(W5:W45)</f>
        <v>529107</v>
      </c>
      <c r="X46" s="72">
        <f t="shared" si="3"/>
        <v>15.410871525041248</v>
      </c>
      <c r="Y46" s="70">
        <f>SUM(Y5:Y45)</f>
        <v>8023</v>
      </c>
      <c r="Z46" s="67">
        <f>Y46/Y$46</f>
        <v>1</v>
      </c>
      <c r="AA46" s="71">
        <f>SUM(AA5:AA45)</f>
        <v>536214</v>
      </c>
      <c r="AB46" s="72">
        <f>(Y46/AA46)*1000</f>
        <v>14.962309824062782</v>
      </c>
      <c r="AC46" s="70">
        <f>SUM(AC5:AC45)</f>
        <v>8260</v>
      </c>
      <c r="AD46" s="67">
        <f>AC46/AC$46</f>
        <v>1</v>
      </c>
      <c r="AE46" s="71">
        <f>SUM(AE5:AE45)</f>
        <v>542853</v>
      </c>
      <c r="AF46" s="72">
        <f>(AC46/AE46)*1000</f>
        <v>15.215905595069016</v>
      </c>
      <c r="AG46" s="70">
        <f>SUM(AG5:AG45)</f>
        <v>8988</v>
      </c>
      <c r="AH46" s="67">
        <f>AG46/AG$46</f>
        <v>1</v>
      </c>
      <c r="AI46" s="71">
        <f>SUM(AI5:AI45)</f>
        <v>557651</v>
      </c>
      <c r="AJ46" s="72">
        <f>(AG46/AI46)*1000</f>
        <v>16.117607607625558</v>
      </c>
    </row>
    <row r="47" spans="1:39" x14ac:dyDescent="0.2">
      <c r="P47" s="76"/>
      <c r="Q47" s="76"/>
      <c r="R47" s="76"/>
      <c r="S47" s="76"/>
      <c r="T47" s="76"/>
      <c r="U47" s="77"/>
      <c r="V47" s="76"/>
      <c r="W47" s="76"/>
      <c r="X47" s="76"/>
      <c r="Y47" s="76"/>
      <c r="Z47" s="76"/>
      <c r="AA47" s="76"/>
      <c r="AB47" s="76"/>
      <c r="AC47" s="76"/>
      <c r="AD47" s="75"/>
      <c r="AE47" s="75"/>
      <c r="AF47" s="75"/>
      <c r="AG47" s="75"/>
      <c r="AH47" s="75"/>
      <c r="AI47" s="75"/>
      <c r="AJ47" s="75"/>
      <c r="AK47" s="75"/>
      <c r="AL47" s="75"/>
      <c r="AM47" s="75"/>
    </row>
    <row r="48" spans="1:39" x14ac:dyDescent="0.2">
      <c r="P48" s="76"/>
      <c r="Q48" s="76"/>
    </row>
    <row r="49" spans="4:15" x14ac:dyDescent="0.2">
      <c r="D49" s="73"/>
      <c r="E49" s="4"/>
      <c r="F49" s="4"/>
      <c r="H49" s="4"/>
      <c r="I49" s="4"/>
      <c r="K49" s="73"/>
    </row>
    <row r="50" spans="4:15" x14ac:dyDescent="0.2">
      <c r="D50" s="4">
        <v>1</v>
      </c>
      <c r="E50" s="4">
        <v>7037</v>
      </c>
      <c r="F50" s="4"/>
      <c r="G50" s="4">
        <v>1</v>
      </c>
      <c r="H50" s="74"/>
      <c r="N50" s="73">
        <v>2007</v>
      </c>
      <c r="O50" s="4"/>
    </row>
    <row r="51" spans="4:15" x14ac:dyDescent="0.2">
      <c r="D51" s="4">
        <v>2</v>
      </c>
      <c r="E51" s="4">
        <v>6950</v>
      </c>
      <c r="F51" s="4"/>
      <c r="G51" s="4">
        <v>2</v>
      </c>
      <c r="H51" s="74"/>
      <c r="N51" s="4" t="s">
        <v>52</v>
      </c>
      <c r="O51" s="4"/>
    </row>
  </sheetData>
  <sheetProtection password="EB3F" sheet="1" objects="1" scenarios="1"/>
  <phoneticPr fontId="2" type="noConversion"/>
  <printOptions horizontalCentered="1" verticalCentered="1"/>
  <pageMargins left="0.25" right="0.25" top="0.8931944444444444" bottom="0.75" header="0.40972222222222221" footer="0.3"/>
  <pageSetup scale="82" orientation="landscape" r:id="rId1"/>
  <headerFooter>
    <oddHeader>&amp;C&amp;"Arial,Bold"&amp;18Home Schooled Students by District
FY 2009-2013</oddHeader>
    <oddFooter>&amp;LCompliler: USOE/Data and Statistics
Source: Year End Web Survey 2013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>Utah State Office of Education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etew</dc:creator>
  <cp:lastModifiedBy>Morandy, Tina</cp:lastModifiedBy>
  <cp:lastPrinted>2013-12-19T20:14:46Z</cp:lastPrinted>
  <dcterms:created xsi:type="dcterms:W3CDTF">2007-12-13T22:54:59Z</dcterms:created>
  <dcterms:modified xsi:type="dcterms:W3CDTF">2013-12-20T17:22:01Z</dcterms:modified>
</cp:coreProperties>
</file>