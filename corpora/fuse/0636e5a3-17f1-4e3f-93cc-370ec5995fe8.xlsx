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1340" windowHeight="5250"/>
  </bookViews>
  <sheets>
    <sheet name="NTC levy rpt for working group" sheetId="2" r:id="rId1"/>
    <sheet name="FY13 referendum rpt - work grp" sheetId="1" r:id="rId2"/>
  </sheets>
  <definedNames>
    <definedName name="_xlnm.Print_Area" localSheetId="1">'FY13 referendum rpt - work grp'!$A$1:$Y$391</definedName>
    <definedName name="_xlnm.Print_Area" localSheetId="0">'NTC levy rpt for working group'!$A$1:$G$388</definedName>
    <definedName name="_xlnm.Print_Titles" localSheetId="1">'FY13 referendum rpt - work grp'!$48:$50</definedName>
    <definedName name="_xlnm.Print_Titles" localSheetId="0">'NTC levy rpt for working group'!$45:$48</definedName>
  </definedNames>
  <calcPr calcId="145621"/>
</workbook>
</file>

<file path=xl/calcChain.xml><?xml version="1.0" encoding="utf-8"?>
<calcChain xmlns="http://schemas.openxmlformats.org/spreadsheetml/2006/main">
  <c r="D42" i="2" l="1"/>
  <c r="E40" i="2"/>
  <c r="E39" i="2"/>
  <c r="E38" i="2"/>
  <c r="E37" i="2"/>
  <c r="E36" i="2"/>
  <c r="E35" i="2"/>
  <c r="E34" i="2"/>
  <c r="E33" i="2"/>
  <c r="E32" i="2"/>
  <c r="E30" i="2"/>
  <c r="E29" i="2"/>
  <c r="E28" i="2"/>
  <c r="E27" i="2"/>
  <c r="E26" i="2"/>
  <c r="E25" i="2"/>
  <c r="E24" i="2"/>
  <c r="E23" i="2"/>
  <c r="E22" i="2"/>
  <c r="E21" i="2"/>
  <c r="E20" i="2"/>
  <c r="E19" i="2"/>
  <c r="E17" i="2"/>
  <c r="E16" i="2"/>
  <c r="E15" i="2"/>
  <c r="E14" i="2"/>
  <c r="E11" i="2"/>
  <c r="E10" i="2"/>
  <c r="E9" i="2"/>
  <c r="E42" i="2" s="1"/>
  <c r="X391" i="1"/>
  <c r="Y391" i="1" s="1"/>
  <c r="V391" i="1"/>
  <c r="W391" i="1" s="1"/>
  <c r="U391" i="1"/>
  <c r="Q391" i="1"/>
  <c r="X390" i="1"/>
  <c r="V390" i="1"/>
  <c r="U390" i="1"/>
  <c r="Y390" i="1" s="1"/>
  <c r="Q390" i="1"/>
  <c r="X389" i="1"/>
  <c r="Y389" i="1" s="1"/>
  <c r="V389" i="1"/>
  <c r="W389" i="1" s="1"/>
  <c r="U389" i="1"/>
  <c r="Q389" i="1"/>
  <c r="X388" i="1"/>
  <c r="V388" i="1"/>
  <c r="U388" i="1"/>
  <c r="Y388" i="1" s="1"/>
  <c r="Q388" i="1"/>
  <c r="X387" i="1"/>
  <c r="Y387" i="1" s="1"/>
  <c r="V387" i="1"/>
  <c r="W387" i="1" s="1"/>
  <c r="U387" i="1"/>
  <c r="Q387" i="1"/>
  <c r="X386" i="1"/>
  <c r="V386" i="1"/>
  <c r="U386" i="1"/>
  <c r="Y386" i="1" s="1"/>
  <c r="Q386" i="1"/>
  <c r="X385" i="1"/>
  <c r="Y385" i="1" s="1"/>
  <c r="V385" i="1"/>
  <c r="W385" i="1" s="1"/>
  <c r="U385" i="1"/>
  <c r="Q385" i="1"/>
  <c r="X384" i="1"/>
  <c r="V384" i="1"/>
  <c r="U384" i="1"/>
  <c r="Y384" i="1" s="1"/>
  <c r="Q384" i="1"/>
  <c r="X383" i="1"/>
  <c r="Y383" i="1" s="1"/>
  <c r="V383" i="1"/>
  <c r="W383" i="1" s="1"/>
  <c r="U383" i="1"/>
  <c r="Q383" i="1"/>
  <c r="X382" i="1"/>
  <c r="V382" i="1"/>
  <c r="U382" i="1"/>
  <c r="Y382" i="1" s="1"/>
  <c r="Q382" i="1"/>
  <c r="X381" i="1"/>
  <c r="Y381" i="1" s="1"/>
  <c r="V381" i="1"/>
  <c r="W381" i="1" s="1"/>
  <c r="U381" i="1"/>
  <c r="Q381" i="1"/>
  <c r="X380" i="1"/>
  <c r="V380" i="1"/>
  <c r="U380" i="1"/>
  <c r="Y380" i="1" s="1"/>
  <c r="Q380" i="1"/>
  <c r="X379" i="1"/>
  <c r="Y379" i="1" s="1"/>
  <c r="V379" i="1"/>
  <c r="W379" i="1" s="1"/>
  <c r="U379" i="1"/>
  <c r="Q379" i="1"/>
  <c r="X378" i="1"/>
  <c r="V378" i="1"/>
  <c r="U378" i="1"/>
  <c r="Y378" i="1" s="1"/>
  <c r="Q378" i="1"/>
  <c r="X377" i="1"/>
  <c r="Y377" i="1" s="1"/>
  <c r="V377" i="1"/>
  <c r="W377" i="1" s="1"/>
  <c r="U377" i="1"/>
  <c r="Q377" i="1"/>
  <c r="X376" i="1"/>
  <c r="V376" i="1"/>
  <c r="U376" i="1"/>
  <c r="Y376" i="1" s="1"/>
  <c r="Q376" i="1"/>
  <c r="X375" i="1"/>
  <c r="Y375" i="1" s="1"/>
  <c r="V375" i="1"/>
  <c r="W375" i="1" s="1"/>
  <c r="U375" i="1"/>
  <c r="Q375" i="1"/>
  <c r="X374" i="1"/>
  <c r="V374" i="1"/>
  <c r="U374" i="1"/>
  <c r="Y374" i="1" s="1"/>
  <c r="Q374" i="1"/>
  <c r="X373" i="1"/>
  <c r="Y373" i="1" s="1"/>
  <c r="V373" i="1"/>
  <c r="W373" i="1" s="1"/>
  <c r="U373" i="1"/>
  <c r="Q373" i="1"/>
  <c r="X372" i="1"/>
  <c r="V372" i="1"/>
  <c r="U372" i="1"/>
  <c r="Y372" i="1" s="1"/>
  <c r="Q372" i="1"/>
  <c r="X371" i="1"/>
  <c r="Y371" i="1" s="1"/>
  <c r="V371" i="1"/>
  <c r="W371" i="1" s="1"/>
  <c r="U371" i="1"/>
  <c r="Q371" i="1"/>
  <c r="X370" i="1"/>
  <c r="V370" i="1"/>
  <c r="U370" i="1"/>
  <c r="Y370" i="1" s="1"/>
  <c r="Q370" i="1"/>
  <c r="X369" i="1"/>
  <c r="Y369" i="1" s="1"/>
  <c r="V369" i="1"/>
  <c r="W369" i="1" s="1"/>
  <c r="U369" i="1"/>
  <c r="Q369" i="1"/>
  <c r="X368" i="1"/>
  <c r="V368" i="1"/>
  <c r="U368" i="1"/>
  <c r="Y368" i="1" s="1"/>
  <c r="Q368" i="1"/>
  <c r="X367" i="1"/>
  <c r="Y367" i="1" s="1"/>
  <c r="V367" i="1"/>
  <c r="U367" i="1"/>
  <c r="Q367" i="1"/>
  <c r="X366" i="1"/>
  <c r="Y366" i="1" s="1"/>
  <c r="V366" i="1"/>
  <c r="W366" i="1" s="1"/>
  <c r="U366" i="1"/>
  <c r="Q366" i="1"/>
  <c r="X365" i="1"/>
  <c r="V365" i="1"/>
  <c r="U365" i="1"/>
  <c r="Y365" i="1" s="1"/>
  <c r="Q365" i="1"/>
  <c r="X364" i="1"/>
  <c r="Y364" i="1" s="1"/>
  <c r="V364" i="1"/>
  <c r="W364" i="1" s="1"/>
  <c r="U364" i="1"/>
  <c r="Q364" i="1"/>
  <c r="X363" i="1"/>
  <c r="V363" i="1"/>
  <c r="U363" i="1"/>
  <c r="Y363" i="1" s="1"/>
  <c r="Q363" i="1"/>
  <c r="X362" i="1"/>
  <c r="Y362" i="1" s="1"/>
  <c r="V362" i="1"/>
  <c r="W362" i="1" s="1"/>
  <c r="U362" i="1"/>
  <c r="Q362" i="1"/>
  <c r="X361" i="1"/>
  <c r="V361" i="1"/>
  <c r="U361" i="1"/>
  <c r="Y361" i="1" s="1"/>
  <c r="Q361" i="1"/>
  <c r="X360" i="1"/>
  <c r="Y360" i="1" s="1"/>
  <c r="V360" i="1"/>
  <c r="W360" i="1" s="1"/>
  <c r="U360" i="1"/>
  <c r="Q360" i="1"/>
  <c r="X359" i="1"/>
  <c r="V359" i="1"/>
  <c r="U359" i="1"/>
  <c r="Y359" i="1" s="1"/>
  <c r="Q359" i="1"/>
  <c r="X358" i="1"/>
  <c r="V358" i="1"/>
  <c r="U358" i="1"/>
  <c r="Q358" i="1"/>
  <c r="X357" i="1"/>
  <c r="Y357" i="1" s="1"/>
  <c r="V357" i="1"/>
  <c r="W357" i="1" s="1"/>
  <c r="U357" i="1"/>
  <c r="Q357" i="1"/>
  <c r="X356" i="1"/>
  <c r="V356" i="1"/>
  <c r="U356" i="1"/>
  <c r="Y356" i="1" s="1"/>
  <c r="Q356" i="1"/>
  <c r="X355" i="1"/>
  <c r="Y355" i="1" s="1"/>
  <c r="V355" i="1"/>
  <c r="W355" i="1" s="1"/>
  <c r="U355" i="1"/>
  <c r="Q355" i="1"/>
  <c r="X354" i="1"/>
  <c r="V354" i="1"/>
  <c r="U354" i="1"/>
  <c r="Y354" i="1" s="1"/>
  <c r="Q354" i="1"/>
  <c r="X353" i="1"/>
  <c r="Y353" i="1" s="1"/>
  <c r="V353" i="1"/>
  <c r="W353" i="1" s="1"/>
  <c r="U353" i="1"/>
  <c r="Q353" i="1"/>
  <c r="X352" i="1"/>
  <c r="V352" i="1"/>
  <c r="U352" i="1"/>
  <c r="Y352" i="1" s="1"/>
  <c r="Q352" i="1"/>
  <c r="X351" i="1"/>
  <c r="Y351" i="1" s="1"/>
  <c r="V351" i="1"/>
  <c r="W351" i="1" s="1"/>
  <c r="U351" i="1"/>
  <c r="Q351" i="1"/>
  <c r="X350" i="1"/>
  <c r="V350" i="1"/>
  <c r="U350" i="1"/>
  <c r="Y350" i="1" s="1"/>
  <c r="Q350" i="1"/>
  <c r="X349" i="1"/>
  <c r="Y349" i="1" s="1"/>
  <c r="V349" i="1"/>
  <c r="W349" i="1" s="1"/>
  <c r="U349" i="1"/>
  <c r="Q349" i="1"/>
  <c r="X348" i="1"/>
  <c r="V348" i="1"/>
  <c r="U348" i="1"/>
  <c r="Y348" i="1" s="1"/>
  <c r="Q348" i="1"/>
  <c r="X347" i="1"/>
  <c r="Y347" i="1" s="1"/>
  <c r="V347" i="1"/>
  <c r="W347" i="1" s="1"/>
  <c r="U347" i="1"/>
  <c r="Q347" i="1"/>
  <c r="X346" i="1"/>
  <c r="V346" i="1"/>
  <c r="U346" i="1"/>
  <c r="Y346" i="1" s="1"/>
  <c r="Q346" i="1"/>
  <c r="X345" i="1"/>
  <c r="Y345" i="1" s="1"/>
  <c r="V345" i="1"/>
  <c r="W345" i="1" s="1"/>
  <c r="U345" i="1"/>
  <c r="Q345" i="1"/>
  <c r="X344" i="1"/>
  <c r="V344" i="1"/>
  <c r="U344" i="1"/>
  <c r="Y344" i="1" s="1"/>
  <c r="Q344" i="1"/>
  <c r="X343" i="1"/>
  <c r="Y343" i="1" s="1"/>
  <c r="V343" i="1"/>
  <c r="W343" i="1" s="1"/>
  <c r="U343" i="1"/>
  <c r="Q343" i="1"/>
  <c r="X342" i="1"/>
  <c r="V342" i="1"/>
  <c r="U342" i="1"/>
  <c r="Y342" i="1" s="1"/>
  <c r="Q342" i="1"/>
  <c r="X341" i="1"/>
  <c r="Y341" i="1" s="1"/>
  <c r="V341" i="1"/>
  <c r="W341" i="1" s="1"/>
  <c r="U341" i="1"/>
  <c r="Q341" i="1"/>
  <c r="X340" i="1"/>
  <c r="V340" i="1"/>
  <c r="U340" i="1"/>
  <c r="Y340" i="1" s="1"/>
  <c r="Q340" i="1"/>
  <c r="X339" i="1"/>
  <c r="Y339" i="1" s="1"/>
  <c r="V339" i="1"/>
  <c r="W339" i="1" s="1"/>
  <c r="U339" i="1"/>
  <c r="Q339" i="1"/>
  <c r="X338" i="1"/>
  <c r="V338" i="1"/>
  <c r="U338" i="1"/>
  <c r="Y338" i="1" s="1"/>
  <c r="Q338" i="1"/>
  <c r="X337" i="1"/>
  <c r="Y337" i="1" s="1"/>
  <c r="V337" i="1"/>
  <c r="W337" i="1" s="1"/>
  <c r="U337" i="1"/>
  <c r="Q337" i="1"/>
  <c r="X336" i="1"/>
  <c r="V336" i="1"/>
  <c r="U336" i="1"/>
  <c r="Y336" i="1" s="1"/>
  <c r="Q336" i="1"/>
  <c r="X335" i="1"/>
  <c r="Y335" i="1" s="1"/>
  <c r="V335" i="1"/>
  <c r="W335" i="1" s="1"/>
  <c r="U335" i="1"/>
  <c r="Q335" i="1"/>
  <c r="X334" i="1"/>
  <c r="V334" i="1"/>
  <c r="U334" i="1"/>
  <c r="Y334" i="1" s="1"/>
  <c r="Q334" i="1"/>
  <c r="X333" i="1"/>
  <c r="Y333" i="1" s="1"/>
  <c r="V333" i="1"/>
  <c r="W333" i="1" s="1"/>
  <c r="U333" i="1"/>
  <c r="Q333" i="1"/>
  <c r="X332" i="1"/>
  <c r="V332" i="1"/>
  <c r="U332" i="1"/>
  <c r="Y332" i="1" s="1"/>
  <c r="Q332" i="1"/>
  <c r="X331" i="1"/>
  <c r="Y331" i="1" s="1"/>
  <c r="V331" i="1"/>
  <c r="W331" i="1" s="1"/>
  <c r="U331" i="1"/>
  <c r="Q331" i="1"/>
  <c r="X330" i="1"/>
  <c r="V330" i="1"/>
  <c r="U330" i="1"/>
  <c r="Y330" i="1" s="1"/>
  <c r="Q330" i="1"/>
  <c r="X329" i="1"/>
  <c r="Y329" i="1" s="1"/>
  <c r="V329" i="1"/>
  <c r="W329" i="1" s="1"/>
  <c r="U329" i="1"/>
  <c r="Q329" i="1"/>
  <c r="Y328" i="1"/>
  <c r="X328" i="1"/>
  <c r="V328" i="1"/>
  <c r="U328" i="1"/>
  <c r="Q328" i="1"/>
  <c r="X327" i="1"/>
  <c r="V327" i="1"/>
  <c r="U327" i="1"/>
  <c r="Y327" i="1" s="1"/>
  <c r="Q327" i="1"/>
  <c r="X326" i="1"/>
  <c r="Y326" i="1" s="1"/>
  <c r="V326" i="1"/>
  <c r="W326" i="1" s="1"/>
  <c r="U326" i="1"/>
  <c r="Q326" i="1"/>
  <c r="X325" i="1"/>
  <c r="V325" i="1"/>
  <c r="U325" i="1"/>
  <c r="Y325" i="1" s="1"/>
  <c r="Q325" i="1"/>
  <c r="X324" i="1"/>
  <c r="Y324" i="1" s="1"/>
  <c r="V324" i="1"/>
  <c r="W324" i="1" s="1"/>
  <c r="U324" i="1"/>
  <c r="Q324" i="1"/>
  <c r="X323" i="1"/>
  <c r="V323" i="1"/>
  <c r="U323" i="1"/>
  <c r="Y323" i="1" s="1"/>
  <c r="Q323" i="1"/>
  <c r="X322" i="1"/>
  <c r="Y322" i="1" s="1"/>
  <c r="V322" i="1"/>
  <c r="W322" i="1" s="1"/>
  <c r="U322" i="1"/>
  <c r="Q322" i="1"/>
  <c r="X321" i="1"/>
  <c r="V321" i="1"/>
  <c r="U321" i="1"/>
  <c r="Y321" i="1" s="1"/>
  <c r="Q321" i="1"/>
  <c r="X320" i="1"/>
  <c r="Y320" i="1" s="1"/>
  <c r="V320" i="1"/>
  <c r="U320" i="1"/>
  <c r="Q320" i="1"/>
  <c r="X319" i="1"/>
  <c r="Y319" i="1" s="1"/>
  <c r="V319" i="1"/>
  <c r="W319" i="1" s="1"/>
  <c r="U319" i="1"/>
  <c r="Q319" i="1"/>
  <c r="X318" i="1"/>
  <c r="V318" i="1"/>
  <c r="U318" i="1"/>
  <c r="Y318" i="1" s="1"/>
  <c r="Q318" i="1"/>
  <c r="X317" i="1"/>
  <c r="Y317" i="1" s="1"/>
  <c r="V317" i="1"/>
  <c r="W317" i="1" s="1"/>
  <c r="U317" i="1"/>
  <c r="Q317" i="1"/>
  <c r="X316" i="1"/>
  <c r="V316" i="1"/>
  <c r="U316" i="1"/>
  <c r="Y316" i="1" s="1"/>
  <c r="Q316" i="1"/>
  <c r="X315" i="1"/>
  <c r="Y315" i="1" s="1"/>
  <c r="V315" i="1"/>
  <c r="W315" i="1" s="1"/>
  <c r="U315" i="1"/>
  <c r="Q315" i="1"/>
  <c r="X314" i="1"/>
  <c r="V314" i="1"/>
  <c r="U314" i="1"/>
  <c r="Y314" i="1" s="1"/>
  <c r="Q314" i="1"/>
  <c r="X313" i="1"/>
  <c r="Y313" i="1" s="1"/>
  <c r="V313" i="1"/>
  <c r="W313" i="1" s="1"/>
  <c r="U313" i="1"/>
  <c r="Q313" i="1"/>
  <c r="X312" i="1"/>
  <c r="V312" i="1"/>
  <c r="U312" i="1"/>
  <c r="Y312" i="1" s="1"/>
  <c r="Q312" i="1"/>
  <c r="X311" i="1"/>
  <c r="Y311" i="1" s="1"/>
  <c r="V311" i="1"/>
  <c r="W311" i="1" s="1"/>
  <c r="U311" i="1"/>
  <c r="Q311" i="1"/>
  <c r="X310" i="1"/>
  <c r="V310" i="1"/>
  <c r="U310" i="1"/>
  <c r="Y310" i="1" s="1"/>
  <c r="Q310" i="1"/>
  <c r="X309" i="1"/>
  <c r="Y309" i="1" s="1"/>
  <c r="V309" i="1"/>
  <c r="W309" i="1" s="1"/>
  <c r="U309" i="1"/>
  <c r="Q309" i="1"/>
  <c r="X308" i="1"/>
  <c r="V308" i="1"/>
  <c r="U308" i="1"/>
  <c r="Y308" i="1" s="1"/>
  <c r="Q308" i="1"/>
  <c r="X307" i="1"/>
  <c r="Y307" i="1" s="1"/>
  <c r="V307" i="1"/>
  <c r="W307" i="1" s="1"/>
  <c r="U307" i="1"/>
  <c r="Q307" i="1"/>
  <c r="X306" i="1"/>
  <c r="V306" i="1"/>
  <c r="U306" i="1"/>
  <c r="Y306" i="1" s="1"/>
  <c r="Q306" i="1"/>
  <c r="X305" i="1"/>
  <c r="Y305" i="1" s="1"/>
  <c r="V305" i="1"/>
  <c r="W305" i="1" s="1"/>
  <c r="U305" i="1"/>
  <c r="Q305" i="1"/>
  <c r="X304" i="1"/>
  <c r="V304" i="1"/>
  <c r="U304" i="1"/>
  <c r="Y304" i="1" s="1"/>
  <c r="Q304" i="1"/>
  <c r="X303" i="1"/>
  <c r="Y303" i="1" s="1"/>
  <c r="V303" i="1"/>
  <c r="W303" i="1" s="1"/>
  <c r="U303" i="1"/>
  <c r="Q303" i="1"/>
  <c r="X302" i="1"/>
  <c r="V302" i="1"/>
  <c r="U302" i="1"/>
  <c r="Y302" i="1" s="1"/>
  <c r="Q302" i="1"/>
  <c r="X301" i="1"/>
  <c r="Y301" i="1" s="1"/>
  <c r="V301" i="1"/>
  <c r="W301" i="1" s="1"/>
  <c r="U301" i="1"/>
  <c r="Q301" i="1"/>
  <c r="X300" i="1"/>
  <c r="V300" i="1"/>
  <c r="U300" i="1"/>
  <c r="Y300" i="1" s="1"/>
  <c r="Q300" i="1"/>
  <c r="X299" i="1"/>
  <c r="Y299" i="1" s="1"/>
  <c r="V299" i="1"/>
  <c r="W299" i="1" s="1"/>
  <c r="U299" i="1"/>
  <c r="Q299" i="1"/>
  <c r="X298" i="1"/>
  <c r="V298" i="1"/>
  <c r="U298" i="1"/>
  <c r="Y298" i="1" s="1"/>
  <c r="Q298" i="1"/>
  <c r="X297" i="1"/>
  <c r="Y297" i="1" s="1"/>
  <c r="V297" i="1"/>
  <c r="U297" i="1"/>
  <c r="Q297" i="1"/>
  <c r="X296" i="1"/>
  <c r="Y296" i="1" s="1"/>
  <c r="V296" i="1"/>
  <c r="W296" i="1" s="1"/>
  <c r="U296" i="1"/>
  <c r="Q296" i="1"/>
  <c r="Y295" i="1"/>
  <c r="X295" i="1"/>
  <c r="V295" i="1"/>
  <c r="U295" i="1"/>
  <c r="Q295" i="1"/>
  <c r="Y294" i="1"/>
  <c r="X294" i="1"/>
  <c r="U294" i="1"/>
  <c r="Q294" i="1"/>
  <c r="X293" i="1"/>
  <c r="Y293" i="1" s="1"/>
  <c r="V293" i="1"/>
  <c r="W293" i="1" s="1"/>
  <c r="U293" i="1"/>
  <c r="Q293" i="1"/>
  <c r="X292" i="1"/>
  <c r="V292" i="1"/>
  <c r="U292" i="1"/>
  <c r="Y292" i="1" s="1"/>
  <c r="Q292" i="1"/>
  <c r="X291" i="1"/>
  <c r="Y291" i="1" s="1"/>
  <c r="V291" i="1"/>
  <c r="W291" i="1" s="1"/>
  <c r="U291" i="1"/>
  <c r="Q291" i="1"/>
  <c r="X290" i="1"/>
  <c r="V290" i="1"/>
  <c r="U290" i="1"/>
  <c r="Y290" i="1" s="1"/>
  <c r="Q290" i="1"/>
  <c r="X289" i="1"/>
  <c r="Y289" i="1" s="1"/>
  <c r="V289" i="1"/>
  <c r="W289" i="1" s="1"/>
  <c r="U289" i="1"/>
  <c r="Q289" i="1"/>
  <c r="X288" i="1"/>
  <c r="V288" i="1"/>
  <c r="U288" i="1"/>
  <c r="Y288" i="1" s="1"/>
  <c r="Q288" i="1"/>
  <c r="X287" i="1"/>
  <c r="Y287" i="1" s="1"/>
  <c r="V287" i="1"/>
  <c r="W287" i="1" s="1"/>
  <c r="U287" i="1"/>
  <c r="Q287" i="1"/>
  <c r="X286" i="1"/>
  <c r="V286" i="1"/>
  <c r="U286" i="1"/>
  <c r="Y286" i="1" s="1"/>
  <c r="Q286" i="1"/>
  <c r="X285" i="1"/>
  <c r="Y285" i="1" s="1"/>
  <c r="V285" i="1"/>
  <c r="W285" i="1" s="1"/>
  <c r="U285" i="1"/>
  <c r="Q285" i="1"/>
  <c r="X284" i="1"/>
  <c r="V284" i="1"/>
  <c r="U284" i="1"/>
  <c r="Y284" i="1" s="1"/>
  <c r="Q284" i="1"/>
  <c r="X283" i="1"/>
  <c r="Y283" i="1" s="1"/>
  <c r="V283" i="1"/>
  <c r="W283" i="1" s="1"/>
  <c r="U283" i="1"/>
  <c r="Q283" i="1"/>
  <c r="X282" i="1"/>
  <c r="Y282" i="1" s="1"/>
  <c r="V282" i="1"/>
  <c r="U282" i="1"/>
  <c r="Q282" i="1"/>
  <c r="X281" i="1"/>
  <c r="Y281" i="1" s="1"/>
  <c r="V281" i="1"/>
  <c r="W281" i="1" s="1"/>
  <c r="U281" i="1"/>
  <c r="Q281" i="1"/>
  <c r="X280" i="1"/>
  <c r="V280" i="1"/>
  <c r="U280" i="1"/>
  <c r="Y280" i="1" s="1"/>
  <c r="Q280" i="1"/>
  <c r="X279" i="1"/>
  <c r="Y279" i="1" s="1"/>
  <c r="V279" i="1"/>
  <c r="W279" i="1" s="1"/>
  <c r="U279" i="1"/>
  <c r="Q279" i="1"/>
  <c r="X278" i="1"/>
  <c r="V278" i="1"/>
  <c r="U278" i="1"/>
  <c r="Y278" i="1" s="1"/>
  <c r="Q278" i="1"/>
  <c r="X277" i="1"/>
  <c r="Y277" i="1" s="1"/>
  <c r="V277" i="1"/>
  <c r="W277" i="1" s="1"/>
  <c r="U277" i="1"/>
  <c r="Q277" i="1"/>
  <c r="X276" i="1"/>
  <c r="V276" i="1"/>
  <c r="U276" i="1"/>
  <c r="Y276" i="1" s="1"/>
  <c r="Q276" i="1"/>
  <c r="X275" i="1"/>
  <c r="Y275" i="1" s="1"/>
  <c r="V275" i="1"/>
  <c r="W275" i="1" s="1"/>
  <c r="U275" i="1"/>
  <c r="Q275" i="1"/>
  <c r="X274" i="1"/>
  <c r="V274" i="1"/>
  <c r="U274" i="1"/>
  <c r="Y274" i="1" s="1"/>
  <c r="Q274" i="1"/>
  <c r="X273" i="1"/>
  <c r="Y273" i="1" s="1"/>
  <c r="V273" i="1"/>
  <c r="W273" i="1" s="1"/>
  <c r="U273" i="1"/>
  <c r="Q273" i="1"/>
  <c r="X272" i="1"/>
  <c r="V272" i="1"/>
  <c r="U272" i="1"/>
  <c r="Y272" i="1" s="1"/>
  <c r="Q272" i="1"/>
  <c r="X271" i="1"/>
  <c r="Y271" i="1" s="1"/>
  <c r="V271" i="1"/>
  <c r="W271" i="1" s="1"/>
  <c r="U271" i="1"/>
  <c r="Q271" i="1"/>
  <c r="X270" i="1"/>
  <c r="V270" i="1"/>
  <c r="U270" i="1"/>
  <c r="Y270" i="1" s="1"/>
  <c r="Q270" i="1"/>
  <c r="X269" i="1"/>
  <c r="Y269" i="1" s="1"/>
  <c r="V269" i="1"/>
  <c r="W269" i="1" s="1"/>
  <c r="U269" i="1"/>
  <c r="Q269" i="1"/>
  <c r="X268" i="1"/>
  <c r="V268" i="1"/>
  <c r="U268" i="1"/>
  <c r="Y268" i="1" s="1"/>
  <c r="Q268" i="1"/>
  <c r="X267" i="1"/>
  <c r="Y267" i="1" s="1"/>
  <c r="V267" i="1"/>
  <c r="W267" i="1" s="1"/>
  <c r="U267" i="1"/>
  <c r="Q267" i="1"/>
  <c r="X266" i="1"/>
  <c r="V266" i="1"/>
  <c r="U266" i="1"/>
  <c r="Y266" i="1" s="1"/>
  <c r="Q266" i="1"/>
  <c r="X265" i="1"/>
  <c r="Y265" i="1" s="1"/>
  <c r="V265" i="1"/>
  <c r="W265" i="1" s="1"/>
  <c r="U265" i="1"/>
  <c r="Q265" i="1"/>
  <c r="X264" i="1"/>
  <c r="V264" i="1"/>
  <c r="U264" i="1"/>
  <c r="Y264" i="1" s="1"/>
  <c r="Q264" i="1"/>
  <c r="X263" i="1"/>
  <c r="Y263" i="1" s="1"/>
  <c r="V263" i="1"/>
  <c r="W263" i="1" s="1"/>
  <c r="U263" i="1"/>
  <c r="Q263" i="1"/>
  <c r="X262" i="1"/>
  <c r="V262" i="1"/>
  <c r="U262" i="1"/>
  <c r="Y262" i="1" s="1"/>
  <c r="Q262" i="1"/>
  <c r="X261" i="1"/>
  <c r="Y261" i="1" s="1"/>
  <c r="V261" i="1"/>
  <c r="W261" i="1" s="1"/>
  <c r="U261" i="1"/>
  <c r="Q261" i="1"/>
  <c r="X260" i="1"/>
  <c r="V260" i="1"/>
  <c r="U260" i="1"/>
  <c r="Y260" i="1" s="1"/>
  <c r="Q260" i="1"/>
  <c r="X259" i="1"/>
  <c r="Y259" i="1" s="1"/>
  <c r="V259" i="1"/>
  <c r="W259" i="1" s="1"/>
  <c r="U259" i="1"/>
  <c r="Q259" i="1"/>
  <c r="X258" i="1"/>
  <c r="Y258" i="1" s="1"/>
  <c r="V258" i="1"/>
  <c r="W258" i="1" s="1"/>
  <c r="U258" i="1"/>
  <c r="Q258" i="1"/>
  <c r="X257" i="1"/>
  <c r="V257" i="1"/>
  <c r="U257" i="1"/>
  <c r="Y257" i="1" s="1"/>
  <c r="Q257" i="1"/>
  <c r="X256" i="1"/>
  <c r="Y256" i="1" s="1"/>
  <c r="V256" i="1"/>
  <c r="W256" i="1" s="1"/>
  <c r="U256" i="1"/>
  <c r="Q256" i="1"/>
  <c r="Y255" i="1"/>
  <c r="X255" i="1"/>
  <c r="V255" i="1"/>
  <c r="U255" i="1"/>
  <c r="Q255" i="1"/>
  <c r="X254" i="1"/>
  <c r="Y254" i="1" s="1"/>
  <c r="V254" i="1"/>
  <c r="W254" i="1" s="1"/>
  <c r="U254" i="1"/>
  <c r="Q254" i="1"/>
  <c r="X253" i="1"/>
  <c r="Y253" i="1" s="1"/>
  <c r="V253" i="1"/>
  <c r="W253" i="1" s="1"/>
  <c r="U253" i="1"/>
  <c r="Q253" i="1"/>
  <c r="X252" i="1"/>
  <c r="Y252" i="1" s="1"/>
  <c r="V252" i="1"/>
  <c r="W252" i="1" s="1"/>
  <c r="U252" i="1"/>
  <c r="Q252" i="1"/>
  <c r="X251" i="1"/>
  <c r="Y251" i="1" s="1"/>
  <c r="V251" i="1"/>
  <c r="W251" i="1" s="1"/>
  <c r="U251" i="1"/>
  <c r="Q251" i="1"/>
  <c r="X250" i="1"/>
  <c r="Y250" i="1" s="1"/>
  <c r="V250" i="1"/>
  <c r="W250" i="1" s="1"/>
  <c r="U250" i="1"/>
  <c r="Q250" i="1"/>
  <c r="X249" i="1"/>
  <c r="Y249" i="1" s="1"/>
  <c r="V249" i="1"/>
  <c r="W249" i="1" s="1"/>
  <c r="U249" i="1"/>
  <c r="Q249" i="1"/>
  <c r="X248" i="1"/>
  <c r="Y248" i="1" s="1"/>
  <c r="V248" i="1"/>
  <c r="W248" i="1" s="1"/>
  <c r="U248" i="1"/>
  <c r="Q248" i="1"/>
  <c r="X247" i="1"/>
  <c r="Y247" i="1" s="1"/>
  <c r="V247" i="1"/>
  <c r="W247" i="1" s="1"/>
  <c r="U247" i="1"/>
  <c r="Q247" i="1"/>
  <c r="X246" i="1"/>
  <c r="Y246" i="1" s="1"/>
  <c r="V246" i="1"/>
  <c r="W246" i="1" s="1"/>
  <c r="U246" i="1"/>
  <c r="Q246" i="1"/>
  <c r="X245" i="1"/>
  <c r="Y245" i="1" s="1"/>
  <c r="V245" i="1"/>
  <c r="W245" i="1" s="1"/>
  <c r="U245" i="1"/>
  <c r="Q245" i="1"/>
  <c r="X244" i="1"/>
  <c r="Y244" i="1" s="1"/>
  <c r="V244" i="1"/>
  <c r="W244" i="1" s="1"/>
  <c r="U244" i="1"/>
  <c r="Q244" i="1"/>
  <c r="X243" i="1"/>
  <c r="Y243" i="1" s="1"/>
  <c r="V243" i="1"/>
  <c r="W243" i="1" s="1"/>
  <c r="U243" i="1"/>
  <c r="Q243" i="1"/>
  <c r="X242" i="1"/>
  <c r="Y242" i="1" s="1"/>
  <c r="V242" i="1"/>
  <c r="W242" i="1" s="1"/>
  <c r="U242" i="1"/>
  <c r="Q242" i="1"/>
  <c r="X241" i="1"/>
  <c r="Y241" i="1" s="1"/>
  <c r="V241" i="1"/>
  <c r="W241" i="1" s="1"/>
  <c r="U241" i="1"/>
  <c r="Q241" i="1"/>
  <c r="X240" i="1"/>
  <c r="Y240" i="1" s="1"/>
  <c r="V240" i="1"/>
  <c r="W240" i="1" s="1"/>
  <c r="U240" i="1"/>
  <c r="Q240" i="1"/>
  <c r="X239" i="1"/>
  <c r="V239" i="1"/>
  <c r="U239" i="1"/>
  <c r="Y239" i="1" s="1"/>
  <c r="Q239" i="1"/>
  <c r="X238" i="1"/>
  <c r="Y238" i="1" s="1"/>
  <c r="V238" i="1"/>
  <c r="W238" i="1" s="1"/>
  <c r="U238" i="1"/>
  <c r="Q238" i="1"/>
  <c r="X237" i="1"/>
  <c r="V237" i="1"/>
  <c r="U237" i="1"/>
  <c r="Y237" i="1" s="1"/>
  <c r="Q237" i="1"/>
  <c r="X236" i="1"/>
  <c r="Y236" i="1" s="1"/>
  <c r="V236" i="1"/>
  <c r="W236" i="1" s="1"/>
  <c r="U236" i="1"/>
  <c r="Q236" i="1"/>
  <c r="X235" i="1"/>
  <c r="V235" i="1"/>
  <c r="U235" i="1"/>
  <c r="Y235" i="1" s="1"/>
  <c r="Q235" i="1"/>
  <c r="X234" i="1"/>
  <c r="Y234" i="1" s="1"/>
  <c r="V234" i="1"/>
  <c r="W234" i="1" s="1"/>
  <c r="U234" i="1"/>
  <c r="Q234" i="1"/>
  <c r="X233" i="1"/>
  <c r="Y233" i="1" s="1"/>
  <c r="V233" i="1"/>
  <c r="W233" i="1" s="1"/>
  <c r="U233" i="1"/>
  <c r="Q233" i="1"/>
  <c r="X232" i="1"/>
  <c r="Y232" i="1" s="1"/>
  <c r="V232" i="1"/>
  <c r="W232" i="1" s="1"/>
  <c r="U232" i="1"/>
  <c r="Q232" i="1"/>
  <c r="X231" i="1"/>
  <c r="V231" i="1"/>
  <c r="U231" i="1"/>
  <c r="Y231" i="1" s="1"/>
  <c r="Q231" i="1"/>
  <c r="X230" i="1"/>
  <c r="Y230" i="1" s="1"/>
  <c r="V230" i="1"/>
  <c r="W230" i="1" s="1"/>
  <c r="U230" i="1"/>
  <c r="Q230" i="1"/>
  <c r="X229" i="1"/>
  <c r="V229" i="1"/>
  <c r="U229" i="1"/>
  <c r="Y229" i="1" s="1"/>
  <c r="Q229" i="1"/>
  <c r="X228" i="1"/>
  <c r="Y228" i="1" s="1"/>
  <c r="V228" i="1"/>
  <c r="W228" i="1" s="1"/>
  <c r="U228" i="1"/>
  <c r="Q228" i="1"/>
  <c r="X227" i="1"/>
  <c r="V227" i="1"/>
  <c r="U227" i="1"/>
  <c r="Y227" i="1" s="1"/>
  <c r="Q227" i="1"/>
  <c r="X226" i="1"/>
  <c r="Y226" i="1" s="1"/>
  <c r="V226" i="1"/>
  <c r="W226" i="1" s="1"/>
  <c r="U226" i="1"/>
  <c r="Q226" i="1"/>
  <c r="X225" i="1"/>
  <c r="Y225" i="1" s="1"/>
  <c r="V225" i="1"/>
  <c r="W225" i="1" s="1"/>
  <c r="U225" i="1"/>
  <c r="Q225" i="1"/>
  <c r="X224" i="1"/>
  <c r="Y224" i="1" s="1"/>
  <c r="V224" i="1"/>
  <c r="W224" i="1" s="1"/>
  <c r="U224" i="1"/>
  <c r="Q224" i="1"/>
  <c r="X223" i="1"/>
  <c r="Y223" i="1" s="1"/>
  <c r="V223" i="1"/>
  <c r="U223" i="1"/>
  <c r="Q223" i="1"/>
  <c r="X222" i="1"/>
  <c r="Y222" i="1" s="1"/>
  <c r="V222" i="1"/>
  <c r="U222" i="1"/>
  <c r="Q222" i="1"/>
  <c r="X221" i="1"/>
  <c r="Y221" i="1" s="1"/>
  <c r="V221" i="1"/>
  <c r="W221" i="1" s="1"/>
  <c r="U221" i="1"/>
  <c r="Q221" i="1"/>
  <c r="X220" i="1"/>
  <c r="Y220" i="1" s="1"/>
  <c r="V220" i="1"/>
  <c r="W220" i="1" s="1"/>
  <c r="U220" i="1"/>
  <c r="Q220" i="1"/>
  <c r="X219" i="1"/>
  <c r="Y219" i="1" s="1"/>
  <c r="V219" i="1"/>
  <c r="W219" i="1" s="1"/>
  <c r="U219" i="1"/>
  <c r="Q219" i="1"/>
  <c r="X218" i="1"/>
  <c r="Y218" i="1" s="1"/>
  <c r="V218" i="1"/>
  <c r="W218" i="1" s="1"/>
  <c r="U218" i="1"/>
  <c r="Q218" i="1"/>
  <c r="X217" i="1"/>
  <c r="Y217" i="1" s="1"/>
  <c r="V217" i="1"/>
  <c r="U217" i="1"/>
  <c r="Q217" i="1"/>
  <c r="X216" i="1"/>
  <c r="Y216" i="1" s="1"/>
  <c r="V216" i="1"/>
  <c r="W216" i="1" s="1"/>
  <c r="U216" i="1"/>
  <c r="Q216" i="1"/>
  <c r="X215" i="1"/>
  <c r="Y215" i="1" s="1"/>
  <c r="V215" i="1"/>
  <c r="W215" i="1" s="1"/>
  <c r="U215" i="1"/>
  <c r="Q215" i="1"/>
  <c r="X214" i="1"/>
  <c r="Y214" i="1" s="1"/>
  <c r="V214" i="1"/>
  <c r="W214" i="1" s="1"/>
  <c r="U214" i="1"/>
  <c r="Q214" i="1"/>
  <c r="X213" i="1"/>
  <c r="Y213" i="1" s="1"/>
  <c r="V213" i="1"/>
  <c r="W213" i="1" s="1"/>
  <c r="U213" i="1"/>
  <c r="Q213" i="1"/>
  <c r="X212" i="1"/>
  <c r="Y212" i="1" s="1"/>
  <c r="V212" i="1"/>
  <c r="W212" i="1" s="1"/>
  <c r="U212" i="1"/>
  <c r="Q212" i="1"/>
  <c r="X211" i="1"/>
  <c r="Y211" i="1" s="1"/>
  <c r="V211" i="1"/>
  <c r="W211" i="1" s="1"/>
  <c r="U211" i="1"/>
  <c r="Q211" i="1"/>
  <c r="X210" i="1"/>
  <c r="Y210" i="1" s="1"/>
  <c r="V210" i="1"/>
  <c r="W210" i="1" s="1"/>
  <c r="U210" i="1"/>
  <c r="Q210" i="1"/>
  <c r="X209" i="1"/>
  <c r="Y209" i="1" s="1"/>
  <c r="V209" i="1"/>
  <c r="W209" i="1" s="1"/>
  <c r="U209" i="1"/>
  <c r="Q209" i="1"/>
  <c r="X208" i="1"/>
  <c r="Y208" i="1" s="1"/>
  <c r="V208" i="1"/>
  <c r="W208" i="1" s="1"/>
  <c r="U208" i="1"/>
  <c r="Q208" i="1"/>
  <c r="X207" i="1"/>
  <c r="Y207" i="1" s="1"/>
  <c r="V207" i="1"/>
  <c r="W207" i="1" s="1"/>
  <c r="U207" i="1"/>
  <c r="Q207" i="1"/>
  <c r="X206" i="1"/>
  <c r="Y206" i="1" s="1"/>
  <c r="V206" i="1"/>
  <c r="W206" i="1" s="1"/>
  <c r="U206" i="1"/>
  <c r="Q206" i="1"/>
  <c r="X205" i="1"/>
  <c r="Y205" i="1" s="1"/>
  <c r="V205" i="1"/>
  <c r="W205" i="1" s="1"/>
  <c r="U205" i="1"/>
  <c r="Q205" i="1"/>
  <c r="X204" i="1"/>
  <c r="Y204" i="1" s="1"/>
  <c r="V204" i="1"/>
  <c r="W204" i="1" s="1"/>
  <c r="U204" i="1"/>
  <c r="Q204" i="1"/>
  <c r="X203" i="1"/>
  <c r="Y203" i="1" s="1"/>
  <c r="V203" i="1"/>
  <c r="W203" i="1" s="1"/>
  <c r="U203" i="1"/>
  <c r="Q203" i="1"/>
  <c r="X202" i="1"/>
  <c r="Y202" i="1" s="1"/>
  <c r="V202" i="1"/>
  <c r="W202" i="1" s="1"/>
  <c r="U202" i="1"/>
  <c r="Q202" i="1"/>
  <c r="X201" i="1"/>
  <c r="Y201" i="1" s="1"/>
  <c r="V201" i="1"/>
  <c r="W201" i="1" s="1"/>
  <c r="U201" i="1"/>
  <c r="Q201" i="1"/>
  <c r="X200" i="1"/>
  <c r="Y200" i="1" s="1"/>
  <c r="V200" i="1"/>
  <c r="W200" i="1" s="1"/>
  <c r="U200" i="1"/>
  <c r="Q200" i="1"/>
  <c r="X199" i="1"/>
  <c r="Y199" i="1" s="1"/>
  <c r="V199" i="1"/>
  <c r="W199" i="1" s="1"/>
  <c r="U199" i="1"/>
  <c r="Q199" i="1"/>
  <c r="X198" i="1"/>
  <c r="Y198" i="1" s="1"/>
  <c r="V198" i="1"/>
  <c r="W198" i="1" s="1"/>
  <c r="U198" i="1"/>
  <c r="Q198" i="1"/>
  <c r="X197" i="1"/>
  <c r="Y197" i="1" s="1"/>
  <c r="V197" i="1"/>
  <c r="U197" i="1"/>
  <c r="Q197" i="1"/>
  <c r="X196" i="1"/>
  <c r="Y196" i="1" s="1"/>
  <c r="V196" i="1"/>
  <c r="W196" i="1" s="1"/>
  <c r="U196" i="1"/>
  <c r="Q196" i="1"/>
  <c r="X195" i="1"/>
  <c r="Y195" i="1" s="1"/>
  <c r="V195" i="1"/>
  <c r="W195" i="1" s="1"/>
  <c r="U195" i="1"/>
  <c r="Q195" i="1"/>
  <c r="X194" i="1"/>
  <c r="Y194" i="1" s="1"/>
  <c r="V194" i="1"/>
  <c r="W194" i="1" s="1"/>
  <c r="U194" i="1"/>
  <c r="Q194" i="1"/>
  <c r="X193" i="1"/>
  <c r="Y193" i="1" s="1"/>
  <c r="V193" i="1"/>
  <c r="U193" i="1"/>
  <c r="W193" i="1" s="1"/>
  <c r="Q193" i="1"/>
  <c r="X192" i="1"/>
  <c r="Y192" i="1" s="1"/>
  <c r="V192" i="1"/>
  <c r="U192" i="1"/>
  <c r="Q192" i="1"/>
  <c r="X191" i="1"/>
  <c r="Y191" i="1" s="1"/>
  <c r="V191" i="1"/>
  <c r="W191" i="1" s="1"/>
  <c r="U191" i="1"/>
  <c r="Q191" i="1"/>
  <c r="X190" i="1"/>
  <c r="V190" i="1"/>
  <c r="U190" i="1"/>
  <c r="Y190" i="1" s="1"/>
  <c r="Q190" i="1"/>
  <c r="X189" i="1"/>
  <c r="V189" i="1"/>
  <c r="U189" i="1"/>
  <c r="Q189" i="1"/>
  <c r="X188" i="1"/>
  <c r="Y188" i="1" s="1"/>
  <c r="V188" i="1"/>
  <c r="W188" i="1" s="1"/>
  <c r="U188" i="1"/>
  <c r="Q188" i="1"/>
  <c r="X187" i="1"/>
  <c r="V187" i="1"/>
  <c r="U187" i="1"/>
  <c r="Y187" i="1" s="1"/>
  <c r="Q187" i="1"/>
  <c r="X186" i="1"/>
  <c r="Y186" i="1" s="1"/>
  <c r="V186" i="1"/>
  <c r="W186" i="1" s="1"/>
  <c r="U186" i="1"/>
  <c r="Q186" i="1"/>
  <c r="Y185" i="1"/>
  <c r="X185" i="1"/>
  <c r="V185" i="1"/>
  <c r="U185" i="1"/>
  <c r="Q185" i="1"/>
  <c r="Y184" i="1"/>
  <c r="X184" i="1"/>
  <c r="V184" i="1"/>
  <c r="U184" i="1"/>
  <c r="Q184" i="1"/>
  <c r="X183" i="1"/>
  <c r="V183" i="1"/>
  <c r="U183" i="1"/>
  <c r="Y183" i="1" s="1"/>
  <c r="Q183" i="1"/>
  <c r="X182" i="1"/>
  <c r="Y182" i="1" s="1"/>
  <c r="V182" i="1"/>
  <c r="W182" i="1" s="1"/>
  <c r="U182" i="1"/>
  <c r="Q182" i="1"/>
  <c r="X181" i="1"/>
  <c r="V181" i="1"/>
  <c r="U181" i="1"/>
  <c r="Y181" i="1" s="1"/>
  <c r="Q181" i="1"/>
  <c r="X180" i="1"/>
  <c r="Y180" i="1" s="1"/>
  <c r="V180" i="1"/>
  <c r="W180" i="1" s="1"/>
  <c r="U180" i="1"/>
  <c r="Q180" i="1"/>
  <c r="X179" i="1"/>
  <c r="V179" i="1"/>
  <c r="U179" i="1"/>
  <c r="Y179" i="1" s="1"/>
  <c r="Q179" i="1"/>
  <c r="X178" i="1"/>
  <c r="Y178" i="1" s="1"/>
  <c r="V178" i="1"/>
  <c r="W178" i="1" s="1"/>
  <c r="U178" i="1"/>
  <c r="Q178" i="1"/>
  <c r="X177" i="1"/>
  <c r="V177" i="1"/>
  <c r="U177" i="1"/>
  <c r="Y177" i="1" s="1"/>
  <c r="Q177" i="1"/>
  <c r="X176" i="1"/>
  <c r="Y176" i="1" s="1"/>
  <c r="V176" i="1"/>
  <c r="W176" i="1" s="1"/>
  <c r="U176" i="1"/>
  <c r="Q176" i="1"/>
  <c r="X175" i="1"/>
  <c r="V175" i="1"/>
  <c r="U175" i="1"/>
  <c r="Y175" i="1" s="1"/>
  <c r="Q175" i="1"/>
  <c r="X174" i="1"/>
  <c r="Y174" i="1" s="1"/>
  <c r="V174" i="1"/>
  <c r="W174" i="1" s="1"/>
  <c r="U174" i="1"/>
  <c r="Q174" i="1"/>
  <c r="Y173" i="1"/>
  <c r="X173" i="1"/>
  <c r="V173" i="1"/>
  <c r="U173" i="1"/>
  <c r="Q173" i="1"/>
  <c r="X172" i="1"/>
  <c r="V172" i="1"/>
  <c r="U172" i="1"/>
  <c r="Y172" i="1" s="1"/>
  <c r="Q172" i="1"/>
  <c r="X171" i="1"/>
  <c r="Y171" i="1" s="1"/>
  <c r="V171" i="1"/>
  <c r="W171" i="1" s="1"/>
  <c r="U171" i="1"/>
  <c r="Q171" i="1"/>
  <c r="Y170" i="1"/>
  <c r="X170" i="1"/>
  <c r="V170" i="1"/>
  <c r="U170" i="1"/>
  <c r="Q170" i="1"/>
  <c r="X169" i="1"/>
  <c r="V169" i="1"/>
  <c r="U169" i="1"/>
  <c r="Y169" i="1" s="1"/>
  <c r="Q169" i="1"/>
  <c r="X168" i="1"/>
  <c r="Y168" i="1" s="1"/>
  <c r="V168" i="1"/>
  <c r="W168" i="1" s="1"/>
  <c r="U168" i="1"/>
  <c r="Q168" i="1"/>
  <c r="X167" i="1"/>
  <c r="V167" i="1"/>
  <c r="U167" i="1"/>
  <c r="Y167" i="1" s="1"/>
  <c r="Q167" i="1"/>
  <c r="X166" i="1"/>
  <c r="Y166" i="1" s="1"/>
  <c r="V166" i="1"/>
  <c r="W166" i="1" s="1"/>
  <c r="U166" i="1"/>
  <c r="Q166" i="1"/>
  <c r="Y165" i="1"/>
  <c r="X165" i="1"/>
  <c r="V165" i="1"/>
  <c r="U165" i="1"/>
  <c r="Q165" i="1"/>
  <c r="X164" i="1"/>
  <c r="V164" i="1"/>
  <c r="U164" i="1"/>
  <c r="Y164" i="1" s="1"/>
  <c r="Q164" i="1"/>
  <c r="X163" i="1"/>
  <c r="Y163" i="1" s="1"/>
  <c r="V163" i="1"/>
  <c r="W163" i="1" s="1"/>
  <c r="U163" i="1"/>
  <c r="Q163" i="1"/>
  <c r="X162" i="1"/>
  <c r="V162" i="1"/>
  <c r="U162" i="1"/>
  <c r="Y162" i="1" s="1"/>
  <c r="Q162" i="1"/>
  <c r="X161" i="1"/>
  <c r="Y161" i="1" s="1"/>
  <c r="V161" i="1"/>
  <c r="W161" i="1" s="1"/>
  <c r="U161" i="1"/>
  <c r="Q161" i="1"/>
  <c r="Y160" i="1"/>
  <c r="X160" i="1"/>
  <c r="V160" i="1"/>
  <c r="U160" i="1"/>
  <c r="Q160" i="1"/>
  <c r="Y159" i="1"/>
  <c r="X159" i="1"/>
  <c r="V159" i="1"/>
  <c r="U159" i="1"/>
  <c r="Q159" i="1"/>
  <c r="Y158" i="1"/>
  <c r="X158" i="1"/>
  <c r="V158" i="1"/>
  <c r="U158" i="1"/>
  <c r="Q158" i="1"/>
  <c r="X157" i="1"/>
  <c r="V157" i="1"/>
  <c r="U157" i="1"/>
  <c r="Y157" i="1" s="1"/>
  <c r="Q157" i="1"/>
  <c r="X156" i="1"/>
  <c r="Y156" i="1" s="1"/>
  <c r="V156" i="1"/>
  <c r="W156" i="1" s="1"/>
  <c r="U156" i="1"/>
  <c r="Q156" i="1"/>
  <c r="X155" i="1"/>
  <c r="V155" i="1"/>
  <c r="U155" i="1"/>
  <c r="Y155" i="1" s="1"/>
  <c r="Q155" i="1"/>
  <c r="X154" i="1"/>
  <c r="Y154" i="1" s="1"/>
  <c r="V154" i="1"/>
  <c r="U154" i="1"/>
  <c r="Q154" i="1"/>
  <c r="X153" i="1"/>
  <c r="Y153" i="1" s="1"/>
  <c r="V153" i="1"/>
  <c r="W153" i="1" s="1"/>
  <c r="U153" i="1"/>
  <c r="Q153" i="1"/>
  <c r="X152" i="1"/>
  <c r="V152" i="1"/>
  <c r="U152" i="1"/>
  <c r="Y152" i="1" s="1"/>
  <c r="Q152" i="1"/>
  <c r="X151" i="1"/>
  <c r="Y151" i="1" s="1"/>
  <c r="V151" i="1"/>
  <c r="W151" i="1" s="1"/>
  <c r="U151" i="1"/>
  <c r="Q151" i="1"/>
  <c r="X150" i="1"/>
  <c r="V150" i="1"/>
  <c r="U150" i="1"/>
  <c r="Y150" i="1" s="1"/>
  <c r="Q150" i="1"/>
  <c r="X149" i="1"/>
  <c r="Y149" i="1" s="1"/>
  <c r="V149" i="1"/>
  <c r="W149" i="1" s="1"/>
  <c r="U149" i="1"/>
  <c r="Q149" i="1"/>
  <c r="X148" i="1"/>
  <c r="V148" i="1"/>
  <c r="U148" i="1"/>
  <c r="Y148" i="1" s="1"/>
  <c r="Q148" i="1"/>
  <c r="X147" i="1"/>
  <c r="Y147" i="1" s="1"/>
  <c r="V147" i="1"/>
  <c r="W147" i="1" s="1"/>
  <c r="U147" i="1"/>
  <c r="Q147" i="1"/>
  <c r="X146" i="1"/>
  <c r="V146" i="1"/>
  <c r="U146" i="1"/>
  <c r="Y146" i="1" s="1"/>
  <c r="Q146" i="1"/>
  <c r="X145" i="1"/>
  <c r="Y145" i="1" s="1"/>
  <c r="V145" i="1"/>
  <c r="W145" i="1" s="1"/>
  <c r="U145" i="1"/>
  <c r="Q145" i="1"/>
  <c r="X144" i="1"/>
  <c r="V144" i="1"/>
  <c r="U144" i="1"/>
  <c r="Y144" i="1" s="1"/>
  <c r="Q144" i="1"/>
  <c r="X143" i="1"/>
  <c r="Y143" i="1" s="1"/>
  <c r="V143" i="1"/>
  <c r="W143" i="1" s="1"/>
  <c r="U143" i="1"/>
  <c r="Q143" i="1"/>
  <c r="X142" i="1"/>
  <c r="V142" i="1"/>
  <c r="U142" i="1"/>
  <c r="Y142" i="1" s="1"/>
  <c r="Q142" i="1"/>
  <c r="X141" i="1"/>
  <c r="Y141" i="1" s="1"/>
  <c r="V141" i="1"/>
  <c r="W141" i="1" s="1"/>
  <c r="U141" i="1"/>
  <c r="Q141" i="1"/>
  <c r="X140" i="1"/>
  <c r="V140" i="1"/>
  <c r="U140" i="1"/>
  <c r="Y140" i="1" s="1"/>
  <c r="Q140" i="1"/>
  <c r="X139" i="1"/>
  <c r="Y139" i="1" s="1"/>
  <c r="V139" i="1"/>
  <c r="W139" i="1" s="1"/>
  <c r="U139" i="1"/>
  <c r="Q139" i="1"/>
  <c r="X138" i="1"/>
  <c r="V138" i="1"/>
  <c r="U138" i="1"/>
  <c r="Y138" i="1" s="1"/>
  <c r="Q138" i="1"/>
  <c r="X137" i="1"/>
  <c r="Y137" i="1" s="1"/>
  <c r="V137" i="1"/>
  <c r="W137" i="1" s="1"/>
  <c r="U137" i="1"/>
  <c r="Q137" i="1"/>
  <c r="X136" i="1"/>
  <c r="V136" i="1"/>
  <c r="U136" i="1"/>
  <c r="Y136" i="1" s="1"/>
  <c r="Q136" i="1"/>
  <c r="X135" i="1"/>
  <c r="Y135" i="1" s="1"/>
  <c r="V135" i="1"/>
  <c r="W135" i="1" s="1"/>
  <c r="U135" i="1"/>
  <c r="Q135" i="1"/>
  <c r="X134" i="1"/>
  <c r="V134" i="1"/>
  <c r="U134" i="1"/>
  <c r="Y134" i="1" s="1"/>
  <c r="Q134" i="1"/>
  <c r="X133" i="1"/>
  <c r="Y133" i="1" s="1"/>
  <c r="V133" i="1"/>
  <c r="W133" i="1" s="1"/>
  <c r="U133" i="1"/>
  <c r="Q133" i="1"/>
  <c r="X132" i="1"/>
  <c r="V132" i="1"/>
  <c r="U132" i="1"/>
  <c r="Y132" i="1" s="1"/>
  <c r="Q132" i="1"/>
  <c r="X131" i="1"/>
  <c r="Y131" i="1" s="1"/>
  <c r="V131" i="1"/>
  <c r="W131" i="1" s="1"/>
  <c r="U131" i="1"/>
  <c r="Q131" i="1"/>
  <c r="X130" i="1"/>
  <c r="V130" i="1"/>
  <c r="U130" i="1"/>
  <c r="Y130" i="1" s="1"/>
  <c r="Q130" i="1"/>
  <c r="X129" i="1"/>
  <c r="Y129" i="1" s="1"/>
  <c r="V129" i="1"/>
  <c r="W129" i="1" s="1"/>
  <c r="U129" i="1"/>
  <c r="Q129" i="1"/>
  <c r="X128" i="1"/>
  <c r="Y128" i="1" s="1"/>
  <c r="V128" i="1"/>
  <c r="W128" i="1" s="1"/>
  <c r="U128" i="1"/>
  <c r="Q128" i="1"/>
  <c r="X127" i="1"/>
  <c r="Y127" i="1" s="1"/>
  <c r="V127" i="1"/>
  <c r="W127" i="1" s="1"/>
  <c r="U127" i="1"/>
  <c r="Q127" i="1"/>
  <c r="X126" i="1"/>
  <c r="Y126" i="1" s="1"/>
  <c r="V126" i="1"/>
  <c r="W126" i="1" s="1"/>
  <c r="U126" i="1"/>
  <c r="Q126" i="1"/>
  <c r="X125" i="1"/>
  <c r="Y125" i="1" s="1"/>
  <c r="V125" i="1"/>
  <c r="U125" i="1"/>
  <c r="Q125" i="1"/>
  <c r="X124" i="1"/>
  <c r="Y124" i="1" s="1"/>
  <c r="V124" i="1"/>
  <c r="W124" i="1" s="1"/>
  <c r="U124" i="1"/>
  <c r="Q124" i="1"/>
  <c r="X123" i="1"/>
  <c r="Y123" i="1" s="1"/>
  <c r="V123" i="1"/>
  <c r="U123" i="1"/>
  <c r="Q123" i="1"/>
  <c r="X122" i="1"/>
  <c r="Y122" i="1" s="1"/>
  <c r="V122" i="1"/>
  <c r="W122" i="1" s="1"/>
  <c r="U122" i="1"/>
  <c r="Q122" i="1"/>
  <c r="X121" i="1"/>
  <c r="Y121" i="1" s="1"/>
  <c r="V121" i="1"/>
  <c r="W121" i="1" s="1"/>
  <c r="U121" i="1"/>
  <c r="Q121" i="1"/>
  <c r="X120" i="1"/>
  <c r="Y120" i="1" s="1"/>
  <c r="V120" i="1"/>
  <c r="W120" i="1" s="1"/>
  <c r="U120" i="1"/>
  <c r="Q120" i="1"/>
  <c r="X119" i="1"/>
  <c r="Y119" i="1" s="1"/>
  <c r="V119" i="1"/>
  <c r="W119" i="1" s="1"/>
  <c r="U119" i="1"/>
  <c r="Q119" i="1"/>
  <c r="X118" i="1"/>
  <c r="Y118" i="1" s="1"/>
  <c r="V118" i="1"/>
  <c r="W118" i="1" s="1"/>
  <c r="U118" i="1"/>
  <c r="Q118" i="1"/>
  <c r="X117" i="1"/>
  <c r="Y117" i="1" s="1"/>
  <c r="V117" i="1"/>
  <c r="W117" i="1" s="1"/>
  <c r="U117" i="1"/>
  <c r="Q117" i="1"/>
  <c r="X116" i="1"/>
  <c r="Y116" i="1" s="1"/>
  <c r="V116" i="1"/>
  <c r="W116" i="1" s="1"/>
  <c r="U116" i="1"/>
  <c r="Q116" i="1"/>
  <c r="X115" i="1"/>
  <c r="Y115" i="1" s="1"/>
  <c r="V115" i="1"/>
  <c r="W115" i="1" s="1"/>
  <c r="U115" i="1"/>
  <c r="Q115" i="1"/>
  <c r="X114" i="1"/>
  <c r="Y114" i="1" s="1"/>
  <c r="V114" i="1"/>
  <c r="W114" i="1" s="1"/>
  <c r="U114" i="1"/>
  <c r="Q114" i="1"/>
  <c r="X113" i="1"/>
  <c r="Y113" i="1" s="1"/>
  <c r="V113" i="1"/>
  <c r="W113" i="1" s="1"/>
  <c r="U113" i="1"/>
  <c r="Q113" i="1"/>
  <c r="X112" i="1"/>
  <c r="Y112" i="1" s="1"/>
  <c r="V112" i="1"/>
  <c r="W112" i="1" s="1"/>
  <c r="U112" i="1"/>
  <c r="Q112" i="1"/>
  <c r="X111" i="1"/>
  <c r="Y111" i="1" s="1"/>
  <c r="V111" i="1"/>
  <c r="W111" i="1" s="1"/>
  <c r="U111" i="1"/>
  <c r="Q111" i="1"/>
  <c r="X110" i="1"/>
  <c r="Y110" i="1" s="1"/>
  <c r="V110" i="1"/>
  <c r="W110" i="1" s="1"/>
  <c r="U110" i="1"/>
  <c r="Q110" i="1"/>
  <c r="X109" i="1"/>
  <c r="Y109" i="1" s="1"/>
  <c r="V109" i="1"/>
  <c r="W109" i="1" s="1"/>
  <c r="U109" i="1"/>
  <c r="Q109" i="1"/>
  <c r="X108" i="1"/>
  <c r="Y108" i="1" s="1"/>
  <c r="V108" i="1"/>
  <c r="W108" i="1" s="1"/>
  <c r="U108" i="1"/>
  <c r="Q108" i="1"/>
  <c r="X107" i="1"/>
  <c r="Y107" i="1" s="1"/>
  <c r="V107" i="1"/>
  <c r="W107" i="1" s="1"/>
  <c r="U107" i="1"/>
  <c r="Q107" i="1"/>
  <c r="X106" i="1"/>
  <c r="Y106" i="1" s="1"/>
  <c r="V106" i="1"/>
  <c r="W106" i="1" s="1"/>
  <c r="U106" i="1"/>
  <c r="Q106" i="1"/>
  <c r="X105" i="1"/>
  <c r="Y105" i="1" s="1"/>
  <c r="V105" i="1"/>
  <c r="W105" i="1" s="1"/>
  <c r="U105" i="1"/>
  <c r="Q105" i="1"/>
  <c r="X104" i="1"/>
  <c r="Y104" i="1" s="1"/>
  <c r="V104" i="1"/>
  <c r="W104" i="1" s="1"/>
  <c r="U104" i="1"/>
  <c r="Q104" i="1"/>
  <c r="X103" i="1"/>
  <c r="Y103" i="1" s="1"/>
  <c r="V103" i="1"/>
  <c r="U103" i="1"/>
  <c r="Q103" i="1"/>
  <c r="X102" i="1"/>
  <c r="Y102" i="1" s="1"/>
  <c r="V102" i="1"/>
  <c r="W102" i="1" s="1"/>
  <c r="U102" i="1"/>
  <c r="Q102" i="1"/>
  <c r="X101" i="1"/>
  <c r="Y101" i="1" s="1"/>
  <c r="V101" i="1"/>
  <c r="W101" i="1" s="1"/>
  <c r="U101" i="1"/>
  <c r="Q101" i="1"/>
  <c r="X100" i="1"/>
  <c r="Y100" i="1" s="1"/>
  <c r="V100" i="1"/>
  <c r="W100" i="1" s="1"/>
  <c r="U100" i="1"/>
  <c r="Q100" i="1"/>
  <c r="X99" i="1"/>
  <c r="Y99" i="1" s="1"/>
  <c r="V99" i="1"/>
  <c r="U99" i="1"/>
  <c r="Q99" i="1"/>
  <c r="X98" i="1"/>
  <c r="Y98" i="1" s="1"/>
  <c r="V98" i="1"/>
  <c r="U98" i="1"/>
  <c r="Q98" i="1"/>
  <c r="X97" i="1"/>
  <c r="Y97" i="1" s="1"/>
  <c r="V97" i="1"/>
  <c r="W97" i="1" s="1"/>
  <c r="U97" i="1"/>
  <c r="Q97" i="1"/>
  <c r="X96" i="1"/>
  <c r="V96" i="1"/>
  <c r="U96" i="1"/>
  <c r="Y96" i="1" s="1"/>
  <c r="Q96" i="1"/>
  <c r="X95" i="1"/>
  <c r="Y95" i="1" s="1"/>
  <c r="V95" i="1"/>
  <c r="U95" i="1"/>
  <c r="Q95" i="1"/>
  <c r="X94" i="1"/>
  <c r="Y94" i="1" s="1"/>
  <c r="V94" i="1"/>
  <c r="U94" i="1"/>
  <c r="Q94" i="1"/>
  <c r="X93" i="1"/>
  <c r="Y93" i="1" s="1"/>
  <c r="V93" i="1"/>
  <c r="U93" i="1"/>
  <c r="Q93" i="1"/>
  <c r="X92" i="1"/>
  <c r="Y92" i="1" s="1"/>
  <c r="V92" i="1"/>
  <c r="W92" i="1" s="1"/>
  <c r="U92" i="1"/>
  <c r="Q92" i="1"/>
  <c r="X91" i="1"/>
  <c r="V91" i="1"/>
  <c r="U91" i="1"/>
  <c r="Y91" i="1" s="1"/>
  <c r="Q91" i="1"/>
  <c r="X90" i="1"/>
  <c r="Y90" i="1" s="1"/>
  <c r="V90" i="1"/>
  <c r="W90" i="1" s="1"/>
  <c r="U90" i="1"/>
  <c r="Q90" i="1"/>
  <c r="X89" i="1"/>
  <c r="V89" i="1"/>
  <c r="U89" i="1"/>
  <c r="Y89" i="1" s="1"/>
  <c r="Q89" i="1"/>
  <c r="X88" i="1"/>
  <c r="Y88" i="1" s="1"/>
  <c r="V88" i="1"/>
  <c r="W88" i="1" s="1"/>
  <c r="U88" i="1"/>
  <c r="Q88" i="1"/>
  <c r="Y87" i="1"/>
  <c r="X87" i="1"/>
  <c r="V87" i="1"/>
  <c r="U87" i="1"/>
  <c r="Q87" i="1"/>
  <c r="X86" i="1"/>
  <c r="V86" i="1"/>
  <c r="U86" i="1"/>
  <c r="Y86" i="1" s="1"/>
  <c r="Q86" i="1"/>
  <c r="X85" i="1"/>
  <c r="Y85" i="1" s="1"/>
  <c r="V85" i="1"/>
  <c r="U85" i="1"/>
  <c r="Q85" i="1"/>
  <c r="X84" i="1"/>
  <c r="Y84" i="1" s="1"/>
  <c r="V84" i="1"/>
  <c r="W84" i="1" s="1"/>
  <c r="U84" i="1"/>
  <c r="Q84" i="1"/>
  <c r="X83" i="1"/>
  <c r="V83" i="1"/>
  <c r="U83" i="1"/>
  <c r="Y83" i="1" s="1"/>
  <c r="Q83" i="1"/>
  <c r="X82" i="1"/>
  <c r="Y82" i="1" s="1"/>
  <c r="V82" i="1"/>
  <c r="U82" i="1"/>
  <c r="Q82" i="1"/>
  <c r="X81" i="1"/>
  <c r="Y81" i="1" s="1"/>
  <c r="V81" i="1"/>
  <c r="W81" i="1" s="1"/>
  <c r="U81" i="1"/>
  <c r="Q81" i="1"/>
  <c r="X80" i="1"/>
  <c r="V80" i="1"/>
  <c r="U80" i="1"/>
  <c r="Y80" i="1" s="1"/>
  <c r="Q80" i="1"/>
  <c r="X79" i="1"/>
  <c r="Y79" i="1" s="1"/>
  <c r="V79" i="1"/>
  <c r="U79" i="1"/>
  <c r="Q79" i="1"/>
  <c r="X78" i="1"/>
  <c r="Y78" i="1" s="1"/>
  <c r="V78" i="1"/>
  <c r="W78" i="1" s="1"/>
  <c r="U78" i="1"/>
  <c r="Q78" i="1"/>
  <c r="X77" i="1"/>
  <c r="V77" i="1"/>
  <c r="U77" i="1"/>
  <c r="Y77" i="1" s="1"/>
  <c r="Q77" i="1"/>
  <c r="X76" i="1"/>
  <c r="Y76" i="1" s="1"/>
  <c r="V76" i="1"/>
  <c r="W76" i="1" s="1"/>
  <c r="U76" i="1"/>
  <c r="Q76" i="1"/>
  <c r="X75" i="1"/>
  <c r="V75" i="1"/>
  <c r="U75" i="1"/>
  <c r="Y75" i="1" s="1"/>
  <c r="Q75" i="1"/>
  <c r="X74" i="1"/>
  <c r="Y74" i="1" s="1"/>
  <c r="V74" i="1"/>
  <c r="U74" i="1"/>
  <c r="Q74" i="1"/>
  <c r="X73" i="1"/>
  <c r="Y73" i="1" s="1"/>
  <c r="V73" i="1"/>
  <c r="W73" i="1" s="1"/>
  <c r="U73" i="1"/>
  <c r="Q73" i="1"/>
  <c r="Y72" i="1"/>
  <c r="X72" i="1"/>
  <c r="V72" i="1"/>
  <c r="U72" i="1"/>
  <c r="Q72" i="1"/>
  <c r="Y71" i="1"/>
  <c r="X71" i="1"/>
  <c r="V71" i="1"/>
  <c r="U71" i="1"/>
  <c r="Q71" i="1"/>
  <c r="X70" i="1"/>
  <c r="V70" i="1"/>
  <c r="U70" i="1"/>
  <c r="Y70" i="1" s="1"/>
  <c r="Q70" i="1"/>
  <c r="X69" i="1"/>
  <c r="Y69" i="1" s="1"/>
  <c r="V69" i="1"/>
  <c r="U69" i="1"/>
  <c r="Q69" i="1"/>
  <c r="X68" i="1"/>
  <c r="Y68" i="1" s="1"/>
  <c r="V68" i="1"/>
  <c r="W68" i="1" s="1"/>
  <c r="U68" i="1"/>
  <c r="Q68" i="1"/>
  <c r="X67" i="1"/>
  <c r="V67" i="1"/>
  <c r="U67" i="1"/>
  <c r="Y67" i="1" s="1"/>
  <c r="Q67" i="1"/>
  <c r="X66" i="1"/>
  <c r="Y66" i="1" s="1"/>
  <c r="V66" i="1"/>
  <c r="W66" i="1" s="1"/>
  <c r="U66" i="1"/>
  <c r="Q66" i="1"/>
  <c r="X65" i="1"/>
  <c r="V65" i="1"/>
  <c r="U65" i="1"/>
  <c r="Y65" i="1" s="1"/>
  <c r="Q65" i="1"/>
  <c r="X64" i="1"/>
  <c r="Y64" i="1" s="1"/>
  <c r="V64" i="1"/>
  <c r="W64" i="1" s="1"/>
  <c r="U64" i="1"/>
  <c r="Q64" i="1"/>
  <c r="X63" i="1"/>
  <c r="V63" i="1"/>
  <c r="U63" i="1"/>
  <c r="Y63" i="1" s="1"/>
  <c r="Q63" i="1"/>
  <c r="X62" i="1"/>
  <c r="Y62" i="1" s="1"/>
  <c r="V62" i="1"/>
  <c r="W62" i="1" s="1"/>
  <c r="U62" i="1"/>
  <c r="Q62" i="1"/>
  <c r="X61" i="1"/>
  <c r="V61" i="1"/>
  <c r="U61" i="1"/>
  <c r="Y61" i="1" s="1"/>
  <c r="Q61" i="1"/>
  <c r="X60" i="1"/>
  <c r="Y60" i="1" s="1"/>
  <c r="V60" i="1"/>
  <c r="W60" i="1" s="1"/>
  <c r="U60" i="1"/>
  <c r="Q60" i="1"/>
  <c r="Y59" i="1"/>
  <c r="X59" i="1"/>
  <c r="V59" i="1"/>
  <c r="U59" i="1"/>
  <c r="Q59" i="1"/>
  <c r="Y58" i="1"/>
  <c r="X58" i="1"/>
  <c r="V58" i="1"/>
  <c r="U58" i="1"/>
  <c r="Q58" i="1"/>
  <c r="X57" i="1"/>
  <c r="V57" i="1"/>
  <c r="U57" i="1"/>
  <c r="Y57" i="1" s="1"/>
  <c r="Q57" i="1"/>
  <c r="X56" i="1"/>
  <c r="Y56" i="1" s="1"/>
  <c r="V56" i="1"/>
  <c r="W56" i="1" s="1"/>
  <c r="U56" i="1"/>
  <c r="R56" i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Q56" i="1"/>
  <c r="AE53" i="1"/>
  <c r="P53" i="1"/>
  <c r="O53" i="1"/>
  <c r="N53" i="1"/>
  <c r="M53" i="1"/>
  <c r="L53" i="1"/>
  <c r="K53" i="1"/>
  <c r="J53" i="1"/>
  <c r="I53" i="1"/>
  <c r="H53" i="1"/>
  <c r="V53" i="1" s="1"/>
  <c r="G53" i="1"/>
  <c r="S56" i="1" s="1"/>
  <c r="F53" i="1"/>
  <c r="Q53" i="1" s="1"/>
  <c r="E53" i="1"/>
  <c r="X53" i="1" s="1"/>
  <c r="D53" i="1"/>
  <c r="M51" i="1"/>
  <c r="J51" i="1"/>
  <c r="J22" i="1"/>
  <c r="J23" i="1" s="1"/>
  <c r="J29" i="1" s="1"/>
  <c r="I22" i="1"/>
  <c r="H22" i="1"/>
  <c r="H23" i="1" s="1"/>
  <c r="H29" i="1" s="1"/>
  <c r="G22" i="1"/>
  <c r="F22" i="1"/>
  <c r="K22" i="1" s="1"/>
  <c r="K21" i="1"/>
  <c r="K23" i="1" s="1"/>
  <c r="K29" i="1" s="1"/>
  <c r="J21" i="1"/>
  <c r="I21" i="1"/>
  <c r="I23" i="1" s="1"/>
  <c r="I29" i="1" s="1"/>
  <c r="H21" i="1"/>
  <c r="G21" i="1"/>
  <c r="G23" i="1" s="1"/>
  <c r="G29" i="1" s="1"/>
  <c r="F21" i="1"/>
  <c r="J18" i="1"/>
  <c r="J19" i="1" s="1"/>
  <c r="J28" i="1" s="1"/>
  <c r="I18" i="1"/>
  <c r="H18" i="1"/>
  <c r="H19" i="1" s="1"/>
  <c r="H28" i="1" s="1"/>
  <c r="G18" i="1"/>
  <c r="F18" i="1"/>
  <c r="K18" i="1" s="1"/>
  <c r="K17" i="1"/>
  <c r="J17" i="1"/>
  <c r="I17" i="1"/>
  <c r="I19" i="1" s="1"/>
  <c r="I28" i="1" s="1"/>
  <c r="H17" i="1"/>
  <c r="G17" i="1"/>
  <c r="G19" i="1" s="1"/>
  <c r="G28" i="1" s="1"/>
  <c r="F17" i="1"/>
  <c r="J14" i="1"/>
  <c r="J35" i="1" s="1"/>
  <c r="J36" i="1" s="1"/>
  <c r="I14" i="1"/>
  <c r="H14" i="1"/>
  <c r="H35" i="1" s="1"/>
  <c r="H36" i="1" s="1"/>
  <c r="G14" i="1"/>
  <c r="F14" i="1"/>
  <c r="F35" i="1" s="1"/>
  <c r="F36" i="1" s="1"/>
  <c r="K13" i="1"/>
  <c r="J13" i="1"/>
  <c r="I13" i="1"/>
  <c r="H13" i="1"/>
  <c r="G13" i="1"/>
  <c r="F13" i="1"/>
  <c r="J11" i="1"/>
  <c r="I11" i="1"/>
  <c r="H11" i="1"/>
  <c r="G11" i="1"/>
  <c r="F11" i="1"/>
  <c r="J10" i="1"/>
  <c r="I10" i="1"/>
  <c r="H10" i="1"/>
  <c r="G10" i="1"/>
  <c r="F10" i="1"/>
  <c r="K10" i="1" s="1"/>
  <c r="A10" i="1"/>
  <c r="A11" i="1" s="1"/>
  <c r="J9" i="1"/>
  <c r="I9" i="1"/>
  <c r="H9" i="1"/>
  <c r="G9" i="1"/>
  <c r="F9" i="1"/>
  <c r="K9" i="1" s="1"/>
  <c r="J7" i="1"/>
  <c r="K7" i="1" s="1"/>
  <c r="I7" i="1"/>
  <c r="H7" i="1"/>
  <c r="G7" i="1"/>
  <c r="F7" i="1"/>
  <c r="K6" i="1"/>
  <c r="J6" i="1"/>
  <c r="I6" i="1"/>
  <c r="H6" i="1"/>
  <c r="G6" i="1"/>
  <c r="F6" i="1"/>
  <c r="K19" i="1" l="1"/>
  <c r="K28" i="1" s="1"/>
  <c r="C41" i="1"/>
  <c r="C25" i="1"/>
  <c r="A13" i="1"/>
  <c r="F41" i="1"/>
  <c r="H41" i="1"/>
  <c r="J41" i="1"/>
  <c r="F15" i="1"/>
  <c r="H15" i="1"/>
  <c r="J15" i="1"/>
  <c r="J27" i="1" s="1"/>
  <c r="J30" i="1" s="1"/>
  <c r="J39" i="1" s="1"/>
  <c r="F19" i="1"/>
  <c r="F28" i="1" s="1"/>
  <c r="F23" i="1"/>
  <c r="F29" i="1" s="1"/>
  <c r="F25" i="1"/>
  <c r="H25" i="1"/>
  <c r="J25" i="1"/>
  <c r="S57" i="1"/>
  <c r="T56" i="1"/>
  <c r="G41" i="1"/>
  <c r="I41" i="1"/>
  <c r="K11" i="1"/>
  <c r="G35" i="1"/>
  <c r="G36" i="1" s="1"/>
  <c r="I35" i="1"/>
  <c r="I36" i="1" s="1"/>
  <c r="K14" i="1"/>
  <c r="K35" i="1" s="1"/>
  <c r="K36" i="1" s="1"/>
  <c r="G15" i="1"/>
  <c r="G27" i="1" s="1"/>
  <c r="G30" i="1" s="1"/>
  <c r="I15" i="1"/>
  <c r="I27" i="1" s="1"/>
  <c r="I30" i="1" s="1"/>
  <c r="I39" i="1" s="1"/>
  <c r="G25" i="1"/>
  <c r="I25" i="1"/>
  <c r="W57" i="1"/>
  <c r="W61" i="1"/>
  <c r="W63" i="1"/>
  <c r="W65" i="1"/>
  <c r="W67" i="1"/>
  <c r="W70" i="1"/>
  <c r="W75" i="1"/>
  <c r="W77" i="1"/>
  <c r="W80" i="1"/>
  <c r="W83" i="1"/>
  <c r="W86" i="1"/>
  <c r="W89" i="1"/>
  <c r="W91" i="1"/>
  <c r="W96" i="1"/>
  <c r="W189" i="1"/>
  <c r="U53" i="1"/>
  <c r="Y53" i="1" s="1"/>
  <c r="W130" i="1"/>
  <c r="W132" i="1"/>
  <c r="W134" i="1"/>
  <c r="W136" i="1"/>
  <c r="W138" i="1"/>
  <c r="W140" i="1"/>
  <c r="W142" i="1"/>
  <c r="W144" i="1"/>
  <c r="W146" i="1"/>
  <c r="W148" i="1"/>
  <c r="W150" i="1"/>
  <c r="W152" i="1"/>
  <c r="W155" i="1"/>
  <c r="W157" i="1"/>
  <c r="W162" i="1"/>
  <c r="W164" i="1"/>
  <c r="W167" i="1"/>
  <c r="W169" i="1"/>
  <c r="W172" i="1"/>
  <c r="W175" i="1"/>
  <c r="W177" i="1"/>
  <c r="W179" i="1"/>
  <c r="W181" i="1"/>
  <c r="W183" i="1"/>
  <c r="W187" i="1"/>
  <c r="Y189" i="1"/>
  <c r="W190" i="1"/>
  <c r="W227" i="1"/>
  <c r="W229" i="1"/>
  <c r="W231" i="1"/>
  <c r="W235" i="1"/>
  <c r="W237" i="1"/>
  <c r="W239" i="1"/>
  <c r="W257" i="1"/>
  <c r="W260" i="1"/>
  <c r="W262" i="1"/>
  <c r="W264" i="1"/>
  <c r="W266" i="1"/>
  <c r="W268" i="1"/>
  <c r="W270" i="1"/>
  <c r="W272" i="1"/>
  <c r="W274" i="1"/>
  <c r="W276" i="1"/>
  <c r="W278" i="1"/>
  <c r="W280" i="1"/>
  <c r="W284" i="1"/>
  <c r="W286" i="1"/>
  <c r="W288" i="1"/>
  <c r="W290" i="1"/>
  <c r="W292" i="1"/>
  <c r="W298" i="1"/>
  <c r="W300" i="1"/>
  <c r="W302" i="1"/>
  <c r="W304" i="1"/>
  <c r="W306" i="1"/>
  <c r="W308" i="1"/>
  <c r="W310" i="1"/>
  <c r="W312" i="1"/>
  <c r="W314" i="1"/>
  <c r="W316" i="1"/>
  <c r="W318" i="1"/>
  <c r="W321" i="1"/>
  <c r="W323" i="1"/>
  <c r="W325" i="1"/>
  <c r="W327" i="1"/>
  <c r="W358" i="1"/>
  <c r="W359" i="1"/>
  <c r="W363" i="1"/>
  <c r="W330" i="1"/>
  <c r="W332" i="1"/>
  <c r="W334" i="1"/>
  <c r="W336" i="1"/>
  <c r="W338" i="1"/>
  <c r="W340" i="1"/>
  <c r="W342" i="1"/>
  <c r="W344" i="1"/>
  <c r="W346" i="1"/>
  <c r="W348" i="1"/>
  <c r="W350" i="1"/>
  <c r="W352" i="1"/>
  <c r="W354" i="1"/>
  <c r="W356" i="1"/>
  <c r="Y358" i="1"/>
  <c r="W361" i="1"/>
  <c r="W365" i="1"/>
  <c r="W368" i="1"/>
  <c r="W370" i="1"/>
  <c r="W372" i="1"/>
  <c r="W374" i="1"/>
  <c r="W376" i="1"/>
  <c r="W378" i="1"/>
  <c r="W380" i="1"/>
  <c r="W382" i="1"/>
  <c r="W384" i="1"/>
  <c r="W386" i="1"/>
  <c r="W388" i="1"/>
  <c r="W390" i="1"/>
  <c r="W53" i="1" l="1"/>
  <c r="Q5" i="1"/>
  <c r="F33" i="1"/>
  <c r="F42" i="1" s="1"/>
  <c r="N6" i="1" s="1"/>
  <c r="F27" i="1"/>
  <c r="F30" i="1" s="1"/>
  <c r="F39" i="1" s="1"/>
  <c r="I33" i="1"/>
  <c r="I42" i="1" s="1"/>
  <c r="Q9" i="1" s="1"/>
  <c r="P5" i="1"/>
  <c r="C15" i="1"/>
  <c r="A14" i="1"/>
  <c r="J33" i="1"/>
  <c r="J42" i="1" s="1"/>
  <c r="R10" i="1" s="1"/>
  <c r="K15" i="1"/>
  <c r="G39" i="1"/>
  <c r="K41" i="1"/>
  <c r="K25" i="1"/>
  <c r="O5" i="1"/>
  <c r="S58" i="1"/>
  <c r="T57" i="1"/>
  <c r="H33" i="1"/>
  <c r="H42" i="1" s="1"/>
  <c r="P8" i="1" s="1"/>
  <c r="H27" i="1"/>
  <c r="H30" i="1" s="1"/>
  <c r="H39" i="1" s="1"/>
  <c r="R5" i="1"/>
  <c r="F43" i="1"/>
  <c r="N5" i="1"/>
  <c r="G33" i="1"/>
  <c r="G42" i="1" s="1"/>
  <c r="O7" i="1" s="1"/>
  <c r="I43" i="1" l="1"/>
  <c r="J43" i="1"/>
  <c r="S59" i="1"/>
  <c r="T58" i="1"/>
  <c r="G43" i="1"/>
  <c r="K27" i="1"/>
  <c r="K30" i="1" s="1"/>
  <c r="K39" i="1" s="1"/>
  <c r="K33" i="1"/>
  <c r="K42" i="1" s="1"/>
  <c r="K43" i="1" s="1"/>
  <c r="A15" i="1"/>
  <c r="H43" i="1"/>
  <c r="S60" i="1" l="1"/>
  <c r="T59" i="1"/>
  <c r="C27" i="1"/>
  <c r="A17" i="1"/>
  <c r="S61" i="1" l="1"/>
  <c r="T60" i="1"/>
  <c r="C29" i="1"/>
  <c r="A18" i="1"/>
  <c r="C19" i="1" s="1"/>
  <c r="A19" i="1" l="1"/>
  <c r="S62" i="1"/>
  <c r="T61" i="1"/>
  <c r="S63" i="1" l="1"/>
  <c r="T62" i="1"/>
  <c r="C28" i="1"/>
  <c r="A21" i="1"/>
  <c r="C23" i="1" l="1"/>
  <c r="A22" i="1"/>
  <c r="S64" i="1"/>
  <c r="T63" i="1"/>
  <c r="S65" i="1" l="1"/>
  <c r="T64" i="1"/>
  <c r="A23" i="1"/>
  <c r="C35" i="1"/>
  <c r="A25" i="1" l="1"/>
  <c r="A27" i="1" s="1"/>
  <c r="C33" i="1"/>
  <c r="S66" i="1"/>
  <c r="T65" i="1"/>
  <c r="S67" i="1" l="1"/>
  <c r="T66" i="1"/>
  <c r="C30" i="1"/>
  <c r="A28" i="1"/>
  <c r="A29" i="1" s="1"/>
  <c r="A30" i="1" s="1"/>
  <c r="A32" i="1" l="1"/>
  <c r="S68" i="1"/>
  <c r="T67" i="1"/>
  <c r="C42" i="1" l="1"/>
  <c r="A35" i="1"/>
  <c r="S69" i="1"/>
  <c r="T68" i="1"/>
  <c r="T69" i="1" l="1"/>
  <c r="S70" i="1"/>
  <c r="C36" i="1"/>
  <c r="A36" i="1"/>
  <c r="A38" i="1" l="1"/>
  <c r="A41" i="1" s="1"/>
  <c r="C39" i="1"/>
  <c r="S71" i="1"/>
  <c r="T70" i="1"/>
  <c r="S72" i="1" l="1"/>
  <c r="T71" i="1"/>
  <c r="A42" i="1"/>
  <c r="A43" i="1" s="1"/>
  <c r="C43" i="1" l="1"/>
  <c r="S73" i="1"/>
  <c r="T72" i="1"/>
  <c r="S74" i="1" l="1"/>
  <c r="T73" i="1"/>
  <c r="T74" i="1" l="1"/>
  <c r="S75" i="1"/>
  <c r="S76" i="1" l="1"/>
  <c r="T75" i="1"/>
  <c r="S77" i="1" l="1"/>
  <c r="T76" i="1"/>
  <c r="S78" i="1" l="1"/>
  <c r="T77" i="1"/>
  <c r="S79" i="1" l="1"/>
  <c r="T78" i="1"/>
  <c r="T79" i="1" l="1"/>
  <c r="S80" i="1"/>
  <c r="S81" i="1" l="1"/>
  <c r="T80" i="1"/>
  <c r="S82" i="1" l="1"/>
  <c r="T81" i="1"/>
  <c r="T82" i="1" l="1"/>
  <c r="S83" i="1"/>
  <c r="S84" i="1" l="1"/>
  <c r="T83" i="1"/>
  <c r="S85" i="1" l="1"/>
  <c r="T84" i="1"/>
  <c r="T85" i="1" l="1"/>
  <c r="S86" i="1"/>
  <c r="S87" i="1" l="1"/>
  <c r="T86" i="1"/>
  <c r="S88" i="1" l="1"/>
  <c r="T87" i="1"/>
  <c r="S89" i="1" l="1"/>
  <c r="T88" i="1"/>
  <c r="S90" i="1" l="1"/>
  <c r="T89" i="1"/>
  <c r="S91" i="1" l="1"/>
  <c r="T90" i="1"/>
  <c r="S92" i="1" l="1"/>
  <c r="T91" i="1"/>
  <c r="S93" i="1" l="1"/>
  <c r="T92" i="1"/>
  <c r="T93" i="1" l="1"/>
  <c r="S94" i="1"/>
  <c r="T94" i="1" l="1"/>
  <c r="S95" i="1"/>
  <c r="T95" i="1" l="1"/>
  <c r="S96" i="1"/>
  <c r="S97" i="1" l="1"/>
  <c r="T96" i="1"/>
  <c r="S98" i="1" l="1"/>
  <c r="T97" i="1"/>
  <c r="T98" i="1" l="1"/>
  <c r="S99" i="1"/>
  <c r="T99" i="1" l="1"/>
  <c r="S100" i="1"/>
  <c r="S101" i="1" l="1"/>
  <c r="T100" i="1"/>
  <c r="S102" i="1" l="1"/>
  <c r="T101" i="1"/>
  <c r="S103" i="1" l="1"/>
  <c r="T102" i="1"/>
  <c r="S104" i="1" l="1"/>
  <c r="T103" i="1"/>
  <c r="S105" i="1" l="1"/>
  <c r="T104" i="1"/>
  <c r="S106" i="1" l="1"/>
  <c r="T105" i="1"/>
  <c r="S107" i="1" l="1"/>
  <c r="T106" i="1"/>
  <c r="S108" i="1" l="1"/>
  <c r="T107" i="1"/>
  <c r="S109" i="1" l="1"/>
  <c r="T108" i="1"/>
  <c r="S110" i="1" l="1"/>
  <c r="T109" i="1"/>
  <c r="S111" i="1" l="1"/>
  <c r="T110" i="1"/>
  <c r="S112" i="1" l="1"/>
  <c r="T111" i="1"/>
  <c r="S113" i="1" l="1"/>
  <c r="T112" i="1"/>
  <c r="S114" i="1" l="1"/>
  <c r="T113" i="1"/>
  <c r="S115" i="1" l="1"/>
  <c r="T114" i="1"/>
  <c r="S116" i="1" l="1"/>
  <c r="T115" i="1"/>
  <c r="S117" i="1" l="1"/>
  <c r="T116" i="1"/>
  <c r="S118" i="1" l="1"/>
  <c r="T117" i="1"/>
  <c r="S119" i="1" l="1"/>
  <c r="T118" i="1"/>
  <c r="S120" i="1" l="1"/>
  <c r="T119" i="1"/>
  <c r="S121" i="1" l="1"/>
  <c r="T120" i="1"/>
  <c r="S122" i="1" l="1"/>
  <c r="T121" i="1"/>
  <c r="S123" i="1" l="1"/>
  <c r="T122" i="1"/>
  <c r="T123" i="1" l="1"/>
  <c r="S124" i="1"/>
  <c r="S125" i="1" l="1"/>
  <c r="T124" i="1"/>
  <c r="S126" i="1" l="1"/>
  <c r="T125" i="1"/>
  <c r="S127" i="1" l="1"/>
  <c r="T126" i="1"/>
  <c r="S128" i="1" l="1"/>
  <c r="T127" i="1"/>
  <c r="S129" i="1" l="1"/>
  <c r="T128" i="1"/>
  <c r="S130" i="1" l="1"/>
  <c r="T129" i="1"/>
  <c r="S131" i="1" l="1"/>
  <c r="T130" i="1"/>
  <c r="S132" i="1" l="1"/>
  <c r="T131" i="1"/>
  <c r="S133" i="1" l="1"/>
  <c r="T132" i="1"/>
  <c r="S134" i="1" l="1"/>
  <c r="T133" i="1"/>
  <c r="S135" i="1" l="1"/>
  <c r="T134" i="1"/>
  <c r="S136" i="1" l="1"/>
  <c r="T135" i="1"/>
  <c r="S137" i="1" l="1"/>
  <c r="T136" i="1"/>
  <c r="S138" i="1" l="1"/>
  <c r="T137" i="1"/>
  <c r="S139" i="1" l="1"/>
  <c r="T138" i="1"/>
  <c r="S140" i="1" l="1"/>
  <c r="T139" i="1"/>
  <c r="S141" i="1" l="1"/>
  <c r="T140" i="1"/>
  <c r="S142" i="1" l="1"/>
  <c r="T141" i="1"/>
  <c r="S143" i="1" l="1"/>
  <c r="T142" i="1"/>
  <c r="S144" i="1" l="1"/>
  <c r="T143" i="1"/>
  <c r="S145" i="1" l="1"/>
  <c r="T144" i="1"/>
  <c r="S146" i="1" l="1"/>
  <c r="T145" i="1"/>
  <c r="S147" i="1" l="1"/>
  <c r="T146" i="1"/>
  <c r="S148" i="1" l="1"/>
  <c r="T147" i="1"/>
  <c r="S149" i="1" l="1"/>
  <c r="T148" i="1"/>
  <c r="S150" i="1" l="1"/>
  <c r="T149" i="1"/>
  <c r="S151" i="1" l="1"/>
  <c r="T150" i="1"/>
  <c r="S152" i="1" l="1"/>
  <c r="T151" i="1"/>
  <c r="S153" i="1" l="1"/>
  <c r="T152" i="1"/>
  <c r="S154" i="1" l="1"/>
  <c r="T153" i="1"/>
  <c r="S155" i="1" l="1"/>
  <c r="T154" i="1"/>
  <c r="S156" i="1" l="1"/>
  <c r="T155" i="1"/>
  <c r="S157" i="1" l="1"/>
  <c r="T156" i="1"/>
  <c r="S158" i="1" l="1"/>
  <c r="T157" i="1"/>
  <c r="T158" i="1" l="1"/>
  <c r="S159" i="1"/>
  <c r="T159" i="1" l="1"/>
  <c r="S160" i="1"/>
  <c r="T160" i="1" l="1"/>
  <c r="S161" i="1"/>
  <c r="S162" i="1" l="1"/>
  <c r="T161" i="1"/>
  <c r="S163" i="1" l="1"/>
  <c r="T162" i="1"/>
  <c r="S164" i="1" l="1"/>
  <c r="T163" i="1"/>
  <c r="S165" i="1" l="1"/>
  <c r="T164" i="1"/>
  <c r="T165" i="1" l="1"/>
  <c r="S166" i="1"/>
  <c r="S167" i="1" l="1"/>
  <c r="T166" i="1"/>
  <c r="S168" i="1" l="1"/>
  <c r="T167" i="1"/>
  <c r="S169" i="1" l="1"/>
  <c r="T168" i="1"/>
  <c r="S170" i="1" l="1"/>
  <c r="T169" i="1"/>
  <c r="T170" i="1" l="1"/>
  <c r="S171" i="1"/>
  <c r="S172" i="1" l="1"/>
  <c r="T171" i="1"/>
  <c r="S173" i="1" l="1"/>
  <c r="T172" i="1"/>
  <c r="T173" i="1" l="1"/>
  <c r="S174" i="1"/>
  <c r="S175" i="1" l="1"/>
  <c r="T174" i="1"/>
  <c r="S176" i="1" l="1"/>
  <c r="T175" i="1"/>
  <c r="S177" i="1" l="1"/>
  <c r="T176" i="1"/>
  <c r="S178" i="1" l="1"/>
  <c r="T177" i="1"/>
  <c r="S179" i="1" l="1"/>
  <c r="T178" i="1"/>
  <c r="S180" i="1" l="1"/>
  <c r="T179" i="1"/>
  <c r="S181" i="1" l="1"/>
  <c r="T180" i="1"/>
  <c r="S182" i="1" l="1"/>
  <c r="T181" i="1"/>
  <c r="S183" i="1" l="1"/>
  <c r="T182" i="1"/>
  <c r="S184" i="1" l="1"/>
  <c r="T183" i="1"/>
  <c r="T184" i="1" l="1"/>
  <c r="S185" i="1"/>
  <c r="T185" i="1" l="1"/>
  <c r="S186" i="1"/>
  <c r="S187" i="1" l="1"/>
  <c r="T186" i="1"/>
  <c r="S188" i="1" l="1"/>
  <c r="T187" i="1"/>
  <c r="S189" i="1" l="1"/>
  <c r="T188" i="1"/>
  <c r="S190" i="1" l="1"/>
  <c r="T189" i="1"/>
  <c r="S191" i="1" l="1"/>
  <c r="T190" i="1"/>
  <c r="S192" i="1" l="1"/>
  <c r="T191" i="1"/>
  <c r="T192" i="1" l="1"/>
  <c r="S193" i="1"/>
  <c r="S194" i="1" l="1"/>
  <c r="T193" i="1"/>
  <c r="S195" i="1" l="1"/>
  <c r="T194" i="1"/>
  <c r="S196" i="1" l="1"/>
  <c r="T195" i="1"/>
  <c r="S197" i="1" l="1"/>
  <c r="T196" i="1"/>
  <c r="T197" i="1" l="1"/>
  <c r="S198" i="1"/>
  <c r="S199" i="1" l="1"/>
  <c r="T198" i="1"/>
  <c r="S200" i="1" l="1"/>
  <c r="T199" i="1"/>
  <c r="S201" i="1" l="1"/>
  <c r="T200" i="1"/>
  <c r="S202" i="1" l="1"/>
  <c r="T201" i="1"/>
  <c r="S203" i="1" l="1"/>
  <c r="T202" i="1"/>
  <c r="S204" i="1" l="1"/>
  <c r="T203" i="1"/>
  <c r="S205" i="1" l="1"/>
  <c r="T204" i="1"/>
  <c r="S206" i="1" l="1"/>
  <c r="T205" i="1"/>
  <c r="S207" i="1" l="1"/>
  <c r="T206" i="1"/>
  <c r="S208" i="1" l="1"/>
  <c r="T207" i="1"/>
  <c r="S209" i="1" l="1"/>
  <c r="T208" i="1"/>
  <c r="S210" i="1" l="1"/>
  <c r="T209" i="1"/>
  <c r="S211" i="1" l="1"/>
  <c r="T210" i="1"/>
  <c r="S212" i="1" l="1"/>
  <c r="T211" i="1"/>
  <c r="S213" i="1" l="1"/>
  <c r="T212" i="1"/>
  <c r="S214" i="1" l="1"/>
  <c r="T213" i="1"/>
  <c r="S215" i="1" l="1"/>
  <c r="T214" i="1"/>
  <c r="S216" i="1" l="1"/>
  <c r="T215" i="1"/>
  <c r="S217" i="1" l="1"/>
  <c r="T216" i="1"/>
  <c r="S218" i="1" l="1"/>
  <c r="T217" i="1"/>
  <c r="S219" i="1" l="1"/>
  <c r="T218" i="1"/>
  <c r="S220" i="1" l="1"/>
  <c r="T219" i="1"/>
  <c r="S221" i="1" l="1"/>
  <c r="T220" i="1"/>
  <c r="S222" i="1" l="1"/>
  <c r="T221" i="1"/>
  <c r="S223" i="1" l="1"/>
  <c r="T222" i="1"/>
  <c r="S224" i="1" l="1"/>
  <c r="T223" i="1"/>
  <c r="S225" i="1" l="1"/>
  <c r="T224" i="1"/>
  <c r="S226" i="1" l="1"/>
  <c r="T225" i="1"/>
  <c r="S227" i="1" l="1"/>
  <c r="T226" i="1"/>
  <c r="S228" i="1" l="1"/>
  <c r="T227" i="1"/>
  <c r="S229" i="1" l="1"/>
  <c r="T228" i="1"/>
  <c r="S230" i="1" l="1"/>
  <c r="T229" i="1"/>
  <c r="S231" i="1" l="1"/>
  <c r="T230" i="1"/>
  <c r="S232" i="1" l="1"/>
  <c r="T231" i="1"/>
  <c r="S233" i="1" l="1"/>
  <c r="T232" i="1"/>
  <c r="S234" i="1" l="1"/>
  <c r="T233" i="1"/>
  <c r="S235" i="1" l="1"/>
  <c r="T234" i="1"/>
  <c r="S236" i="1" l="1"/>
  <c r="T235" i="1"/>
  <c r="S237" i="1" l="1"/>
  <c r="T236" i="1"/>
  <c r="S238" i="1" l="1"/>
  <c r="T237" i="1"/>
  <c r="S239" i="1" l="1"/>
  <c r="T238" i="1"/>
  <c r="S240" i="1" l="1"/>
  <c r="T239" i="1"/>
  <c r="S241" i="1" l="1"/>
  <c r="T240" i="1"/>
  <c r="S242" i="1" l="1"/>
  <c r="T241" i="1"/>
  <c r="S243" i="1" l="1"/>
  <c r="T242" i="1"/>
  <c r="S244" i="1" l="1"/>
  <c r="T243" i="1"/>
  <c r="S245" i="1" l="1"/>
  <c r="T244" i="1"/>
  <c r="S246" i="1" l="1"/>
  <c r="T245" i="1"/>
  <c r="S247" i="1" l="1"/>
  <c r="T246" i="1"/>
  <c r="S248" i="1" l="1"/>
  <c r="T247" i="1"/>
  <c r="S249" i="1" l="1"/>
  <c r="T248" i="1"/>
  <c r="S250" i="1" l="1"/>
  <c r="T249" i="1"/>
  <c r="S251" i="1" l="1"/>
  <c r="T250" i="1"/>
  <c r="S252" i="1" l="1"/>
  <c r="T251" i="1"/>
  <c r="S253" i="1" l="1"/>
  <c r="T252" i="1"/>
  <c r="S254" i="1" l="1"/>
  <c r="T253" i="1"/>
  <c r="S255" i="1" l="1"/>
  <c r="T254" i="1"/>
  <c r="T255" i="1" l="1"/>
  <c r="S256" i="1"/>
  <c r="S257" i="1" l="1"/>
  <c r="T256" i="1"/>
  <c r="S258" i="1" l="1"/>
  <c r="T257" i="1"/>
  <c r="S259" i="1" l="1"/>
  <c r="T258" i="1"/>
  <c r="S260" i="1" l="1"/>
  <c r="T259" i="1"/>
  <c r="S261" i="1" l="1"/>
  <c r="T260" i="1"/>
  <c r="S262" i="1" l="1"/>
  <c r="T261" i="1"/>
  <c r="S263" i="1" l="1"/>
  <c r="T262" i="1"/>
  <c r="S264" i="1" l="1"/>
  <c r="T263" i="1"/>
  <c r="S265" i="1" l="1"/>
  <c r="T264" i="1"/>
  <c r="S266" i="1" l="1"/>
  <c r="T265" i="1"/>
  <c r="S267" i="1" l="1"/>
  <c r="T266" i="1"/>
  <c r="S268" i="1" l="1"/>
  <c r="T267" i="1"/>
  <c r="S269" i="1" l="1"/>
  <c r="T268" i="1"/>
  <c r="S270" i="1" l="1"/>
  <c r="T269" i="1"/>
  <c r="S271" i="1" l="1"/>
  <c r="T270" i="1"/>
  <c r="S272" i="1" l="1"/>
  <c r="T271" i="1"/>
  <c r="S273" i="1" l="1"/>
  <c r="T272" i="1"/>
  <c r="S274" i="1" l="1"/>
  <c r="T273" i="1"/>
  <c r="S275" i="1" l="1"/>
  <c r="T274" i="1"/>
  <c r="S276" i="1" l="1"/>
  <c r="T275" i="1"/>
  <c r="S277" i="1" l="1"/>
  <c r="T276" i="1"/>
  <c r="S278" i="1" l="1"/>
  <c r="T277" i="1"/>
  <c r="S279" i="1" l="1"/>
  <c r="T278" i="1"/>
  <c r="S280" i="1" l="1"/>
  <c r="T279" i="1"/>
  <c r="S281" i="1" l="1"/>
  <c r="T280" i="1"/>
  <c r="S282" i="1" l="1"/>
  <c r="T281" i="1"/>
  <c r="T282" i="1" l="1"/>
  <c r="S283" i="1"/>
  <c r="S284" i="1" l="1"/>
  <c r="T283" i="1"/>
  <c r="S285" i="1" l="1"/>
  <c r="T284" i="1"/>
  <c r="S286" i="1" l="1"/>
  <c r="T285" i="1"/>
  <c r="S287" i="1" l="1"/>
  <c r="T286" i="1"/>
  <c r="S288" i="1" l="1"/>
  <c r="T287" i="1"/>
  <c r="S289" i="1" l="1"/>
  <c r="T288" i="1"/>
  <c r="S290" i="1" l="1"/>
  <c r="T289" i="1"/>
  <c r="S291" i="1" l="1"/>
  <c r="T290" i="1"/>
  <c r="S292" i="1" l="1"/>
  <c r="T291" i="1"/>
  <c r="S293" i="1" l="1"/>
  <c r="T292" i="1"/>
  <c r="S294" i="1" l="1"/>
  <c r="T293" i="1"/>
  <c r="S295" i="1" l="1"/>
  <c r="T294" i="1"/>
  <c r="T295" i="1" l="1"/>
  <c r="S296" i="1"/>
  <c r="S297" i="1" l="1"/>
  <c r="T296" i="1"/>
  <c r="S298" i="1" l="1"/>
  <c r="T297" i="1"/>
  <c r="S299" i="1" l="1"/>
  <c r="T298" i="1"/>
  <c r="S300" i="1" l="1"/>
  <c r="T299" i="1"/>
  <c r="S301" i="1" l="1"/>
  <c r="T300" i="1"/>
  <c r="S302" i="1" l="1"/>
  <c r="T301" i="1"/>
  <c r="S303" i="1" l="1"/>
  <c r="T302" i="1"/>
  <c r="S304" i="1" l="1"/>
  <c r="T303" i="1"/>
  <c r="S305" i="1" l="1"/>
  <c r="T304" i="1"/>
  <c r="S306" i="1" l="1"/>
  <c r="T305" i="1"/>
  <c r="S307" i="1" l="1"/>
  <c r="T306" i="1"/>
  <c r="S308" i="1" l="1"/>
  <c r="T307" i="1"/>
  <c r="S309" i="1" l="1"/>
  <c r="T308" i="1"/>
  <c r="S310" i="1" l="1"/>
  <c r="T309" i="1"/>
  <c r="S311" i="1" l="1"/>
  <c r="T310" i="1"/>
  <c r="S312" i="1" l="1"/>
  <c r="T311" i="1"/>
  <c r="S313" i="1" l="1"/>
  <c r="T312" i="1"/>
  <c r="S314" i="1" l="1"/>
  <c r="T313" i="1"/>
  <c r="S315" i="1" l="1"/>
  <c r="T314" i="1"/>
  <c r="S316" i="1" l="1"/>
  <c r="T315" i="1"/>
  <c r="S317" i="1" l="1"/>
  <c r="T316" i="1"/>
  <c r="S318" i="1" l="1"/>
  <c r="T317" i="1"/>
  <c r="S319" i="1" l="1"/>
  <c r="T318" i="1"/>
  <c r="S320" i="1" l="1"/>
  <c r="T319" i="1"/>
  <c r="S321" i="1" l="1"/>
  <c r="T320" i="1"/>
  <c r="S322" i="1" l="1"/>
  <c r="T321" i="1"/>
  <c r="S323" i="1" l="1"/>
  <c r="T322" i="1"/>
  <c r="S324" i="1" l="1"/>
  <c r="T323" i="1"/>
  <c r="S325" i="1" l="1"/>
  <c r="T324" i="1"/>
  <c r="S326" i="1" l="1"/>
  <c r="T325" i="1"/>
  <c r="T326" i="1" l="1"/>
  <c r="S327" i="1"/>
  <c r="S328" i="1" l="1"/>
  <c r="T327" i="1"/>
  <c r="T328" i="1" l="1"/>
  <c r="S329" i="1"/>
  <c r="S330" i="1" l="1"/>
  <c r="T329" i="1"/>
  <c r="S331" i="1" l="1"/>
  <c r="T330" i="1"/>
  <c r="S332" i="1" l="1"/>
  <c r="T331" i="1"/>
  <c r="S333" i="1" l="1"/>
  <c r="T332" i="1"/>
  <c r="S334" i="1" l="1"/>
  <c r="T333" i="1"/>
  <c r="S335" i="1" l="1"/>
  <c r="T334" i="1"/>
  <c r="S336" i="1" l="1"/>
  <c r="T335" i="1"/>
  <c r="S337" i="1" l="1"/>
  <c r="T336" i="1"/>
  <c r="S338" i="1" l="1"/>
  <c r="T337" i="1"/>
  <c r="S339" i="1" l="1"/>
  <c r="T338" i="1"/>
  <c r="S340" i="1" l="1"/>
  <c r="T339" i="1"/>
  <c r="S341" i="1" l="1"/>
  <c r="T340" i="1"/>
  <c r="S342" i="1" l="1"/>
  <c r="T341" i="1"/>
  <c r="S343" i="1" l="1"/>
  <c r="T342" i="1"/>
  <c r="S344" i="1" l="1"/>
  <c r="T343" i="1"/>
  <c r="S345" i="1" l="1"/>
  <c r="T344" i="1"/>
  <c r="S346" i="1" l="1"/>
  <c r="T345" i="1"/>
  <c r="S347" i="1" l="1"/>
  <c r="T346" i="1"/>
  <c r="S348" i="1" l="1"/>
  <c r="T347" i="1"/>
  <c r="S349" i="1" l="1"/>
  <c r="T348" i="1"/>
  <c r="S350" i="1" l="1"/>
  <c r="T349" i="1"/>
  <c r="S351" i="1" l="1"/>
  <c r="T350" i="1"/>
  <c r="S352" i="1" l="1"/>
  <c r="T351" i="1"/>
  <c r="S353" i="1" l="1"/>
  <c r="T352" i="1"/>
  <c r="S354" i="1" l="1"/>
  <c r="T353" i="1"/>
  <c r="S355" i="1" l="1"/>
  <c r="T354" i="1"/>
  <c r="S356" i="1" l="1"/>
  <c r="T355" i="1"/>
  <c r="S357" i="1" l="1"/>
  <c r="T356" i="1"/>
  <c r="S358" i="1" l="1"/>
  <c r="T357" i="1"/>
  <c r="S359" i="1" l="1"/>
  <c r="T358" i="1"/>
  <c r="S360" i="1" l="1"/>
  <c r="T359" i="1"/>
  <c r="T360" i="1" l="1"/>
  <c r="S361" i="1"/>
  <c r="S362" i="1" l="1"/>
  <c r="T361" i="1"/>
  <c r="S363" i="1" l="1"/>
  <c r="T362" i="1"/>
  <c r="S364" i="1" l="1"/>
  <c r="T363" i="1"/>
  <c r="S365" i="1" l="1"/>
  <c r="T364" i="1"/>
  <c r="S366" i="1" l="1"/>
  <c r="T365" i="1"/>
  <c r="S367" i="1" l="1"/>
  <c r="T366" i="1"/>
  <c r="T367" i="1" l="1"/>
  <c r="S368" i="1"/>
  <c r="S369" i="1" l="1"/>
  <c r="T368" i="1"/>
  <c r="S370" i="1" l="1"/>
  <c r="T369" i="1"/>
  <c r="S371" i="1" l="1"/>
  <c r="T370" i="1"/>
  <c r="S372" i="1" l="1"/>
  <c r="T371" i="1"/>
  <c r="S373" i="1" l="1"/>
  <c r="T372" i="1"/>
  <c r="S374" i="1" l="1"/>
  <c r="T373" i="1"/>
  <c r="S375" i="1" l="1"/>
  <c r="T374" i="1"/>
  <c r="S376" i="1" l="1"/>
  <c r="T375" i="1"/>
  <c r="S377" i="1" l="1"/>
  <c r="T376" i="1"/>
  <c r="S378" i="1" l="1"/>
  <c r="T377" i="1"/>
  <c r="S379" i="1" l="1"/>
  <c r="T378" i="1"/>
  <c r="S380" i="1" l="1"/>
  <c r="T379" i="1"/>
  <c r="S381" i="1" l="1"/>
  <c r="T380" i="1"/>
  <c r="S382" i="1" l="1"/>
  <c r="T381" i="1"/>
  <c r="S383" i="1" l="1"/>
  <c r="T382" i="1"/>
  <c r="S384" i="1" l="1"/>
  <c r="T383" i="1"/>
  <c r="S385" i="1" l="1"/>
  <c r="T384" i="1"/>
  <c r="S386" i="1" l="1"/>
  <c r="T385" i="1"/>
  <c r="S387" i="1" l="1"/>
  <c r="T386" i="1"/>
  <c r="S388" i="1" l="1"/>
  <c r="T387" i="1"/>
  <c r="S389" i="1" l="1"/>
  <c r="T388" i="1"/>
  <c r="S390" i="1" l="1"/>
  <c r="T389" i="1"/>
  <c r="S391" i="1" l="1"/>
  <c r="T391" i="1" s="1"/>
  <c r="T390" i="1"/>
</calcChain>
</file>

<file path=xl/sharedStrings.xml><?xml version="1.0" encoding="utf-8"?>
<sst xmlns="http://schemas.openxmlformats.org/spreadsheetml/2006/main" count="874" uniqueCount="454">
  <si>
    <t>FY 2013 Referendum and Equity Revenues and Levy Burdens</t>
  </si>
  <si>
    <t>Levy Equity</t>
  </si>
  <si>
    <t>All Districts</t>
  </si>
  <si>
    <t>Quintile 1</t>
  </si>
  <si>
    <t>Quintile 2</t>
  </si>
  <si>
    <t>Quintile 3</t>
  </si>
  <si>
    <t>Quintile 4</t>
  </si>
  <si>
    <t>Quintile 5</t>
  </si>
  <si>
    <t>Total</t>
  </si>
  <si>
    <t>Minimum RMV/RMCPU</t>
  </si>
  <si>
    <t>Maximum RMV/RMCPU</t>
  </si>
  <si>
    <t>Adjusted ADM</t>
  </si>
  <si>
    <t>RMCPU</t>
  </si>
  <si>
    <t>Referendum market value (RMV)</t>
  </si>
  <si>
    <t>Referendum aid</t>
  </si>
  <si>
    <t>Referendum levy</t>
  </si>
  <si>
    <t>Equity aid</t>
  </si>
  <si>
    <t>Equity levy</t>
  </si>
  <si>
    <t>Transition aid</t>
  </si>
  <si>
    <t>Transition levy</t>
  </si>
  <si>
    <t>State aid portion of listed revenue</t>
  </si>
  <si>
    <t>Revenue per ADM for each dollar levied</t>
  </si>
  <si>
    <t>Minnesota Department of Education / School Finance Division</t>
  </si>
  <si>
    <t xml:space="preserve">Operating Referendum Revenue, Aid and Levy, FY 2013 Estimates </t>
  </si>
  <si>
    <t>Referendum Aid shown includes  tax base replacement aid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</si>
  <si>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</si>
  <si>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</si>
  <si>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</si>
  <si>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</si>
  <si>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</si>
  <si>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</si>
  <si>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</si>
  <si>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</si>
  <si>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</si>
  <si>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</si>
  <si>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</si>
  <si>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</si>
  <si>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</t>
  </si>
  <si>
    <t>O</t>
  </si>
  <si>
    <t>P</t>
  </si>
  <si>
    <t>Referendum</t>
  </si>
  <si>
    <t>Levy</t>
  </si>
  <si>
    <t xml:space="preserve">Yield from </t>
  </si>
  <si>
    <t>Equity</t>
  </si>
  <si>
    <t>Transition</t>
  </si>
  <si>
    <t>RMV</t>
  </si>
  <si>
    <t>Cumulative</t>
  </si>
  <si>
    <t>Revenue</t>
  </si>
  <si>
    <t>Aid</t>
  </si>
  <si>
    <t>Per $100,000</t>
  </si>
  <si>
    <t>$100 Levy per</t>
  </si>
  <si>
    <t>Adjusted</t>
  </si>
  <si>
    <t>/RMCPU</t>
  </si>
  <si>
    <t>ADM</t>
  </si>
  <si>
    <t>Wealth</t>
  </si>
  <si>
    <t>per ADM</t>
  </si>
  <si>
    <t>Portion</t>
  </si>
  <si>
    <t>of RMV</t>
  </si>
  <si>
    <t>$100,000 of RMV</t>
  </si>
  <si>
    <t>Region</t>
  </si>
  <si>
    <t>n/a</t>
  </si>
  <si>
    <t>AITKIN</t>
  </si>
  <si>
    <t>MINNEAPOLIS</t>
  </si>
  <si>
    <t>HILL CITY</t>
  </si>
  <si>
    <t>MCGREGOR</t>
  </si>
  <si>
    <t>SOUTH ST. PAUL</t>
  </si>
  <si>
    <t>ANOKA-HENNEPIN</t>
  </si>
  <si>
    <t>CENTENNIAL</t>
  </si>
  <si>
    <t>COLUMBIA HEIGHTS</t>
  </si>
  <si>
    <t>FRIDLEY</t>
  </si>
  <si>
    <t>ST. FRANCIS</t>
  </si>
  <si>
    <t>SPRING LAKE PARK</t>
  </si>
  <si>
    <t>DETROIT LAKES</t>
  </si>
  <si>
    <t>FRAZEE</t>
  </si>
  <si>
    <t>PINE POINT</t>
  </si>
  <si>
    <t>BEMIDJI</t>
  </si>
  <si>
    <t>BLACKDUCK</t>
  </si>
  <si>
    <t>KELLIHER</t>
  </si>
  <si>
    <t>RED LAKE</t>
  </si>
  <si>
    <t>SAUK RAPIDS</t>
  </si>
  <si>
    <t>FOLEY</t>
  </si>
  <si>
    <t>ST. CLAIR</t>
  </si>
  <si>
    <t>MANKATO</t>
  </si>
  <si>
    <t>COMFREY</t>
  </si>
  <si>
    <t>SLEEPY EYE</t>
  </si>
  <si>
    <t>SPRINGFIELD</t>
  </si>
  <si>
    <t>NEW ULM</t>
  </si>
  <si>
    <t>BARNUM</t>
  </si>
  <si>
    <t>CARLTON</t>
  </si>
  <si>
    <t>CLOQUET</t>
  </si>
  <si>
    <t>CROMWELL</t>
  </si>
  <si>
    <t>MOOSE LAKE</t>
  </si>
  <si>
    <t>ESKO</t>
  </si>
  <si>
    <t>WRENSHALL</t>
  </si>
  <si>
    <t>NORWOOD</t>
  </si>
  <si>
    <t>WACONIA</t>
  </si>
  <si>
    <t>WATERTOWN-MAYER</t>
  </si>
  <si>
    <t>EASTERN CARVER CTY</t>
  </si>
  <si>
    <t>WALKER-AKELEY</t>
  </si>
  <si>
    <t>CASS LAKE</t>
  </si>
  <si>
    <t>PILLAGER</t>
  </si>
  <si>
    <t>NORTHLAND</t>
  </si>
  <si>
    <t>MONTEVIDEO</t>
  </si>
  <si>
    <t>NORTH BRANCH</t>
  </si>
  <si>
    <t>RUSH CITY</t>
  </si>
  <si>
    <t>BARNESVILLE</t>
  </si>
  <si>
    <t>HAWLEY</t>
  </si>
  <si>
    <t>MOORHEAD</t>
  </si>
  <si>
    <t>BAGLEY</t>
  </si>
  <si>
    <t>COOK COUNTY</t>
  </si>
  <si>
    <t>MOUNTAIN LAKE</t>
  </si>
  <si>
    <t>WINDOM</t>
  </si>
  <si>
    <t>BRAINERD</t>
  </si>
  <si>
    <t>CROSBY</t>
  </si>
  <si>
    <t>PEQUOT LAKES</t>
  </si>
  <si>
    <t>BURNSVILLE</t>
  </si>
  <si>
    <t>FARMINGTON</t>
  </si>
  <si>
    <t>LAKEVILLE</t>
  </si>
  <si>
    <t>RANDOLPH</t>
  </si>
  <si>
    <t>ROSEMOUNT-APPLE</t>
  </si>
  <si>
    <t>WEST ST. PAUL</t>
  </si>
  <si>
    <t>INVER GROVE</t>
  </si>
  <si>
    <t>HASTINGS</t>
  </si>
  <si>
    <t>HAYFIELD</t>
  </si>
  <si>
    <t>KASSON-MANTORVIL</t>
  </si>
  <si>
    <t>ALEXANDRIA</t>
  </si>
  <si>
    <t>BRANDON</t>
  </si>
  <si>
    <t>EVANSVILLE</t>
  </si>
  <si>
    <t>OSAKIS</t>
  </si>
  <si>
    <t>CHATFIELD</t>
  </si>
  <si>
    <t>LANESBORO</t>
  </si>
  <si>
    <t>MABEL-CANTON</t>
  </si>
  <si>
    <t>RUSHFORD-PETERSO</t>
  </si>
  <si>
    <t>ALBERT LEA</t>
  </si>
  <si>
    <t>ALDEN</t>
  </si>
  <si>
    <t>CANNON FALLS</t>
  </si>
  <si>
    <t>GOODHUE</t>
  </si>
  <si>
    <t>PINE ISLAND</t>
  </si>
  <si>
    <t>RED WING</t>
  </si>
  <si>
    <t>ASHBY</t>
  </si>
  <si>
    <t>HERMAN-NORCROSS</t>
  </si>
  <si>
    <t>HOPKINS</t>
  </si>
  <si>
    <t>BLOOMINGTON</t>
  </si>
  <si>
    <t>EDEN PRAIRIE</t>
  </si>
  <si>
    <t>EDINA</t>
  </si>
  <si>
    <t>MINNETONKA</t>
  </si>
  <si>
    <t>WESTONKA</t>
  </si>
  <si>
    <t>ORONO</t>
  </si>
  <si>
    <t>OSSEO</t>
  </si>
  <si>
    <t>RICHFIELD</t>
  </si>
  <si>
    <t>ROBBINSDALE</t>
  </si>
  <si>
    <t>ST. ANTHONY-NEW</t>
  </si>
  <si>
    <t>ST. LOUIS PARK</t>
  </si>
  <si>
    <t>WAYZATA</t>
  </si>
  <si>
    <t>BROOKLYN CENTER</t>
  </si>
  <si>
    <t>HOUSTON</t>
  </si>
  <si>
    <t>SPRING GROVE</t>
  </si>
  <si>
    <t>CALEDONIA</t>
  </si>
  <si>
    <t>LACRESCENT</t>
  </si>
  <si>
    <t>LAPORTE</t>
  </si>
  <si>
    <t>NEVIS</t>
  </si>
  <si>
    <t>PARK RAPIDS</t>
  </si>
  <si>
    <t>BRAHAM</t>
  </si>
  <si>
    <t>GREENWAY</t>
  </si>
  <si>
    <t>DEER RIVER</t>
  </si>
  <si>
    <t>GRAND RAPIDS</t>
  </si>
  <si>
    <t>NASHWAUK-KEEWATI</t>
  </si>
  <si>
    <t>FRANCONIA</t>
  </si>
  <si>
    <t>HERON LAKE-OKABE</t>
  </si>
  <si>
    <t>MORA</t>
  </si>
  <si>
    <t>OGILVIE</t>
  </si>
  <si>
    <t>NEW LONDON-SPICE</t>
  </si>
  <si>
    <t>WILLMAR</t>
  </si>
  <si>
    <t>LANCASTER</t>
  </si>
  <si>
    <t>INTERNATIONAL FA</t>
  </si>
  <si>
    <t>LITTLEFORK-BIG F</t>
  </si>
  <si>
    <t>SOUTH KOOCHICHIN</t>
  </si>
  <si>
    <t>DAWSON</t>
  </si>
  <si>
    <t>LAKE SUPERIOR</t>
  </si>
  <si>
    <t>LAKE OF THE WOOD</t>
  </si>
  <si>
    <t>CLEVELAND</t>
  </si>
  <si>
    <t>HENDRICKS</t>
  </si>
  <si>
    <t>IVANHOE</t>
  </si>
  <si>
    <t>LAKE BENTON</t>
  </si>
  <si>
    <t>MARSHALL</t>
  </si>
  <si>
    <t>MINNEOTA</t>
  </si>
  <si>
    <t>LYND</t>
  </si>
  <si>
    <t>HUTCHINSON</t>
  </si>
  <si>
    <t>LESTER PRAIRIE</t>
  </si>
  <si>
    <t>MAHNOMEN</t>
  </si>
  <si>
    <t>WAUBUN</t>
  </si>
  <si>
    <t>MARSHALL CTY CENTRAL</t>
  </si>
  <si>
    <t>GRYGLA</t>
  </si>
  <si>
    <t>TRUMAN</t>
  </si>
  <si>
    <t>EDEN VALLEY</t>
  </si>
  <si>
    <t>LITCHFIELD</t>
  </si>
  <si>
    <t>DASSEL-COKATO</t>
  </si>
  <si>
    <t>ISLE</t>
  </si>
  <si>
    <t>PRINCETON</t>
  </si>
  <si>
    <t>ONAMIA</t>
  </si>
  <si>
    <t>LITTLE FALLS</t>
  </si>
  <si>
    <t>PIERZ</t>
  </si>
  <si>
    <t>ROYALTON</t>
  </si>
  <si>
    <t>SWANVILLE</t>
  </si>
  <si>
    <t>UPSALA</t>
  </si>
  <si>
    <t>AUSTIN</t>
  </si>
  <si>
    <t>GRAND MEADOW</t>
  </si>
  <si>
    <t>LYLE</t>
  </si>
  <si>
    <t>LEROY</t>
  </si>
  <si>
    <t>SOUTHLAND</t>
  </si>
  <si>
    <t>FULDA</t>
  </si>
  <si>
    <t>NICOLLET</t>
  </si>
  <si>
    <t>ST. PETER</t>
  </si>
  <si>
    <t>ADRIAN</t>
  </si>
  <si>
    <t>BREWSTER</t>
  </si>
  <si>
    <t>ELLSWORTH</t>
  </si>
  <si>
    <t>ROUND LAKE</t>
  </si>
  <si>
    <t>WORTHINGTON</t>
  </si>
  <si>
    <t>BYRON</t>
  </si>
  <si>
    <t>DOVER-EYOTA</t>
  </si>
  <si>
    <t>STEWARTVILLE</t>
  </si>
  <si>
    <t>ROCHESTER</t>
  </si>
  <si>
    <t>BATTLE LAKE</t>
  </si>
  <si>
    <t>FERGUS FALLS</t>
  </si>
  <si>
    <t>HENNING</t>
  </si>
  <si>
    <t>PARKERS PRAIRIE</t>
  </si>
  <si>
    <t>PELICAN RAPIDS</t>
  </si>
  <si>
    <t>PERHAM</t>
  </si>
  <si>
    <t>UNDERWOOD</t>
  </si>
  <si>
    <t>NEW YORK MILLS</t>
  </si>
  <si>
    <t>GOODRIDGE</t>
  </si>
  <si>
    <t>THIEF RIVER FALL</t>
  </si>
  <si>
    <t>WILLOW RIVER</t>
  </si>
  <si>
    <t>PINE CITY</t>
  </si>
  <si>
    <t>EDGERTON</t>
  </si>
  <si>
    <t>CLIMAX</t>
  </si>
  <si>
    <t>CROOKSTON</t>
  </si>
  <si>
    <t>EAST GRAND FORKS</t>
  </si>
  <si>
    <t>FERTILE-BELTRAMI</t>
  </si>
  <si>
    <t>FISHER</t>
  </si>
  <si>
    <t>FOSSTON</t>
  </si>
  <si>
    <t>CYRUS</t>
  </si>
  <si>
    <t>MOUNDS VIEW</t>
  </si>
  <si>
    <t>NORTH ST. PAUL-M</t>
  </si>
  <si>
    <t>ROSEVILLE</t>
  </si>
  <si>
    <t>WHITE BEAR LAKE</t>
  </si>
  <si>
    <t>ST. PAUL</t>
  </si>
  <si>
    <t>OKLEE</t>
  </si>
  <si>
    <t>PLUMMER</t>
  </si>
  <si>
    <t>RED LAKE FALLS</t>
  </si>
  <si>
    <t>MILROY</t>
  </si>
  <si>
    <t>WABASSO</t>
  </si>
  <si>
    <t>FARIBAULT</t>
  </si>
  <si>
    <t>NORTHFIELD</t>
  </si>
  <si>
    <t>HILLS-BEAVER CRE</t>
  </si>
  <si>
    <t>BADGER</t>
  </si>
  <si>
    <t>ROSEAU</t>
  </si>
  <si>
    <t>WARROAD</t>
  </si>
  <si>
    <t>CHISHOLM</t>
  </si>
  <si>
    <t>ELY</t>
  </si>
  <si>
    <t>FLOODWOOD</t>
  </si>
  <si>
    <t>HERMANTOWN</t>
  </si>
  <si>
    <t>HIBBING</t>
  </si>
  <si>
    <t>PROCTOR</t>
  </si>
  <si>
    <t>VIRGINIA</t>
  </si>
  <si>
    <t>NETT LAKE</t>
  </si>
  <si>
    <t>DULUTH</t>
  </si>
  <si>
    <t>MOUNTAIN IRON-BU</t>
  </si>
  <si>
    <t>BELLE PLAINE</t>
  </si>
  <si>
    <t>JORDAN</t>
  </si>
  <si>
    <t>PRIOR LAKE</t>
  </si>
  <si>
    <t>SHAKOPEE</t>
  </si>
  <si>
    <t>NEW PRAGUE</t>
  </si>
  <si>
    <t>BECKER</t>
  </si>
  <si>
    <t>BIG LAKE</t>
  </si>
  <si>
    <t>ELK RIVER</t>
  </si>
  <si>
    <t>HOLDINGFORD</t>
  </si>
  <si>
    <t>KIMBALL</t>
  </si>
  <si>
    <t>MELROSE</t>
  </si>
  <si>
    <t>PAYNESVILLE</t>
  </si>
  <si>
    <t>ST. CLOUD</t>
  </si>
  <si>
    <t>SAUK CENTRE</t>
  </si>
  <si>
    <t>ALBANY</t>
  </si>
  <si>
    <t>SARTELL</t>
  </si>
  <si>
    <t>ROCORI</t>
  </si>
  <si>
    <t>BLOOMING PRAIRIE</t>
  </si>
  <si>
    <t>OWATONNA</t>
  </si>
  <si>
    <t>MEDFORD</t>
  </si>
  <si>
    <t>HANCOCK</t>
  </si>
  <si>
    <t>MORRIS</t>
  </si>
  <si>
    <t>CHOKIO-ALBERTA</t>
  </si>
  <si>
    <t>KERKHOVEN-MURDOC</t>
  </si>
  <si>
    <t>BENSON</t>
  </si>
  <si>
    <t>BERTHA-HEWITT</t>
  </si>
  <si>
    <t>BROWERVILLE</t>
  </si>
  <si>
    <t>BROWNS VALLEY</t>
  </si>
  <si>
    <t>WHEATON</t>
  </si>
  <si>
    <t>WABASHA</t>
  </si>
  <si>
    <t>LAKE CITY</t>
  </si>
  <si>
    <t>PRINSBURG</t>
  </si>
  <si>
    <t>VERNDALE</t>
  </si>
  <si>
    <t>SEBEKA</t>
  </si>
  <si>
    <t>MENAHGA</t>
  </si>
  <si>
    <t>WASECA</t>
  </si>
  <si>
    <t>FOREST LAKE</t>
  </si>
  <si>
    <t>MAHTOMEDI</t>
  </si>
  <si>
    <t>SOUTH WASHINGTON</t>
  </si>
  <si>
    <t>STILLWATER</t>
  </si>
  <si>
    <t>BUTTERFIELD</t>
  </si>
  <si>
    <t>MADELIA</t>
  </si>
  <si>
    <t>ST. JAMES</t>
  </si>
  <si>
    <t>BRECKENRIDGE</t>
  </si>
  <si>
    <t>ROTHSAY</t>
  </si>
  <si>
    <t>CAMPBELL-TINTAH</t>
  </si>
  <si>
    <t>LEWISTON</t>
  </si>
  <si>
    <t>ST. CHARLES</t>
  </si>
  <si>
    <t>WINONA</t>
  </si>
  <si>
    <t>ANNANDALE</t>
  </si>
  <si>
    <t>BUFFALO</t>
  </si>
  <si>
    <t>DELANO</t>
  </si>
  <si>
    <t>MAPLE LAKE</t>
  </si>
  <si>
    <t>MONTICELLO</t>
  </si>
  <si>
    <t>ROCKFORD</t>
  </si>
  <si>
    <t>ST. MICHAEL-ALBE</t>
  </si>
  <si>
    <t>CANBY</t>
  </si>
  <si>
    <t>CAMBRIDGE-ISANTI</t>
  </si>
  <si>
    <t>MILACA</t>
  </si>
  <si>
    <t>ULEN-HITTERDAL</t>
  </si>
  <si>
    <t>LAKE CRYSTAL-WEL</t>
  </si>
  <si>
    <t>TRITON</t>
  </si>
  <si>
    <t>UNITED SOUTH CENTRAL</t>
  </si>
  <si>
    <t>MAPLE RIVER</t>
  </si>
  <si>
    <t>KINGSLAND</t>
  </si>
  <si>
    <t>ST. LOUIS COUNTY</t>
  </si>
  <si>
    <t>WATERVILLE-ELYSIAN-MORRISTOWN</t>
  </si>
  <si>
    <t>CHISAGO LAKES AREA</t>
  </si>
  <si>
    <t>MINNEWASKA</t>
  </si>
  <si>
    <t>EVELETH-GILBERT</t>
  </si>
  <si>
    <t>WADENA-DEER CREEK</t>
  </si>
  <si>
    <t>BUFFALO LAKE-HECTOR</t>
  </si>
  <si>
    <t>DILWORTH-GLYNDON</t>
  </si>
  <si>
    <t>HINCKLEY-FINLAYS</t>
  </si>
  <si>
    <t>LAKEVIEW</t>
  </si>
  <si>
    <t>NRHEG</t>
  </si>
  <si>
    <t>MURRAY COUNTY</t>
  </si>
  <si>
    <t>STAPLES-MOTLEY</t>
  </si>
  <si>
    <t>KITTSON CENTRAL</t>
  </si>
  <si>
    <t>KENYON-WANAMINGO</t>
  </si>
  <si>
    <t>PINE RIVER-BACKU</t>
  </si>
  <si>
    <t>WARREN-ALVARADO-</t>
  </si>
  <si>
    <t>MACCRAY</t>
  </si>
  <si>
    <t>LUVERNE</t>
  </si>
  <si>
    <t>YELLOW MEDICINE EAST</t>
  </si>
  <si>
    <t xml:space="preserve">FILLMORE CENTRAL                   </t>
  </si>
  <si>
    <t>NORMAN COUNTY EAST</t>
  </si>
  <si>
    <t>SIBLEY EAST</t>
  </si>
  <si>
    <t>CLEARBROOK-GONVICK</t>
  </si>
  <si>
    <t>WEST CENTRAL AREA</t>
  </si>
  <si>
    <t>TRI-COUNTY</t>
  </si>
  <si>
    <t>BELGRADE-BROOTEN-ELR</t>
  </si>
  <si>
    <t>G.F.W.</t>
  </si>
  <si>
    <t>A.C.G.C.</t>
  </si>
  <si>
    <t>LESUEUR-HENDERSO</t>
  </si>
  <si>
    <t>MARTIN COUNTY</t>
  </si>
  <si>
    <t>NORMAN CTY WEST</t>
  </si>
  <si>
    <t xml:space="preserve">BIRD ISLAND-OLIVIA-LAKE LILLIAN    </t>
  </si>
  <si>
    <t>GRANADA HUNTLEY-</t>
  </si>
  <si>
    <t>EAST CENTRAL</t>
  </si>
  <si>
    <t>WIN-E-MAC</t>
  </si>
  <si>
    <t>GREENBUSH-MIDDLE RIV</t>
  </si>
  <si>
    <t>HOWARD LAKE-WAVERLY-WINSTED</t>
  </si>
  <si>
    <t>PIPESTONE-JASPER</t>
  </si>
  <si>
    <t>MESABI EAST</t>
  </si>
  <si>
    <t>FAIRMONT AREA SCHOOLS</t>
  </si>
  <si>
    <t>LONG PRAIRIE-GREY EA</t>
  </si>
  <si>
    <t>CEDAR MOUNTAIN</t>
  </si>
  <si>
    <t>EAGLE BEND-CLARISSA</t>
  </si>
  <si>
    <t>ZUMBROTA-MAZEPPA</t>
  </si>
  <si>
    <t>JANESVILLE-WALDO</t>
  </si>
  <si>
    <t>LAC QUI PARLE</t>
  </si>
  <si>
    <t>ADA-BORUP</t>
  </si>
  <si>
    <t>STEPHEN-ARGYLE</t>
  </si>
  <si>
    <t>GLENCOE-SILVER LAKE</t>
  </si>
  <si>
    <t>BLUE EARTH-DELAVAN-ELMORE</t>
  </si>
  <si>
    <t>RED ROCK CENTRAL</t>
  </si>
  <si>
    <t>GLENVILLE-EMMONS</t>
  </si>
  <si>
    <t>CLINTON-GRACEVILLE-BEARDSLEY</t>
  </si>
  <si>
    <t>LAKE PARK-AUDUBON</t>
  </si>
  <si>
    <t>RENVILLE CTY WEST</t>
  </si>
  <si>
    <t>JACKSON COUNTY CENTRAL</t>
  </si>
  <si>
    <t>REDWOOD AREA SCHOOLS</t>
  </si>
  <si>
    <t>WESTBROOK-WALNUT GROVE</t>
  </si>
  <si>
    <t>PLAINVIEW-ELGIN-MILLVILLE</t>
  </si>
  <si>
    <t>RTR</t>
  </si>
  <si>
    <t>ORTONVILLE</t>
  </si>
  <si>
    <t>TRACY-BALATON</t>
  </si>
  <si>
    <t>TRI-CITY</t>
  </si>
  <si>
    <t>Miscellaneous General Fund Revenues, FY 2013</t>
  </si>
  <si>
    <t>Levies Spread on Net Tax Capacity and Associated State Aids</t>
  </si>
  <si>
    <t>STATE TOTALS BY LEVY COMPONENT:</t>
  </si>
  <si>
    <t>Payable 2012 / FY 2013</t>
  </si>
  <si>
    <t>Levy Components</t>
  </si>
  <si>
    <t># Districts</t>
  </si>
  <si>
    <t>Capital Projects Referendum</t>
  </si>
  <si>
    <t>Operating Capital</t>
  </si>
  <si>
    <t>Alt Teacher Compensation</t>
  </si>
  <si>
    <t>Operating Debt</t>
  </si>
  <si>
    <t>Discontinued</t>
  </si>
  <si>
    <t>Statutory Oper Debt</t>
  </si>
  <si>
    <t>Integration</t>
  </si>
  <si>
    <t>Reemployment Insurance</t>
  </si>
  <si>
    <t>Safe Schools</t>
  </si>
  <si>
    <t>Intermediate Safe Schools</t>
  </si>
  <si>
    <t>Staff Development Incentive</t>
  </si>
  <si>
    <t>Judgment</t>
  </si>
  <si>
    <t>Ice Arena</t>
  </si>
  <si>
    <t>Career Technical</t>
  </si>
  <si>
    <t>Annual Other Postemploy (OPEB)</t>
  </si>
  <si>
    <t>Health &amp; Safety</t>
  </si>
  <si>
    <t>Alternate Facilities</t>
  </si>
  <si>
    <t>Deferred Maintenance</t>
  </si>
  <si>
    <t>Disabled Access</t>
  </si>
  <si>
    <t>Building/Land Lease</t>
  </si>
  <si>
    <t>Other Capital (Memo)</t>
  </si>
  <si>
    <t>Consolidation/Transition</t>
  </si>
  <si>
    <t>Reorganization Operating Debt</t>
  </si>
  <si>
    <t>Health Insurance</t>
  </si>
  <si>
    <t>Health Benefits</t>
  </si>
  <si>
    <t>Health Insurance (Mpls)</t>
  </si>
  <si>
    <t>Additional Retirement (Mpls and StP)</t>
  </si>
  <si>
    <t>Severance</t>
  </si>
  <si>
    <t>Swimming Pool</t>
  </si>
  <si>
    <t>Tree Growth</t>
  </si>
  <si>
    <t>Consolidation/Retirement</t>
  </si>
  <si>
    <t>Econ Dev Abatement</t>
  </si>
  <si>
    <t>Other General (Memo)</t>
  </si>
  <si>
    <t xml:space="preserve">TOTAL GENERAL FUND NTC LEVY                    </t>
  </si>
  <si>
    <t>By District:</t>
  </si>
  <si>
    <t>Revenue/ADM</t>
  </si>
  <si>
    <t>ANTC</t>
  </si>
  <si>
    <t xml:space="preserve">State </t>
  </si>
  <si>
    <t>Levy Per</t>
  </si>
  <si>
    <t>For Each $100</t>
  </si>
  <si>
    <t xml:space="preserve">Per </t>
  </si>
  <si>
    <t>$1,000</t>
  </si>
  <si>
    <t>Levied on</t>
  </si>
  <si>
    <t>District</t>
  </si>
  <si>
    <t xml:space="preserve"> AMCPU</t>
  </si>
  <si>
    <t>Per ADM</t>
  </si>
  <si>
    <t xml:space="preserve"> of ANTC</t>
  </si>
  <si>
    <t>$1,000 of ANTC</t>
  </si>
  <si>
    <t>TOTAL</t>
  </si>
  <si>
    <t>LECENTER</t>
  </si>
  <si>
    <t>MONTGOMERY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</si>
</sst>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00000"/>
    <numFmt numFmtId="165" formatCode="0.0%"/>
    <numFmt numFmtId="166" formatCode="_(* #,##0_);_(* \(#,##0\);_(* &quot;-&quot;??_);_(@_)"/>
    <numFmt numFmtId="167" formatCode="0.00000"/>
    <numFmt numFmtId="168" formatCode="#,##0.000000"/>
    <numFmt numFmtId="169" formatCode="#,##0.0000"/>
    <numFmt numFmtId="170" formatCode="0_);\(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8.5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9" fontId="9" fillId="0" borderId="0"/>
  </cellStyleXfs>
  <cellXfs count="80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4" fontId="0" fillId="0" borderId="0" xfId="0" applyNumberFormat="1"/>
    <xf numFmtId="168" fontId="0" fillId="0" borderId="0" xfId="0" applyNumberFormat="1"/>
    <xf numFmtId="15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66" fontId="0" fillId="0" borderId="1" xfId="1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3" fontId="0" fillId="0" borderId="0" xfId="0" applyNumberFormat="1" applyBorder="1" applyAlignment="1">
      <alignment horizontal="right"/>
    </xf>
    <xf numFmtId="166" fontId="0" fillId="0" borderId="0" xfId="1" applyNumberFormat="1" applyFont="1" applyBorder="1" applyAlignment="1">
      <alignment horizontal="right"/>
    </xf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horizontal="right"/>
    </xf>
    <xf numFmtId="0" fontId="0" fillId="0" borderId="2" xfId="0" quotePrefix="1" applyBorder="1" applyAlignment="1">
      <alignment horizontal="right"/>
    </xf>
    <xf numFmtId="166" fontId="0" fillId="0" borderId="2" xfId="1" applyNumberFormat="1" applyFont="1" applyBorder="1" applyAlignment="1">
      <alignment horizontal="right"/>
    </xf>
    <xf numFmtId="0" fontId="0" fillId="0" borderId="0" xfId="0" applyAlignment="1"/>
    <xf numFmtId="165" fontId="0" fillId="0" borderId="0" xfId="2" applyNumberFormat="1" applyFont="1"/>
    <xf numFmtId="1" fontId="0" fillId="0" borderId="0" xfId="0" applyNumberFormat="1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3" fontId="0" fillId="0" borderId="0" xfId="0" applyNumberFormat="1" applyFill="1" applyBorder="1" applyAlignment="1">
      <alignment horizontal="right"/>
    </xf>
    <xf numFmtId="3" fontId="0" fillId="0" borderId="0" xfId="0" applyNumberFormat="1" applyFill="1" applyBorder="1"/>
    <xf numFmtId="3" fontId="0" fillId="0" borderId="0" xfId="0" applyNumberFormat="1" applyFill="1" applyAlignment="1" applyProtection="1">
      <alignment horizontal="right"/>
    </xf>
    <xf numFmtId="169" fontId="0" fillId="0" borderId="0" xfId="0" applyNumberFormat="1"/>
    <xf numFmtId="165" fontId="0" fillId="0" borderId="0" xfId="2" applyNumberFormat="1" applyFont="1" applyAlignment="1">
      <alignment horizontal="right"/>
    </xf>
    <xf numFmtId="1" fontId="0" fillId="0" borderId="0" xfId="0" applyNumberFormat="1" applyFill="1" applyBorder="1" applyProtection="1"/>
    <xf numFmtId="0" fontId="3" fillId="0" borderId="0" xfId="0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3" xfId="0" applyFont="1" applyBorder="1"/>
    <xf numFmtId="0" fontId="7" fillId="0" borderId="7" xfId="0" applyFont="1" applyBorder="1"/>
    <xf numFmtId="166" fontId="7" fillId="0" borderId="8" xfId="1" applyNumberFormat="1" applyFont="1" applyBorder="1" applyAlignment="1">
      <alignment horizontal="center"/>
    </xf>
    <xf numFmtId="166" fontId="7" fillId="0" borderId="2" xfId="1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3" fillId="0" borderId="10" xfId="0" applyFont="1" applyBorder="1"/>
    <xf numFmtId="166" fontId="3" fillId="0" borderId="11" xfId="1" applyNumberFormat="1" applyFont="1" applyBorder="1"/>
    <xf numFmtId="166" fontId="3" fillId="0" borderId="0" xfId="1" applyNumberFormat="1" applyFont="1" applyBorder="1"/>
    <xf numFmtId="0" fontId="3" fillId="0" borderId="12" xfId="0" applyFont="1" applyBorder="1"/>
    <xf numFmtId="0" fontId="4" fillId="0" borderId="10" xfId="0" applyFont="1" applyBorder="1" applyAlignment="1" applyProtection="1">
      <alignment horizontal="left"/>
    </xf>
    <xf numFmtId="166" fontId="4" fillId="0" borderId="11" xfId="1" applyNumberFormat="1" applyFont="1" applyBorder="1"/>
    <xf numFmtId="166" fontId="4" fillId="0" borderId="0" xfId="1" applyNumberFormat="1" applyFont="1" applyBorder="1"/>
    <xf numFmtId="170" fontId="4" fillId="0" borderId="12" xfId="0" applyNumberFormat="1" applyFont="1" applyBorder="1"/>
    <xf numFmtId="166" fontId="8" fillId="0" borderId="11" xfId="1" applyNumberFormat="1" applyFont="1" applyBorder="1" applyAlignment="1">
      <alignment horizontal="center"/>
    </xf>
    <xf numFmtId="166" fontId="3" fillId="0" borderId="0" xfId="1" applyNumberFormat="1" applyFont="1" applyBorder="1" applyAlignment="1">
      <alignment horizontal="center"/>
    </xf>
    <xf numFmtId="0" fontId="4" fillId="0" borderId="10" xfId="0" applyFont="1" applyFill="1" applyBorder="1" applyAlignment="1" applyProtection="1">
      <alignment horizontal="left"/>
    </xf>
    <xf numFmtId="0" fontId="4" fillId="0" borderId="13" xfId="0" applyFont="1" applyFill="1" applyBorder="1"/>
    <xf numFmtId="166" fontId="4" fillId="0" borderId="14" xfId="1" applyNumberFormat="1" applyFont="1" applyBorder="1"/>
    <xf numFmtId="166" fontId="4" fillId="0" borderId="15" xfId="1" applyNumberFormat="1" applyFont="1" applyBorder="1"/>
    <xf numFmtId="170" fontId="4" fillId="0" borderId="16" xfId="0" applyNumberFormat="1" applyFont="1" applyBorder="1"/>
    <xf numFmtId="0" fontId="2" fillId="0" borderId="0" xfId="0" applyFont="1"/>
    <xf numFmtId="170" fontId="3" fillId="0" borderId="0" xfId="0" applyNumberFormat="1" applyFont="1"/>
    <xf numFmtId="0" fontId="3" fillId="0" borderId="0" xfId="1" applyNumberFormat="1" applyFont="1"/>
    <xf numFmtId="0" fontId="6" fillId="0" borderId="1" xfId="0" applyFont="1" applyBorder="1"/>
    <xf numFmtId="170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Border="1"/>
    <xf numFmtId="170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2" xfId="0" applyFont="1" applyBorder="1"/>
    <xf numFmtId="170" fontId="6" fillId="0" borderId="2" xfId="0" applyNumberFormat="1" applyFont="1" applyBorder="1"/>
    <xf numFmtId="0" fontId="6" fillId="0" borderId="2" xfId="0" applyFont="1" applyBorder="1" applyAlignment="1">
      <alignment horizontal="center"/>
    </xf>
    <xf numFmtId="37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166" fontId="3" fillId="0" borderId="0" xfId="1" applyNumberFormat="1" applyFont="1"/>
    <xf numFmtId="0" fontId="2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03"/>
  <sheetViews>
    <sheetView tabSelected="1" zoomScaleNormal="100" workbookViewId="0">
      <selection activeCell="C376" sqref="C376"/>
    </sheetView>
  </sheetViews>
  <sheetFormatPr defaultColWidth="26.5703125" defaultRowHeight="12" x14ac:dyDescent="0.2"/>
  <cols>
    <col min="1" max="1" width="5.42578125" style="35" customWidth="1"/>
    <col min="2" max="2" width="26.5703125" style="35"/>
    <col min="3" max="3" width="10.28515625" style="35" customWidth="1"/>
    <col min="4" max="4" width="10.140625" style="35" customWidth="1"/>
    <col min="5" max="5" width="9.7109375" style="35" customWidth="1"/>
    <col min="6" max="6" width="8.28515625" style="35" customWidth="1"/>
    <col min="7" max="7" width="12.42578125" style="35" customWidth="1"/>
    <col min="8" max="16384" width="26.5703125" style="35"/>
  </cols>
  <sheetData>
    <row r="1" spans="1:6" x14ac:dyDescent="0.25">
      <c r="A1" s="35" t="s">
        <v>22</v>
      </c>
      <c r="F1" s="36">
        <v>41116</v>
      </c>
    </row>
    <row r="2" spans="1:6" ht="21" customHeight="1" x14ac:dyDescent="0.3">
      <c r="A2" s="76" t="s">
        <v>397</v>
      </c>
      <c r="B2" s="76"/>
      <c r="C2" s="76"/>
      <c r="D2" s="76"/>
      <c r="E2" s="76"/>
      <c r="F2" s="76"/>
    </row>
    <row r="3" spans="1:6" ht="14.45" x14ac:dyDescent="0.3">
      <c r="A3" s="76" t="s">
        <v>398</v>
      </c>
      <c r="B3" s="76"/>
      <c r="C3" s="76"/>
      <c r="D3" s="76"/>
      <c r="E3" s="76"/>
      <c r="F3" s="76"/>
    </row>
    <row r="4" spans="1:6" x14ac:dyDescent="0.25">
      <c r="B4" s="37"/>
    </row>
    <row r="5" spans="1:6" ht="13.9" x14ac:dyDescent="0.3">
      <c r="A5" s="38" t="s">
        <v>399</v>
      </c>
    </row>
    <row r="6" spans="1:6" x14ac:dyDescent="0.25">
      <c r="B6" s="39"/>
      <c r="C6" s="77" t="s">
        <v>400</v>
      </c>
      <c r="D6" s="78"/>
      <c r="E6" s="78"/>
      <c r="F6" s="79"/>
    </row>
    <row r="7" spans="1:6" x14ac:dyDescent="0.25">
      <c r="B7" s="40" t="s">
        <v>401</v>
      </c>
      <c r="C7" s="41" t="s">
        <v>41</v>
      </c>
      <c r="D7" s="42" t="s">
        <v>48</v>
      </c>
      <c r="E7" s="42" t="s">
        <v>47</v>
      </c>
      <c r="F7" s="43" t="s">
        <v>402</v>
      </c>
    </row>
    <row r="8" spans="1:6" x14ac:dyDescent="0.25">
      <c r="B8" s="44"/>
      <c r="C8" s="45"/>
      <c r="D8" s="46"/>
      <c r="E8" s="46"/>
      <c r="F8" s="47"/>
    </row>
    <row r="9" spans="1:6" x14ac:dyDescent="0.25">
      <c r="B9" s="48" t="s">
        <v>403</v>
      </c>
      <c r="C9" s="49">
        <v>47099874.189999998</v>
      </c>
      <c r="D9" s="50">
        <v>0</v>
      </c>
      <c r="E9" s="50">
        <f>C9+D9</f>
        <v>47099874.189999998</v>
      </c>
      <c r="F9" s="51">
        <v>25</v>
      </c>
    </row>
    <row r="10" spans="1:6" x14ac:dyDescent="0.25">
      <c r="B10" s="48" t="s">
        <v>404</v>
      </c>
      <c r="C10" s="49">
        <v>113343615.34999993</v>
      </c>
      <c r="D10" s="50">
        <v>72059828.919999987</v>
      </c>
      <c r="E10" s="50">
        <f t="shared" ref="E10:E11" si="0">C10+D10</f>
        <v>185403444.26999992</v>
      </c>
      <c r="F10" s="51">
        <v>334</v>
      </c>
    </row>
    <row r="11" spans="1:6" x14ac:dyDescent="0.25">
      <c r="B11" s="48" t="s">
        <v>405</v>
      </c>
      <c r="C11" s="49">
        <v>19716592.219999991</v>
      </c>
      <c r="D11" s="50">
        <v>2083315.1299999994</v>
      </c>
      <c r="E11" s="50">
        <f t="shared" si="0"/>
        <v>21799907.34999999</v>
      </c>
      <c r="F11" s="51">
        <v>49</v>
      </c>
    </row>
    <row r="12" spans="1:6" hidden="1" x14ac:dyDescent="0.25">
      <c r="B12" s="48" t="s">
        <v>406</v>
      </c>
      <c r="C12" s="52" t="s">
        <v>407</v>
      </c>
      <c r="D12" s="53"/>
      <c r="E12" s="53"/>
      <c r="F12" s="47"/>
    </row>
    <row r="13" spans="1:6" hidden="1" x14ac:dyDescent="0.25">
      <c r="B13" s="48" t="s">
        <v>408</v>
      </c>
      <c r="C13" s="52" t="s">
        <v>407</v>
      </c>
      <c r="D13" s="53"/>
      <c r="E13" s="53"/>
      <c r="F13" s="47"/>
    </row>
    <row r="14" spans="1:6" x14ac:dyDescent="0.25">
      <c r="B14" s="48" t="s">
        <v>409</v>
      </c>
      <c r="C14" s="49">
        <v>28727667.289999999</v>
      </c>
      <c r="D14" s="50">
        <v>63977641.539999999</v>
      </c>
      <c r="E14" s="50">
        <f t="shared" ref="E14:E17" si="1">C14+D14</f>
        <v>92705308.829999998</v>
      </c>
      <c r="F14" s="51">
        <v>131</v>
      </c>
    </row>
    <row r="15" spans="1:6" x14ac:dyDescent="0.25">
      <c r="B15" s="48" t="s">
        <v>410</v>
      </c>
      <c r="C15" s="49">
        <v>12942173.020000005</v>
      </c>
      <c r="D15" s="50">
        <v>0</v>
      </c>
      <c r="E15" s="50">
        <f t="shared" si="1"/>
        <v>12942173.020000005</v>
      </c>
      <c r="F15" s="51">
        <v>290</v>
      </c>
    </row>
    <row r="16" spans="1:6" x14ac:dyDescent="0.25">
      <c r="B16" s="48" t="s">
        <v>411</v>
      </c>
      <c r="C16" s="49">
        <v>26578875.300000001</v>
      </c>
      <c r="D16" s="50">
        <v>0</v>
      </c>
      <c r="E16" s="50">
        <f t="shared" si="1"/>
        <v>26578875.300000001</v>
      </c>
      <c r="F16" s="51">
        <v>321</v>
      </c>
    </row>
    <row r="17" spans="2:6" x14ac:dyDescent="0.25">
      <c r="B17" s="48" t="s">
        <v>412</v>
      </c>
      <c r="C17" s="49">
        <v>2151046.16</v>
      </c>
      <c r="D17" s="50">
        <v>0</v>
      </c>
      <c r="E17" s="50">
        <f t="shared" si="1"/>
        <v>2151046.16</v>
      </c>
      <c r="F17" s="51">
        <v>31</v>
      </c>
    </row>
    <row r="18" spans="2:6" hidden="1" x14ac:dyDescent="0.25">
      <c r="B18" s="48" t="s">
        <v>413</v>
      </c>
      <c r="C18" s="52" t="s">
        <v>407</v>
      </c>
      <c r="D18" s="53"/>
      <c r="E18" s="53"/>
      <c r="F18" s="47"/>
    </row>
    <row r="19" spans="2:6" x14ac:dyDescent="0.25">
      <c r="B19" s="48" t="s">
        <v>414</v>
      </c>
      <c r="C19" s="49">
        <v>514478</v>
      </c>
      <c r="D19" s="50">
        <v>0</v>
      </c>
      <c r="E19" s="50">
        <f t="shared" ref="E19:E30" si="2">C19+D19</f>
        <v>514478</v>
      </c>
      <c r="F19" s="51">
        <v>9</v>
      </c>
    </row>
    <row r="20" spans="2:6" x14ac:dyDescent="0.25">
      <c r="B20" s="48" t="s">
        <v>415</v>
      </c>
      <c r="C20" s="49">
        <v>1809251.2500000002</v>
      </c>
      <c r="D20" s="50">
        <v>0</v>
      </c>
      <c r="E20" s="50">
        <f t="shared" si="2"/>
        <v>1809251.2500000002</v>
      </c>
      <c r="F20" s="51">
        <v>13</v>
      </c>
    </row>
    <row r="21" spans="2:6" x14ac:dyDescent="0.25">
      <c r="B21" s="48" t="s">
        <v>416</v>
      </c>
      <c r="C21" s="49">
        <v>17615396.360000003</v>
      </c>
      <c r="D21" s="50">
        <v>0</v>
      </c>
      <c r="E21" s="50">
        <f t="shared" si="2"/>
        <v>17615396.360000003</v>
      </c>
      <c r="F21" s="51">
        <v>306</v>
      </c>
    </row>
    <row r="22" spans="2:6" x14ac:dyDescent="0.25">
      <c r="B22" s="54" t="s">
        <v>417</v>
      </c>
      <c r="C22" s="49">
        <v>22258064.169999998</v>
      </c>
      <c r="D22" s="50">
        <v>0</v>
      </c>
      <c r="E22" s="50">
        <f t="shared" si="2"/>
        <v>22258064.169999998</v>
      </c>
      <c r="F22" s="51">
        <v>61</v>
      </c>
    </row>
    <row r="23" spans="2:6" x14ac:dyDescent="0.25">
      <c r="B23" s="48" t="s">
        <v>418</v>
      </c>
      <c r="C23" s="49">
        <v>54171823.439999975</v>
      </c>
      <c r="D23" s="50">
        <v>186309.07</v>
      </c>
      <c r="E23" s="50">
        <f t="shared" si="2"/>
        <v>54358132.509999976</v>
      </c>
      <c r="F23" s="51">
        <v>324</v>
      </c>
    </row>
    <row r="24" spans="2:6" x14ac:dyDescent="0.25">
      <c r="B24" s="48" t="s">
        <v>419</v>
      </c>
      <c r="C24" s="49">
        <v>50901533.670000002</v>
      </c>
      <c r="D24" s="50">
        <v>0</v>
      </c>
      <c r="E24" s="50">
        <f t="shared" si="2"/>
        <v>50901533.670000002</v>
      </c>
      <c r="F24" s="51">
        <v>24</v>
      </c>
    </row>
    <row r="25" spans="2:6" x14ac:dyDescent="0.25">
      <c r="B25" s="54" t="s">
        <v>420</v>
      </c>
      <c r="C25" s="49">
        <v>22156823.970000014</v>
      </c>
      <c r="D25" s="50">
        <v>3529671.5899999985</v>
      </c>
      <c r="E25" s="50">
        <f t="shared" si="2"/>
        <v>25686495.560000014</v>
      </c>
      <c r="F25" s="51">
        <v>305</v>
      </c>
    </row>
    <row r="26" spans="2:6" x14ac:dyDescent="0.25">
      <c r="B26" s="48" t="s">
        <v>421</v>
      </c>
      <c r="C26" s="49">
        <v>39127.78</v>
      </c>
      <c r="D26" s="50">
        <v>0</v>
      </c>
      <c r="E26" s="50">
        <f t="shared" si="2"/>
        <v>39127.78</v>
      </c>
      <c r="F26" s="51">
        <v>2</v>
      </c>
    </row>
    <row r="27" spans="2:6" x14ac:dyDescent="0.25">
      <c r="B27" s="48" t="s">
        <v>422</v>
      </c>
      <c r="C27" s="49">
        <v>49542749.639999978</v>
      </c>
      <c r="D27" s="50">
        <v>0</v>
      </c>
      <c r="E27" s="50">
        <f t="shared" si="2"/>
        <v>49542749.639999978</v>
      </c>
      <c r="F27" s="51">
        <v>216</v>
      </c>
    </row>
    <row r="28" spans="2:6" x14ac:dyDescent="0.25">
      <c r="B28" s="48" t="s">
        <v>423</v>
      </c>
      <c r="C28" s="49">
        <v>25000</v>
      </c>
      <c r="D28" s="50">
        <v>0</v>
      </c>
      <c r="E28" s="50">
        <f t="shared" si="2"/>
        <v>25000</v>
      </c>
      <c r="F28" s="51">
        <v>1</v>
      </c>
    </row>
    <row r="29" spans="2:6" x14ac:dyDescent="0.25">
      <c r="B29" s="48" t="s">
        <v>424</v>
      </c>
      <c r="C29" s="49">
        <v>155307.71</v>
      </c>
      <c r="D29" s="50">
        <v>0</v>
      </c>
      <c r="E29" s="50">
        <f t="shared" si="2"/>
        <v>155307.71</v>
      </c>
      <c r="F29" s="51">
        <v>1</v>
      </c>
    </row>
    <row r="30" spans="2:6" x14ac:dyDescent="0.25">
      <c r="B30" s="48" t="s">
        <v>425</v>
      </c>
      <c r="C30" s="49">
        <v>118478.75</v>
      </c>
      <c r="D30" s="50">
        <v>0</v>
      </c>
      <c r="E30" s="50">
        <f t="shared" si="2"/>
        <v>118478.75</v>
      </c>
      <c r="F30" s="51">
        <v>1</v>
      </c>
    </row>
    <row r="31" spans="2:6" hidden="1" x14ac:dyDescent="0.25">
      <c r="B31" s="48" t="s">
        <v>426</v>
      </c>
      <c r="C31" s="52" t="s">
        <v>407</v>
      </c>
      <c r="D31" s="53"/>
      <c r="E31" s="53"/>
      <c r="F31" s="51"/>
    </row>
    <row r="32" spans="2:6" x14ac:dyDescent="0.25">
      <c r="B32" s="48" t="s">
        <v>427</v>
      </c>
      <c r="C32" s="49">
        <v>2661098.54</v>
      </c>
      <c r="D32" s="50">
        <v>0</v>
      </c>
      <c r="E32" s="50">
        <f t="shared" ref="E32:E40" si="3">C32+D32</f>
        <v>2661098.54</v>
      </c>
      <c r="F32" s="51">
        <v>13</v>
      </c>
    </row>
    <row r="33" spans="1:7" x14ac:dyDescent="0.25">
      <c r="B33" s="48" t="s">
        <v>428</v>
      </c>
      <c r="C33" s="49">
        <v>388311.45</v>
      </c>
      <c r="D33" s="50">
        <v>0</v>
      </c>
      <c r="E33" s="50">
        <f t="shared" si="3"/>
        <v>388311.45</v>
      </c>
      <c r="F33" s="51">
        <v>1</v>
      </c>
    </row>
    <row r="34" spans="1:7" x14ac:dyDescent="0.2">
      <c r="B34" s="48" t="s">
        <v>429</v>
      </c>
      <c r="C34" s="49">
        <v>12716738.199999999</v>
      </c>
      <c r="D34" s="50">
        <v>0</v>
      </c>
      <c r="E34" s="50">
        <f t="shared" si="3"/>
        <v>12716738.199999999</v>
      </c>
      <c r="F34" s="51">
        <v>2</v>
      </c>
    </row>
    <row r="35" spans="1:7" x14ac:dyDescent="0.2">
      <c r="B35" s="48" t="s">
        <v>430</v>
      </c>
      <c r="C35" s="49">
        <v>1821190.44</v>
      </c>
      <c r="D35" s="50">
        <v>0</v>
      </c>
      <c r="E35" s="50">
        <f t="shared" si="3"/>
        <v>1821190.44</v>
      </c>
      <c r="F35" s="51">
        <v>9</v>
      </c>
    </row>
    <row r="36" spans="1:7" x14ac:dyDescent="0.2">
      <c r="B36" s="48" t="s">
        <v>431</v>
      </c>
      <c r="C36" s="49">
        <v>535959.54</v>
      </c>
      <c r="D36" s="50">
        <v>0</v>
      </c>
      <c r="E36" s="50">
        <f t="shared" si="3"/>
        <v>535959.54</v>
      </c>
      <c r="F36" s="51">
        <v>4</v>
      </c>
    </row>
    <row r="37" spans="1:7" x14ac:dyDescent="0.2">
      <c r="B37" s="54" t="s">
        <v>432</v>
      </c>
      <c r="C37" s="49">
        <v>682983.07000000018</v>
      </c>
      <c r="D37" s="50">
        <v>0</v>
      </c>
      <c r="E37" s="50">
        <f t="shared" si="3"/>
        <v>682983.07000000018</v>
      </c>
      <c r="F37" s="51">
        <v>48</v>
      </c>
    </row>
    <row r="38" spans="1:7" hidden="1" x14ac:dyDescent="0.25">
      <c r="B38" s="48" t="s">
        <v>433</v>
      </c>
      <c r="C38" s="49">
        <v>0</v>
      </c>
      <c r="D38" s="50">
        <v>0</v>
      </c>
      <c r="E38" s="50">
        <f t="shared" si="3"/>
        <v>0</v>
      </c>
      <c r="F38" s="51">
        <v>0</v>
      </c>
    </row>
    <row r="39" spans="1:7" x14ac:dyDescent="0.2">
      <c r="B39" s="48" t="s">
        <v>434</v>
      </c>
      <c r="C39" s="49">
        <v>869935.59</v>
      </c>
      <c r="D39" s="50">
        <v>0</v>
      </c>
      <c r="E39" s="50">
        <f t="shared" si="3"/>
        <v>869935.59</v>
      </c>
      <c r="F39" s="51">
        <v>8</v>
      </c>
    </row>
    <row r="40" spans="1:7" x14ac:dyDescent="0.2">
      <c r="B40" s="48" t="s">
        <v>435</v>
      </c>
      <c r="C40" s="49">
        <v>118453.28</v>
      </c>
      <c r="D40" s="50">
        <v>0</v>
      </c>
      <c r="E40" s="50">
        <f t="shared" si="3"/>
        <v>118453.28</v>
      </c>
      <c r="F40" s="51">
        <v>4</v>
      </c>
    </row>
    <row r="41" spans="1:7" x14ac:dyDescent="0.2">
      <c r="B41" s="48"/>
      <c r="C41" s="49"/>
      <c r="D41" s="50"/>
      <c r="E41" s="50"/>
      <c r="F41" s="51"/>
    </row>
    <row r="42" spans="1:7" ht="12.75" thickBot="1" x14ac:dyDescent="0.25">
      <c r="B42" s="55" t="s">
        <v>436</v>
      </c>
      <c r="C42" s="56">
        <v>489662548.38000047</v>
      </c>
      <c r="D42" s="57">
        <f>SUM(D9:D40)</f>
        <v>141836766.24999997</v>
      </c>
      <c r="E42" s="57">
        <f>SUM(E9:E40)</f>
        <v>631499314.63000011</v>
      </c>
      <c r="F42" s="58">
        <v>334</v>
      </c>
    </row>
    <row r="43" spans="1:7" ht="12.75" thickTop="1" x14ac:dyDescent="0.2"/>
    <row r="44" spans="1:7" ht="15" x14ac:dyDescent="0.25">
      <c r="A44" s="59" t="s">
        <v>437</v>
      </c>
      <c r="B44" s="60"/>
      <c r="F44" s="61"/>
    </row>
    <row r="45" spans="1:7" s="62" customFormat="1" x14ac:dyDescent="0.2">
      <c r="B45" s="63"/>
      <c r="C45" s="64"/>
      <c r="D45" s="64"/>
      <c r="E45" s="64"/>
      <c r="F45" s="64"/>
      <c r="G45" s="64" t="s">
        <v>438</v>
      </c>
    </row>
    <row r="46" spans="1:7" s="65" customFormat="1" x14ac:dyDescent="0.2">
      <c r="B46" s="66"/>
      <c r="C46" s="67" t="s">
        <v>439</v>
      </c>
      <c r="D46" s="67"/>
      <c r="E46" s="67" t="s">
        <v>440</v>
      </c>
      <c r="F46" s="67" t="s">
        <v>441</v>
      </c>
      <c r="G46" s="67" t="s">
        <v>442</v>
      </c>
    </row>
    <row r="47" spans="1:7" s="65" customFormat="1" x14ac:dyDescent="0.2">
      <c r="B47" s="66"/>
      <c r="C47" s="67" t="s">
        <v>443</v>
      </c>
      <c r="D47" s="67" t="s">
        <v>47</v>
      </c>
      <c r="E47" s="67" t="s">
        <v>48</v>
      </c>
      <c r="F47" s="67" t="s">
        <v>444</v>
      </c>
      <c r="G47" s="67" t="s">
        <v>445</v>
      </c>
    </row>
    <row r="48" spans="1:7" s="68" customFormat="1" x14ac:dyDescent="0.2">
      <c r="B48" s="69" t="s">
        <v>446</v>
      </c>
      <c r="C48" s="70" t="s">
        <v>447</v>
      </c>
      <c r="D48" s="70" t="s">
        <v>448</v>
      </c>
      <c r="E48" s="70" t="s">
        <v>56</v>
      </c>
      <c r="F48" s="70" t="s">
        <v>449</v>
      </c>
      <c r="G48" s="70" t="s">
        <v>450</v>
      </c>
    </row>
    <row r="49" spans="1:7" x14ac:dyDescent="0.2">
      <c r="B49" s="60"/>
    </row>
    <row r="50" spans="1:7" x14ac:dyDescent="0.2">
      <c r="A50" s="60"/>
      <c r="B50" s="35" t="s">
        <v>451</v>
      </c>
      <c r="C50" s="71">
        <v>6443.4538938488222</v>
      </c>
      <c r="D50" s="72">
        <v>809.17257322283001</v>
      </c>
      <c r="E50" s="73">
        <v>0.22460319902817819</v>
      </c>
      <c r="F50" s="72">
        <v>84.280211277248839</v>
      </c>
      <c r="G50" s="72">
        <v>960.09794109434483</v>
      </c>
    </row>
    <row r="51" spans="1:7" x14ac:dyDescent="0.2">
      <c r="A51" s="60"/>
      <c r="D51" s="72"/>
      <c r="E51" s="73"/>
      <c r="F51" s="72"/>
      <c r="G51" s="74"/>
    </row>
    <row r="52" spans="1:7" x14ac:dyDescent="0.2">
      <c r="A52" s="60">
        <v>1</v>
      </c>
      <c r="B52" s="35" t="s">
        <v>61</v>
      </c>
      <c r="C52" s="71">
        <v>12856.04810319092</v>
      </c>
      <c r="D52" s="72">
        <v>421.55932841932844</v>
      </c>
      <c r="E52" s="73">
        <v>0</v>
      </c>
      <c r="F52" s="72">
        <v>28.189859264278347</v>
      </c>
      <c r="G52" s="72">
        <v>1495.4289926289925</v>
      </c>
    </row>
    <row r="53" spans="1:7" x14ac:dyDescent="0.2">
      <c r="A53" s="60">
        <v>1.2</v>
      </c>
      <c r="B53" s="35" t="s">
        <v>62</v>
      </c>
      <c r="C53" s="71">
        <v>10385.216439663351</v>
      </c>
      <c r="D53" s="72">
        <v>1120.4990077674011</v>
      </c>
      <c r="E53" s="73">
        <v>0.31416220795225003</v>
      </c>
      <c r="F53" s="72">
        <v>65.48021354106514</v>
      </c>
      <c r="G53" s="72">
        <v>1711.2024337927569</v>
      </c>
    </row>
    <row r="54" spans="1:7" x14ac:dyDescent="0.2">
      <c r="A54" s="60">
        <v>2</v>
      </c>
      <c r="B54" s="35" t="s">
        <v>63</v>
      </c>
      <c r="C54" s="71">
        <v>5086.760752688172</v>
      </c>
      <c r="D54" s="72">
        <v>571.73415730337069</v>
      </c>
      <c r="E54" s="73">
        <v>0.21135801964481279</v>
      </c>
      <c r="F54" s="72">
        <v>75.739381482732739</v>
      </c>
      <c r="G54" s="72">
        <v>754.87038065357865</v>
      </c>
    </row>
    <row r="55" spans="1:7" x14ac:dyDescent="0.2">
      <c r="A55" s="60">
        <v>4</v>
      </c>
      <c r="B55" s="35" t="s">
        <v>64</v>
      </c>
      <c r="C55" s="71">
        <v>23993.173180001948</v>
      </c>
      <c r="D55" s="72">
        <v>494.83498591549301</v>
      </c>
      <c r="E55" s="73">
        <v>0</v>
      </c>
      <c r="F55" s="72">
        <v>17.838214545889532</v>
      </c>
      <c r="G55" s="72">
        <v>2774.0163380281692</v>
      </c>
    </row>
    <row r="56" spans="1:7" x14ac:dyDescent="0.2">
      <c r="A56" s="60">
        <v>6</v>
      </c>
      <c r="B56" s="35" t="s">
        <v>65</v>
      </c>
      <c r="C56" s="71">
        <v>4314.3210511626385</v>
      </c>
      <c r="D56" s="72">
        <v>1076.757587181904</v>
      </c>
      <c r="E56" s="73">
        <v>0.2596349642814148</v>
      </c>
      <c r="F56" s="72">
        <v>160.93325424089142</v>
      </c>
      <c r="G56" s="72">
        <v>669.07090909264139</v>
      </c>
    </row>
    <row r="57" spans="1:7" x14ac:dyDescent="0.2">
      <c r="A57" s="60">
        <v>11</v>
      </c>
      <c r="B57" s="35" t="s">
        <v>66</v>
      </c>
      <c r="C57" s="71">
        <v>4315.1375168721406</v>
      </c>
      <c r="D57" s="72">
        <v>792.0513865602486</v>
      </c>
      <c r="E57" s="73">
        <v>0.30833886055344689</v>
      </c>
      <c r="F57" s="72">
        <v>109.1455124289632</v>
      </c>
      <c r="G57" s="72">
        <v>725.68387736119814</v>
      </c>
    </row>
    <row r="58" spans="1:7" x14ac:dyDescent="0.2">
      <c r="A58" s="60">
        <v>12</v>
      </c>
      <c r="B58" s="35" t="s">
        <v>67</v>
      </c>
      <c r="C58" s="71">
        <v>3897.8435011013944</v>
      </c>
      <c r="D58" s="72">
        <v>616.55922281416485</v>
      </c>
      <c r="E58" s="73">
        <v>0.31632452992936283</v>
      </c>
      <c r="F58" s="72">
        <v>92.871252021927859</v>
      </c>
      <c r="G58" s="72">
        <v>663.88598128147225</v>
      </c>
    </row>
    <row r="59" spans="1:7" x14ac:dyDescent="0.2">
      <c r="A59" s="60">
        <v>13</v>
      </c>
      <c r="B59" s="35" t="s">
        <v>68</v>
      </c>
      <c r="C59" s="71">
        <v>5769.758669617363</v>
      </c>
      <c r="D59" s="72">
        <v>800.75962901069499</v>
      </c>
      <c r="E59" s="73">
        <v>0.26374821207641652</v>
      </c>
      <c r="F59" s="72">
        <v>89.258395031955033</v>
      </c>
      <c r="G59" s="72">
        <v>897.12528297648453</v>
      </c>
    </row>
    <row r="60" spans="1:7" x14ac:dyDescent="0.2">
      <c r="A60" s="60">
        <v>14</v>
      </c>
      <c r="B60" s="35" t="s">
        <v>69</v>
      </c>
      <c r="C60" s="71">
        <v>3833.9322723074497</v>
      </c>
      <c r="D60" s="72">
        <v>982.8010278858626</v>
      </c>
      <c r="E60" s="73">
        <v>0.31403529306804695</v>
      </c>
      <c r="F60" s="72">
        <v>152.70469536370192</v>
      </c>
      <c r="G60" s="72">
        <v>643.59581448696929</v>
      </c>
    </row>
    <row r="61" spans="1:7" x14ac:dyDescent="0.2">
      <c r="A61" s="60">
        <v>15</v>
      </c>
      <c r="B61" s="35" t="s">
        <v>70</v>
      </c>
      <c r="C61" s="71">
        <v>4772.6616322433083</v>
      </c>
      <c r="D61" s="72">
        <v>553.55663509973806</v>
      </c>
      <c r="E61" s="73">
        <v>0.27026489024914402</v>
      </c>
      <c r="F61" s="72">
        <v>72.456302555874188</v>
      </c>
      <c r="G61" s="72">
        <v>763.98686597741664</v>
      </c>
    </row>
    <row r="62" spans="1:7" x14ac:dyDescent="0.2">
      <c r="A62" s="60">
        <v>16</v>
      </c>
      <c r="B62" s="35" t="s">
        <v>71</v>
      </c>
      <c r="C62" s="71">
        <v>6530.0145407763375</v>
      </c>
      <c r="D62" s="72">
        <v>943.86309867877799</v>
      </c>
      <c r="E62" s="73">
        <v>0.16656505374799527</v>
      </c>
      <c r="F62" s="72">
        <v>105.14406407131285</v>
      </c>
      <c r="G62" s="72">
        <v>897.68557741748759</v>
      </c>
    </row>
    <row r="63" spans="1:7" x14ac:dyDescent="0.2">
      <c r="A63" s="60">
        <v>22</v>
      </c>
      <c r="B63" s="35" t="s">
        <v>72</v>
      </c>
      <c r="C63" s="71">
        <v>6368.0981519481884</v>
      </c>
      <c r="D63" s="72">
        <v>548.07307089419305</v>
      </c>
      <c r="E63" s="73">
        <v>0.28818142411704017</v>
      </c>
      <c r="F63" s="72">
        <v>52.984412941792819</v>
      </c>
      <c r="G63" s="72">
        <v>1034.4043473621018</v>
      </c>
    </row>
    <row r="64" spans="1:7" x14ac:dyDescent="0.2">
      <c r="A64" s="60">
        <v>23</v>
      </c>
      <c r="B64" s="35" t="s">
        <v>73</v>
      </c>
      <c r="C64" s="71">
        <v>6924.2041032897059</v>
      </c>
      <c r="D64" s="72">
        <v>531.35009080590248</v>
      </c>
      <c r="E64" s="73">
        <v>0.28085941658093533</v>
      </c>
      <c r="F64" s="72">
        <v>47.771875892679645</v>
      </c>
      <c r="G64" s="72">
        <v>1112.2654927756862</v>
      </c>
    </row>
    <row r="65" spans="1:7" x14ac:dyDescent="0.2">
      <c r="A65" s="60">
        <v>25</v>
      </c>
      <c r="B65" s="35" t="s">
        <v>74</v>
      </c>
      <c r="C65" s="71">
        <v>0</v>
      </c>
      <c r="D65" s="72">
        <v>298.70142857142855</v>
      </c>
      <c r="E65" s="73">
        <v>1</v>
      </c>
      <c r="F65" s="72">
        <v>0</v>
      </c>
      <c r="G65" s="74">
        <v>0</v>
      </c>
    </row>
    <row r="66" spans="1:7" x14ac:dyDescent="0.2">
      <c r="A66" s="60">
        <v>31</v>
      </c>
      <c r="B66" s="35" t="s">
        <v>75</v>
      </c>
      <c r="C66" s="71">
        <v>4850.9037175195072</v>
      </c>
      <c r="D66" s="72">
        <v>435.76169618790914</v>
      </c>
      <c r="E66" s="73">
        <v>0.28605409799759979</v>
      </c>
      <c r="F66" s="72">
        <v>55.872584763012917</v>
      </c>
      <c r="G66" s="72">
        <v>779.92041720679254</v>
      </c>
    </row>
    <row r="67" spans="1:7" x14ac:dyDescent="0.2">
      <c r="A67" s="60">
        <v>32</v>
      </c>
      <c r="B67" s="35" t="s">
        <v>76</v>
      </c>
      <c r="C67" s="71">
        <v>4522.1440825759619</v>
      </c>
      <c r="D67" s="72">
        <v>535.56106907894741</v>
      </c>
      <c r="E67" s="73">
        <v>0.27039197364126832</v>
      </c>
      <c r="F67" s="72">
        <v>74.488642616548518</v>
      </c>
      <c r="G67" s="72">
        <v>718.983525899244</v>
      </c>
    </row>
    <row r="68" spans="1:7" x14ac:dyDescent="0.2">
      <c r="A68" s="60">
        <v>36</v>
      </c>
      <c r="B68" s="35" t="s">
        <v>77</v>
      </c>
      <c r="C68" s="71">
        <v>3977.4284894974548</v>
      </c>
      <c r="D68" s="72">
        <v>262.70489626556019</v>
      </c>
      <c r="E68" s="73">
        <v>0.66974397222132709</v>
      </c>
      <c r="F68" s="72">
        <v>18.843454037993084</v>
      </c>
      <c r="G68" s="72">
        <v>1394.1440658166061</v>
      </c>
    </row>
    <row r="69" spans="1:7" x14ac:dyDescent="0.2">
      <c r="A69" s="60">
        <v>38</v>
      </c>
      <c r="B69" s="35" t="s">
        <v>78</v>
      </c>
      <c r="C69" s="71">
        <v>6.9409127724096358</v>
      </c>
      <c r="D69" s="72">
        <v>318.73890679747723</v>
      </c>
      <c r="E69" s="73">
        <v>0.99887015318471473</v>
      </c>
      <c r="F69" s="72">
        <v>46.485753052917232</v>
      </c>
      <c r="G69" s="72">
        <v>685.67009430747441</v>
      </c>
    </row>
    <row r="70" spans="1:7" x14ac:dyDescent="0.2">
      <c r="A70" s="60">
        <v>47</v>
      </c>
      <c r="B70" s="35" t="s">
        <v>79</v>
      </c>
      <c r="C70" s="71">
        <v>3658.7872381980906</v>
      </c>
      <c r="D70" s="72">
        <v>572.31997881355937</v>
      </c>
      <c r="E70" s="73">
        <v>0.40372537486160154</v>
      </c>
      <c r="F70" s="72">
        <v>80.925648541674192</v>
      </c>
      <c r="G70" s="72">
        <v>707.21704320828815</v>
      </c>
    </row>
    <row r="71" spans="1:7" x14ac:dyDescent="0.2">
      <c r="A71" s="60">
        <v>51</v>
      </c>
      <c r="B71" s="35" t="s">
        <v>80</v>
      </c>
      <c r="C71" s="71">
        <v>3334.0531225155914</v>
      </c>
      <c r="D71" s="72">
        <v>475.2753561253561</v>
      </c>
      <c r="E71" s="73">
        <v>0.50253169177981394</v>
      </c>
      <c r="F71" s="72">
        <v>61.455734400925607</v>
      </c>
      <c r="G71" s="72">
        <v>773.36209673250244</v>
      </c>
    </row>
    <row r="72" spans="1:7" x14ac:dyDescent="0.2">
      <c r="A72" s="60">
        <v>75</v>
      </c>
      <c r="B72" s="35" t="s">
        <v>81</v>
      </c>
      <c r="C72" s="71">
        <v>4576.5419778994174</v>
      </c>
      <c r="D72" s="72">
        <v>439.75047781569964</v>
      </c>
      <c r="E72" s="73">
        <v>0.31576241382310433</v>
      </c>
      <c r="F72" s="72">
        <v>56.539525997781688</v>
      </c>
      <c r="G72" s="72">
        <v>777.775317453056</v>
      </c>
    </row>
    <row r="73" spans="1:7" x14ac:dyDescent="0.2">
      <c r="A73" s="60">
        <v>77</v>
      </c>
      <c r="B73" s="35" t="s">
        <v>82</v>
      </c>
      <c r="C73" s="71">
        <v>6457.4658222594271</v>
      </c>
      <c r="D73" s="72">
        <v>589.78402899707373</v>
      </c>
      <c r="E73" s="73">
        <v>0.15088184116742379</v>
      </c>
      <c r="F73" s="72">
        <v>67.975872723443473</v>
      </c>
      <c r="G73" s="72">
        <v>867.63730330698559</v>
      </c>
    </row>
    <row r="74" spans="1:7" x14ac:dyDescent="0.2">
      <c r="A74" s="60">
        <v>81</v>
      </c>
      <c r="B74" s="35" t="s">
        <v>83</v>
      </c>
      <c r="C74" s="71">
        <v>15101.756993470992</v>
      </c>
      <c r="D74" s="72">
        <v>1013.4392727272726</v>
      </c>
      <c r="E74" s="73">
        <v>6.279247839400523E-2</v>
      </c>
      <c r="F74" s="72">
        <v>55.084842988801483</v>
      </c>
      <c r="G74" s="72">
        <v>1839.7788170755075</v>
      </c>
    </row>
    <row r="75" spans="1:7" x14ac:dyDescent="0.2">
      <c r="A75" s="60">
        <v>84</v>
      </c>
      <c r="B75" s="35" t="s">
        <v>84</v>
      </c>
      <c r="C75" s="71">
        <v>11751.401838954154</v>
      </c>
      <c r="D75" s="72">
        <v>712.28952015355082</v>
      </c>
      <c r="E75" s="73">
        <v>0.14856437099753805</v>
      </c>
      <c r="F75" s="72">
        <v>43.449527785570098</v>
      </c>
      <c r="G75" s="72">
        <v>1639.3492782448775</v>
      </c>
    </row>
    <row r="76" spans="1:7" x14ac:dyDescent="0.2">
      <c r="A76" s="60">
        <v>85</v>
      </c>
      <c r="B76" s="35" t="s">
        <v>85</v>
      </c>
      <c r="C76" s="71">
        <v>6903.3783473779195</v>
      </c>
      <c r="D76" s="72">
        <v>512.33089766606827</v>
      </c>
      <c r="E76" s="73">
        <v>0.28861277553909193</v>
      </c>
      <c r="F76" s="72">
        <v>44.973710165373177</v>
      </c>
      <c r="G76" s="72">
        <v>1139.1786352119323</v>
      </c>
    </row>
    <row r="77" spans="1:7" x14ac:dyDescent="0.2">
      <c r="A77" s="60">
        <v>88</v>
      </c>
      <c r="B77" s="35" t="s">
        <v>86</v>
      </c>
      <c r="C77" s="71">
        <v>7188.0694699918731</v>
      </c>
      <c r="D77" s="72">
        <v>747.54529995042151</v>
      </c>
      <c r="E77" s="73">
        <v>0.19818265283618361</v>
      </c>
      <c r="F77" s="72">
        <v>71.947849710329066</v>
      </c>
      <c r="G77" s="72">
        <v>1039.0099258839998</v>
      </c>
    </row>
    <row r="78" spans="1:7" x14ac:dyDescent="0.2">
      <c r="A78" s="60">
        <v>91</v>
      </c>
      <c r="B78" s="35" t="s">
        <v>87</v>
      </c>
      <c r="C78" s="71">
        <v>3592.6149382275394</v>
      </c>
      <c r="D78" s="72">
        <v>406.16463863337719</v>
      </c>
      <c r="E78" s="73">
        <v>0.42036470843290341</v>
      </c>
      <c r="F78" s="72">
        <v>57.419061848804347</v>
      </c>
      <c r="G78" s="72">
        <v>707.36899133407712</v>
      </c>
    </row>
    <row r="79" spans="1:7" x14ac:dyDescent="0.2">
      <c r="A79" s="60">
        <v>93</v>
      </c>
      <c r="B79" s="35" t="s">
        <v>88</v>
      </c>
      <c r="C79" s="71">
        <v>6965.1041371091314</v>
      </c>
      <c r="D79" s="72">
        <v>561.47920879120886</v>
      </c>
      <c r="E79" s="73">
        <v>0.27713014257786261</v>
      </c>
      <c r="F79" s="72">
        <v>50.156332369445316</v>
      </c>
      <c r="G79" s="72">
        <v>1119.4582663170479</v>
      </c>
    </row>
    <row r="80" spans="1:7" x14ac:dyDescent="0.2">
      <c r="A80" s="60">
        <v>94</v>
      </c>
      <c r="B80" s="35" t="s">
        <v>89</v>
      </c>
      <c r="C80" s="71">
        <v>3153.6362232428223</v>
      </c>
      <c r="D80" s="72">
        <v>540.60215384615378</v>
      </c>
      <c r="E80" s="73">
        <v>0.49451136254330641</v>
      </c>
      <c r="F80" s="72">
        <v>75.636757872186081</v>
      </c>
      <c r="G80" s="72">
        <v>714.73469917851867</v>
      </c>
    </row>
    <row r="81" spans="1:7" x14ac:dyDescent="0.2">
      <c r="A81" s="60">
        <v>95</v>
      </c>
      <c r="B81" s="35" t="s">
        <v>90</v>
      </c>
      <c r="C81" s="71">
        <v>4993.6496411516664</v>
      </c>
      <c r="D81" s="72">
        <v>468.27933753943222</v>
      </c>
      <c r="E81" s="73">
        <v>0.40807109456022461</v>
      </c>
      <c r="F81" s="72">
        <v>49.138686572238981</v>
      </c>
      <c r="G81" s="72">
        <v>952.97487622306073</v>
      </c>
    </row>
    <row r="82" spans="1:7" x14ac:dyDescent="0.2">
      <c r="A82" s="60">
        <v>97</v>
      </c>
      <c r="B82" s="35" t="s">
        <v>91</v>
      </c>
      <c r="C82" s="71">
        <v>5645.8185229067931</v>
      </c>
      <c r="D82" s="72">
        <v>465.92794579172607</v>
      </c>
      <c r="E82" s="73">
        <v>0.22505252276920487</v>
      </c>
      <c r="F82" s="72">
        <v>55.330991494530075</v>
      </c>
      <c r="G82" s="72">
        <v>842.07409483668266</v>
      </c>
    </row>
    <row r="83" spans="1:7" x14ac:dyDescent="0.2">
      <c r="A83" s="60">
        <v>99</v>
      </c>
      <c r="B83" s="35" t="s">
        <v>92</v>
      </c>
      <c r="C83" s="71">
        <v>2745.3995549546507</v>
      </c>
      <c r="D83" s="72">
        <v>546.94159574468074</v>
      </c>
      <c r="E83" s="73">
        <v>0.51422147884001246</v>
      </c>
      <c r="F83" s="72">
        <v>83.278347300001244</v>
      </c>
      <c r="G83" s="72">
        <v>656.76326857734432</v>
      </c>
    </row>
    <row r="84" spans="1:7" x14ac:dyDescent="0.2">
      <c r="A84" s="60">
        <v>100</v>
      </c>
      <c r="B84" s="35" t="s">
        <v>93</v>
      </c>
      <c r="C84" s="71">
        <v>6006.9866745196196</v>
      </c>
      <c r="D84" s="72">
        <v>454.84968023255806</v>
      </c>
      <c r="E84" s="73">
        <v>0.21515349851398005</v>
      </c>
      <c r="F84" s="72">
        <v>50.169230410979381</v>
      </c>
      <c r="G84" s="72">
        <v>906.63077050712673</v>
      </c>
    </row>
    <row r="85" spans="1:7" x14ac:dyDescent="0.2">
      <c r="A85" s="60">
        <v>108</v>
      </c>
      <c r="B85" s="35" t="s">
        <v>94</v>
      </c>
      <c r="C85" s="71">
        <v>7231.7132266675735</v>
      </c>
      <c r="D85" s="72">
        <v>732.1092051030422</v>
      </c>
      <c r="E85" s="73">
        <v>9.5640517494400404E-2</v>
      </c>
      <c r="F85" s="72">
        <v>79.313410236440319</v>
      </c>
      <c r="G85" s="72">
        <v>923.05853817224556</v>
      </c>
    </row>
    <row r="86" spans="1:7" x14ac:dyDescent="0.2">
      <c r="A86" s="60">
        <v>110</v>
      </c>
      <c r="B86" s="35" t="s">
        <v>95</v>
      </c>
      <c r="C86" s="71">
        <v>5559.0767962086247</v>
      </c>
      <c r="D86" s="72">
        <v>492.9878204035237</v>
      </c>
      <c r="E86" s="73">
        <v>0.20242079983968866</v>
      </c>
      <c r="F86" s="72">
        <v>61.823699510811345</v>
      </c>
      <c r="G86" s="72">
        <v>797.40912353087674</v>
      </c>
    </row>
    <row r="87" spans="1:7" x14ac:dyDescent="0.2">
      <c r="A87" s="60">
        <v>111</v>
      </c>
      <c r="B87" s="35" t="s">
        <v>96</v>
      </c>
      <c r="C87" s="71">
        <v>5604.8589390716879</v>
      </c>
      <c r="D87" s="72">
        <v>440.51653985507238</v>
      </c>
      <c r="E87" s="73">
        <v>0.23467120196606042</v>
      </c>
      <c r="F87" s="72">
        <v>51.925999587236241</v>
      </c>
      <c r="G87" s="72">
        <v>848.35447243533531</v>
      </c>
    </row>
    <row r="88" spans="1:7" x14ac:dyDescent="0.2">
      <c r="A88" s="60">
        <v>112</v>
      </c>
      <c r="B88" s="35" t="s">
        <v>97</v>
      </c>
      <c r="C88" s="71">
        <v>5373.8545506949222</v>
      </c>
      <c r="D88" s="72">
        <v>488.79380977515041</v>
      </c>
      <c r="E88" s="73">
        <v>0.20482420942327617</v>
      </c>
      <c r="F88" s="72">
        <v>62.492597929453581</v>
      </c>
      <c r="G88" s="72">
        <v>782.16272961949539</v>
      </c>
    </row>
    <row r="89" spans="1:7" x14ac:dyDescent="0.2">
      <c r="A89" s="60">
        <v>113</v>
      </c>
      <c r="B89" s="35" t="s">
        <v>98</v>
      </c>
      <c r="C89" s="71">
        <v>24438.850034395778</v>
      </c>
      <c r="D89" s="72">
        <v>550.31732189973616</v>
      </c>
      <c r="E89" s="73">
        <v>0</v>
      </c>
      <c r="F89" s="72">
        <v>19.56976181489911</v>
      </c>
      <c r="G89" s="72">
        <v>2812.0798153034302</v>
      </c>
    </row>
    <row r="90" spans="1:7" x14ac:dyDescent="0.2">
      <c r="A90" s="60">
        <v>115</v>
      </c>
      <c r="B90" s="35" t="s">
        <v>99</v>
      </c>
      <c r="C90" s="71">
        <v>4090.4213748412521</v>
      </c>
      <c r="D90" s="72">
        <v>335.17149954001837</v>
      </c>
      <c r="E90" s="73">
        <v>0.43847327249458751</v>
      </c>
      <c r="F90" s="72">
        <v>40.716772381784494</v>
      </c>
      <c r="G90" s="72">
        <v>823.17796803060071</v>
      </c>
    </row>
    <row r="91" spans="1:7" x14ac:dyDescent="0.2">
      <c r="A91" s="60">
        <v>116</v>
      </c>
      <c r="B91" s="35" t="s">
        <v>100</v>
      </c>
      <c r="C91" s="71">
        <v>10148.632640973796</v>
      </c>
      <c r="D91" s="72">
        <v>555.32694379391091</v>
      </c>
      <c r="E91" s="73">
        <v>1.8301980935297713E-3</v>
      </c>
      <c r="F91" s="72">
        <v>47.632732450204514</v>
      </c>
      <c r="G91" s="72">
        <v>1165.851537856772</v>
      </c>
    </row>
    <row r="92" spans="1:7" x14ac:dyDescent="0.2">
      <c r="A92" s="60">
        <v>118</v>
      </c>
      <c r="B92" s="35" t="s">
        <v>101</v>
      </c>
      <c r="C92" s="71">
        <v>38596.588767433095</v>
      </c>
      <c r="D92" s="72">
        <v>648.97298050139273</v>
      </c>
      <c r="E92" s="73">
        <v>0</v>
      </c>
      <c r="F92" s="72">
        <v>14.220501383100537</v>
      </c>
      <c r="G92" s="72">
        <v>4563.6434540389973</v>
      </c>
    </row>
    <row r="93" spans="1:7" x14ac:dyDescent="0.2">
      <c r="A93" s="60">
        <v>129</v>
      </c>
      <c r="B93" s="35" t="s">
        <v>102</v>
      </c>
      <c r="C93" s="71">
        <v>3513.9667923225234</v>
      </c>
      <c r="D93" s="72">
        <v>580.33289261744972</v>
      </c>
      <c r="E93" s="73">
        <v>0.44879514362509892</v>
      </c>
      <c r="F93" s="72">
        <v>78.062332973505207</v>
      </c>
      <c r="G93" s="72">
        <v>743.42242988614998</v>
      </c>
    </row>
    <row r="94" spans="1:7" x14ac:dyDescent="0.2">
      <c r="A94" s="60">
        <v>138</v>
      </c>
      <c r="B94" s="35" t="s">
        <v>103</v>
      </c>
      <c r="C94" s="71">
        <v>4234.0636346683341</v>
      </c>
      <c r="D94" s="72">
        <v>629.80872134323533</v>
      </c>
      <c r="E94" s="73">
        <v>0.27224983116148332</v>
      </c>
      <c r="F94" s="72">
        <v>91.940262158954653</v>
      </c>
      <c r="G94" s="72">
        <v>685.01949695810629</v>
      </c>
    </row>
    <row r="95" spans="1:7" x14ac:dyDescent="0.2">
      <c r="A95" s="60">
        <v>139</v>
      </c>
      <c r="B95" s="35" t="s">
        <v>104</v>
      </c>
      <c r="C95" s="71">
        <v>4474.1740159280953</v>
      </c>
      <c r="D95" s="72">
        <v>588.59116225546597</v>
      </c>
      <c r="E95" s="73">
        <v>0.23231440361619482</v>
      </c>
      <c r="F95" s="72">
        <v>87.258020573379042</v>
      </c>
      <c r="G95" s="72">
        <v>674.54104320472663</v>
      </c>
    </row>
    <row r="96" spans="1:7" x14ac:dyDescent="0.2">
      <c r="A96" s="60">
        <v>146</v>
      </c>
      <c r="B96" s="35" t="s">
        <v>105</v>
      </c>
      <c r="C96" s="71">
        <v>5461.3957720096332</v>
      </c>
      <c r="D96" s="72">
        <v>524.6229689440994</v>
      </c>
      <c r="E96" s="73">
        <v>0.29909948461301372</v>
      </c>
      <c r="F96" s="72">
        <v>58.013999152148564</v>
      </c>
      <c r="G96" s="72">
        <v>904.30409316932924</v>
      </c>
    </row>
    <row r="97" spans="1:7" x14ac:dyDescent="0.2">
      <c r="A97" s="60">
        <v>150</v>
      </c>
      <c r="B97" s="35" t="s">
        <v>106</v>
      </c>
      <c r="C97" s="71">
        <v>2941.871533503223</v>
      </c>
      <c r="D97" s="72">
        <v>463.64239651416119</v>
      </c>
      <c r="E97" s="73">
        <v>0.51953190014879813</v>
      </c>
      <c r="F97" s="72">
        <v>65.126202374749838</v>
      </c>
      <c r="G97" s="72">
        <v>711.91376068001864</v>
      </c>
    </row>
    <row r="98" spans="1:7" x14ac:dyDescent="0.2">
      <c r="A98" s="60">
        <v>152</v>
      </c>
      <c r="B98" s="35" t="s">
        <v>107</v>
      </c>
      <c r="C98" s="71">
        <v>4511.7749009564841</v>
      </c>
      <c r="D98" s="72">
        <v>460.47569961489091</v>
      </c>
      <c r="E98" s="73">
        <v>0.30732468479293168</v>
      </c>
      <c r="F98" s="72">
        <v>61.016837070223069</v>
      </c>
      <c r="G98" s="72">
        <v>754.66989395884059</v>
      </c>
    </row>
    <row r="99" spans="1:7" x14ac:dyDescent="0.2">
      <c r="A99" s="60">
        <v>162</v>
      </c>
      <c r="B99" s="35" t="s">
        <v>108</v>
      </c>
      <c r="C99" s="71">
        <v>3968.6896801012113</v>
      </c>
      <c r="D99" s="72">
        <v>613.35612565445024</v>
      </c>
      <c r="E99" s="73">
        <v>0.25906152588342807</v>
      </c>
      <c r="F99" s="72">
        <v>98.823542404033731</v>
      </c>
      <c r="G99" s="72">
        <v>620.65790269567844</v>
      </c>
    </row>
    <row r="100" spans="1:7" x14ac:dyDescent="0.2">
      <c r="A100" s="60">
        <v>166</v>
      </c>
      <c r="B100" s="35" t="s">
        <v>109</v>
      </c>
      <c r="C100" s="71">
        <v>33491.844240329701</v>
      </c>
      <c r="D100" s="72">
        <v>440.81956043956041</v>
      </c>
      <c r="E100" s="73">
        <v>0</v>
      </c>
      <c r="F100" s="72">
        <v>11.067860670908926</v>
      </c>
      <c r="G100" s="72">
        <v>3982.87956043956</v>
      </c>
    </row>
    <row r="101" spans="1:7" x14ac:dyDescent="0.2">
      <c r="A101" s="60">
        <v>173</v>
      </c>
      <c r="B101" s="35" t="s">
        <v>110</v>
      </c>
      <c r="C101" s="71">
        <v>7923.0060896844443</v>
      </c>
      <c r="D101" s="72">
        <v>647.71649462365599</v>
      </c>
      <c r="E101" s="73">
        <v>0.25039612279592521</v>
      </c>
      <c r="F101" s="72">
        <v>52.584844404663173</v>
      </c>
      <c r="G101" s="72">
        <v>1231.7550844863147</v>
      </c>
    </row>
    <row r="102" spans="1:7" x14ac:dyDescent="0.2">
      <c r="A102" s="60">
        <v>177</v>
      </c>
      <c r="B102" s="35" t="s">
        <v>111</v>
      </c>
      <c r="C102" s="71">
        <v>5990.3257135003887</v>
      </c>
      <c r="D102" s="72">
        <v>643.38773249738767</v>
      </c>
      <c r="E102" s="73">
        <v>0.26153483927472082</v>
      </c>
      <c r="F102" s="72">
        <v>69.544124239596542</v>
      </c>
      <c r="G102" s="72">
        <v>925.15038406517181</v>
      </c>
    </row>
    <row r="103" spans="1:7" x14ac:dyDescent="0.2">
      <c r="A103" s="60">
        <v>181</v>
      </c>
      <c r="B103" s="35" t="s">
        <v>112</v>
      </c>
      <c r="C103" s="71">
        <v>7623.4530184955747</v>
      </c>
      <c r="D103" s="72">
        <v>652.71865588052265</v>
      </c>
      <c r="E103" s="73">
        <v>9.1816914383312465E-2</v>
      </c>
      <c r="F103" s="72">
        <v>67.238853116434981</v>
      </c>
      <c r="G103" s="72">
        <v>970.74626592787718</v>
      </c>
    </row>
    <row r="104" spans="1:7" x14ac:dyDescent="0.2">
      <c r="A104" s="60">
        <v>182</v>
      </c>
      <c r="B104" s="35" t="s">
        <v>113</v>
      </c>
      <c r="C104" s="71">
        <v>15782.067982004764</v>
      </c>
      <c r="D104" s="72">
        <v>411.33458333333328</v>
      </c>
      <c r="E104" s="73">
        <v>0</v>
      </c>
      <c r="F104" s="72">
        <v>22.531223895857959</v>
      </c>
      <c r="G104" s="72">
        <v>1825.6202380952382</v>
      </c>
    </row>
    <row r="105" spans="1:7" x14ac:dyDescent="0.2">
      <c r="A105" s="60">
        <v>186</v>
      </c>
      <c r="B105" s="35" t="s">
        <v>114</v>
      </c>
      <c r="C105" s="71">
        <v>18710.731170190036</v>
      </c>
      <c r="D105" s="72">
        <v>480.03913782252988</v>
      </c>
      <c r="E105" s="73">
        <v>0</v>
      </c>
      <c r="F105" s="72">
        <v>22.332873275551869</v>
      </c>
      <c r="G105" s="72">
        <v>2149.4732536186284</v>
      </c>
    </row>
    <row r="106" spans="1:7" x14ac:dyDescent="0.2">
      <c r="A106" s="60">
        <v>191</v>
      </c>
      <c r="B106" s="35" t="s">
        <v>115</v>
      </c>
      <c r="C106" s="71">
        <v>6064.6147878222291</v>
      </c>
      <c r="D106" s="72">
        <v>724.62765239671182</v>
      </c>
      <c r="E106" s="73">
        <v>0.27949535210539811</v>
      </c>
      <c r="F106" s="72">
        <v>74.657278903890173</v>
      </c>
      <c r="G106" s="72">
        <v>970.60549625651242</v>
      </c>
    </row>
    <row r="107" spans="1:7" x14ac:dyDescent="0.2">
      <c r="A107" s="60">
        <v>192</v>
      </c>
      <c r="B107" s="35" t="s">
        <v>116</v>
      </c>
      <c r="C107" s="71">
        <v>3495.8661786845901</v>
      </c>
      <c r="D107" s="72">
        <v>504.52610184119675</v>
      </c>
      <c r="E107" s="73">
        <v>0.38741258481273827</v>
      </c>
      <c r="F107" s="72">
        <v>77.432926161900653</v>
      </c>
      <c r="G107" s="72">
        <v>651.56533124721159</v>
      </c>
    </row>
    <row r="108" spans="1:7" x14ac:dyDescent="0.2">
      <c r="A108" s="60">
        <v>194</v>
      </c>
      <c r="B108" s="35" t="s">
        <v>117</v>
      </c>
      <c r="C108" s="71">
        <v>5110.7549769943034</v>
      </c>
      <c r="D108" s="72">
        <v>525.48044552191016</v>
      </c>
      <c r="E108" s="73">
        <v>0.35782333882759165</v>
      </c>
      <c r="F108" s="72">
        <v>56.544620044512406</v>
      </c>
      <c r="G108" s="72">
        <v>929.31996909387226</v>
      </c>
    </row>
    <row r="109" spans="1:7" x14ac:dyDescent="0.2">
      <c r="A109" s="60">
        <v>195</v>
      </c>
      <c r="B109" s="35" t="s">
        <v>118</v>
      </c>
      <c r="C109" s="71">
        <v>5363.061890203765</v>
      </c>
      <c r="D109" s="72">
        <v>414.26599662162164</v>
      </c>
      <c r="E109" s="73">
        <v>0.27041991845965596</v>
      </c>
      <c r="F109" s="72">
        <v>48.802272014401247</v>
      </c>
      <c r="G109" s="72">
        <v>848.86620954732257</v>
      </c>
    </row>
    <row r="110" spans="1:7" x14ac:dyDescent="0.2">
      <c r="A110" s="60">
        <v>196</v>
      </c>
      <c r="B110" s="35" t="s">
        <v>119</v>
      </c>
      <c r="C110" s="71">
        <v>4960.0501677669708</v>
      </c>
      <c r="D110" s="72">
        <v>1006.9089754508091</v>
      </c>
      <c r="E110" s="73">
        <v>0.23384827256372584</v>
      </c>
      <c r="F110" s="72">
        <v>133.69301573451403</v>
      </c>
      <c r="G110" s="72">
        <v>753.15002052935711</v>
      </c>
    </row>
    <row r="111" spans="1:7" x14ac:dyDescent="0.2">
      <c r="A111" s="60">
        <v>197</v>
      </c>
      <c r="B111" s="35" t="s">
        <v>120</v>
      </c>
      <c r="C111" s="71">
        <v>11672.494635932362</v>
      </c>
      <c r="D111" s="72">
        <v>828.12875113739767</v>
      </c>
      <c r="E111" s="73">
        <v>0.12600984142639857</v>
      </c>
      <c r="F111" s="72">
        <v>53.656970014219837</v>
      </c>
      <c r="G111" s="72">
        <v>1543.3759135447494</v>
      </c>
    </row>
    <row r="112" spans="1:7" x14ac:dyDescent="0.2">
      <c r="A112" s="60">
        <v>199</v>
      </c>
      <c r="B112" s="35" t="s">
        <v>121</v>
      </c>
      <c r="C112" s="71">
        <v>6443.0501407276133</v>
      </c>
      <c r="D112" s="72">
        <v>840.35259049162619</v>
      </c>
      <c r="E112" s="73">
        <v>0.19374212791600823</v>
      </c>
      <c r="F112" s="72">
        <v>90.18066972149424</v>
      </c>
      <c r="G112" s="72">
        <v>931.85445737639179</v>
      </c>
    </row>
    <row r="113" spans="1:7" x14ac:dyDescent="0.2">
      <c r="A113" s="60">
        <v>200</v>
      </c>
      <c r="B113" s="35" t="s">
        <v>122</v>
      </c>
      <c r="C113" s="71">
        <v>6216.7344032917199</v>
      </c>
      <c r="D113" s="72">
        <v>604.16326797385614</v>
      </c>
      <c r="E113" s="73">
        <v>0.15169540732868311</v>
      </c>
      <c r="F113" s="72">
        <v>70.708569502828681</v>
      </c>
      <c r="G113" s="72">
        <v>854.44136718065931</v>
      </c>
    </row>
    <row r="114" spans="1:7" x14ac:dyDescent="0.2">
      <c r="A114" s="60">
        <v>203</v>
      </c>
      <c r="B114" s="35" t="s">
        <v>123</v>
      </c>
      <c r="C114" s="71">
        <v>7766.0433158409669</v>
      </c>
      <c r="D114" s="72">
        <v>534.19371318822027</v>
      </c>
      <c r="E114" s="73">
        <v>0.14831724688821657</v>
      </c>
      <c r="F114" s="72">
        <v>50.86928729622668</v>
      </c>
      <c r="G114" s="72">
        <v>1050.1301307357712</v>
      </c>
    </row>
    <row r="115" spans="1:7" x14ac:dyDescent="0.2">
      <c r="A115" s="60">
        <v>204</v>
      </c>
      <c r="B115" s="35" t="s">
        <v>124</v>
      </c>
      <c r="C115" s="71">
        <v>2907.1360812028647</v>
      </c>
      <c r="D115" s="72">
        <v>375.35802463503649</v>
      </c>
      <c r="E115" s="73">
        <v>0.50017285808115142</v>
      </c>
      <c r="F115" s="72">
        <v>55.914838439154764</v>
      </c>
      <c r="G115" s="72">
        <v>671.30306572108304</v>
      </c>
    </row>
    <row r="116" spans="1:7" x14ac:dyDescent="0.2">
      <c r="A116" s="60">
        <v>206</v>
      </c>
      <c r="B116" s="35" t="s">
        <v>125</v>
      </c>
      <c r="C116" s="71">
        <v>9086.960099270731</v>
      </c>
      <c r="D116" s="72">
        <v>408.92871860584319</v>
      </c>
      <c r="E116" s="73">
        <v>6.1364153938846824E-2</v>
      </c>
      <c r="F116" s="72">
        <v>36.457070337151613</v>
      </c>
      <c r="G116" s="72">
        <v>1121.6719139089023</v>
      </c>
    </row>
    <row r="117" spans="1:7" x14ac:dyDescent="0.2">
      <c r="A117" s="60">
        <v>207</v>
      </c>
      <c r="B117" s="35" t="s">
        <v>126</v>
      </c>
      <c r="C117" s="71">
        <v>8235.997049422178</v>
      </c>
      <c r="D117" s="72">
        <v>657.02381118881124</v>
      </c>
      <c r="E117" s="73">
        <v>7.050340002685343E-2</v>
      </c>
      <c r="F117" s="72">
        <v>65.180037497238473</v>
      </c>
      <c r="G117" s="72">
        <v>1008.0138588699766</v>
      </c>
    </row>
    <row r="118" spans="1:7" x14ac:dyDescent="0.2">
      <c r="A118" s="60">
        <v>208</v>
      </c>
      <c r="B118" s="35" t="s">
        <v>127</v>
      </c>
      <c r="C118" s="71">
        <v>12151.658480383239</v>
      </c>
      <c r="D118" s="72">
        <v>917.50566433566428</v>
      </c>
      <c r="E118" s="73">
        <v>0</v>
      </c>
      <c r="F118" s="72">
        <v>65.473000553911561</v>
      </c>
      <c r="G118" s="72">
        <v>1401.3496503496503</v>
      </c>
    </row>
    <row r="119" spans="1:7" x14ac:dyDescent="0.2">
      <c r="A119" s="60">
        <v>213</v>
      </c>
      <c r="B119" s="35" t="s">
        <v>128</v>
      </c>
      <c r="C119" s="71">
        <v>4163.4060608581703</v>
      </c>
      <c r="D119" s="72">
        <v>536.93838983050841</v>
      </c>
      <c r="E119" s="73">
        <v>0.41599136039681173</v>
      </c>
      <c r="F119" s="72">
        <v>64.697810487359902</v>
      </c>
      <c r="G119" s="72">
        <v>829.91740491034204</v>
      </c>
    </row>
    <row r="120" spans="1:7" x14ac:dyDescent="0.2">
      <c r="A120" s="60">
        <v>227</v>
      </c>
      <c r="B120" s="35" t="s">
        <v>129</v>
      </c>
      <c r="C120" s="71">
        <v>5628.3703378324417</v>
      </c>
      <c r="D120" s="72">
        <v>415.5176027397261</v>
      </c>
      <c r="E120" s="73">
        <v>0.27828824488091014</v>
      </c>
      <c r="F120" s="72">
        <v>46.595678901761069</v>
      </c>
      <c r="G120" s="72">
        <v>891.75136521945115</v>
      </c>
    </row>
    <row r="121" spans="1:7" x14ac:dyDescent="0.2">
      <c r="A121" s="60">
        <v>229</v>
      </c>
      <c r="B121" s="35" t="s">
        <v>130</v>
      </c>
      <c r="C121" s="71">
        <v>7395.6341592280523</v>
      </c>
      <c r="D121" s="72">
        <v>536.6202931596091</v>
      </c>
      <c r="E121" s="73">
        <v>0.12415253313915546</v>
      </c>
      <c r="F121" s="72">
        <v>54.253375766672782</v>
      </c>
      <c r="G121" s="72">
        <v>989.10028284221289</v>
      </c>
    </row>
    <row r="122" spans="1:7" x14ac:dyDescent="0.2">
      <c r="A122" s="60">
        <v>238</v>
      </c>
      <c r="B122" s="35" t="s">
        <v>131</v>
      </c>
      <c r="C122" s="71">
        <v>8929.6375053992087</v>
      </c>
      <c r="D122" s="72">
        <v>638.07107279693491</v>
      </c>
      <c r="E122" s="73">
        <v>4.7282293286368661E-2</v>
      </c>
      <c r="F122" s="72">
        <v>59.035978081176452</v>
      </c>
      <c r="G122" s="72">
        <v>1080.8173143495071</v>
      </c>
    </row>
    <row r="123" spans="1:7" x14ac:dyDescent="0.2">
      <c r="A123" s="60">
        <v>239</v>
      </c>
      <c r="B123" s="35" t="s">
        <v>132</v>
      </c>
      <c r="C123" s="71">
        <v>5902.5093952397456</v>
      </c>
      <c r="D123" s="72">
        <v>631.60480798771118</v>
      </c>
      <c r="E123" s="73">
        <v>0.17016906656690697</v>
      </c>
      <c r="F123" s="72">
        <v>77.03677588688511</v>
      </c>
      <c r="G123" s="72">
        <v>819.87440507000338</v>
      </c>
    </row>
    <row r="124" spans="1:7" x14ac:dyDescent="0.2">
      <c r="A124" s="60">
        <v>241</v>
      </c>
      <c r="B124" s="35" t="s">
        <v>133</v>
      </c>
      <c r="C124" s="71">
        <v>4545.0950882089501</v>
      </c>
      <c r="D124" s="72">
        <v>661.28657689811814</v>
      </c>
      <c r="E124" s="73">
        <v>0.36338880194917067</v>
      </c>
      <c r="F124" s="72">
        <v>80.154743567044193</v>
      </c>
      <c r="G124" s="72">
        <v>825.01240409433194</v>
      </c>
    </row>
    <row r="125" spans="1:7" x14ac:dyDescent="0.2">
      <c r="A125" s="60">
        <v>242</v>
      </c>
      <c r="B125" s="35" t="s">
        <v>134</v>
      </c>
      <c r="C125" s="71">
        <v>3990.1411469841373</v>
      </c>
      <c r="D125" s="72">
        <v>546.51065009560239</v>
      </c>
      <c r="E125" s="73">
        <v>0.32028100264263026</v>
      </c>
      <c r="F125" s="72">
        <v>80.285904851559678</v>
      </c>
      <c r="G125" s="72">
        <v>680.70559970152158</v>
      </c>
    </row>
    <row r="126" spans="1:7" x14ac:dyDescent="0.2">
      <c r="A126" s="60">
        <v>252</v>
      </c>
      <c r="B126" s="35" t="s">
        <v>135</v>
      </c>
      <c r="C126" s="71">
        <v>6348.1799683472755</v>
      </c>
      <c r="D126" s="72">
        <v>383.2304262574595</v>
      </c>
      <c r="E126" s="73">
        <v>0.23248215928265764</v>
      </c>
      <c r="F126" s="72">
        <v>39.638627647865739</v>
      </c>
      <c r="G126" s="72">
        <v>966.81053053080086</v>
      </c>
    </row>
    <row r="127" spans="1:7" x14ac:dyDescent="0.2">
      <c r="A127" s="60">
        <v>253</v>
      </c>
      <c r="B127" s="35" t="s">
        <v>136</v>
      </c>
      <c r="C127" s="71">
        <v>4700.2815051140096</v>
      </c>
      <c r="D127" s="72">
        <v>425.81987577639751</v>
      </c>
      <c r="E127" s="73">
        <v>0.33690352553349762</v>
      </c>
      <c r="F127" s="72">
        <v>51.859895852197845</v>
      </c>
      <c r="G127" s="72">
        <v>821.09666588995105</v>
      </c>
    </row>
    <row r="128" spans="1:7" x14ac:dyDescent="0.2">
      <c r="A128" s="60">
        <v>255</v>
      </c>
      <c r="B128" s="35" t="s">
        <v>137</v>
      </c>
      <c r="C128" s="71">
        <v>4219.7695047943562</v>
      </c>
      <c r="D128" s="72">
        <v>685.51523964256705</v>
      </c>
      <c r="E128" s="73">
        <v>0.22424632460246269</v>
      </c>
      <c r="F128" s="72">
        <v>109.21781927961101</v>
      </c>
      <c r="G128" s="72">
        <v>627.65878696732079</v>
      </c>
    </row>
    <row r="129" spans="1:7" x14ac:dyDescent="0.2">
      <c r="A129" s="60">
        <v>256</v>
      </c>
      <c r="B129" s="35" t="s">
        <v>138</v>
      </c>
      <c r="C129" s="71">
        <v>8459.4192447077512</v>
      </c>
      <c r="D129" s="72">
        <v>589.78623020063355</v>
      </c>
      <c r="E129" s="73">
        <v>6.6950912860951742E-2</v>
      </c>
      <c r="F129" s="72">
        <v>56.235176496486467</v>
      </c>
      <c r="G129" s="72">
        <v>1048.7852389642326</v>
      </c>
    </row>
    <row r="130" spans="1:7" x14ac:dyDescent="0.2">
      <c r="A130" s="60">
        <v>261</v>
      </c>
      <c r="B130" s="35" t="s">
        <v>139</v>
      </c>
      <c r="C130" s="71">
        <v>6672.5966850828727</v>
      </c>
      <c r="D130" s="72">
        <v>457.55560165975101</v>
      </c>
      <c r="E130" s="73">
        <v>0.17023530233270973</v>
      </c>
      <c r="F130" s="72">
        <v>48.877695851008305</v>
      </c>
      <c r="G130" s="72">
        <v>936.12350928836202</v>
      </c>
    </row>
    <row r="131" spans="1:7" x14ac:dyDescent="0.2">
      <c r="A131" s="60">
        <v>264</v>
      </c>
      <c r="B131" s="35" t="s">
        <v>140</v>
      </c>
      <c r="C131" s="71">
        <v>26860.157890316623</v>
      </c>
      <c r="D131" s="72">
        <v>605.92971153846167</v>
      </c>
      <c r="E131" s="73">
        <v>0</v>
      </c>
      <c r="F131" s="72">
        <v>19.703558739668928</v>
      </c>
      <c r="G131" s="72">
        <v>3075.229807692308</v>
      </c>
    </row>
    <row r="132" spans="1:7" x14ac:dyDescent="0.2">
      <c r="A132" s="60">
        <v>270</v>
      </c>
      <c r="B132" s="35" t="s">
        <v>141</v>
      </c>
      <c r="C132" s="71">
        <v>11417.88613757842</v>
      </c>
      <c r="D132" s="72">
        <v>1618.5201489391598</v>
      </c>
      <c r="E132" s="73">
        <v>6.4592951620425568E-2</v>
      </c>
      <c r="F132" s="72">
        <v>114.09351470642642</v>
      </c>
      <c r="G132" s="72">
        <v>1418.5908402451864</v>
      </c>
    </row>
    <row r="133" spans="1:7" x14ac:dyDescent="0.2">
      <c r="A133" s="60">
        <v>271</v>
      </c>
      <c r="B133" s="35" t="s">
        <v>142</v>
      </c>
      <c r="C133" s="71">
        <v>8879.3669934871359</v>
      </c>
      <c r="D133" s="72">
        <v>1179.6316495151395</v>
      </c>
      <c r="E133" s="73">
        <v>0.11603944817542568</v>
      </c>
      <c r="F133" s="72">
        <v>100.99896306996159</v>
      </c>
      <c r="G133" s="72">
        <v>1167.9641192930003</v>
      </c>
    </row>
    <row r="134" spans="1:7" x14ac:dyDescent="0.2">
      <c r="A134" s="60">
        <v>272</v>
      </c>
      <c r="B134" s="35" t="s">
        <v>143</v>
      </c>
      <c r="C134" s="71">
        <v>8122.0952798012859</v>
      </c>
      <c r="D134" s="72">
        <v>1371.2699664499894</v>
      </c>
      <c r="E134" s="73">
        <v>8.736769176782519E-2</v>
      </c>
      <c r="F134" s="72">
        <v>133.52092547790133</v>
      </c>
      <c r="G134" s="72">
        <v>1027.0075357416126</v>
      </c>
    </row>
    <row r="135" spans="1:7" x14ac:dyDescent="0.2">
      <c r="A135" s="60">
        <v>273</v>
      </c>
      <c r="B135" s="35" t="s">
        <v>144</v>
      </c>
      <c r="C135" s="71">
        <v>8828.4195964948867</v>
      </c>
      <c r="D135" s="72">
        <v>1444.7903772250386</v>
      </c>
      <c r="E135" s="73">
        <v>7.4352638196549442E-2</v>
      </c>
      <c r="F135" s="72">
        <v>130.70847617375705</v>
      </c>
      <c r="G135" s="72">
        <v>1105.3532406761512</v>
      </c>
    </row>
    <row r="136" spans="1:7" x14ac:dyDescent="0.2">
      <c r="A136" s="60">
        <v>276</v>
      </c>
      <c r="B136" s="35" t="s">
        <v>145</v>
      </c>
      <c r="C136" s="71">
        <v>7599.8608856506471</v>
      </c>
      <c r="D136" s="72">
        <v>1213.2166215777513</v>
      </c>
      <c r="E136" s="73">
        <v>7.8697961994677032E-2</v>
      </c>
      <c r="F136" s="72">
        <v>128.27090429931363</v>
      </c>
      <c r="G136" s="72">
        <v>945.82370663480469</v>
      </c>
    </row>
    <row r="137" spans="1:7" x14ac:dyDescent="0.2">
      <c r="A137" s="60">
        <v>277</v>
      </c>
      <c r="B137" s="35" t="s">
        <v>146</v>
      </c>
      <c r="C137" s="71">
        <v>13978.898688729316</v>
      </c>
      <c r="D137" s="72">
        <v>925.97942212189628</v>
      </c>
      <c r="E137" s="73">
        <v>0</v>
      </c>
      <c r="F137" s="72">
        <v>57.260506209880475</v>
      </c>
      <c r="G137" s="72">
        <v>1617.1345372460501</v>
      </c>
    </row>
    <row r="138" spans="1:7" x14ac:dyDescent="0.2">
      <c r="A138" s="60">
        <v>278</v>
      </c>
      <c r="B138" s="35" t="s">
        <v>147</v>
      </c>
      <c r="C138" s="71">
        <v>11588.07133375364</v>
      </c>
      <c r="D138" s="72">
        <v>950.32706316956023</v>
      </c>
      <c r="E138" s="73">
        <v>0</v>
      </c>
      <c r="F138" s="72">
        <v>70.332172164448096</v>
      </c>
      <c r="G138" s="72">
        <v>1351.1982268193572</v>
      </c>
    </row>
    <row r="139" spans="1:7" x14ac:dyDescent="0.2">
      <c r="A139" s="60">
        <v>279</v>
      </c>
      <c r="B139" s="35" t="s">
        <v>148</v>
      </c>
      <c r="C139" s="71">
        <v>6108.2147552939878</v>
      </c>
      <c r="D139" s="72">
        <v>837.0839141843627</v>
      </c>
      <c r="E139" s="73">
        <v>0.23610586808544831</v>
      </c>
      <c r="F139" s="72">
        <v>90.874636049505582</v>
      </c>
      <c r="G139" s="72">
        <v>921.14142138445129</v>
      </c>
    </row>
    <row r="140" spans="1:7" x14ac:dyDescent="0.2">
      <c r="A140" s="60">
        <v>280</v>
      </c>
      <c r="B140" s="35" t="s">
        <v>149</v>
      </c>
      <c r="C140" s="71">
        <v>7111.564579423306</v>
      </c>
      <c r="D140" s="72">
        <v>1144.5261482326109</v>
      </c>
      <c r="E140" s="73">
        <v>0.14639701235716371</v>
      </c>
      <c r="F140" s="72">
        <v>120.91924812019887</v>
      </c>
      <c r="G140" s="72">
        <v>946.52105932291556</v>
      </c>
    </row>
    <row r="141" spans="1:7" x14ac:dyDescent="0.2">
      <c r="A141" s="60">
        <v>281</v>
      </c>
      <c r="B141" s="35" t="s">
        <v>150</v>
      </c>
      <c r="C141" s="71">
        <v>6578.0106953104787</v>
      </c>
      <c r="D141" s="72">
        <v>936.36545196797863</v>
      </c>
      <c r="E141" s="73">
        <v>0.20599382690789375</v>
      </c>
      <c r="F141" s="72">
        <v>97.671368838393178</v>
      </c>
      <c r="G141" s="72">
        <v>958.68980142715793</v>
      </c>
    </row>
    <row r="142" spans="1:7" x14ac:dyDescent="0.2">
      <c r="A142" s="60">
        <v>282</v>
      </c>
      <c r="B142" s="35" t="s">
        <v>151</v>
      </c>
      <c r="C142" s="71">
        <v>4609.389773192217</v>
      </c>
      <c r="D142" s="72">
        <v>745.07743500866559</v>
      </c>
      <c r="E142" s="73">
        <v>0.33166251726796819</v>
      </c>
      <c r="F142" s="72">
        <v>92.184219515361761</v>
      </c>
      <c r="G142" s="72">
        <v>808.24835196929166</v>
      </c>
    </row>
    <row r="143" spans="1:7" x14ac:dyDescent="0.2">
      <c r="A143" s="60">
        <v>283</v>
      </c>
      <c r="B143" s="35" t="s">
        <v>152</v>
      </c>
      <c r="C143" s="71">
        <v>10254.329851610712</v>
      </c>
      <c r="D143" s="72">
        <v>1266.5409167809787</v>
      </c>
      <c r="E143" s="73">
        <v>8.6536814642292556E-2</v>
      </c>
      <c r="F143" s="72">
        <v>98.558821979900273</v>
      </c>
      <c r="G143" s="72">
        <v>1285.0609324848388</v>
      </c>
    </row>
    <row r="144" spans="1:7" x14ac:dyDescent="0.2">
      <c r="A144" s="60">
        <v>284</v>
      </c>
      <c r="B144" s="35" t="s">
        <v>153</v>
      </c>
      <c r="C144" s="71">
        <v>9247.2583556256141</v>
      </c>
      <c r="D144" s="72">
        <v>1610.266688090737</v>
      </c>
      <c r="E144" s="73">
        <v>7.857061596900318E-2</v>
      </c>
      <c r="F144" s="72">
        <v>138.57722013122566</v>
      </c>
      <c r="G144" s="72">
        <v>1161.999559931925</v>
      </c>
    </row>
    <row r="145" spans="1:7" x14ac:dyDescent="0.2">
      <c r="A145" s="60">
        <v>286</v>
      </c>
      <c r="B145" s="35" t="s">
        <v>154</v>
      </c>
      <c r="C145" s="71">
        <v>2806.9566205529436</v>
      </c>
      <c r="D145" s="72">
        <v>835.55468674113638</v>
      </c>
      <c r="E145" s="73">
        <v>0.38724798915326497</v>
      </c>
      <c r="F145" s="72">
        <v>158.06364991407716</v>
      </c>
      <c r="G145" s="72">
        <v>528.61912729165817</v>
      </c>
    </row>
    <row r="146" spans="1:7" x14ac:dyDescent="0.2">
      <c r="A146" s="60">
        <v>294</v>
      </c>
      <c r="B146" s="35" t="s">
        <v>155</v>
      </c>
      <c r="C146" s="71">
        <v>1006.0276611598786</v>
      </c>
      <c r="D146" s="72">
        <v>437.24530742954738</v>
      </c>
      <c r="E146" s="73">
        <v>0.88447925146146567</v>
      </c>
      <c r="F146" s="72">
        <v>42.741312113560092</v>
      </c>
      <c r="G146" s="72">
        <v>1023.0039411701334</v>
      </c>
    </row>
    <row r="147" spans="1:7" x14ac:dyDescent="0.2">
      <c r="A147" s="60">
        <v>297</v>
      </c>
      <c r="B147" s="35" t="s">
        <v>156</v>
      </c>
      <c r="C147" s="71">
        <v>5443.6370981704849</v>
      </c>
      <c r="D147" s="72">
        <v>605.92764705882348</v>
      </c>
      <c r="E147" s="73">
        <v>0.21890715181702167</v>
      </c>
      <c r="F147" s="72">
        <v>76.771905570180422</v>
      </c>
      <c r="G147" s="72">
        <v>789.25701082789919</v>
      </c>
    </row>
    <row r="148" spans="1:7" x14ac:dyDescent="0.2">
      <c r="A148" s="60">
        <v>299</v>
      </c>
      <c r="B148" s="35" t="s">
        <v>157</v>
      </c>
      <c r="C148" s="71">
        <v>6158.4393215092541</v>
      </c>
      <c r="D148" s="72">
        <v>640.77553935860055</v>
      </c>
      <c r="E148" s="73">
        <v>0.1409747372000611</v>
      </c>
      <c r="F148" s="72">
        <v>76.529661051300351</v>
      </c>
      <c r="G148" s="72">
        <v>837.2904447192933</v>
      </c>
    </row>
    <row r="149" spans="1:7" x14ac:dyDescent="0.2">
      <c r="A149" s="60">
        <v>300</v>
      </c>
      <c r="B149" s="35" t="s">
        <v>158</v>
      </c>
      <c r="C149" s="71">
        <v>4551.9316954643627</v>
      </c>
      <c r="D149" s="72">
        <v>517.76179365079361</v>
      </c>
      <c r="E149" s="73">
        <v>0.3213981345162924</v>
      </c>
      <c r="F149" s="72">
        <v>65.643070682675429</v>
      </c>
      <c r="G149" s="72">
        <v>788.75315896433483</v>
      </c>
    </row>
    <row r="150" spans="1:7" x14ac:dyDescent="0.2">
      <c r="A150" s="60">
        <v>306</v>
      </c>
      <c r="B150" s="35" t="s">
        <v>159</v>
      </c>
      <c r="C150" s="71">
        <v>9417.1107028020215</v>
      </c>
      <c r="D150" s="72">
        <v>548.64511194029842</v>
      </c>
      <c r="E150" s="73">
        <v>3.0813695801101347E-2</v>
      </c>
      <c r="F150" s="72">
        <v>49.651164208662479</v>
      </c>
      <c r="G150" s="72">
        <v>1104.999491320242</v>
      </c>
    </row>
    <row r="151" spans="1:7" x14ac:dyDescent="0.2">
      <c r="A151" s="60">
        <v>308</v>
      </c>
      <c r="B151" s="35" t="s">
        <v>160</v>
      </c>
      <c r="C151" s="71">
        <v>10349.650971353309</v>
      </c>
      <c r="D151" s="72">
        <v>426.33912213740456</v>
      </c>
      <c r="E151" s="73">
        <v>0</v>
      </c>
      <c r="F151" s="72">
        <v>35.537427116218588</v>
      </c>
      <c r="G151" s="72">
        <v>1199.6904580152673</v>
      </c>
    </row>
    <row r="152" spans="1:7" x14ac:dyDescent="0.2">
      <c r="A152" s="60">
        <v>309</v>
      </c>
      <c r="B152" s="35" t="s">
        <v>161</v>
      </c>
      <c r="C152" s="71">
        <v>12477.807272334549</v>
      </c>
      <c r="D152" s="72">
        <v>476.49594259621659</v>
      </c>
      <c r="E152" s="73">
        <v>0</v>
      </c>
      <c r="F152" s="72">
        <v>33.275959837885061</v>
      </c>
      <c r="G152" s="72">
        <v>1431.9525114155249</v>
      </c>
    </row>
    <row r="153" spans="1:7" x14ac:dyDescent="0.2">
      <c r="A153" s="60">
        <v>314</v>
      </c>
      <c r="B153" s="35" t="s">
        <v>162</v>
      </c>
      <c r="C153" s="71">
        <v>3792.0535800327648</v>
      </c>
      <c r="D153" s="72">
        <v>478.8797555555555</v>
      </c>
      <c r="E153" s="73">
        <v>0.34697355480886438</v>
      </c>
      <c r="F153" s="72">
        <v>71.524276660769175</v>
      </c>
      <c r="G153" s="72">
        <v>669.53456632189818</v>
      </c>
    </row>
    <row r="154" spans="1:7" x14ac:dyDescent="0.2">
      <c r="A154" s="60">
        <v>316</v>
      </c>
      <c r="B154" s="35" t="s">
        <v>163</v>
      </c>
      <c r="C154" s="71">
        <v>5019.3970152171787</v>
      </c>
      <c r="D154" s="72">
        <v>785.86343339587233</v>
      </c>
      <c r="E154" s="73">
        <v>0.17433733634741355</v>
      </c>
      <c r="F154" s="72">
        <v>112.25679939872867</v>
      </c>
      <c r="G154" s="72">
        <v>700.05864910199136</v>
      </c>
    </row>
    <row r="155" spans="1:7" x14ac:dyDescent="0.2">
      <c r="A155" s="60">
        <v>317</v>
      </c>
      <c r="B155" s="35" t="s">
        <v>164</v>
      </c>
      <c r="C155" s="71">
        <v>9080.2249484449294</v>
      </c>
      <c r="D155" s="72">
        <v>513.70096618357491</v>
      </c>
      <c r="E155" s="73">
        <v>4.9801760643845318E-2</v>
      </c>
      <c r="F155" s="72">
        <v>46.831021125907839</v>
      </c>
      <c r="G155" s="72">
        <v>1096.9245466641885</v>
      </c>
    </row>
    <row r="156" spans="1:7" x14ac:dyDescent="0.2">
      <c r="A156" s="60">
        <v>318</v>
      </c>
      <c r="B156" s="35" t="s">
        <v>165</v>
      </c>
      <c r="C156" s="71">
        <v>9762.6670539724182</v>
      </c>
      <c r="D156" s="72">
        <v>622.40683377308721</v>
      </c>
      <c r="E156" s="73">
        <v>1.5963911310501632E-2</v>
      </c>
      <c r="F156" s="72">
        <v>53.958684115893135</v>
      </c>
      <c r="G156" s="72">
        <v>1153.487791578227</v>
      </c>
    </row>
    <row r="157" spans="1:7" x14ac:dyDescent="0.2">
      <c r="A157" s="60">
        <v>319</v>
      </c>
      <c r="B157" s="35" t="s">
        <v>166</v>
      </c>
      <c r="C157" s="71">
        <v>5903.6846720718777</v>
      </c>
      <c r="D157" s="72">
        <v>767.22485714285722</v>
      </c>
      <c r="E157" s="73">
        <v>0.1354980631493021</v>
      </c>
      <c r="F157" s="72">
        <v>96.793642777176686</v>
      </c>
      <c r="G157" s="72">
        <v>792.63971799164881</v>
      </c>
    </row>
    <row r="158" spans="1:7" x14ac:dyDescent="0.2">
      <c r="A158" s="60">
        <v>323</v>
      </c>
      <c r="B158" s="35" t="s">
        <v>167</v>
      </c>
      <c r="C158" s="71">
        <v>5610.0364963503653</v>
      </c>
      <c r="D158" s="72">
        <v>0</v>
      </c>
      <c r="E158" s="73" t="s">
        <v>60</v>
      </c>
      <c r="F158" s="72">
        <v>0</v>
      </c>
      <c r="G158" s="72">
        <v>0</v>
      </c>
    </row>
    <row r="159" spans="1:7" x14ac:dyDescent="0.2">
      <c r="A159" s="60">
        <v>330</v>
      </c>
      <c r="B159" s="35" t="s">
        <v>168</v>
      </c>
      <c r="C159" s="71">
        <v>11373.513579270704</v>
      </c>
      <c r="D159" s="72">
        <v>476.41335766423362</v>
      </c>
      <c r="E159" s="73">
        <v>0</v>
      </c>
      <c r="F159" s="72">
        <v>34.905577281752002</v>
      </c>
      <c r="G159" s="72">
        <v>1364.8631386861314</v>
      </c>
    </row>
    <row r="160" spans="1:7" x14ac:dyDescent="0.2">
      <c r="A160" s="60">
        <v>332</v>
      </c>
      <c r="B160" s="35" t="s">
        <v>169</v>
      </c>
      <c r="C160" s="71">
        <v>3671.5852848116961</v>
      </c>
      <c r="D160" s="72">
        <v>481.12438857142854</v>
      </c>
      <c r="E160" s="73">
        <v>0.36938856132814979</v>
      </c>
      <c r="F160" s="72">
        <v>71.717088149888866</v>
      </c>
      <c r="G160" s="72">
        <v>670.86436577831705</v>
      </c>
    </row>
    <row r="161" spans="1:7" x14ac:dyDescent="0.2">
      <c r="A161" s="60">
        <v>333</v>
      </c>
      <c r="B161" s="35" t="s">
        <v>170</v>
      </c>
      <c r="C161" s="71">
        <v>3473.1909477540125</v>
      </c>
      <c r="D161" s="72">
        <v>425.24617857142857</v>
      </c>
      <c r="E161" s="73">
        <v>0.38139193826634704</v>
      </c>
      <c r="F161" s="72">
        <v>65.834598804632378</v>
      </c>
      <c r="G161" s="72">
        <v>645.93114607315965</v>
      </c>
    </row>
    <row r="162" spans="1:7" x14ac:dyDescent="0.2">
      <c r="A162" s="60">
        <v>345</v>
      </c>
      <c r="B162" s="35" t="s">
        <v>171</v>
      </c>
      <c r="C162" s="71">
        <v>8526.0956199952961</v>
      </c>
      <c r="D162" s="72">
        <v>929.77381123919292</v>
      </c>
      <c r="E162" s="73">
        <v>0.12042971158931663</v>
      </c>
      <c r="F162" s="72">
        <v>82.385569023080265</v>
      </c>
      <c r="G162" s="72">
        <v>1128.5639248042546</v>
      </c>
    </row>
    <row r="163" spans="1:7" x14ac:dyDescent="0.2">
      <c r="A163" s="60">
        <v>347</v>
      </c>
      <c r="B163" s="35" t="s">
        <v>172</v>
      </c>
      <c r="C163" s="71">
        <v>4656.0695420722604</v>
      </c>
      <c r="D163" s="72">
        <v>653.29853160776509</v>
      </c>
      <c r="E163" s="73">
        <v>0.37443195088979669</v>
      </c>
      <c r="F163" s="72">
        <v>76.442667849215184</v>
      </c>
      <c r="G163" s="72">
        <v>854.62549906867537</v>
      </c>
    </row>
    <row r="164" spans="1:7" x14ac:dyDescent="0.2">
      <c r="A164" s="60">
        <v>356</v>
      </c>
      <c r="B164" s="35" t="s">
        <v>173</v>
      </c>
      <c r="C164" s="71">
        <v>4962.6547903541168</v>
      </c>
      <c r="D164" s="72">
        <v>351.96496855345919</v>
      </c>
      <c r="E164" s="73">
        <v>0.3774973674302563</v>
      </c>
      <c r="F164" s="72">
        <v>38.126129991113288</v>
      </c>
      <c r="G164" s="72">
        <v>923.15944113786975</v>
      </c>
    </row>
    <row r="165" spans="1:7" x14ac:dyDescent="0.2">
      <c r="A165" s="60">
        <v>361</v>
      </c>
      <c r="B165" s="35" t="s">
        <v>174</v>
      </c>
      <c r="C165" s="71">
        <v>5373.2318710832587</v>
      </c>
      <c r="D165" s="72">
        <v>993.91138983050848</v>
      </c>
      <c r="E165" s="73">
        <v>0.12424676128070074</v>
      </c>
      <c r="F165" s="72">
        <v>139.12896688406391</v>
      </c>
      <c r="G165" s="72">
        <v>714.38134853594818</v>
      </c>
    </row>
    <row r="166" spans="1:7" x14ac:dyDescent="0.2">
      <c r="A166" s="60">
        <v>362</v>
      </c>
      <c r="B166" s="35" t="s">
        <v>175</v>
      </c>
      <c r="C166" s="71">
        <v>3878.0560882070949</v>
      </c>
      <c r="D166" s="72">
        <v>484.55964412811392</v>
      </c>
      <c r="E166" s="73">
        <v>0.30486167651503809</v>
      </c>
      <c r="F166" s="72">
        <v>73.126775035925647</v>
      </c>
      <c r="G166" s="72">
        <v>662.62958251619864</v>
      </c>
    </row>
    <row r="167" spans="1:7" x14ac:dyDescent="0.2">
      <c r="A167" s="60">
        <v>363</v>
      </c>
      <c r="B167" s="35" t="s">
        <v>176</v>
      </c>
      <c r="C167" s="71">
        <v>3813.3883938274289</v>
      </c>
      <c r="D167" s="72">
        <v>1023.7865340909091</v>
      </c>
      <c r="E167" s="73">
        <v>0.16726575913624572</v>
      </c>
      <c r="F167" s="72">
        <v>190.04336685905645</v>
      </c>
      <c r="G167" s="72">
        <v>538.71205873246242</v>
      </c>
    </row>
    <row r="168" spans="1:7" x14ac:dyDescent="0.2">
      <c r="A168" s="60">
        <v>378</v>
      </c>
      <c r="B168" s="35" t="s">
        <v>177</v>
      </c>
      <c r="C168" s="71">
        <v>8227.3366529843206</v>
      </c>
      <c r="D168" s="72">
        <v>658.56262230919765</v>
      </c>
      <c r="E168" s="73">
        <v>0.17875673611657958</v>
      </c>
      <c r="F168" s="72">
        <v>56.509635308786663</v>
      </c>
      <c r="G168" s="72">
        <v>1165.3988186450001</v>
      </c>
    </row>
    <row r="169" spans="1:7" x14ac:dyDescent="0.2">
      <c r="A169" s="60">
        <v>381</v>
      </c>
      <c r="B169" s="35" t="s">
        <v>178</v>
      </c>
      <c r="C169" s="71">
        <v>13747.483660752208</v>
      </c>
      <c r="D169" s="72">
        <v>743.46104747550874</v>
      </c>
      <c r="E169" s="73">
        <v>0</v>
      </c>
      <c r="F169" s="72">
        <v>45.49244881082339</v>
      </c>
      <c r="G169" s="72">
        <v>1634.2515448379804</v>
      </c>
    </row>
    <row r="170" spans="1:7" x14ac:dyDescent="0.2">
      <c r="A170" s="60">
        <v>390</v>
      </c>
      <c r="B170" s="35" t="s">
        <v>179</v>
      </c>
      <c r="C170" s="71">
        <v>6698.0625644791835</v>
      </c>
      <c r="D170" s="72">
        <v>882.82756048387091</v>
      </c>
      <c r="E170" s="73">
        <v>9.0824348369095489E-2</v>
      </c>
      <c r="F170" s="72">
        <v>103.9306523467226</v>
      </c>
      <c r="G170" s="72">
        <v>849.43906398150352</v>
      </c>
    </row>
    <row r="171" spans="1:7" x14ac:dyDescent="0.2">
      <c r="A171" s="60">
        <v>391</v>
      </c>
      <c r="B171" s="35" t="s">
        <v>180</v>
      </c>
      <c r="C171" s="71">
        <v>9703.0821774294927</v>
      </c>
      <c r="D171" s="72">
        <v>730.55823095823098</v>
      </c>
      <c r="E171" s="73">
        <v>7.0636637460768453E-2</v>
      </c>
      <c r="F171" s="72">
        <v>59.671925047717572</v>
      </c>
      <c r="G171" s="72">
        <v>1224.2913738312093</v>
      </c>
    </row>
    <row r="172" spans="1:7" x14ac:dyDescent="0.2">
      <c r="A172" s="60">
        <v>392</v>
      </c>
      <c r="B172" s="35" t="s">
        <v>452</v>
      </c>
      <c r="C172" s="71">
        <v>5365.5670497560714</v>
      </c>
      <c r="D172" s="72">
        <v>668.78415241057542</v>
      </c>
      <c r="E172" s="73">
        <v>0.31382187694151503</v>
      </c>
      <c r="F172" s="72">
        <v>75.15252672894826</v>
      </c>
      <c r="G172" s="72">
        <v>889.90241781579937</v>
      </c>
    </row>
    <row r="173" spans="1:7" x14ac:dyDescent="0.2">
      <c r="A173" s="60">
        <v>394</v>
      </c>
      <c r="B173" s="35" t="s">
        <v>453</v>
      </c>
      <c r="C173" s="71">
        <v>5967.6074740944387</v>
      </c>
      <c r="D173" s="72">
        <v>565.60818733738074</v>
      </c>
      <c r="E173" s="73">
        <v>0.17041478304007396</v>
      </c>
      <c r="F173" s="72">
        <v>68.470680520331271</v>
      </c>
      <c r="G173" s="72">
        <v>826.05895405031424</v>
      </c>
    </row>
    <row r="174" spans="1:7" x14ac:dyDescent="0.2">
      <c r="A174" s="60">
        <v>402</v>
      </c>
      <c r="B174" s="35" t="s">
        <v>181</v>
      </c>
      <c r="C174" s="71">
        <v>11414.876416407131</v>
      </c>
      <c r="D174" s="72">
        <v>1486.7280597014926</v>
      </c>
      <c r="E174" s="73">
        <v>4.8786135396189048E-2</v>
      </c>
      <c r="F174" s="72">
        <v>110.00825487237746</v>
      </c>
      <c r="G174" s="72">
        <v>1351.4695432867945</v>
      </c>
    </row>
    <row r="175" spans="1:7" x14ac:dyDescent="0.2">
      <c r="A175" s="60">
        <v>403</v>
      </c>
      <c r="B175" s="35" t="s">
        <v>182</v>
      </c>
      <c r="C175" s="71">
        <v>9838.1396417087744</v>
      </c>
      <c r="D175" s="72">
        <v>669.20278688524593</v>
      </c>
      <c r="E175" s="73">
        <v>0.12571871056752873</v>
      </c>
      <c r="F175" s="72">
        <v>49.990629215277316</v>
      </c>
      <c r="G175" s="72">
        <v>1338.6564590003904</v>
      </c>
    </row>
    <row r="176" spans="1:7" x14ac:dyDescent="0.2">
      <c r="A176" s="60">
        <v>404</v>
      </c>
      <c r="B176" s="35" t="s">
        <v>183</v>
      </c>
      <c r="C176" s="71">
        <v>15629.248653548766</v>
      </c>
      <c r="D176" s="72">
        <v>433.32176829268298</v>
      </c>
      <c r="E176" s="73">
        <v>0</v>
      </c>
      <c r="F176" s="72">
        <v>24.246301458945265</v>
      </c>
      <c r="G176" s="72">
        <v>1787.1664634146341</v>
      </c>
    </row>
    <row r="177" spans="1:7" x14ac:dyDescent="0.2">
      <c r="A177" s="60">
        <v>413</v>
      </c>
      <c r="B177" s="35" t="s">
        <v>184</v>
      </c>
      <c r="C177" s="71">
        <v>5674.2872300709332</v>
      </c>
      <c r="D177" s="72">
        <v>695.41480602464617</v>
      </c>
      <c r="E177" s="73">
        <v>0.29356708082723043</v>
      </c>
      <c r="F177" s="72">
        <v>74.544888090130414</v>
      </c>
      <c r="G177" s="72">
        <v>932.88060904167833</v>
      </c>
    </row>
    <row r="178" spans="1:7" x14ac:dyDescent="0.2">
      <c r="A178" s="60">
        <v>414</v>
      </c>
      <c r="B178" s="35" t="s">
        <v>185</v>
      </c>
      <c r="C178" s="71">
        <v>8613.3217617704486</v>
      </c>
      <c r="D178" s="72">
        <v>677.73053240740728</v>
      </c>
      <c r="E178" s="73">
        <v>0.16871845472561803</v>
      </c>
      <c r="F178" s="72">
        <v>55.733827997548815</v>
      </c>
      <c r="G178" s="72">
        <v>1216.0128897609798</v>
      </c>
    </row>
    <row r="179" spans="1:7" x14ac:dyDescent="0.2">
      <c r="A179" s="60">
        <v>415</v>
      </c>
      <c r="B179" s="35" t="s">
        <v>186</v>
      </c>
      <c r="C179" s="71">
        <v>10451.319455826913</v>
      </c>
      <c r="D179" s="72">
        <v>639.76289308176115</v>
      </c>
      <c r="E179" s="73">
        <v>0.162477745784356</v>
      </c>
      <c r="F179" s="72">
        <v>44.536811812400515</v>
      </c>
      <c r="G179" s="72">
        <v>1436.4811198803191</v>
      </c>
    </row>
    <row r="180" spans="1:7" x14ac:dyDescent="0.2">
      <c r="A180" s="60">
        <v>423</v>
      </c>
      <c r="B180" s="35" t="s">
        <v>187</v>
      </c>
      <c r="C180" s="71">
        <v>4561.1807504293038</v>
      </c>
      <c r="D180" s="72">
        <v>541.69623741756334</v>
      </c>
      <c r="E180" s="73">
        <v>0.2735494248766166</v>
      </c>
      <c r="F180" s="72">
        <v>74.360253055594995</v>
      </c>
      <c r="G180" s="72">
        <v>728.47551636566834</v>
      </c>
    </row>
    <row r="181" spans="1:7" x14ac:dyDescent="0.2">
      <c r="A181" s="60">
        <v>424</v>
      </c>
      <c r="B181" s="35" t="s">
        <v>188</v>
      </c>
      <c r="C181" s="71">
        <v>4915.5151862970151</v>
      </c>
      <c r="D181" s="72">
        <v>530.47274809160297</v>
      </c>
      <c r="E181" s="73">
        <v>0.25312991978588978</v>
      </c>
      <c r="F181" s="72">
        <v>69.918982453383023</v>
      </c>
      <c r="G181" s="72">
        <v>758.69632176824689</v>
      </c>
    </row>
    <row r="182" spans="1:7" x14ac:dyDescent="0.2">
      <c r="A182" s="60">
        <v>432</v>
      </c>
      <c r="B182" s="35" t="s">
        <v>189</v>
      </c>
      <c r="C182" s="71">
        <v>3104.395712875476</v>
      </c>
      <c r="D182" s="72">
        <v>451.28803921568624</v>
      </c>
      <c r="E182" s="73">
        <v>0.44388248480348264</v>
      </c>
      <c r="F182" s="72">
        <v>69.772977844727293</v>
      </c>
      <c r="G182" s="72">
        <v>646.79486694688899</v>
      </c>
    </row>
    <row r="183" spans="1:7" x14ac:dyDescent="0.2">
      <c r="A183" s="60">
        <v>435</v>
      </c>
      <c r="B183" s="35" t="s">
        <v>190</v>
      </c>
      <c r="C183" s="71">
        <v>5643.7695096163525</v>
      </c>
      <c r="D183" s="72">
        <v>389.0606286549708</v>
      </c>
      <c r="E183" s="73">
        <v>0.26156182080041568</v>
      </c>
      <c r="F183" s="72">
        <v>43.826348803776746</v>
      </c>
      <c r="G183" s="72">
        <v>887.73224161772612</v>
      </c>
    </row>
    <row r="184" spans="1:7" x14ac:dyDescent="0.2">
      <c r="A184" s="60">
        <v>441</v>
      </c>
      <c r="B184" s="35" t="s">
        <v>191</v>
      </c>
      <c r="C184" s="71">
        <v>7331.9964864922767</v>
      </c>
      <c r="D184" s="72">
        <v>588.5307462686568</v>
      </c>
      <c r="E184" s="73">
        <v>0.13210260173999372</v>
      </c>
      <c r="F184" s="72">
        <v>59.998226368034189</v>
      </c>
      <c r="G184" s="72">
        <v>980.91357344225401</v>
      </c>
    </row>
    <row r="185" spans="1:7" x14ac:dyDescent="0.2">
      <c r="A185" s="60">
        <v>447</v>
      </c>
      <c r="B185" s="35" t="s">
        <v>192</v>
      </c>
      <c r="C185" s="71">
        <v>5313.6439441317489</v>
      </c>
      <c r="D185" s="72">
        <v>510.54248484848483</v>
      </c>
      <c r="E185" s="73">
        <v>0.23651965686884932</v>
      </c>
      <c r="F185" s="72">
        <v>63.07997787328533</v>
      </c>
      <c r="G185" s="72">
        <v>809.35742538473846</v>
      </c>
    </row>
    <row r="186" spans="1:7" x14ac:dyDescent="0.2">
      <c r="A186" s="60">
        <v>458</v>
      </c>
      <c r="B186" s="35" t="s">
        <v>193</v>
      </c>
      <c r="C186" s="71">
        <v>14455.4520336696</v>
      </c>
      <c r="D186" s="72">
        <v>966.34019011406849</v>
      </c>
      <c r="E186" s="73">
        <v>7.8512290521719541E-2</v>
      </c>
      <c r="F186" s="72">
        <v>52.049953727204759</v>
      </c>
      <c r="G186" s="72">
        <v>1856.5630147889931</v>
      </c>
    </row>
    <row r="187" spans="1:7" x14ac:dyDescent="0.2">
      <c r="A187" s="60">
        <v>463</v>
      </c>
      <c r="B187" s="35" t="s">
        <v>194</v>
      </c>
      <c r="C187" s="71">
        <v>4633.8590344451022</v>
      </c>
      <c r="D187" s="72">
        <v>423.51808731808734</v>
      </c>
      <c r="E187" s="73">
        <v>0.33683458820826634</v>
      </c>
      <c r="F187" s="72">
        <v>53.062495532133688</v>
      </c>
      <c r="G187" s="72">
        <v>798.14958394034147</v>
      </c>
    </row>
    <row r="188" spans="1:7" x14ac:dyDescent="0.2">
      <c r="A188" s="60">
        <v>465</v>
      </c>
      <c r="B188" s="35" t="s">
        <v>195</v>
      </c>
      <c r="C188" s="71">
        <v>5655.964865015987</v>
      </c>
      <c r="D188" s="72">
        <v>639.54607329842929</v>
      </c>
      <c r="E188" s="73">
        <v>0.16843456359981906</v>
      </c>
      <c r="F188" s="72">
        <v>82.162467050304627</v>
      </c>
      <c r="G188" s="72">
        <v>778.39200337894192</v>
      </c>
    </row>
    <row r="189" spans="1:7" x14ac:dyDescent="0.2">
      <c r="A189" s="60">
        <v>466</v>
      </c>
      <c r="B189" s="35" t="s">
        <v>196</v>
      </c>
      <c r="C189" s="71">
        <v>3389.6865673331245</v>
      </c>
      <c r="D189" s="72">
        <v>420.53860374075686</v>
      </c>
      <c r="E189" s="73">
        <v>0.42451800015152796</v>
      </c>
      <c r="F189" s="72">
        <v>61.932282907833539</v>
      </c>
      <c r="G189" s="72">
        <v>679.02971438432928</v>
      </c>
    </row>
    <row r="190" spans="1:7" x14ac:dyDescent="0.2">
      <c r="A190" s="60">
        <v>473</v>
      </c>
      <c r="B190" s="35" t="s">
        <v>197</v>
      </c>
      <c r="C190" s="71">
        <v>10294.284737651684</v>
      </c>
      <c r="D190" s="72">
        <v>399.92636182902584</v>
      </c>
      <c r="E190" s="73">
        <v>0</v>
      </c>
      <c r="F190" s="72">
        <v>33.398098614254984</v>
      </c>
      <c r="G190" s="72">
        <v>1197.4524850894629</v>
      </c>
    </row>
    <row r="191" spans="1:7" x14ac:dyDescent="0.2">
      <c r="A191" s="60">
        <v>477</v>
      </c>
      <c r="B191" s="35" t="s">
        <v>198</v>
      </c>
      <c r="C191" s="71">
        <v>3501.533772816113</v>
      </c>
      <c r="D191" s="72">
        <v>588.43460951262477</v>
      </c>
      <c r="E191" s="73">
        <v>0.35971431073022009</v>
      </c>
      <c r="F191" s="72">
        <v>93.38884852337921</v>
      </c>
      <c r="G191" s="72">
        <v>630.09087146557385</v>
      </c>
    </row>
    <row r="192" spans="1:7" x14ac:dyDescent="0.2">
      <c r="A192" s="60">
        <v>480</v>
      </c>
      <c r="B192" s="35" t="s">
        <v>199</v>
      </c>
      <c r="C192" s="71">
        <v>11342.827680021064</v>
      </c>
      <c r="D192" s="72">
        <v>2156.2707809847197</v>
      </c>
      <c r="E192" s="73">
        <v>0</v>
      </c>
      <c r="F192" s="72">
        <v>163.77617927384128</v>
      </c>
      <c r="G192" s="72">
        <v>1316.5960950764006</v>
      </c>
    </row>
    <row r="193" spans="1:7" x14ac:dyDescent="0.2">
      <c r="A193" s="60">
        <v>482</v>
      </c>
      <c r="B193" s="35" t="s">
        <v>200</v>
      </c>
      <c r="C193" s="71">
        <v>4440.2543280112559</v>
      </c>
      <c r="D193" s="72">
        <v>610.51019599109122</v>
      </c>
      <c r="E193" s="73">
        <v>0.25434857182760551</v>
      </c>
      <c r="F193" s="72">
        <v>87.999302368073771</v>
      </c>
      <c r="G193" s="72">
        <v>693.76708628611232</v>
      </c>
    </row>
    <row r="194" spans="1:7" x14ac:dyDescent="0.2">
      <c r="A194" s="60">
        <v>484</v>
      </c>
      <c r="B194" s="35" t="s">
        <v>201</v>
      </c>
      <c r="C194" s="71">
        <v>3385.7384754158029</v>
      </c>
      <c r="D194" s="72">
        <v>431.05660780669143</v>
      </c>
      <c r="E194" s="73">
        <v>0.43155041501182012</v>
      </c>
      <c r="F194" s="72">
        <v>61.616907737480375</v>
      </c>
      <c r="G194" s="72">
        <v>699.57520368145322</v>
      </c>
    </row>
    <row r="195" spans="1:7" x14ac:dyDescent="0.2">
      <c r="A195" s="60">
        <v>485</v>
      </c>
      <c r="B195" s="35" t="s">
        <v>202</v>
      </c>
      <c r="C195" s="71">
        <v>2654.2233129700908</v>
      </c>
      <c r="D195" s="72">
        <v>384.92629482071715</v>
      </c>
      <c r="E195" s="73">
        <v>0.52905210290167826</v>
      </c>
      <c r="F195" s="72">
        <v>60.535312669003318</v>
      </c>
      <c r="G195" s="72">
        <v>635.87066432683343</v>
      </c>
    </row>
    <row r="196" spans="1:7" x14ac:dyDescent="0.2">
      <c r="A196" s="60">
        <v>486</v>
      </c>
      <c r="B196" s="35" t="s">
        <v>203</v>
      </c>
      <c r="C196" s="71">
        <v>6122.2381845901255</v>
      </c>
      <c r="D196" s="72">
        <v>530.82255172413795</v>
      </c>
      <c r="E196" s="73">
        <v>0.17897863653897197</v>
      </c>
      <c r="F196" s="72">
        <v>60.525076226921819</v>
      </c>
      <c r="G196" s="72">
        <v>877.02913373288038</v>
      </c>
    </row>
    <row r="197" spans="1:7" x14ac:dyDescent="0.2">
      <c r="A197" s="60">
        <v>487</v>
      </c>
      <c r="B197" s="35" t="s">
        <v>204</v>
      </c>
      <c r="C197" s="71">
        <v>3577.7057007813255</v>
      </c>
      <c r="D197" s="72">
        <v>384.46877094972069</v>
      </c>
      <c r="E197" s="73">
        <v>0.4324505800719588</v>
      </c>
      <c r="F197" s="72">
        <v>52.653843379933846</v>
      </c>
      <c r="G197" s="72">
        <v>730.18178022734821</v>
      </c>
    </row>
    <row r="198" spans="1:7" x14ac:dyDescent="0.2">
      <c r="A198" s="60">
        <v>492</v>
      </c>
      <c r="B198" s="35" t="s">
        <v>205</v>
      </c>
      <c r="C198" s="71">
        <v>2933.5843438063944</v>
      </c>
      <c r="D198" s="72">
        <v>695.2713877189093</v>
      </c>
      <c r="E198" s="73">
        <v>0.44801068909861735</v>
      </c>
      <c r="F198" s="72">
        <v>115.00990700581359</v>
      </c>
      <c r="G198" s="72">
        <v>604.53173628230502</v>
      </c>
    </row>
    <row r="199" spans="1:7" x14ac:dyDescent="0.2">
      <c r="A199" s="60">
        <v>495</v>
      </c>
      <c r="B199" s="35" t="s">
        <v>206</v>
      </c>
      <c r="C199" s="71">
        <v>7392.4481233699971</v>
      </c>
      <c r="D199" s="72">
        <v>488.71232736572892</v>
      </c>
      <c r="E199" s="73">
        <v>0.11542090985800568</v>
      </c>
      <c r="F199" s="72">
        <v>51.854814860263218</v>
      </c>
      <c r="G199" s="72">
        <v>942.4627755063749</v>
      </c>
    </row>
    <row r="200" spans="1:7" x14ac:dyDescent="0.2">
      <c r="A200" s="60">
        <v>497</v>
      </c>
      <c r="B200" s="35" t="s">
        <v>207</v>
      </c>
      <c r="C200" s="71">
        <v>6847.3428484664437</v>
      </c>
      <c r="D200" s="72">
        <v>615.04842794759816</v>
      </c>
      <c r="E200" s="73">
        <v>0.20990564949300336</v>
      </c>
      <c r="F200" s="72">
        <v>61.690737217439889</v>
      </c>
      <c r="G200" s="72">
        <v>996.98667205054039</v>
      </c>
    </row>
    <row r="201" spans="1:7" x14ac:dyDescent="0.2">
      <c r="A201" s="60">
        <v>499</v>
      </c>
      <c r="B201" s="35" t="s">
        <v>208</v>
      </c>
      <c r="C201" s="71">
        <v>9828.5131228388418</v>
      </c>
      <c r="D201" s="72">
        <v>454.3181553398058</v>
      </c>
      <c r="E201" s="73">
        <v>1.8976550869538058E-2</v>
      </c>
      <c r="F201" s="72">
        <v>39.715217250877814</v>
      </c>
      <c r="G201" s="72">
        <v>1143.9397459918569</v>
      </c>
    </row>
    <row r="202" spans="1:7" x14ac:dyDescent="0.2">
      <c r="A202" s="60">
        <v>500</v>
      </c>
      <c r="B202" s="35" t="s">
        <v>209</v>
      </c>
      <c r="C202" s="71">
        <v>11502.59635457783</v>
      </c>
      <c r="D202" s="72">
        <v>694.08424050632914</v>
      </c>
      <c r="E202" s="73">
        <v>6.4096537607623294E-2</v>
      </c>
      <c r="F202" s="72">
        <v>46.959989019075543</v>
      </c>
      <c r="G202" s="72">
        <v>1478.0332257411437</v>
      </c>
    </row>
    <row r="203" spans="1:7" x14ac:dyDescent="0.2">
      <c r="A203" s="60">
        <v>505</v>
      </c>
      <c r="B203" s="35" t="s">
        <v>210</v>
      </c>
      <c r="C203" s="71">
        <v>13758.501826700505</v>
      </c>
      <c r="D203" s="72">
        <v>622.28601351351347</v>
      </c>
      <c r="E203" s="73">
        <v>0.12204406963731049</v>
      </c>
      <c r="F203" s="72">
        <v>32.78003180776853</v>
      </c>
      <c r="G203" s="72">
        <v>1898.3691570611536</v>
      </c>
    </row>
    <row r="204" spans="1:7" x14ac:dyDescent="0.2">
      <c r="A204" s="60">
        <v>507</v>
      </c>
      <c r="B204" s="35" t="s">
        <v>211</v>
      </c>
      <c r="C204" s="71">
        <v>10856.402471221882</v>
      </c>
      <c r="D204" s="72">
        <v>499.75756756756755</v>
      </c>
      <c r="E204" s="73">
        <v>0.13459979724703758</v>
      </c>
      <c r="F204" s="72">
        <v>35.02438854748732</v>
      </c>
      <c r="G204" s="72">
        <v>1426.8844890467633</v>
      </c>
    </row>
    <row r="205" spans="1:7" x14ac:dyDescent="0.2">
      <c r="A205" s="60">
        <v>508</v>
      </c>
      <c r="B205" s="35" t="s">
        <v>212</v>
      </c>
      <c r="C205" s="71">
        <v>4470.923351820481</v>
      </c>
      <c r="D205" s="72">
        <v>863.53386752136748</v>
      </c>
      <c r="E205" s="73">
        <v>0.17492790445541745</v>
      </c>
      <c r="F205" s="72">
        <v>138.45325187955291</v>
      </c>
      <c r="G205" s="72">
        <v>623.70067571442587</v>
      </c>
    </row>
    <row r="206" spans="1:7" x14ac:dyDescent="0.2">
      <c r="A206" s="60">
        <v>511</v>
      </c>
      <c r="B206" s="35" t="s">
        <v>213</v>
      </c>
      <c r="C206" s="71">
        <v>7195.5672790272984</v>
      </c>
      <c r="D206" s="72">
        <v>474.18827027027027</v>
      </c>
      <c r="E206" s="73">
        <v>0.30098475729923518</v>
      </c>
      <c r="F206" s="72">
        <v>39.904093769196869</v>
      </c>
      <c r="G206" s="72">
        <v>1188.3198576390425</v>
      </c>
    </row>
    <row r="207" spans="1:7" x14ac:dyDescent="0.2">
      <c r="A207" s="60">
        <v>513</v>
      </c>
      <c r="B207" s="35" t="s">
        <v>214</v>
      </c>
      <c r="C207" s="71">
        <v>8578.907218819284</v>
      </c>
      <c r="D207" s="72">
        <v>764.15215517241381</v>
      </c>
      <c r="E207" s="73">
        <v>0.14504598007821379</v>
      </c>
      <c r="F207" s="72">
        <v>66.392255050849059</v>
      </c>
      <c r="G207" s="72">
        <v>1150.9658085678195</v>
      </c>
    </row>
    <row r="208" spans="1:7" x14ac:dyDescent="0.2">
      <c r="A208" s="60">
        <v>514</v>
      </c>
      <c r="B208" s="35" t="s">
        <v>215</v>
      </c>
      <c r="C208" s="71">
        <v>10595.412500668343</v>
      </c>
      <c r="D208" s="72">
        <v>592.29538961038963</v>
      </c>
      <c r="E208" s="73">
        <v>0.12957874980992395</v>
      </c>
      <c r="F208" s="72">
        <v>40.064471200912365</v>
      </c>
      <c r="G208" s="72">
        <v>1478.3556898584541</v>
      </c>
    </row>
    <row r="209" spans="1:7" x14ac:dyDescent="0.2">
      <c r="A209" s="60">
        <v>516</v>
      </c>
      <c r="B209" s="35" t="s">
        <v>216</v>
      </c>
      <c r="C209" s="71">
        <v>12519.161249405422</v>
      </c>
      <c r="D209" s="72">
        <v>551.84330275229354</v>
      </c>
      <c r="E209" s="73">
        <v>0.13506127587075975</v>
      </c>
      <c r="F209" s="72">
        <v>32.945761911184817</v>
      </c>
      <c r="G209" s="72">
        <v>1675.0054354182269</v>
      </c>
    </row>
    <row r="210" spans="1:7" x14ac:dyDescent="0.2">
      <c r="A210" s="60">
        <v>518</v>
      </c>
      <c r="B210" s="35" t="s">
        <v>217</v>
      </c>
      <c r="C210" s="71">
        <v>4013.1260634579103</v>
      </c>
      <c r="D210" s="72">
        <v>509.76117388114454</v>
      </c>
      <c r="E210" s="73">
        <v>0.51015137380806763</v>
      </c>
      <c r="F210" s="72">
        <v>54.148293886316253</v>
      </c>
      <c r="G210" s="72">
        <v>941.41687077229528</v>
      </c>
    </row>
    <row r="211" spans="1:7" x14ac:dyDescent="0.2">
      <c r="A211" s="60">
        <v>531</v>
      </c>
      <c r="B211" s="35" t="s">
        <v>218</v>
      </c>
      <c r="C211" s="71">
        <v>3618.9456192774783</v>
      </c>
      <c r="D211" s="72">
        <v>388.32427392739277</v>
      </c>
      <c r="E211" s="73">
        <v>0.4317703526363092</v>
      </c>
      <c r="F211" s="72">
        <v>53.0823131288765</v>
      </c>
      <c r="G211" s="72">
        <v>731.55115336551978</v>
      </c>
    </row>
    <row r="212" spans="1:7" x14ac:dyDescent="0.2">
      <c r="A212" s="60">
        <v>533</v>
      </c>
      <c r="B212" s="35" t="s">
        <v>219</v>
      </c>
      <c r="C212" s="71">
        <v>2807.4350218042969</v>
      </c>
      <c r="D212" s="72">
        <v>538.53987127916332</v>
      </c>
      <c r="E212" s="73">
        <v>0.42852814706838338</v>
      </c>
      <c r="F212" s="72">
        <v>94.771698366555995</v>
      </c>
      <c r="G212" s="72">
        <v>568.24967850234157</v>
      </c>
    </row>
    <row r="213" spans="1:7" x14ac:dyDescent="0.2">
      <c r="A213" s="60">
        <v>534</v>
      </c>
      <c r="B213" s="35" t="s">
        <v>220</v>
      </c>
      <c r="C213" s="71">
        <v>3910.1476985285035</v>
      </c>
      <c r="D213" s="72">
        <v>508.06743172268909</v>
      </c>
      <c r="E213" s="73">
        <v>0.38646271220594425</v>
      </c>
      <c r="F213" s="72">
        <v>69.429529769533588</v>
      </c>
      <c r="G213" s="72">
        <v>731.77426580474184</v>
      </c>
    </row>
    <row r="214" spans="1:7" x14ac:dyDescent="0.2">
      <c r="A214" s="60">
        <v>535</v>
      </c>
      <c r="B214" s="35" t="s">
        <v>221</v>
      </c>
      <c r="C214" s="71">
        <v>6520.2150977982119</v>
      </c>
      <c r="D214" s="72">
        <v>1093.5865618201033</v>
      </c>
      <c r="E214" s="73">
        <v>0.17293978270098459</v>
      </c>
      <c r="F214" s="72">
        <v>121.52462629689562</v>
      </c>
      <c r="G214" s="72">
        <v>899.88884981087926</v>
      </c>
    </row>
    <row r="215" spans="1:7" x14ac:dyDescent="0.2">
      <c r="A215" s="60">
        <v>542</v>
      </c>
      <c r="B215" s="35" t="s">
        <v>222</v>
      </c>
      <c r="C215" s="71">
        <v>22373.613275017364</v>
      </c>
      <c r="D215" s="72">
        <v>660.80382417582427</v>
      </c>
      <c r="E215" s="73">
        <v>0.11360921932774913</v>
      </c>
      <c r="F215" s="72">
        <v>22.35969593329024</v>
      </c>
      <c r="G215" s="72">
        <v>2955.3345722916847</v>
      </c>
    </row>
    <row r="216" spans="1:7" x14ac:dyDescent="0.2">
      <c r="A216" s="60">
        <v>544</v>
      </c>
      <c r="B216" s="35" t="s">
        <v>223</v>
      </c>
      <c r="C216" s="71">
        <v>5567.4884532551441</v>
      </c>
      <c r="D216" s="72">
        <v>714.84947530864201</v>
      </c>
      <c r="E216" s="73">
        <v>0.26318279666318428</v>
      </c>
      <c r="F216" s="72">
        <v>79.535241434212821</v>
      </c>
      <c r="G216" s="72">
        <v>898.78330966019155</v>
      </c>
    </row>
    <row r="217" spans="1:7" x14ac:dyDescent="0.2">
      <c r="A217" s="60">
        <v>545</v>
      </c>
      <c r="B217" s="35" t="s">
        <v>224</v>
      </c>
      <c r="C217" s="71">
        <v>11026.185439593088</v>
      </c>
      <c r="D217" s="72">
        <v>567.5480939226519</v>
      </c>
      <c r="E217" s="73">
        <v>0</v>
      </c>
      <c r="F217" s="72">
        <v>44.287632783198781</v>
      </c>
      <c r="G217" s="72">
        <v>1281.5046961325968</v>
      </c>
    </row>
    <row r="218" spans="1:7" x14ac:dyDescent="0.2">
      <c r="A218" s="60">
        <v>547</v>
      </c>
      <c r="B218" s="35" t="s">
        <v>225</v>
      </c>
      <c r="C218" s="71">
        <v>6125.8303002729745</v>
      </c>
      <c r="D218" s="72">
        <v>477.38022727272727</v>
      </c>
      <c r="E218" s="73">
        <v>0.20489761909182677</v>
      </c>
      <c r="F218" s="72">
        <v>53.15825575100375</v>
      </c>
      <c r="G218" s="72">
        <v>898.03591282001992</v>
      </c>
    </row>
    <row r="219" spans="1:7" x14ac:dyDescent="0.2">
      <c r="A219" s="60">
        <v>548</v>
      </c>
      <c r="B219" s="35" t="s">
        <v>226</v>
      </c>
      <c r="C219" s="71">
        <v>16146.206274722717</v>
      </c>
      <c r="D219" s="72">
        <v>580.05649438202249</v>
      </c>
      <c r="E219" s="73">
        <v>0.18017135022183425</v>
      </c>
      <c r="F219" s="72">
        <v>25.413760055261715</v>
      </c>
      <c r="G219" s="72">
        <v>2282.4505036669157</v>
      </c>
    </row>
    <row r="220" spans="1:7" x14ac:dyDescent="0.2">
      <c r="A220" s="60">
        <v>549</v>
      </c>
      <c r="B220" s="35" t="s">
        <v>227</v>
      </c>
      <c r="C220" s="71">
        <v>11429.393085330239</v>
      </c>
      <c r="D220" s="72">
        <v>650.08464258841241</v>
      </c>
      <c r="E220" s="73">
        <v>0.11662645215071779</v>
      </c>
      <c r="F220" s="72">
        <v>42.579253481036318</v>
      </c>
      <c r="G220" s="72">
        <v>1526.7638331844946</v>
      </c>
    </row>
    <row r="221" spans="1:7" x14ac:dyDescent="0.2">
      <c r="A221" s="60">
        <v>550</v>
      </c>
      <c r="B221" s="35" t="s">
        <v>228</v>
      </c>
      <c r="C221" s="71">
        <v>4737.9814339324503</v>
      </c>
      <c r="D221" s="72">
        <v>474.85268077601404</v>
      </c>
      <c r="E221" s="73">
        <v>0.38798243078972944</v>
      </c>
      <c r="F221" s="72">
        <v>52.839805264852366</v>
      </c>
      <c r="G221" s="72">
        <v>898.66470626808575</v>
      </c>
    </row>
    <row r="222" spans="1:7" x14ac:dyDescent="0.2">
      <c r="A222" s="60">
        <v>553</v>
      </c>
      <c r="B222" s="35" t="s">
        <v>229</v>
      </c>
      <c r="C222" s="71">
        <v>3503.0650725157334</v>
      </c>
      <c r="D222" s="72">
        <v>406.11762039660061</v>
      </c>
      <c r="E222" s="73">
        <v>0.41458980191897959</v>
      </c>
      <c r="F222" s="72">
        <v>59.242426702394866</v>
      </c>
      <c r="G222" s="72">
        <v>685.51820545221415</v>
      </c>
    </row>
    <row r="223" spans="1:7" x14ac:dyDescent="0.2">
      <c r="A223" s="60">
        <v>561</v>
      </c>
      <c r="B223" s="35" t="s">
        <v>230</v>
      </c>
      <c r="C223" s="71">
        <v>4610.9291873050815</v>
      </c>
      <c r="D223" s="72">
        <v>388.33067357512959</v>
      </c>
      <c r="E223" s="73">
        <v>0.3775063771034301</v>
      </c>
      <c r="F223" s="72">
        <v>46.405481779290554</v>
      </c>
      <c r="G223" s="72">
        <v>836.8206916201666</v>
      </c>
    </row>
    <row r="224" spans="1:7" x14ac:dyDescent="0.2">
      <c r="A224" s="60">
        <v>564</v>
      </c>
      <c r="B224" s="35" t="s">
        <v>231</v>
      </c>
      <c r="C224" s="71">
        <v>3789.8082028546146</v>
      </c>
      <c r="D224" s="72">
        <v>624.02680282400399</v>
      </c>
      <c r="E224" s="73">
        <v>0.27776325277932523</v>
      </c>
      <c r="F224" s="72">
        <v>103.31293265324901</v>
      </c>
      <c r="G224" s="72">
        <v>604.01615441353897</v>
      </c>
    </row>
    <row r="225" spans="1:7" x14ac:dyDescent="0.2">
      <c r="A225" s="60">
        <v>577</v>
      </c>
      <c r="B225" s="35" t="s">
        <v>232</v>
      </c>
      <c r="C225" s="71">
        <v>7388.3966113631186</v>
      </c>
      <c r="D225" s="72">
        <v>398.48028571428574</v>
      </c>
      <c r="E225" s="73">
        <v>0.15730968826085201</v>
      </c>
      <c r="F225" s="72">
        <v>39.53808812002319</v>
      </c>
      <c r="G225" s="72">
        <v>1007.8390348684671</v>
      </c>
    </row>
    <row r="226" spans="1:7" x14ac:dyDescent="0.2">
      <c r="A226" s="60">
        <v>578</v>
      </c>
      <c r="B226" s="35" t="s">
        <v>233</v>
      </c>
      <c r="C226" s="71">
        <v>4964.2662858326476</v>
      </c>
      <c r="D226" s="72">
        <v>460.44962916404774</v>
      </c>
      <c r="E226" s="73">
        <v>0.28014743766429706</v>
      </c>
      <c r="F226" s="72">
        <v>57.903725299743265</v>
      </c>
      <c r="G226" s="72">
        <v>795.19862803385001</v>
      </c>
    </row>
    <row r="227" spans="1:7" x14ac:dyDescent="0.2">
      <c r="A227" s="60">
        <v>581</v>
      </c>
      <c r="B227" s="35" t="s">
        <v>234</v>
      </c>
      <c r="C227" s="71">
        <v>8218.7561856359498</v>
      </c>
      <c r="D227" s="72">
        <v>442.9051393188854</v>
      </c>
      <c r="E227" s="73">
        <v>0.10975080379783468</v>
      </c>
      <c r="F227" s="72">
        <v>41.449696053677329</v>
      </c>
      <c r="G227" s="72">
        <v>1068.5365189296529</v>
      </c>
    </row>
    <row r="228" spans="1:7" x14ac:dyDescent="0.2">
      <c r="A228" s="60">
        <v>592</v>
      </c>
      <c r="B228" s="35" t="s">
        <v>235</v>
      </c>
      <c r="C228" s="71">
        <v>15713.3257077495</v>
      </c>
      <c r="D228" s="72">
        <v>629.42925619834716</v>
      </c>
      <c r="E228" s="73">
        <v>0</v>
      </c>
      <c r="F228" s="72">
        <v>34.650424480659517</v>
      </c>
      <c r="G228" s="72">
        <v>1816.5123966942151</v>
      </c>
    </row>
    <row r="229" spans="1:7" x14ac:dyDescent="0.2">
      <c r="A229" s="60">
        <v>593</v>
      </c>
      <c r="B229" s="35" t="s">
        <v>236</v>
      </c>
      <c r="C229" s="71">
        <v>5034.382350894286</v>
      </c>
      <c r="D229" s="72">
        <v>608.57071139854486</v>
      </c>
      <c r="E229" s="73">
        <v>0.20616057898998325</v>
      </c>
      <c r="F229" s="72">
        <v>82.611530371428771</v>
      </c>
      <c r="G229" s="72">
        <v>736.66558247057878</v>
      </c>
    </row>
    <row r="230" spans="1:7" x14ac:dyDescent="0.2">
      <c r="A230" s="60">
        <v>595</v>
      </c>
      <c r="B230" s="35" t="s">
        <v>237</v>
      </c>
      <c r="C230" s="71">
        <v>4383.1751585168158</v>
      </c>
      <c r="D230" s="72">
        <v>440.5682480893592</v>
      </c>
      <c r="E230" s="73">
        <v>0.31439388596782952</v>
      </c>
      <c r="F230" s="72">
        <v>60.134018225907575</v>
      </c>
      <c r="G230" s="72">
        <v>732.64395276939752</v>
      </c>
    </row>
    <row r="231" spans="1:7" x14ac:dyDescent="0.2">
      <c r="A231" s="60">
        <v>599</v>
      </c>
      <c r="B231" s="35" t="s">
        <v>238</v>
      </c>
      <c r="C231" s="71">
        <v>7476.913248529715</v>
      </c>
      <c r="D231" s="72">
        <v>533.42141025641024</v>
      </c>
      <c r="E231" s="73">
        <v>0.12008457577638822</v>
      </c>
      <c r="F231" s="72">
        <v>55.201624009119215</v>
      </c>
      <c r="G231" s="72">
        <v>966.31470510412873</v>
      </c>
    </row>
    <row r="232" spans="1:7" x14ac:dyDescent="0.2">
      <c r="A232" s="60">
        <v>600</v>
      </c>
      <c r="B232" s="35" t="s">
        <v>239</v>
      </c>
      <c r="C232" s="71">
        <v>9775.0451716522784</v>
      </c>
      <c r="D232" s="72">
        <v>477.57902723735407</v>
      </c>
      <c r="E232" s="73">
        <v>4.9055625157398523E-2</v>
      </c>
      <c r="F232" s="72">
        <v>39.95277215826821</v>
      </c>
      <c r="G232" s="72">
        <v>1195.3589236448497</v>
      </c>
    </row>
    <row r="233" spans="1:7" x14ac:dyDescent="0.2">
      <c r="A233" s="60">
        <v>601</v>
      </c>
      <c r="B233" s="35" t="s">
        <v>240</v>
      </c>
      <c r="C233" s="71">
        <v>4105.7192820735281</v>
      </c>
      <c r="D233" s="72">
        <v>552.47463338533544</v>
      </c>
      <c r="E233" s="73">
        <v>0.28830042923593474</v>
      </c>
      <c r="F233" s="72">
        <v>83.216570635588056</v>
      </c>
      <c r="G233" s="72">
        <v>663.89978482130141</v>
      </c>
    </row>
    <row r="234" spans="1:7" x14ac:dyDescent="0.2">
      <c r="A234" s="60">
        <v>611</v>
      </c>
      <c r="B234" s="35" t="s">
        <v>241</v>
      </c>
      <c r="C234" s="71">
        <v>26135.499058380417</v>
      </c>
      <c r="D234" s="72">
        <v>1117.3458333333333</v>
      </c>
      <c r="E234" s="73">
        <v>0</v>
      </c>
      <c r="F234" s="72">
        <v>36.230540173440602</v>
      </c>
      <c r="G234" s="72">
        <v>3083.9888888888891</v>
      </c>
    </row>
    <row r="235" spans="1:7" x14ac:dyDescent="0.2">
      <c r="A235" s="60">
        <v>621</v>
      </c>
      <c r="B235" s="35" t="s">
        <v>242</v>
      </c>
      <c r="C235" s="71">
        <v>7296.2258192356276</v>
      </c>
      <c r="D235" s="72">
        <v>983.18950205338808</v>
      </c>
      <c r="E235" s="73">
        <v>0.17674500626718717</v>
      </c>
      <c r="F235" s="72">
        <v>95.583569139706498</v>
      </c>
      <c r="G235" s="72">
        <v>1028.6176912020751</v>
      </c>
    </row>
    <row r="236" spans="1:7" x14ac:dyDescent="0.2">
      <c r="A236" s="60">
        <v>622</v>
      </c>
      <c r="B236" s="35" t="s">
        <v>243</v>
      </c>
      <c r="C236" s="71">
        <v>6640.9080969785964</v>
      </c>
      <c r="D236" s="72">
        <v>786.19337305310557</v>
      </c>
      <c r="E236" s="73">
        <v>0.24256038665002219</v>
      </c>
      <c r="F236" s="72">
        <v>76.270004566388224</v>
      </c>
      <c r="G236" s="72">
        <v>1030.8028398880899</v>
      </c>
    </row>
    <row r="237" spans="1:7" x14ac:dyDescent="0.2">
      <c r="A237" s="60">
        <v>623</v>
      </c>
      <c r="B237" s="35" t="s">
        <v>244</v>
      </c>
      <c r="C237" s="71">
        <v>8266.6721058952535</v>
      </c>
      <c r="D237" s="72">
        <v>863.16892813826564</v>
      </c>
      <c r="E237" s="73">
        <v>0.17530203875506509</v>
      </c>
      <c r="F237" s="72">
        <v>74.146252689356814</v>
      </c>
      <c r="G237" s="72">
        <v>1164.1436982049499</v>
      </c>
    </row>
    <row r="238" spans="1:7" x14ac:dyDescent="0.2">
      <c r="A238" s="60">
        <v>624</v>
      </c>
      <c r="B238" s="35" t="s">
        <v>245</v>
      </c>
      <c r="C238" s="71">
        <v>7519.1023910809627</v>
      </c>
      <c r="D238" s="72">
        <v>677.13059043348278</v>
      </c>
      <c r="E238" s="73">
        <v>0.21397142987585302</v>
      </c>
      <c r="F238" s="72">
        <v>61.402297820206122</v>
      </c>
      <c r="G238" s="72">
        <v>1102.7772810981908</v>
      </c>
    </row>
    <row r="239" spans="1:7" x14ac:dyDescent="0.2">
      <c r="A239" s="60">
        <v>625</v>
      </c>
      <c r="B239" s="35" t="s">
        <v>246</v>
      </c>
      <c r="C239" s="71">
        <v>5588.4723352380142</v>
      </c>
      <c r="D239" s="72">
        <v>1670.132298607625</v>
      </c>
      <c r="E239" s="73">
        <v>0.27822378241079737</v>
      </c>
      <c r="F239" s="72">
        <v>188.89219262551799</v>
      </c>
      <c r="G239" s="72">
        <v>884.17222299848618</v>
      </c>
    </row>
    <row r="240" spans="1:7" x14ac:dyDescent="0.2">
      <c r="A240" s="60">
        <v>627</v>
      </c>
      <c r="B240" s="35" t="s">
        <v>247</v>
      </c>
      <c r="C240" s="71">
        <v>7427.207392197125</v>
      </c>
      <c r="D240" s="72">
        <v>612.43841346153852</v>
      </c>
      <c r="E240" s="73">
        <v>0.11303224445095304</v>
      </c>
      <c r="F240" s="72">
        <v>62.475403989438909</v>
      </c>
      <c r="G240" s="72">
        <v>980.287240023398</v>
      </c>
    </row>
    <row r="241" spans="1:7" x14ac:dyDescent="0.2">
      <c r="A241" s="60">
        <v>628</v>
      </c>
      <c r="B241" s="35" t="s">
        <v>248</v>
      </c>
      <c r="C241" s="71">
        <v>8494.2902744169296</v>
      </c>
      <c r="D241" s="72">
        <v>483.62819767441863</v>
      </c>
      <c r="E241" s="73">
        <v>0.16780428459542424</v>
      </c>
      <c r="F241" s="72">
        <v>41.958710085668606</v>
      </c>
      <c r="G241" s="72">
        <v>1152.6288503316177</v>
      </c>
    </row>
    <row r="242" spans="1:7" x14ac:dyDescent="0.2">
      <c r="A242" s="60">
        <v>630</v>
      </c>
      <c r="B242" s="35" t="s">
        <v>249</v>
      </c>
      <c r="C242" s="71">
        <v>3201.5096221411245</v>
      </c>
      <c r="D242" s="72">
        <v>552.84211488250651</v>
      </c>
      <c r="E242" s="73">
        <v>0.34970843521016226</v>
      </c>
      <c r="F242" s="72">
        <v>97.487117763255711</v>
      </c>
      <c r="G242" s="72">
        <v>567.0924811061351</v>
      </c>
    </row>
    <row r="243" spans="1:7" x14ac:dyDescent="0.2">
      <c r="A243" s="60">
        <v>635</v>
      </c>
      <c r="B243" s="35" t="s">
        <v>250</v>
      </c>
      <c r="C243" s="71">
        <v>23407.678963802475</v>
      </c>
      <c r="D243" s="72">
        <v>644.20104477611926</v>
      </c>
      <c r="E243" s="73">
        <v>0.11352718060807476</v>
      </c>
      <c r="F243" s="72">
        <v>18.903309285980367</v>
      </c>
      <c r="G243" s="72">
        <v>3407.8744363236483</v>
      </c>
    </row>
    <row r="244" spans="1:7" x14ac:dyDescent="0.2">
      <c r="A244" s="60">
        <v>640</v>
      </c>
      <c r="B244" s="35" t="s">
        <v>251</v>
      </c>
      <c r="C244" s="71">
        <v>11476.605247211437</v>
      </c>
      <c r="D244" s="72">
        <v>676.93313888888895</v>
      </c>
      <c r="E244" s="73">
        <v>0.11283003372276262</v>
      </c>
      <c r="F244" s="72">
        <v>42.279098746076912</v>
      </c>
      <c r="G244" s="72">
        <v>1601.1058867514337</v>
      </c>
    </row>
    <row r="245" spans="1:7" x14ac:dyDescent="0.2">
      <c r="A245" s="60">
        <v>656</v>
      </c>
      <c r="B245" s="35" t="s">
        <v>252</v>
      </c>
      <c r="C245" s="71">
        <v>5978.9056134682269</v>
      </c>
      <c r="D245" s="72">
        <v>593.49169683869218</v>
      </c>
      <c r="E245" s="73">
        <v>0.3234631820510655</v>
      </c>
      <c r="F245" s="72">
        <v>57.85827530978252</v>
      </c>
      <c r="G245" s="72">
        <v>1025.768040372863</v>
      </c>
    </row>
    <row r="246" spans="1:7" x14ac:dyDescent="0.2">
      <c r="A246" s="60">
        <v>659</v>
      </c>
      <c r="B246" s="35" t="s">
        <v>253</v>
      </c>
      <c r="C246" s="71">
        <v>5615.4229667838854</v>
      </c>
      <c r="D246" s="72">
        <v>721.90032831737335</v>
      </c>
      <c r="E246" s="73">
        <v>0.14638907713442298</v>
      </c>
      <c r="F246" s="72">
        <v>93.531731849820744</v>
      </c>
      <c r="G246" s="72">
        <v>771.82397250645681</v>
      </c>
    </row>
    <row r="247" spans="1:7" x14ac:dyDescent="0.2">
      <c r="A247" s="60">
        <v>671</v>
      </c>
      <c r="B247" s="35" t="s">
        <v>254</v>
      </c>
      <c r="C247" s="71">
        <v>9127.4355267453248</v>
      </c>
      <c r="D247" s="72">
        <v>483.06010526315805</v>
      </c>
      <c r="E247" s="73">
        <v>5.1950438334904807E-2</v>
      </c>
      <c r="F247" s="72">
        <v>44.458161063071877</v>
      </c>
      <c r="G247" s="72">
        <v>1086.5499015531718</v>
      </c>
    </row>
    <row r="248" spans="1:7" x14ac:dyDescent="0.2">
      <c r="A248" s="60">
        <v>676</v>
      </c>
      <c r="B248" s="35" t="s">
        <v>255</v>
      </c>
      <c r="C248" s="71">
        <v>2629.5961866377302</v>
      </c>
      <c r="D248" s="72">
        <v>594.68390909090908</v>
      </c>
      <c r="E248" s="73">
        <v>0.36569083377066774</v>
      </c>
      <c r="F248" s="72">
        <v>122.30205691328896</v>
      </c>
      <c r="G248" s="72">
        <v>486.24195217954059</v>
      </c>
    </row>
    <row r="249" spans="1:7" x14ac:dyDescent="0.2">
      <c r="A249" s="60">
        <v>682</v>
      </c>
      <c r="B249" s="35" t="s">
        <v>256</v>
      </c>
      <c r="C249" s="71">
        <v>2941.3768055786154</v>
      </c>
      <c r="D249" s="72">
        <v>518.38604333868375</v>
      </c>
      <c r="E249" s="73">
        <v>0.37219423522207867</v>
      </c>
      <c r="F249" s="72">
        <v>95.37221598567578</v>
      </c>
      <c r="G249" s="72">
        <v>543.53989574546699</v>
      </c>
    </row>
    <row r="250" spans="1:7" x14ac:dyDescent="0.2">
      <c r="A250" s="60">
        <v>690</v>
      </c>
      <c r="B250" s="35" t="s">
        <v>257</v>
      </c>
      <c r="C250" s="71">
        <v>3049.5995719850862</v>
      </c>
      <c r="D250" s="72">
        <v>714.11361620057869</v>
      </c>
      <c r="E250" s="73">
        <v>0.27395946896937406</v>
      </c>
      <c r="F250" s="72">
        <v>147.38492299325219</v>
      </c>
      <c r="G250" s="72">
        <v>484.52284107328489</v>
      </c>
    </row>
    <row r="251" spans="1:7" x14ac:dyDescent="0.2">
      <c r="A251" s="60">
        <v>695</v>
      </c>
      <c r="B251" s="35" t="s">
        <v>258</v>
      </c>
      <c r="C251" s="71">
        <v>2755.6202737328917</v>
      </c>
      <c r="D251" s="72">
        <v>898.06246088193461</v>
      </c>
      <c r="E251" s="73">
        <v>0.25067100754332972</v>
      </c>
      <c r="F251" s="72">
        <v>214.58428020251887</v>
      </c>
      <c r="G251" s="72">
        <v>418.51269815028729</v>
      </c>
    </row>
    <row r="252" spans="1:7" x14ac:dyDescent="0.2">
      <c r="A252" s="60">
        <v>696</v>
      </c>
      <c r="B252" s="35" t="s">
        <v>259</v>
      </c>
      <c r="C252" s="71">
        <v>12859.632498352012</v>
      </c>
      <c r="D252" s="72">
        <v>1655.9405758157388</v>
      </c>
      <c r="E252" s="73">
        <v>0</v>
      </c>
      <c r="F252" s="72">
        <v>110.56262506848128</v>
      </c>
      <c r="G252" s="72">
        <v>1497.7399232245682</v>
      </c>
    </row>
    <row r="253" spans="1:7" x14ac:dyDescent="0.2">
      <c r="A253" s="60">
        <v>698</v>
      </c>
      <c r="B253" s="35" t="s">
        <v>260</v>
      </c>
      <c r="C253" s="71">
        <v>6441.0206291766826</v>
      </c>
      <c r="D253" s="72">
        <v>624.01364741641339</v>
      </c>
      <c r="E253" s="73">
        <v>0.13311215185117192</v>
      </c>
      <c r="F253" s="72">
        <v>72.984237069746797</v>
      </c>
      <c r="G253" s="72">
        <v>854.9978357930629</v>
      </c>
    </row>
    <row r="254" spans="1:7" x14ac:dyDescent="0.2">
      <c r="A254" s="60">
        <v>700</v>
      </c>
      <c r="B254" s="35" t="s">
        <v>261</v>
      </c>
      <c r="C254" s="71">
        <v>5181.7649363773235</v>
      </c>
      <c r="D254" s="72">
        <v>549.81582454458294</v>
      </c>
      <c r="E254" s="73">
        <v>0.22385662291986366</v>
      </c>
      <c r="F254" s="72">
        <v>70.856966487913255</v>
      </c>
      <c r="G254" s="72">
        <v>775.95168378873552</v>
      </c>
    </row>
    <row r="255" spans="1:7" x14ac:dyDescent="0.2">
      <c r="A255" s="60">
        <v>701</v>
      </c>
      <c r="B255" s="35" t="s">
        <v>262</v>
      </c>
      <c r="C255" s="71">
        <v>3659.7804816433336</v>
      </c>
      <c r="D255" s="72">
        <v>914.5682932166302</v>
      </c>
      <c r="E255" s="73">
        <v>0.20488579095717604</v>
      </c>
      <c r="F255" s="72">
        <v>171.18884628223145</v>
      </c>
      <c r="G255" s="72">
        <v>534.24525784163654</v>
      </c>
    </row>
    <row r="256" spans="1:7" x14ac:dyDescent="0.2">
      <c r="A256" s="60">
        <v>704</v>
      </c>
      <c r="B256" s="35" t="s">
        <v>263</v>
      </c>
      <c r="C256" s="71">
        <v>5533.9489686041843</v>
      </c>
      <c r="D256" s="72">
        <v>833.69805487804877</v>
      </c>
      <c r="E256" s="73">
        <v>0.24127648688625283</v>
      </c>
      <c r="F256" s="72">
        <v>98.946818620097687</v>
      </c>
      <c r="G256" s="72">
        <v>842.57186487116758</v>
      </c>
    </row>
    <row r="257" spans="1:7" x14ac:dyDescent="0.2">
      <c r="A257" s="60">
        <v>706</v>
      </c>
      <c r="B257" s="35" t="s">
        <v>264</v>
      </c>
      <c r="C257" s="71">
        <v>3240.6693359105343</v>
      </c>
      <c r="D257" s="72">
        <v>833.42964856230026</v>
      </c>
      <c r="E257" s="73">
        <v>0.23639465363262041</v>
      </c>
      <c r="F257" s="72">
        <v>169.73016553051258</v>
      </c>
      <c r="G257" s="72">
        <v>491.0321308868775</v>
      </c>
    </row>
    <row r="258" spans="1:7" x14ac:dyDescent="0.2">
      <c r="A258" s="60">
        <v>707</v>
      </c>
      <c r="B258" s="35" t="s">
        <v>265</v>
      </c>
      <c r="C258" s="71">
        <v>945.99677215633994</v>
      </c>
      <c r="D258" s="72">
        <v>554.86087999999995</v>
      </c>
      <c r="E258" s="73">
        <v>0.55080862792129082</v>
      </c>
      <c r="F258" s="72">
        <v>231.09499013455576</v>
      </c>
      <c r="G258" s="72">
        <v>240.10078265951611</v>
      </c>
    </row>
    <row r="259" spans="1:7" x14ac:dyDescent="0.2">
      <c r="A259" s="60">
        <v>709</v>
      </c>
      <c r="B259" s="35" t="s">
        <v>266</v>
      </c>
      <c r="C259" s="71">
        <v>7004.1360260069741</v>
      </c>
      <c r="D259" s="72">
        <v>831.54283215568171</v>
      </c>
      <c r="E259" s="73">
        <v>0.29264241118933071</v>
      </c>
      <c r="F259" s="72">
        <v>72.585247756219701</v>
      </c>
      <c r="G259" s="72">
        <v>1145.6085883297521</v>
      </c>
    </row>
    <row r="260" spans="1:7" x14ac:dyDescent="0.2">
      <c r="A260" s="60">
        <v>712</v>
      </c>
      <c r="B260" s="35" t="s">
        <v>267</v>
      </c>
      <c r="C260" s="71">
        <v>5895.4581687421396</v>
      </c>
      <c r="D260" s="72">
        <v>872.49211934156392</v>
      </c>
      <c r="E260" s="73">
        <v>0.11863196283424164</v>
      </c>
      <c r="F260" s="72">
        <v>112.29243279250446</v>
      </c>
      <c r="G260" s="72">
        <v>776.98211504043832</v>
      </c>
    </row>
    <row r="261" spans="1:7" x14ac:dyDescent="0.2">
      <c r="A261" s="60">
        <v>716</v>
      </c>
      <c r="B261" s="35" t="s">
        <v>268</v>
      </c>
      <c r="C261" s="71">
        <v>5288.1085962517582</v>
      </c>
      <c r="D261" s="72">
        <v>456.20047875523636</v>
      </c>
      <c r="E261" s="73">
        <v>0.30408978750142657</v>
      </c>
      <c r="F261" s="72">
        <v>52.066112871675244</v>
      </c>
      <c r="G261" s="72">
        <v>876.19461794586243</v>
      </c>
    </row>
    <row r="262" spans="1:7" x14ac:dyDescent="0.2">
      <c r="A262" s="60">
        <v>717</v>
      </c>
      <c r="B262" s="35" t="s">
        <v>269</v>
      </c>
      <c r="C262" s="71">
        <v>5363.1286570250004</v>
      </c>
      <c r="D262" s="72">
        <v>654.77784933870032</v>
      </c>
      <c r="E262" s="73">
        <v>0.17640783276688327</v>
      </c>
      <c r="F262" s="72">
        <v>87.747937018079654</v>
      </c>
      <c r="G262" s="72">
        <v>746.20312635246273</v>
      </c>
    </row>
    <row r="263" spans="1:7" x14ac:dyDescent="0.2">
      <c r="A263" s="60">
        <v>719</v>
      </c>
      <c r="B263" s="35" t="s">
        <v>270</v>
      </c>
      <c r="C263" s="71">
        <v>5960.0740490086864</v>
      </c>
      <c r="D263" s="72">
        <v>537.62045872878923</v>
      </c>
      <c r="E263" s="73">
        <v>0.1763483565148245</v>
      </c>
      <c r="F263" s="72">
        <v>63.8057785099302</v>
      </c>
      <c r="G263" s="72">
        <v>842.58898062832725</v>
      </c>
    </row>
    <row r="264" spans="1:7" x14ac:dyDescent="0.2">
      <c r="A264" s="60">
        <v>720</v>
      </c>
      <c r="B264" s="35" t="s">
        <v>271</v>
      </c>
      <c r="C264" s="71">
        <v>5227.1349677477056</v>
      </c>
      <c r="D264" s="72">
        <v>303.08701612903218</v>
      </c>
      <c r="E264" s="73">
        <v>0.37799045026422246</v>
      </c>
      <c r="F264" s="72">
        <v>31.497617534993768</v>
      </c>
      <c r="G264" s="72">
        <v>962.25378250371898</v>
      </c>
    </row>
    <row r="265" spans="1:7" x14ac:dyDescent="0.2">
      <c r="A265" s="60">
        <v>721</v>
      </c>
      <c r="B265" s="35" t="s">
        <v>272</v>
      </c>
      <c r="C265" s="71">
        <v>4358.8928190749048</v>
      </c>
      <c r="D265" s="72">
        <v>431.53435202086047</v>
      </c>
      <c r="E265" s="73">
        <v>0.32468738455734653</v>
      </c>
      <c r="F265" s="72">
        <v>58.023784499189865</v>
      </c>
      <c r="G265" s="72">
        <v>743.71976206909699</v>
      </c>
    </row>
    <row r="266" spans="1:7" x14ac:dyDescent="0.2">
      <c r="A266" s="60">
        <v>726</v>
      </c>
      <c r="B266" s="35" t="s">
        <v>273</v>
      </c>
      <c r="C266" s="71">
        <v>6380.2655550409136</v>
      </c>
      <c r="D266" s="72">
        <v>683.85291084854998</v>
      </c>
      <c r="E266" s="73">
        <v>0.23994758998002291</v>
      </c>
      <c r="F266" s="72">
        <v>70.257795648055975</v>
      </c>
      <c r="G266" s="72">
        <v>973.34808833768489</v>
      </c>
    </row>
    <row r="267" spans="1:7" x14ac:dyDescent="0.2">
      <c r="A267" s="60">
        <v>727</v>
      </c>
      <c r="B267" s="35" t="s">
        <v>274</v>
      </c>
      <c r="C267" s="71">
        <v>3182.8767582465334</v>
      </c>
      <c r="D267" s="72">
        <v>484.96267887807659</v>
      </c>
      <c r="E267" s="73">
        <v>0.42576221351043131</v>
      </c>
      <c r="F267" s="72">
        <v>75.905458021010716</v>
      </c>
      <c r="G267" s="72">
        <v>638.9035670449922</v>
      </c>
    </row>
    <row r="268" spans="1:7" x14ac:dyDescent="0.2">
      <c r="A268" s="60">
        <v>728</v>
      </c>
      <c r="B268" s="35" t="s">
        <v>275</v>
      </c>
      <c r="C268" s="71">
        <v>4114.7844608171463</v>
      </c>
      <c r="D268" s="72">
        <v>909.18514594594603</v>
      </c>
      <c r="E268" s="73">
        <v>0.22857073874332262</v>
      </c>
      <c r="F268" s="72">
        <v>147.84658906934061</v>
      </c>
      <c r="G268" s="72">
        <v>614.95172236914766</v>
      </c>
    </row>
    <row r="269" spans="1:7" x14ac:dyDescent="0.2">
      <c r="A269" s="60">
        <v>738</v>
      </c>
      <c r="B269" s="35" t="s">
        <v>276</v>
      </c>
      <c r="C269" s="71">
        <v>3258.0255424455345</v>
      </c>
      <c r="D269" s="72">
        <v>633.23744306418223</v>
      </c>
      <c r="E269" s="73">
        <v>0.3965576873791794</v>
      </c>
      <c r="F269" s="72">
        <v>100.1358573504602</v>
      </c>
      <c r="G269" s="72">
        <v>632.37831064645297</v>
      </c>
    </row>
    <row r="270" spans="1:7" x14ac:dyDescent="0.2">
      <c r="A270" s="60">
        <v>739</v>
      </c>
      <c r="B270" s="35" t="s">
        <v>277</v>
      </c>
      <c r="C270" s="71">
        <v>6278.9251429803307</v>
      </c>
      <c r="D270" s="72">
        <v>586.35352323838083</v>
      </c>
      <c r="E270" s="73">
        <v>0.28536759859042932</v>
      </c>
      <c r="F270" s="72">
        <v>56.447215034539916</v>
      </c>
      <c r="G270" s="72">
        <v>1038.7643090621789</v>
      </c>
    </row>
    <row r="271" spans="1:7" x14ac:dyDescent="0.2">
      <c r="A271" s="60">
        <v>740</v>
      </c>
      <c r="B271" s="35" t="s">
        <v>278</v>
      </c>
      <c r="C271" s="71">
        <v>4793.99141362305</v>
      </c>
      <c r="D271" s="72">
        <v>656.48977037037037</v>
      </c>
      <c r="E271" s="73">
        <v>0.3138220009385721</v>
      </c>
      <c r="F271" s="72">
        <v>79.388410755143795</v>
      </c>
      <c r="G271" s="72">
        <v>826.93401231468101</v>
      </c>
    </row>
    <row r="272" spans="1:7" x14ac:dyDescent="0.2">
      <c r="A272" s="60">
        <v>741</v>
      </c>
      <c r="B272" s="35" t="s">
        <v>279</v>
      </c>
      <c r="C272" s="71">
        <v>5972.999384425977</v>
      </c>
      <c r="D272" s="72">
        <v>591.51406896551725</v>
      </c>
      <c r="E272" s="73">
        <v>0.16574492196513718</v>
      </c>
      <c r="F272" s="72">
        <v>71.694410413355698</v>
      </c>
      <c r="G272" s="72">
        <v>825.04907363786083</v>
      </c>
    </row>
    <row r="273" spans="1:7" x14ac:dyDescent="0.2">
      <c r="A273" s="60">
        <v>742</v>
      </c>
      <c r="B273" s="35" t="s">
        <v>280</v>
      </c>
      <c r="C273" s="71">
        <v>6979.2252816917353</v>
      </c>
      <c r="D273" s="72">
        <v>1087.7855200868621</v>
      </c>
      <c r="E273" s="73">
        <v>0.1627505180254126</v>
      </c>
      <c r="F273" s="72">
        <v>113.37958834363684</v>
      </c>
      <c r="G273" s="72">
        <v>959.41918292201274</v>
      </c>
    </row>
    <row r="274" spans="1:7" x14ac:dyDescent="0.2">
      <c r="A274" s="60">
        <v>743</v>
      </c>
      <c r="B274" s="35" t="s">
        <v>281</v>
      </c>
      <c r="C274" s="71">
        <v>6277.4024602051959</v>
      </c>
      <c r="D274" s="72">
        <v>548.87770299145302</v>
      </c>
      <c r="E274" s="73">
        <v>0.30941937796030683</v>
      </c>
      <c r="F274" s="72">
        <v>50.59882770778637</v>
      </c>
      <c r="G274" s="72">
        <v>1084.7636750821191</v>
      </c>
    </row>
    <row r="275" spans="1:7" x14ac:dyDescent="0.2">
      <c r="A275" s="60">
        <v>745</v>
      </c>
      <c r="B275" s="35" t="s">
        <v>282</v>
      </c>
      <c r="C275" s="71">
        <v>3989.3460322153178</v>
      </c>
      <c r="D275" s="72">
        <v>415.74429625076829</v>
      </c>
      <c r="E275" s="73">
        <v>0.38039397561828708</v>
      </c>
      <c r="F275" s="72">
        <v>55.464869235635241</v>
      </c>
      <c r="G275" s="72">
        <v>749.56328569807499</v>
      </c>
    </row>
    <row r="276" spans="1:7" x14ac:dyDescent="0.2">
      <c r="A276" s="60">
        <v>748</v>
      </c>
      <c r="B276" s="35" t="s">
        <v>283</v>
      </c>
      <c r="C276" s="71">
        <v>3395.4635850577806</v>
      </c>
      <c r="D276" s="72">
        <v>376.76156393001344</v>
      </c>
      <c r="E276" s="73">
        <v>0.44938492288474363</v>
      </c>
      <c r="F276" s="72">
        <v>53.041637204021718</v>
      </c>
      <c r="G276" s="72">
        <v>710.31284815138895</v>
      </c>
    </row>
    <row r="277" spans="1:7" x14ac:dyDescent="0.2">
      <c r="A277" s="60">
        <v>750</v>
      </c>
      <c r="B277" s="35" t="s">
        <v>284</v>
      </c>
      <c r="C277" s="71">
        <v>5423.8178568147077</v>
      </c>
      <c r="D277" s="72">
        <v>519.29514087988139</v>
      </c>
      <c r="E277" s="73">
        <v>0.2290777394777877</v>
      </c>
      <c r="F277" s="72">
        <v>62.362361869056457</v>
      </c>
      <c r="G277" s="72">
        <v>832.70601900911993</v>
      </c>
    </row>
    <row r="278" spans="1:7" x14ac:dyDescent="0.2">
      <c r="A278" s="60">
        <v>756</v>
      </c>
      <c r="B278" s="35" t="s">
        <v>285</v>
      </c>
      <c r="C278" s="71">
        <v>7578.0914250962905</v>
      </c>
      <c r="D278" s="72">
        <v>518.73016105417275</v>
      </c>
      <c r="E278" s="73">
        <v>0.12054278849098499</v>
      </c>
      <c r="F278" s="72">
        <v>52.093792988606367</v>
      </c>
      <c r="G278" s="72">
        <v>995.761934953798</v>
      </c>
    </row>
    <row r="279" spans="1:7" x14ac:dyDescent="0.2">
      <c r="A279" s="60">
        <v>761</v>
      </c>
      <c r="B279" s="35" t="s">
        <v>286</v>
      </c>
      <c r="C279" s="71">
        <v>4525.0833402259086</v>
      </c>
      <c r="D279" s="72">
        <v>565.70138052729919</v>
      </c>
      <c r="E279" s="73">
        <v>0.26574065373715738</v>
      </c>
      <c r="F279" s="72">
        <v>79.504501869792264</v>
      </c>
      <c r="G279" s="72">
        <v>711.53377132501396</v>
      </c>
    </row>
    <row r="280" spans="1:7" x14ac:dyDescent="0.2">
      <c r="A280" s="60">
        <v>763</v>
      </c>
      <c r="B280" s="35" t="s">
        <v>287</v>
      </c>
      <c r="C280" s="71">
        <v>3596.3865528595097</v>
      </c>
      <c r="D280" s="72">
        <v>327.24469461077842</v>
      </c>
      <c r="E280" s="73">
        <v>0.43039891188018325</v>
      </c>
      <c r="F280" s="72">
        <v>45.380572231633401</v>
      </c>
      <c r="G280" s="72">
        <v>721.11187346964789</v>
      </c>
    </row>
    <row r="281" spans="1:7" x14ac:dyDescent="0.2">
      <c r="A281" s="60">
        <v>768</v>
      </c>
      <c r="B281" s="35" t="s">
        <v>288</v>
      </c>
      <c r="C281" s="71">
        <v>5879.6997662851318</v>
      </c>
      <c r="D281" s="72">
        <v>482.29625429553272</v>
      </c>
      <c r="E281" s="73">
        <v>0.21346577915030049</v>
      </c>
      <c r="F281" s="72">
        <v>56.254994799446166</v>
      </c>
      <c r="G281" s="72">
        <v>857.33943450703316</v>
      </c>
    </row>
    <row r="282" spans="1:7" x14ac:dyDescent="0.2">
      <c r="A282" s="60">
        <v>769</v>
      </c>
      <c r="B282" s="35" t="s">
        <v>289</v>
      </c>
      <c r="C282" s="71">
        <v>5612.9048372325369</v>
      </c>
      <c r="D282" s="72">
        <v>406.18613247863243</v>
      </c>
      <c r="E282" s="73">
        <v>0.25150728495856628</v>
      </c>
      <c r="F282" s="72">
        <v>46.900682555269107</v>
      </c>
      <c r="G282" s="72">
        <v>866.0559086746149</v>
      </c>
    </row>
    <row r="283" spans="1:7" x14ac:dyDescent="0.2">
      <c r="A283" s="60">
        <v>771</v>
      </c>
      <c r="B283" s="35" t="s">
        <v>290</v>
      </c>
      <c r="C283" s="71">
        <v>20102.693121390588</v>
      </c>
      <c r="D283" s="72">
        <v>604.01833333333332</v>
      </c>
      <c r="E283" s="73">
        <v>0</v>
      </c>
      <c r="F283" s="72">
        <v>25.770459303251645</v>
      </c>
      <c r="G283" s="72">
        <v>2343.8399999999997</v>
      </c>
    </row>
    <row r="284" spans="1:7" x14ac:dyDescent="0.2">
      <c r="A284" s="60">
        <v>775</v>
      </c>
      <c r="B284" s="35" t="s">
        <v>291</v>
      </c>
      <c r="C284" s="71">
        <v>9181.2138263665602</v>
      </c>
      <c r="D284" s="72">
        <v>658.75378927911265</v>
      </c>
      <c r="E284" s="73">
        <v>0.14647135211335585</v>
      </c>
      <c r="F284" s="72">
        <v>53.265745182520917</v>
      </c>
      <c r="G284" s="72">
        <v>1236.7306362124862</v>
      </c>
    </row>
    <row r="285" spans="1:7" x14ac:dyDescent="0.2">
      <c r="A285" s="60">
        <v>777</v>
      </c>
      <c r="B285" s="35" t="s">
        <v>292</v>
      </c>
      <c r="C285" s="71">
        <v>9415.25461548163</v>
      </c>
      <c r="D285" s="72">
        <v>468.36204778156997</v>
      </c>
      <c r="E285" s="73">
        <v>4.1586873665015719E-2</v>
      </c>
      <c r="F285" s="72">
        <v>40.656452853705154</v>
      </c>
      <c r="G285" s="72">
        <v>1151.9992889367047</v>
      </c>
    </row>
    <row r="286" spans="1:7" x14ac:dyDescent="0.2">
      <c r="A286" s="60">
        <v>786</v>
      </c>
      <c r="B286" s="35" t="s">
        <v>293</v>
      </c>
      <c r="C286" s="71">
        <v>2694.7958725886051</v>
      </c>
      <c r="D286" s="72">
        <v>530.7337</v>
      </c>
      <c r="E286" s="73">
        <v>0.41079909755118249</v>
      </c>
      <c r="F286" s="72">
        <v>99.161896200036949</v>
      </c>
      <c r="G286" s="72">
        <v>535.21939407992306</v>
      </c>
    </row>
    <row r="287" spans="1:7" x14ac:dyDescent="0.2">
      <c r="A287" s="60">
        <v>787</v>
      </c>
      <c r="B287" s="35" t="s">
        <v>294</v>
      </c>
      <c r="C287" s="71">
        <v>3538.5349512104867</v>
      </c>
      <c r="D287" s="72">
        <v>460.16900462962963</v>
      </c>
      <c r="E287" s="73">
        <v>0.40566199988621332</v>
      </c>
      <c r="F287" s="72">
        <v>65.032414313156721</v>
      </c>
      <c r="G287" s="72">
        <v>707.59944789030044</v>
      </c>
    </row>
    <row r="288" spans="1:7" x14ac:dyDescent="0.2">
      <c r="A288" s="60">
        <v>801</v>
      </c>
      <c r="B288" s="35" t="s">
        <v>295</v>
      </c>
      <c r="C288" s="71">
        <v>10202.967208969063</v>
      </c>
      <c r="D288" s="72">
        <v>483.11138888888894</v>
      </c>
      <c r="E288" s="73">
        <v>0</v>
      </c>
      <c r="F288" s="72">
        <v>43.107219397576628</v>
      </c>
      <c r="G288" s="72">
        <v>1120.7203703703703</v>
      </c>
    </row>
    <row r="289" spans="1:7" x14ac:dyDescent="0.2">
      <c r="A289" s="60">
        <v>803</v>
      </c>
      <c r="B289" s="35" t="s">
        <v>296</v>
      </c>
      <c r="C289" s="71">
        <v>13890.345693946865</v>
      </c>
      <c r="D289" s="72">
        <v>547.6780886426593</v>
      </c>
      <c r="E289" s="73">
        <v>0</v>
      </c>
      <c r="F289" s="72">
        <v>33.112538737852759</v>
      </c>
      <c r="G289" s="72">
        <v>1653.990027700831</v>
      </c>
    </row>
    <row r="290" spans="1:7" x14ac:dyDescent="0.2">
      <c r="A290" s="60">
        <v>811</v>
      </c>
      <c r="B290" s="35" t="s">
        <v>297</v>
      </c>
      <c r="C290" s="71">
        <v>7828.318797761427</v>
      </c>
      <c r="D290" s="72">
        <v>454.99384873949572</v>
      </c>
      <c r="E290" s="73">
        <v>0.12196777690299554</v>
      </c>
      <c r="F290" s="72">
        <v>43.129998713550521</v>
      </c>
      <c r="G290" s="72">
        <v>1054.9359200341139</v>
      </c>
    </row>
    <row r="291" spans="1:7" x14ac:dyDescent="0.2">
      <c r="A291" s="60">
        <v>813</v>
      </c>
      <c r="B291" s="35" t="s">
        <v>298</v>
      </c>
      <c r="C291" s="71">
        <v>7335.033521849442</v>
      </c>
      <c r="D291" s="72">
        <v>547.85244042728027</v>
      </c>
      <c r="E291" s="73">
        <v>0.12657969096693411</v>
      </c>
      <c r="F291" s="72">
        <v>56.265501268179079</v>
      </c>
      <c r="G291" s="72">
        <v>973.69156602025657</v>
      </c>
    </row>
    <row r="292" spans="1:7" x14ac:dyDescent="0.2">
      <c r="A292" s="60">
        <v>815</v>
      </c>
      <c r="B292" s="35" t="s">
        <v>299</v>
      </c>
      <c r="C292" s="71">
        <v>0</v>
      </c>
      <c r="D292" s="72">
        <v>0</v>
      </c>
      <c r="E292" s="73" t="s">
        <v>60</v>
      </c>
      <c r="F292" s="72">
        <v>0</v>
      </c>
      <c r="G292" s="74">
        <v>0</v>
      </c>
    </row>
    <row r="293" spans="1:7" x14ac:dyDescent="0.2">
      <c r="A293" s="60">
        <v>818</v>
      </c>
      <c r="B293" s="35" t="s">
        <v>300</v>
      </c>
      <c r="C293" s="71">
        <v>2372.1106425559287</v>
      </c>
      <c r="D293" s="72">
        <v>504.75016632016633</v>
      </c>
      <c r="E293" s="73">
        <v>0.48400808238307141</v>
      </c>
      <c r="F293" s="72">
        <v>94.367131992696216</v>
      </c>
      <c r="G293" s="72">
        <v>534.87920599222275</v>
      </c>
    </row>
    <row r="294" spans="1:7" x14ac:dyDescent="0.2">
      <c r="A294" s="60">
        <v>820</v>
      </c>
      <c r="B294" s="35" t="s">
        <v>301</v>
      </c>
      <c r="C294" s="71">
        <v>4448.8926891834117</v>
      </c>
      <c r="D294" s="72">
        <v>531.81108000000006</v>
      </c>
      <c r="E294" s="73">
        <v>0.33046912072610446</v>
      </c>
      <c r="F294" s="72">
        <v>68.434616316034266</v>
      </c>
      <c r="G294" s="72">
        <v>777.10829493669053</v>
      </c>
    </row>
    <row r="295" spans="1:7" x14ac:dyDescent="0.2">
      <c r="A295" s="60">
        <v>821</v>
      </c>
      <c r="B295" s="35" t="s">
        <v>302</v>
      </c>
      <c r="C295" s="71">
        <v>3373.8444779280012</v>
      </c>
      <c r="D295" s="72">
        <v>532.28649082568813</v>
      </c>
      <c r="E295" s="73">
        <v>0.32025019205917554</v>
      </c>
      <c r="F295" s="72">
        <v>95.206883076714178</v>
      </c>
      <c r="G295" s="72">
        <v>559.0840426913162</v>
      </c>
    </row>
    <row r="296" spans="1:7" x14ac:dyDescent="0.2">
      <c r="A296" s="60">
        <v>829</v>
      </c>
      <c r="B296" s="35" t="s">
        <v>303</v>
      </c>
      <c r="C296" s="71">
        <v>4748.6247180261598</v>
      </c>
      <c r="D296" s="72">
        <v>498.5128704720089</v>
      </c>
      <c r="E296" s="73">
        <v>0.28721726623900973</v>
      </c>
      <c r="F296" s="72">
        <v>63.939288594229701</v>
      </c>
      <c r="G296" s="72">
        <v>779.66596349806423</v>
      </c>
    </row>
    <row r="297" spans="1:7" x14ac:dyDescent="0.2">
      <c r="A297" s="60">
        <v>831</v>
      </c>
      <c r="B297" s="35" t="s">
        <v>304</v>
      </c>
      <c r="C297" s="71">
        <v>6251.5091138392909</v>
      </c>
      <c r="D297" s="72">
        <v>533.63001309090907</v>
      </c>
      <c r="E297" s="73">
        <v>0.31008595253224874</v>
      </c>
      <c r="F297" s="72">
        <v>50.959585645784564</v>
      </c>
      <c r="G297" s="72">
        <v>1047.1631712238059</v>
      </c>
    </row>
    <row r="298" spans="1:7" x14ac:dyDescent="0.2">
      <c r="A298" s="60">
        <v>832</v>
      </c>
      <c r="B298" s="35" t="s">
        <v>305</v>
      </c>
      <c r="C298" s="71">
        <v>5599.3267422033277</v>
      </c>
      <c r="D298" s="72">
        <v>871.93391846668681</v>
      </c>
      <c r="E298" s="73">
        <v>0.21073220161908104</v>
      </c>
      <c r="F298" s="72">
        <v>104.53120305327734</v>
      </c>
      <c r="G298" s="72">
        <v>834.13745656622802</v>
      </c>
    </row>
    <row r="299" spans="1:7" x14ac:dyDescent="0.2">
      <c r="A299" s="60">
        <v>833</v>
      </c>
      <c r="B299" s="35" t="s">
        <v>306</v>
      </c>
      <c r="C299" s="71">
        <v>4592.7511439742866</v>
      </c>
      <c r="D299" s="72">
        <v>775.82534134226637</v>
      </c>
      <c r="E299" s="73">
        <v>0.31757463333365482</v>
      </c>
      <c r="F299" s="72">
        <v>99.630576873833519</v>
      </c>
      <c r="G299" s="72">
        <v>778.70204678702942</v>
      </c>
    </row>
    <row r="300" spans="1:7" x14ac:dyDescent="0.2">
      <c r="A300" s="60">
        <v>834</v>
      </c>
      <c r="B300" s="35" t="s">
        <v>307</v>
      </c>
      <c r="C300" s="71">
        <v>8551.1707466489243</v>
      </c>
      <c r="D300" s="72">
        <v>977.90511011129524</v>
      </c>
      <c r="E300" s="73">
        <v>0.11643278020880041</v>
      </c>
      <c r="F300" s="72">
        <v>86.557765640385284</v>
      </c>
      <c r="G300" s="72">
        <v>1129.771665056744</v>
      </c>
    </row>
    <row r="301" spans="1:7" x14ac:dyDescent="0.2">
      <c r="A301" s="60">
        <v>836</v>
      </c>
      <c r="B301" s="35" t="s">
        <v>308</v>
      </c>
      <c r="C301" s="71">
        <v>9583.3346709470316</v>
      </c>
      <c r="D301" s="72">
        <v>1455.2914622641511</v>
      </c>
      <c r="E301" s="73">
        <v>7.708923898049469E-2</v>
      </c>
      <c r="F301" s="72">
        <v>119.22871390484836</v>
      </c>
      <c r="G301" s="72">
        <v>1220.5880736292775</v>
      </c>
    </row>
    <row r="302" spans="1:7" x14ac:dyDescent="0.2">
      <c r="A302" s="60">
        <v>837</v>
      </c>
      <c r="B302" s="35" t="s">
        <v>309</v>
      </c>
      <c r="C302" s="71">
        <v>6992.2886136687848</v>
      </c>
      <c r="D302" s="72">
        <v>697.97058712121225</v>
      </c>
      <c r="E302" s="73">
        <v>0.2594898841872379</v>
      </c>
      <c r="F302" s="72">
        <v>63.267693744359171</v>
      </c>
      <c r="G302" s="72">
        <v>1103.2021965925412</v>
      </c>
    </row>
    <row r="303" spans="1:7" x14ac:dyDescent="0.2">
      <c r="A303" s="60">
        <v>840</v>
      </c>
      <c r="B303" s="35" t="s">
        <v>310</v>
      </c>
      <c r="C303" s="71">
        <v>5657.8920173546467</v>
      </c>
      <c r="D303" s="72">
        <v>908.93123432979746</v>
      </c>
      <c r="E303" s="73">
        <v>0.24059749341181053</v>
      </c>
      <c r="F303" s="72">
        <v>103.75935602213698</v>
      </c>
      <c r="G303" s="72">
        <v>875.99930182284243</v>
      </c>
    </row>
    <row r="304" spans="1:7" x14ac:dyDescent="0.2">
      <c r="A304" s="60">
        <v>846</v>
      </c>
      <c r="B304" s="35" t="s">
        <v>311</v>
      </c>
      <c r="C304" s="71">
        <v>8517.7095133649891</v>
      </c>
      <c r="D304" s="72">
        <v>467.38440967283071</v>
      </c>
      <c r="E304" s="73">
        <v>8.9554094874524023E-2</v>
      </c>
      <c r="F304" s="72">
        <v>42.325091523912938</v>
      </c>
      <c r="G304" s="72">
        <v>1104.2726497325273</v>
      </c>
    </row>
    <row r="305" spans="1:7" x14ac:dyDescent="0.2">
      <c r="A305" s="60">
        <v>850</v>
      </c>
      <c r="B305" s="35" t="s">
        <v>312</v>
      </c>
      <c r="C305" s="71">
        <v>7533.3723696248853</v>
      </c>
      <c r="D305" s="72">
        <v>412.82354166666664</v>
      </c>
      <c r="E305" s="73">
        <v>0.15637381387225072</v>
      </c>
      <c r="F305" s="72">
        <v>40.604684784118874</v>
      </c>
      <c r="G305" s="72">
        <v>1016.6894383283783</v>
      </c>
    </row>
    <row r="306" spans="1:7" x14ac:dyDescent="0.2">
      <c r="A306" s="60">
        <v>852</v>
      </c>
      <c r="B306" s="35" t="s">
        <v>313</v>
      </c>
      <c r="C306" s="71">
        <v>35264.4335248114</v>
      </c>
      <c r="D306" s="72">
        <v>613.68491803278687</v>
      </c>
      <c r="E306" s="73">
        <v>0</v>
      </c>
      <c r="F306" s="72">
        <v>14.693680012277841</v>
      </c>
      <c r="G306" s="72">
        <v>4176.5229508196717</v>
      </c>
    </row>
    <row r="307" spans="1:7" x14ac:dyDescent="0.2">
      <c r="A307" s="60">
        <v>857</v>
      </c>
      <c r="B307" s="35" t="s">
        <v>314</v>
      </c>
      <c r="C307" s="71">
        <v>4676.0174500106532</v>
      </c>
      <c r="D307" s="72">
        <v>423.05964751958231</v>
      </c>
      <c r="E307" s="73">
        <v>0.34667327277548426</v>
      </c>
      <c r="F307" s="72">
        <v>50.777437320694432</v>
      </c>
      <c r="G307" s="72">
        <v>833.16462949413881</v>
      </c>
    </row>
    <row r="308" spans="1:7" x14ac:dyDescent="0.2">
      <c r="A308" s="60">
        <v>858</v>
      </c>
      <c r="B308" s="35" t="s">
        <v>315</v>
      </c>
      <c r="C308" s="71">
        <v>4303.3863342599643</v>
      </c>
      <c r="D308" s="72">
        <v>360.07990797546017</v>
      </c>
      <c r="E308" s="73">
        <v>0.436410743298146</v>
      </c>
      <c r="F308" s="72">
        <v>40.830857255947372</v>
      </c>
      <c r="G308" s="72">
        <v>881.88182216774646</v>
      </c>
    </row>
    <row r="309" spans="1:7" x14ac:dyDescent="0.2">
      <c r="A309" s="60">
        <v>861</v>
      </c>
      <c r="B309" s="35" t="s">
        <v>316</v>
      </c>
      <c r="C309" s="71">
        <v>7741.8230752693435</v>
      </c>
      <c r="D309" s="72">
        <v>854.58014719999994</v>
      </c>
      <c r="E309" s="73">
        <v>6.8848195213491614E-2</v>
      </c>
      <c r="F309" s="72">
        <v>87.410121641997364</v>
      </c>
      <c r="G309" s="72">
        <v>977.66726684133278</v>
      </c>
    </row>
    <row r="310" spans="1:7" x14ac:dyDescent="0.2">
      <c r="A310" s="60">
        <v>876</v>
      </c>
      <c r="B310" s="35" t="s">
        <v>317</v>
      </c>
      <c r="C310" s="71">
        <v>8302.3063551734613</v>
      </c>
      <c r="D310" s="72">
        <v>624.42615105740185</v>
      </c>
      <c r="E310" s="73">
        <v>0.18630775124835344</v>
      </c>
      <c r="F310" s="72">
        <v>53.029896687922808</v>
      </c>
      <c r="G310" s="72">
        <v>1177.4983359520868</v>
      </c>
    </row>
    <row r="311" spans="1:7" x14ac:dyDescent="0.2">
      <c r="A311" s="60">
        <v>877</v>
      </c>
      <c r="B311" s="35" t="s">
        <v>318</v>
      </c>
      <c r="C311" s="71">
        <v>4302.6582395578753</v>
      </c>
      <c r="D311" s="72">
        <v>578.8736716469175</v>
      </c>
      <c r="E311" s="73">
        <v>0.37691910361472591</v>
      </c>
      <c r="F311" s="72">
        <v>72.831974613337863</v>
      </c>
      <c r="G311" s="72">
        <v>794.80705379764242</v>
      </c>
    </row>
    <row r="312" spans="1:7" x14ac:dyDescent="0.2">
      <c r="A312" s="60">
        <v>879</v>
      </c>
      <c r="B312" s="35" t="s">
        <v>319</v>
      </c>
      <c r="C312" s="71">
        <v>4772.718794647687</v>
      </c>
      <c r="D312" s="72">
        <v>541.39081010452969</v>
      </c>
      <c r="E312" s="73">
        <v>0.27202402381336038</v>
      </c>
      <c r="F312" s="72">
        <v>70.726819612678341</v>
      </c>
      <c r="G312" s="72">
        <v>765.46748895164671</v>
      </c>
    </row>
    <row r="313" spans="1:7" x14ac:dyDescent="0.2">
      <c r="A313" s="60">
        <v>881</v>
      </c>
      <c r="B313" s="35" t="s">
        <v>320</v>
      </c>
      <c r="C313" s="71">
        <v>4794.2425711332853</v>
      </c>
      <c r="D313" s="72">
        <v>430.06057297297298</v>
      </c>
      <c r="E313" s="73">
        <v>0.34277587496599787</v>
      </c>
      <c r="F313" s="72">
        <v>49.876698841503647</v>
      </c>
      <c r="G313" s="72">
        <v>862.24746818069048</v>
      </c>
    </row>
    <row r="314" spans="1:7" x14ac:dyDescent="0.2">
      <c r="A314" s="60">
        <v>882</v>
      </c>
      <c r="B314" s="35" t="s">
        <v>321</v>
      </c>
      <c r="C314" s="71">
        <v>5347.9613504196577</v>
      </c>
      <c r="D314" s="72">
        <v>606.60822613065318</v>
      </c>
      <c r="E314" s="73">
        <v>0.18388183487033186</v>
      </c>
      <c r="F314" s="72">
        <v>80.486678237505458</v>
      </c>
      <c r="G314" s="72">
        <v>753.6753154859158</v>
      </c>
    </row>
    <row r="315" spans="1:7" x14ac:dyDescent="0.2">
      <c r="A315" s="60">
        <v>883</v>
      </c>
      <c r="B315" s="35" t="s">
        <v>322</v>
      </c>
      <c r="C315" s="71">
        <v>5474.1929607630991</v>
      </c>
      <c r="D315" s="72">
        <v>570.8957805642633</v>
      </c>
      <c r="E315" s="73">
        <v>0.30932980130867749</v>
      </c>
      <c r="F315" s="72">
        <v>63.418419335454921</v>
      </c>
      <c r="G315" s="72">
        <v>900.20499808499062</v>
      </c>
    </row>
    <row r="316" spans="1:7" x14ac:dyDescent="0.2">
      <c r="A316" s="60">
        <v>885</v>
      </c>
      <c r="B316" s="35" t="s">
        <v>323</v>
      </c>
      <c r="C316" s="71">
        <v>2654.9004154428635</v>
      </c>
      <c r="D316" s="72">
        <v>332.99755250978995</v>
      </c>
      <c r="E316" s="73">
        <v>0.51972739181953631</v>
      </c>
      <c r="F316" s="72">
        <v>52.816012586240454</v>
      </c>
      <c r="G316" s="72">
        <v>630.485976134711</v>
      </c>
    </row>
    <row r="317" spans="1:7" x14ac:dyDescent="0.2">
      <c r="A317" s="60">
        <v>891</v>
      </c>
      <c r="B317" s="35" t="s">
        <v>324</v>
      </c>
      <c r="C317" s="71">
        <v>9867.2674007142978</v>
      </c>
      <c r="D317" s="72">
        <v>654.58282732447822</v>
      </c>
      <c r="E317" s="73">
        <v>0.12553221680508886</v>
      </c>
      <c r="F317" s="72">
        <v>50.316627171530548</v>
      </c>
      <c r="G317" s="72">
        <v>1300.9274749139886</v>
      </c>
    </row>
    <row r="318" spans="1:7" x14ac:dyDescent="0.2">
      <c r="A318" s="60">
        <v>911</v>
      </c>
      <c r="B318" s="35" t="s">
        <v>325</v>
      </c>
      <c r="C318" s="71">
        <v>3397.1990869979309</v>
      </c>
      <c r="D318" s="72">
        <v>501.18799469294925</v>
      </c>
      <c r="E318" s="73">
        <v>0.36103379481381281</v>
      </c>
      <c r="F318" s="72">
        <v>81.669389063741122</v>
      </c>
      <c r="G318" s="72">
        <v>613.67912805345372</v>
      </c>
    </row>
    <row r="319" spans="1:7" x14ac:dyDescent="0.2">
      <c r="A319" s="60">
        <v>912</v>
      </c>
      <c r="B319" s="35" t="s">
        <v>326</v>
      </c>
      <c r="C319" s="71">
        <v>3332.2726347520133</v>
      </c>
      <c r="D319" s="72">
        <v>431.70437049362175</v>
      </c>
      <c r="E319" s="73">
        <v>0.42165741232965631</v>
      </c>
      <c r="F319" s="72">
        <v>65.469524037512002</v>
      </c>
      <c r="G319" s="72">
        <v>659.39744765254216</v>
      </c>
    </row>
    <row r="320" spans="1:7" x14ac:dyDescent="0.2">
      <c r="A320" s="60">
        <v>914</v>
      </c>
      <c r="B320" s="35" t="s">
        <v>327</v>
      </c>
      <c r="C320" s="71">
        <v>6452.3464951462092</v>
      </c>
      <c r="D320" s="72">
        <v>395.43261168384873</v>
      </c>
      <c r="E320" s="73">
        <v>0.21181377844561733</v>
      </c>
      <c r="F320" s="72">
        <v>41.857190260228428</v>
      </c>
      <c r="G320" s="72">
        <v>944.71848020715845</v>
      </c>
    </row>
    <row r="321" spans="1:7" x14ac:dyDescent="0.2">
      <c r="A321" s="60">
        <v>2071</v>
      </c>
      <c r="B321" s="35" t="s">
        <v>328</v>
      </c>
      <c r="C321" s="71">
        <v>8736.8105333824205</v>
      </c>
      <c r="D321" s="72">
        <v>693.85290362953685</v>
      </c>
      <c r="E321" s="73">
        <v>0.13625570171039092</v>
      </c>
      <c r="F321" s="72">
        <v>59.345904728761205</v>
      </c>
      <c r="G321" s="72">
        <v>1169.1672859328241</v>
      </c>
    </row>
    <row r="322" spans="1:7" x14ac:dyDescent="0.2">
      <c r="A322" s="60">
        <v>2125</v>
      </c>
      <c r="B322" s="35" t="s">
        <v>329</v>
      </c>
      <c r="C322" s="71">
        <v>6479.7049756504384</v>
      </c>
      <c r="D322" s="72">
        <v>556.84400679117152</v>
      </c>
      <c r="E322" s="73">
        <v>0.14443096602633712</v>
      </c>
      <c r="F322" s="72">
        <v>64.494407226964825</v>
      </c>
      <c r="G322" s="72">
        <v>863.39890656186617</v>
      </c>
    </row>
    <row r="323" spans="1:7" x14ac:dyDescent="0.2">
      <c r="A323" s="60">
        <v>2134</v>
      </c>
      <c r="B323" s="35" t="s">
        <v>330</v>
      </c>
      <c r="C323" s="71">
        <v>13377.016134513176</v>
      </c>
      <c r="D323" s="72">
        <v>660.49214285714288</v>
      </c>
      <c r="E323" s="73">
        <v>0</v>
      </c>
      <c r="F323" s="72">
        <v>42.281861702327639</v>
      </c>
      <c r="G323" s="72">
        <v>1562.1169841269843</v>
      </c>
    </row>
    <row r="324" spans="1:7" x14ac:dyDescent="0.2">
      <c r="A324" s="60">
        <v>2135</v>
      </c>
      <c r="B324" s="35" t="s">
        <v>331</v>
      </c>
      <c r="C324" s="71">
        <v>7175.5491631799159</v>
      </c>
      <c r="D324" s="72">
        <v>517.21498095238098</v>
      </c>
      <c r="E324" s="73">
        <v>0.28796891733681412</v>
      </c>
      <c r="F324" s="72">
        <v>44.038887653839566</v>
      </c>
      <c r="G324" s="72">
        <v>1174.4506015180589</v>
      </c>
    </row>
    <row r="325" spans="1:7" x14ac:dyDescent="0.2">
      <c r="A325" s="60">
        <v>2137</v>
      </c>
      <c r="B325" s="35" t="s">
        <v>332</v>
      </c>
      <c r="C325" s="71">
        <v>7486.8075220630681</v>
      </c>
      <c r="D325" s="72">
        <v>553.25974763406941</v>
      </c>
      <c r="E325" s="73">
        <v>0.11789175642338663</v>
      </c>
      <c r="F325" s="72">
        <v>56.811260672967762</v>
      </c>
      <c r="G325" s="72">
        <v>973.85578330833346</v>
      </c>
    </row>
    <row r="326" spans="1:7" x14ac:dyDescent="0.2">
      <c r="A326" s="60">
        <v>2142</v>
      </c>
      <c r="B326" s="35" t="s">
        <v>333</v>
      </c>
      <c r="C326" s="71">
        <v>17636.05533672783</v>
      </c>
      <c r="D326" s="72">
        <v>1103.5484682585904</v>
      </c>
      <c r="E326" s="73">
        <v>0</v>
      </c>
      <c r="F326" s="72">
        <v>54.32473858269401</v>
      </c>
      <c r="G326" s="72">
        <v>2031.3921374490387</v>
      </c>
    </row>
    <row r="327" spans="1:7" x14ac:dyDescent="0.2">
      <c r="A327" s="60">
        <v>2143</v>
      </c>
      <c r="B327" s="35" t="s">
        <v>334</v>
      </c>
      <c r="C327" s="71">
        <v>8352.1284242472648</v>
      </c>
      <c r="D327" s="72">
        <v>500.5449302325581</v>
      </c>
      <c r="E327" s="73">
        <v>0.24085903214691784</v>
      </c>
      <c r="F327" s="72">
        <v>39.060498484370363</v>
      </c>
      <c r="G327" s="72">
        <v>1281.4606819030887</v>
      </c>
    </row>
    <row r="328" spans="1:7" x14ac:dyDescent="0.2">
      <c r="A328" s="60">
        <v>2144</v>
      </c>
      <c r="B328" s="35" t="s">
        <v>335</v>
      </c>
      <c r="C328" s="71">
        <v>4974.1236981978345</v>
      </c>
      <c r="D328" s="72">
        <v>694.85755643685184</v>
      </c>
      <c r="E328" s="73">
        <v>0.2109230432210249</v>
      </c>
      <c r="F328" s="72">
        <v>94.006287119642579</v>
      </c>
      <c r="G328" s="72">
        <v>739.16072821012585</v>
      </c>
    </row>
    <row r="329" spans="1:7" x14ac:dyDescent="0.2">
      <c r="A329" s="60">
        <v>2149</v>
      </c>
      <c r="B329" s="35" t="s">
        <v>336</v>
      </c>
      <c r="C329" s="71">
        <v>10927.050690852888</v>
      </c>
      <c r="D329" s="72">
        <v>652.46125853658543</v>
      </c>
      <c r="E329" s="73">
        <v>0</v>
      </c>
      <c r="F329" s="72">
        <v>51.97609608508013</v>
      </c>
      <c r="G329" s="72">
        <v>1255.3102439024392</v>
      </c>
    </row>
    <row r="330" spans="1:7" x14ac:dyDescent="0.2">
      <c r="A330" s="60">
        <v>2154</v>
      </c>
      <c r="B330" s="35" t="s">
        <v>337</v>
      </c>
      <c r="C330" s="71">
        <v>3433.7049468255327</v>
      </c>
      <c r="D330" s="72">
        <v>654.4388651877133</v>
      </c>
      <c r="E330" s="73">
        <v>0.29484414226371014</v>
      </c>
      <c r="F330" s="72">
        <v>117.22486824951477</v>
      </c>
      <c r="G330" s="72">
        <v>558.27647747466949</v>
      </c>
    </row>
    <row r="331" spans="1:7" x14ac:dyDescent="0.2">
      <c r="A331" s="60">
        <v>2155</v>
      </c>
      <c r="B331" s="35" t="s">
        <v>338</v>
      </c>
      <c r="C331" s="71">
        <v>3749.7776511880038</v>
      </c>
      <c r="D331" s="72">
        <v>456.61657866948252</v>
      </c>
      <c r="E331" s="73">
        <v>0.38719820432134894</v>
      </c>
      <c r="F331" s="72">
        <v>64.928536652240297</v>
      </c>
      <c r="G331" s="72">
        <v>703.26023380926972</v>
      </c>
    </row>
    <row r="332" spans="1:7" x14ac:dyDescent="0.2">
      <c r="A332" s="60">
        <v>2159</v>
      </c>
      <c r="B332" s="35" t="s">
        <v>339</v>
      </c>
      <c r="C332" s="71">
        <v>14305.217614158864</v>
      </c>
      <c r="D332" s="72">
        <v>432.25287456445994</v>
      </c>
      <c r="E332" s="73">
        <v>0</v>
      </c>
      <c r="F332" s="72">
        <v>26.147229236132478</v>
      </c>
      <c r="G332" s="72">
        <v>1653.1498257839721</v>
      </c>
    </row>
    <row r="333" spans="1:7" x14ac:dyDescent="0.2">
      <c r="A333" s="60">
        <v>2164</v>
      </c>
      <c r="B333" s="35" t="s">
        <v>340</v>
      </c>
      <c r="C333" s="71">
        <v>3691.629265512574</v>
      </c>
      <c r="D333" s="72">
        <v>384.98115281501339</v>
      </c>
      <c r="E333" s="73">
        <v>0.43748313433678765</v>
      </c>
      <c r="F333" s="72">
        <v>51.960128188799303</v>
      </c>
      <c r="G333" s="72">
        <v>740.91648006750142</v>
      </c>
    </row>
    <row r="334" spans="1:7" x14ac:dyDescent="0.2">
      <c r="A334" s="60">
        <v>2165</v>
      </c>
      <c r="B334" s="35" t="s">
        <v>341</v>
      </c>
      <c r="C334" s="71">
        <v>6291.9865180905217</v>
      </c>
      <c r="D334" s="72">
        <v>380.97748031496059</v>
      </c>
      <c r="E334" s="73">
        <v>0.23494183734587412</v>
      </c>
      <c r="F334" s="72">
        <v>40.467374763454522</v>
      </c>
      <c r="G334" s="72">
        <v>941.44352714230331</v>
      </c>
    </row>
    <row r="335" spans="1:7" x14ac:dyDescent="0.2">
      <c r="A335" s="60">
        <v>2167</v>
      </c>
      <c r="B335" s="35" t="s">
        <v>342</v>
      </c>
      <c r="C335" s="71">
        <v>7611.3491234180892</v>
      </c>
      <c r="D335" s="72">
        <v>621.94688663282568</v>
      </c>
      <c r="E335" s="73">
        <v>0.20045816503120312</v>
      </c>
      <c r="F335" s="72">
        <v>56.037131301143823</v>
      </c>
      <c r="G335" s="72">
        <v>1109.8835222140121</v>
      </c>
    </row>
    <row r="336" spans="1:7" x14ac:dyDescent="0.2">
      <c r="A336" s="60">
        <v>2168</v>
      </c>
      <c r="B336" s="35" t="s">
        <v>343</v>
      </c>
      <c r="C336" s="71">
        <v>7678.2878446429067</v>
      </c>
      <c r="D336" s="72">
        <v>520.84062231759651</v>
      </c>
      <c r="E336" s="73">
        <v>0.1144004453348835</v>
      </c>
      <c r="F336" s="72">
        <v>51.922809578109387</v>
      </c>
      <c r="G336" s="72">
        <v>1003.105622653329</v>
      </c>
    </row>
    <row r="337" spans="1:7" x14ac:dyDescent="0.2">
      <c r="A337" s="60">
        <v>2169</v>
      </c>
      <c r="B337" s="35" t="s">
        <v>344</v>
      </c>
      <c r="C337" s="71">
        <v>9189.7977404622088</v>
      </c>
      <c r="D337" s="72">
        <v>588.51489445910283</v>
      </c>
      <c r="E337" s="73">
        <v>0.1526144618439299</v>
      </c>
      <c r="F337" s="72">
        <v>47.084094218048413</v>
      </c>
      <c r="G337" s="72">
        <v>1249.9229394403674</v>
      </c>
    </row>
    <row r="338" spans="1:7" x14ac:dyDescent="0.2">
      <c r="A338" s="60">
        <v>2170</v>
      </c>
      <c r="B338" s="35" t="s">
        <v>345</v>
      </c>
      <c r="C338" s="71">
        <v>6857.2707032153603</v>
      </c>
      <c r="D338" s="72">
        <v>430.87427592116546</v>
      </c>
      <c r="E338" s="73">
        <v>0.19069696836873068</v>
      </c>
      <c r="F338" s="72">
        <v>42.898892629342768</v>
      </c>
      <c r="G338" s="72">
        <v>1004.3948678210127</v>
      </c>
    </row>
    <row r="339" spans="1:7" x14ac:dyDescent="0.2">
      <c r="A339" s="60">
        <v>2171</v>
      </c>
      <c r="B339" s="35" t="s">
        <v>346</v>
      </c>
      <c r="C339" s="71">
        <v>22431.323539187662</v>
      </c>
      <c r="D339" s="72">
        <v>663.13705179282863</v>
      </c>
      <c r="E339" s="73">
        <v>0</v>
      </c>
      <c r="F339" s="72">
        <v>24.663667960350221</v>
      </c>
      <c r="G339" s="72">
        <v>2688.7203187250993</v>
      </c>
    </row>
    <row r="340" spans="1:7" x14ac:dyDescent="0.2">
      <c r="A340" s="60">
        <v>2172</v>
      </c>
      <c r="B340" s="35" t="s">
        <v>347</v>
      </c>
      <c r="C340" s="71">
        <v>8192.0976788868575</v>
      </c>
      <c r="D340" s="72">
        <v>667.55894610778444</v>
      </c>
      <c r="E340" s="73">
        <v>6.9002872777773672E-2</v>
      </c>
      <c r="F340" s="72">
        <v>65.436875293486281</v>
      </c>
      <c r="G340" s="72">
        <v>1020.1571256478296</v>
      </c>
    </row>
    <row r="341" spans="1:7" x14ac:dyDescent="0.2">
      <c r="A341" s="60">
        <v>2174</v>
      </c>
      <c r="B341" s="35" t="s">
        <v>348</v>
      </c>
      <c r="C341" s="71">
        <v>14479.076018005997</v>
      </c>
      <c r="D341" s="72">
        <v>346.44525109170308</v>
      </c>
      <c r="E341" s="73">
        <v>0</v>
      </c>
      <c r="F341" s="72">
        <v>20.597327585311653</v>
      </c>
      <c r="G341" s="72">
        <v>1681.9912663755456</v>
      </c>
    </row>
    <row r="342" spans="1:7" x14ac:dyDescent="0.2">
      <c r="A342" s="60">
        <v>2176</v>
      </c>
      <c r="B342" s="35" t="s">
        <v>349</v>
      </c>
      <c r="C342" s="71">
        <v>12594.714981380694</v>
      </c>
      <c r="D342" s="72">
        <v>770.10884160756507</v>
      </c>
      <c r="E342" s="73">
        <v>0</v>
      </c>
      <c r="F342" s="72">
        <v>52.920781455277456</v>
      </c>
      <c r="G342" s="72">
        <v>1455.2106382978723</v>
      </c>
    </row>
    <row r="343" spans="1:7" x14ac:dyDescent="0.2">
      <c r="A343" s="60">
        <v>2180</v>
      </c>
      <c r="B343" s="35" t="s">
        <v>350</v>
      </c>
      <c r="C343" s="71">
        <v>11054.896042051576</v>
      </c>
      <c r="D343" s="72">
        <v>510.39469172932326</v>
      </c>
      <c r="E343" s="73">
        <v>0.1418324435752169</v>
      </c>
      <c r="F343" s="72">
        <v>34.281210116268063</v>
      </c>
      <c r="G343" s="72">
        <v>1488.8467764068712</v>
      </c>
    </row>
    <row r="344" spans="1:7" x14ac:dyDescent="0.2">
      <c r="A344" s="60">
        <v>2184</v>
      </c>
      <c r="B344" s="35" t="s">
        <v>351</v>
      </c>
      <c r="C344" s="71">
        <v>6386.0329421896868</v>
      </c>
      <c r="D344" s="72">
        <v>397.62811570247936</v>
      </c>
      <c r="E344" s="73">
        <v>0.22605897673980099</v>
      </c>
      <c r="F344" s="72">
        <v>41.84840849815447</v>
      </c>
      <c r="G344" s="72">
        <v>950.163052724012</v>
      </c>
    </row>
    <row r="345" spans="1:7" x14ac:dyDescent="0.2">
      <c r="A345" s="60">
        <v>2190</v>
      </c>
      <c r="B345" s="35" t="s">
        <v>352</v>
      </c>
      <c r="C345" s="71">
        <v>11294.883205883581</v>
      </c>
      <c r="D345" s="72">
        <v>749.24814496314491</v>
      </c>
      <c r="E345" s="73">
        <v>0.1407324810577103</v>
      </c>
      <c r="F345" s="72">
        <v>48.470320796114351</v>
      </c>
      <c r="G345" s="72">
        <v>1545.7874688199067</v>
      </c>
    </row>
    <row r="346" spans="1:7" x14ac:dyDescent="0.2">
      <c r="A346" s="60">
        <v>2198</v>
      </c>
      <c r="B346" s="35" t="s">
        <v>353</v>
      </c>
      <c r="C346" s="71">
        <v>9076.3515903901189</v>
      </c>
      <c r="D346" s="72">
        <v>782.46025925925937</v>
      </c>
      <c r="E346" s="73">
        <v>3.4413415008605099E-2</v>
      </c>
      <c r="F346" s="72">
        <v>72.284193387217371</v>
      </c>
      <c r="G346" s="72">
        <v>1082.477679549826</v>
      </c>
    </row>
    <row r="347" spans="1:7" x14ac:dyDescent="0.2">
      <c r="A347" s="60">
        <v>2215</v>
      </c>
      <c r="B347" s="35" t="s">
        <v>354</v>
      </c>
      <c r="C347" s="71">
        <v>6755.595366057566</v>
      </c>
      <c r="D347" s="72">
        <v>490.47888501742159</v>
      </c>
      <c r="E347" s="73">
        <v>0.16748176993202404</v>
      </c>
      <c r="F347" s="72">
        <v>51.795407374930612</v>
      </c>
      <c r="G347" s="72">
        <v>946.95439205063042</v>
      </c>
    </row>
    <row r="348" spans="1:7" x14ac:dyDescent="0.2">
      <c r="A348" s="60">
        <v>2310</v>
      </c>
      <c r="B348" s="35" t="s">
        <v>355</v>
      </c>
      <c r="C348" s="71">
        <v>6493.9111130584643</v>
      </c>
      <c r="D348" s="72">
        <v>709.95572995780583</v>
      </c>
      <c r="E348" s="73">
        <v>0.2753790769434557</v>
      </c>
      <c r="F348" s="72">
        <v>68.553584585531027</v>
      </c>
      <c r="G348" s="72">
        <v>1035.6216006064979</v>
      </c>
    </row>
    <row r="349" spans="1:7" x14ac:dyDescent="0.2">
      <c r="A349" s="60">
        <v>2311</v>
      </c>
      <c r="B349" s="35" t="s">
        <v>356</v>
      </c>
      <c r="C349" s="71">
        <v>11231.448183914674</v>
      </c>
      <c r="D349" s="72">
        <v>430.38357894736845</v>
      </c>
      <c r="E349" s="73">
        <v>0</v>
      </c>
      <c r="F349" s="72">
        <v>32.793612605136779</v>
      </c>
      <c r="G349" s="72">
        <v>1312.4006315789477</v>
      </c>
    </row>
    <row r="350" spans="1:7" x14ac:dyDescent="0.2">
      <c r="A350" s="60">
        <v>2342</v>
      </c>
      <c r="B350" s="35" t="s">
        <v>357</v>
      </c>
      <c r="C350" s="71">
        <v>10048.061957960634</v>
      </c>
      <c r="D350" s="72">
        <v>760.50751060820357</v>
      </c>
      <c r="E350" s="73">
        <v>1.4063842315080262E-2</v>
      </c>
      <c r="F350" s="72">
        <v>65.271291352551188</v>
      </c>
      <c r="G350" s="72">
        <v>1165.1485589590352</v>
      </c>
    </row>
    <row r="351" spans="1:7" x14ac:dyDescent="0.2">
      <c r="A351" s="60">
        <v>2358</v>
      </c>
      <c r="B351" s="35" t="s">
        <v>358</v>
      </c>
      <c r="C351" s="71">
        <v>6820.5474847817159</v>
      </c>
      <c r="D351" s="72">
        <v>916.66252173913051</v>
      </c>
      <c r="E351" s="73">
        <v>8.9909529077080094E-2</v>
      </c>
      <c r="F351" s="72">
        <v>105.06080473603463</v>
      </c>
      <c r="G351" s="72">
        <v>872.50666320541336</v>
      </c>
    </row>
    <row r="352" spans="1:7" x14ac:dyDescent="0.2">
      <c r="A352" s="60">
        <v>2364</v>
      </c>
      <c r="B352" s="35" t="s">
        <v>359</v>
      </c>
      <c r="C352" s="71">
        <v>7388.7704851860817</v>
      </c>
      <c r="D352" s="72">
        <v>408.89495297805638</v>
      </c>
      <c r="E352" s="73">
        <v>0.15995684982898706</v>
      </c>
      <c r="F352" s="72">
        <v>39.906575310635638</v>
      </c>
      <c r="G352" s="72">
        <v>1024.6305271629772</v>
      </c>
    </row>
    <row r="353" spans="1:7" x14ac:dyDescent="0.2">
      <c r="A353" s="60">
        <v>2365</v>
      </c>
      <c r="B353" s="35" t="s">
        <v>360</v>
      </c>
      <c r="C353" s="71">
        <v>13191.903162545364</v>
      </c>
      <c r="D353" s="72">
        <v>819.46859025032927</v>
      </c>
      <c r="E353" s="73">
        <v>8.7274818318745284E-2</v>
      </c>
      <c r="F353" s="72">
        <v>48.501566215404338</v>
      </c>
      <c r="G353" s="72">
        <v>1689.5713977790308</v>
      </c>
    </row>
    <row r="354" spans="1:7" x14ac:dyDescent="0.2">
      <c r="A354" s="60">
        <v>2396</v>
      </c>
      <c r="B354" s="35" t="s">
        <v>361</v>
      </c>
      <c r="C354" s="71">
        <v>10308.009080154747</v>
      </c>
      <c r="D354" s="72">
        <v>794.42051344743277</v>
      </c>
      <c r="E354" s="73">
        <v>9.176838746294104E-2</v>
      </c>
      <c r="F354" s="72">
        <v>61.020987358701952</v>
      </c>
      <c r="G354" s="72">
        <v>1301.8807918946984</v>
      </c>
    </row>
    <row r="355" spans="1:7" x14ac:dyDescent="0.2">
      <c r="A355" s="60">
        <v>2397</v>
      </c>
      <c r="B355" s="35" t="s">
        <v>362</v>
      </c>
      <c r="C355" s="71">
        <v>6568.0529099664</v>
      </c>
      <c r="D355" s="72">
        <v>670.01898674242432</v>
      </c>
      <c r="E355" s="73">
        <v>0.12930363447270582</v>
      </c>
      <c r="F355" s="72">
        <v>76.679645083187836</v>
      </c>
      <c r="G355" s="72">
        <v>873.78989041425189</v>
      </c>
    </row>
    <row r="356" spans="1:7" x14ac:dyDescent="0.2">
      <c r="A356" s="60">
        <v>2448</v>
      </c>
      <c r="B356" s="35" t="s">
        <v>363</v>
      </c>
      <c r="C356" s="71">
        <v>11635.540324100244</v>
      </c>
      <c r="D356" s="72">
        <v>685.0091346153846</v>
      </c>
      <c r="E356" s="73">
        <v>5.2146974457808332E-2</v>
      </c>
      <c r="F356" s="72">
        <v>47.842417537705074</v>
      </c>
      <c r="G356" s="72">
        <v>1431.8029269225833</v>
      </c>
    </row>
    <row r="357" spans="1:7" x14ac:dyDescent="0.2">
      <c r="A357" s="60">
        <v>2527</v>
      </c>
      <c r="B357" s="35" t="s">
        <v>364</v>
      </c>
      <c r="C357" s="71">
        <v>10487.797172671282</v>
      </c>
      <c r="D357" s="72">
        <v>739.12241758241748</v>
      </c>
      <c r="E357" s="73">
        <v>0</v>
      </c>
      <c r="F357" s="72">
        <v>61.395610791949395</v>
      </c>
      <c r="G357" s="72">
        <v>1203.868498168498</v>
      </c>
    </row>
    <row r="358" spans="1:7" x14ac:dyDescent="0.2">
      <c r="A358" s="60">
        <v>2534</v>
      </c>
      <c r="B358" s="35" t="s">
        <v>365</v>
      </c>
      <c r="C358" s="71">
        <v>11805.868252610848</v>
      </c>
      <c r="D358" s="72">
        <v>589.90394817073172</v>
      </c>
      <c r="E358" s="73">
        <v>6.3311257860577189E-2</v>
      </c>
      <c r="F358" s="72">
        <v>39.782217767306555</v>
      </c>
      <c r="G358" s="72">
        <v>1482.833238763076</v>
      </c>
    </row>
    <row r="359" spans="1:7" x14ac:dyDescent="0.2">
      <c r="A359" s="60">
        <v>2536</v>
      </c>
      <c r="B359" s="35" t="s">
        <v>366</v>
      </c>
      <c r="C359" s="71">
        <v>19921.794774418959</v>
      </c>
      <c r="D359" s="72">
        <v>590.94865470852017</v>
      </c>
      <c r="E359" s="73">
        <v>0</v>
      </c>
      <c r="F359" s="72">
        <v>25.121311172904374</v>
      </c>
      <c r="G359" s="72">
        <v>2352.3798206278029</v>
      </c>
    </row>
    <row r="360" spans="1:7" x14ac:dyDescent="0.2">
      <c r="A360" s="60">
        <v>2580</v>
      </c>
      <c r="B360" s="35" t="s">
        <v>367</v>
      </c>
      <c r="C360" s="71">
        <v>6474.9226984449415</v>
      </c>
      <c r="D360" s="72">
        <v>356.42220762155057</v>
      </c>
      <c r="E360" s="73">
        <v>0.21645127716578805</v>
      </c>
      <c r="F360" s="72">
        <v>37.040640759832186</v>
      </c>
      <c r="G360" s="72">
        <v>962.24633351392742</v>
      </c>
    </row>
    <row r="361" spans="1:7" x14ac:dyDescent="0.2">
      <c r="A361" s="60">
        <v>2609</v>
      </c>
      <c r="B361" s="35" t="s">
        <v>368</v>
      </c>
      <c r="C361" s="71">
        <v>7593.0405460307147</v>
      </c>
      <c r="D361" s="72">
        <v>528.31234042553194</v>
      </c>
      <c r="E361" s="73">
        <v>0.10438605252319577</v>
      </c>
      <c r="F361" s="72">
        <v>53.545633352613308</v>
      </c>
      <c r="G361" s="72">
        <v>986.65812195449087</v>
      </c>
    </row>
    <row r="362" spans="1:7" x14ac:dyDescent="0.2">
      <c r="A362" s="60">
        <v>2683</v>
      </c>
      <c r="B362" s="35" t="s">
        <v>369</v>
      </c>
      <c r="C362" s="71">
        <v>3712.1499210504448</v>
      </c>
      <c r="D362" s="72">
        <v>463.84823244552058</v>
      </c>
      <c r="E362" s="73">
        <v>0.40098252684720076</v>
      </c>
      <c r="F362" s="72">
        <v>64.225283926184787</v>
      </c>
      <c r="G362" s="72">
        <v>722.22060236997822</v>
      </c>
    </row>
    <row r="363" spans="1:7" x14ac:dyDescent="0.2">
      <c r="A363" s="60">
        <v>2687</v>
      </c>
      <c r="B363" s="35" t="s">
        <v>370</v>
      </c>
      <c r="C363" s="71">
        <v>6044.959205748929</v>
      </c>
      <c r="D363" s="72">
        <v>591.76342307692312</v>
      </c>
      <c r="E363" s="73">
        <v>0.15828185691930291</v>
      </c>
      <c r="F363" s="72">
        <v>71.857299386866799</v>
      </c>
      <c r="G363" s="72">
        <v>823.5258326241501</v>
      </c>
    </row>
    <row r="364" spans="1:7" x14ac:dyDescent="0.2">
      <c r="A364" s="60">
        <v>2689</v>
      </c>
      <c r="B364" s="35" t="s">
        <v>371</v>
      </c>
      <c r="C364" s="71">
        <v>9397.1684306702136</v>
      </c>
      <c r="D364" s="72">
        <v>393.2876865671642</v>
      </c>
      <c r="E364" s="73">
        <v>4.3498288917288339E-2</v>
      </c>
      <c r="F364" s="72">
        <v>34.698039155625096</v>
      </c>
      <c r="G364" s="72">
        <v>1133.4579594057727</v>
      </c>
    </row>
    <row r="365" spans="1:7" x14ac:dyDescent="0.2">
      <c r="A365" s="60">
        <v>2711</v>
      </c>
      <c r="B365" s="35" t="s">
        <v>372</v>
      </c>
      <c r="C365" s="71">
        <v>6088.1831365640473</v>
      </c>
      <c r="D365" s="72">
        <v>883.6643806306306</v>
      </c>
      <c r="E365" s="73">
        <v>0.10596754044127547</v>
      </c>
      <c r="F365" s="72">
        <v>112.15371191437755</v>
      </c>
      <c r="G365" s="72">
        <v>787.90471179879796</v>
      </c>
    </row>
    <row r="366" spans="1:7" x14ac:dyDescent="0.2">
      <c r="A366" s="60">
        <v>2752</v>
      </c>
      <c r="B366" s="35" t="s">
        <v>373</v>
      </c>
      <c r="C366" s="71">
        <v>5534.7669172932328</v>
      </c>
      <c r="D366" s="72">
        <v>582.98106418918917</v>
      </c>
      <c r="E366" s="73">
        <v>0.20169723729977984</v>
      </c>
      <c r="F366" s="72">
        <v>72.440654721390715</v>
      </c>
      <c r="G366" s="72">
        <v>804.77056209852685</v>
      </c>
    </row>
    <row r="367" spans="1:7" x14ac:dyDescent="0.2">
      <c r="A367" s="60">
        <v>2753</v>
      </c>
      <c r="B367" s="35" t="s">
        <v>374</v>
      </c>
      <c r="C367" s="71">
        <v>5441.5088549094653</v>
      </c>
      <c r="D367" s="72">
        <v>840.58247108307035</v>
      </c>
      <c r="E367" s="73">
        <v>0.25558326418615662</v>
      </c>
      <c r="F367" s="72">
        <v>98.712636623465812</v>
      </c>
      <c r="G367" s="72">
        <v>851.54494888980446</v>
      </c>
    </row>
    <row r="368" spans="1:7" x14ac:dyDescent="0.2">
      <c r="A368" s="60">
        <v>2754</v>
      </c>
      <c r="B368" s="35" t="s">
        <v>375</v>
      </c>
      <c r="C368" s="71">
        <v>9323.512289223032</v>
      </c>
      <c r="D368" s="72">
        <v>450.30576305220882</v>
      </c>
      <c r="E368" s="73">
        <v>0.17882053100287459</v>
      </c>
      <c r="F368" s="72">
        <v>34.019335919387238</v>
      </c>
      <c r="G368" s="72">
        <v>1323.6759357068597</v>
      </c>
    </row>
    <row r="369" spans="1:7" x14ac:dyDescent="0.2">
      <c r="A369" s="60">
        <v>2759</v>
      </c>
      <c r="B369" s="35" t="s">
        <v>376</v>
      </c>
      <c r="C369" s="71">
        <v>4927.794387443093</v>
      </c>
      <c r="D369" s="72">
        <v>532.85136718749993</v>
      </c>
      <c r="E369" s="73">
        <v>0.25857769172996548</v>
      </c>
      <c r="F369" s="72">
        <v>69.728421652083796</v>
      </c>
      <c r="G369" s="72">
        <v>764.18102484265239</v>
      </c>
    </row>
    <row r="370" spans="1:7" x14ac:dyDescent="0.2">
      <c r="A370" s="60">
        <v>2805</v>
      </c>
      <c r="B370" s="35" t="s">
        <v>377</v>
      </c>
      <c r="C370" s="71">
        <v>5709.546136686271</v>
      </c>
      <c r="D370" s="72">
        <v>533.07161737523109</v>
      </c>
      <c r="E370" s="73">
        <v>0.24723493732457563</v>
      </c>
      <c r="F370" s="72">
        <v>61.687287941381349</v>
      </c>
      <c r="G370" s="72">
        <v>864.15148917194267</v>
      </c>
    </row>
    <row r="371" spans="1:7" x14ac:dyDescent="0.2">
      <c r="A371" s="60">
        <v>2835</v>
      </c>
      <c r="B371" s="35" t="s">
        <v>378</v>
      </c>
      <c r="C371" s="71">
        <v>10935.265505871119</v>
      </c>
      <c r="D371" s="72">
        <v>428.67829824561403</v>
      </c>
      <c r="E371" s="73">
        <v>0</v>
      </c>
      <c r="F371" s="72">
        <v>33.339045233528665</v>
      </c>
      <c r="G371" s="72">
        <v>1285.8145614035088</v>
      </c>
    </row>
    <row r="372" spans="1:7" x14ac:dyDescent="0.2">
      <c r="A372" s="60">
        <v>2853</v>
      </c>
      <c r="B372" s="35" t="s">
        <v>379</v>
      </c>
      <c r="C372" s="71">
        <v>13056.481032909338</v>
      </c>
      <c r="D372" s="72">
        <v>812.63275682704807</v>
      </c>
      <c r="E372" s="73">
        <v>0</v>
      </c>
      <c r="F372" s="72">
        <v>53.924002670854158</v>
      </c>
      <c r="G372" s="72">
        <v>1506.9963589076722</v>
      </c>
    </row>
    <row r="373" spans="1:7" x14ac:dyDescent="0.2">
      <c r="A373" s="60">
        <v>2854</v>
      </c>
      <c r="B373" s="35" t="s">
        <v>380</v>
      </c>
      <c r="C373" s="71">
        <v>8409.4176779868376</v>
      </c>
      <c r="D373" s="72">
        <v>337.24976967370441</v>
      </c>
      <c r="E373" s="73">
        <v>0.11478788595545325</v>
      </c>
      <c r="F373" s="72">
        <v>30.580505935294521</v>
      </c>
      <c r="G373" s="72">
        <v>1102.8259976708471</v>
      </c>
    </row>
    <row r="374" spans="1:7" x14ac:dyDescent="0.2">
      <c r="A374" s="60">
        <v>2856</v>
      </c>
      <c r="B374" s="35" t="s">
        <v>381</v>
      </c>
      <c r="C374" s="71">
        <v>13516.786902020978</v>
      </c>
      <c r="D374" s="72">
        <v>734.54900900900907</v>
      </c>
      <c r="E374" s="73">
        <v>0</v>
      </c>
      <c r="F374" s="72">
        <v>46.294124282322734</v>
      </c>
      <c r="G374" s="72">
        <v>1586.7003003003003</v>
      </c>
    </row>
    <row r="375" spans="1:7" x14ac:dyDescent="0.2">
      <c r="A375" s="60">
        <v>2859</v>
      </c>
      <c r="B375" s="35" t="s">
        <v>382</v>
      </c>
      <c r="C375" s="71">
        <v>5687.3020704884457</v>
      </c>
      <c r="D375" s="72">
        <v>391.54585439229839</v>
      </c>
      <c r="E375" s="73">
        <v>0.28037463157273756</v>
      </c>
      <c r="F375" s="72">
        <v>42.483224277225084</v>
      </c>
      <c r="G375" s="72">
        <v>921.64815889975421</v>
      </c>
    </row>
    <row r="376" spans="1:7" x14ac:dyDescent="0.2">
      <c r="A376" s="60">
        <v>2860</v>
      </c>
      <c r="B376" s="35" t="s">
        <v>383</v>
      </c>
      <c r="C376" s="71">
        <v>9080.5654559855175</v>
      </c>
      <c r="D376" s="72">
        <v>472.57731209150325</v>
      </c>
      <c r="E376" s="73">
        <v>5.6500680120068189E-2</v>
      </c>
      <c r="F376" s="72">
        <v>42.501964465027697</v>
      </c>
      <c r="G376" s="72">
        <v>1111.8952218793524</v>
      </c>
    </row>
    <row r="377" spans="1:7" x14ac:dyDescent="0.2">
      <c r="A377" s="60">
        <v>2884</v>
      </c>
      <c r="B377" s="35" t="s">
        <v>384</v>
      </c>
      <c r="C377" s="71">
        <v>17965.670672296201</v>
      </c>
      <c r="D377" s="72">
        <v>722.46941475826964</v>
      </c>
      <c r="E377" s="73">
        <v>0.10419022290245133</v>
      </c>
      <c r="F377" s="72">
        <v>30.653737385424069</v>
      </c>
      <c r="G377" s="72">
        <v>2356.8722001963965</v>
      </c>
    </row>
    <row r="378" spans="1:7" x14ac:dyDescent="0.2">
      <c r="A378" s="60">
        <v>2886</v>
      </c>
      <c r="B378" s="35" t="s">
        <v>385</v>
      </c>
      <c r="C378" s="71">
        <v>11434.560292736945</v>
      </c>
      <c r="D378" s="72">
        <v>536.91141618497113</v>
      </c>
      <c r="E378" s="73">
        <v>0</v>
      </c>
      <c r="F378" s="72">
        <v>39.111388222077473</v>
      </c>
      <c r="G378" s="72">
        <v>1372.7751445086706</v>
      </c>
    </row>
    <row r="379" spans="1:7" x14ac:dyDescent="0.2">
      <c r="A379" s="60">
        <v>2888</v>
      </c>
      <c r="B379" s="35" t="s">
        <v>386</v>
      </c>
      <c r="C379" s="71">
        <v>17082.138635396474</v>
      </c>
      <c r="D379" s="72">
        <v>498.92128065395093</v>
      </c>
      <c r="E379" s="73">
        <v>0</v>
      </c>
      <c r="F379" s="72">
        <v>25.341715887681278</v>
      </c>
      <c r="G379" s="72">
        <v>1968.774659400545</v>
      </c>
    </row>
    <row r="380" spans="1:7" x14ac:dyDescent="0.2">
      <c r="A380" s="60">
        <v>2889</v>
      </c>
      <c r="B380" s="35" t="s">
        <v>387</v>
      </c>
      <c r="C380" s="71">
        <v>13916.435323764044</v>
      </c>
      <c r="D380" s="72">
        <v>477.09779552715651</v>
      </c>
      <c r="E380" s="73">
        <v>7.6480960728944128E-2</v>
      </c>
      <c r="F380" s="72">
        <v>27.593822299419415</v>
      </c>
      <c r="G380" s="72">
        <v>1729.0022032837214</v>
      </c>
    </row>
    <row r="381" spans="1:7" x14ac:dyDescent="0.2">
      <c r="A381" s="60">
        <v>2890</v>
      </c>
      <c r="B381" s="35" t="s">
        <v>388</v>
      </c>
      <c r="C381" s="71">
        <v>15477.020369658643</v>
      </c>
      <c r="D381" s="72">
        <v>817.40927125506073</v>
      </c>
      <c r="E381" s="73">
        <v>9.3610656637151568E-2</v>
      </c>
      <c r="F381" s="72">
        <v>41.312278228801276</v>
      </c>
      <c r="G381" s="72">
        <v>1978.6109754779768</v>
      </c>
    </row>
    <row r="382" spans="1:7" x14ac:dyDescent="0.2">
      <c r="A382" s="60">
        <v>2895</v>
      </c>
      <c r="B382" s="35" t="s">
        <v>389</v>
      </c>
      <c r="C382" s="71">
        <v>9054.3571246402171</v>
      </c>
      <c r="D382" s="72">
        <v>742.45568892645815</v>
      </c>
      <c r="E382" s="73">
        <v>0.13172923400980421</v>
      </c>
      <c r="F382" s="72">
        <v>61.374498450676647</v>
      </c>
      <c r="G382" s="72">
        <v>1209.7136557834838</v>
      </c>
    </row>
    <row r="383" spans="1:7" x14ac:dyDescent="0.2">
      <c r="A383" s="60">
        <v>2897</v>
      </c>
      <c r="B383" s="35" t="s">
        <v>390</v>
      </c>
      <c r="C383" s="71">
        <v>6604.3001465257958</v>
      </c>
      <c r="D383" s="72">
        <v>495.65572444444439</v>
      </c>
      <c r="E383" s="73">
        <v>0.36962342087300781</v>
      </c>
      <c r="F383" s="72">
        <v>41.04558072144642</v>
      </c>
      <c r="G383" s="72">
        <v>1207.5739110823763</v>
      </c>
    </row>
    <row r="384" spans="1:7" x14ac:dyDescent="0.2">
      <c r="A384" s="60">
        <v>2898</v>
      </c>
      <c r="B384" s="35" t="s">
        <v>391</v>
      </c>
      <c r="C384" s="71">
        <v>11362.445194583477</v>
      </c>
      <c r="D384" s="72">
        <v>609.73230414746547</v>
      </c>
      <c r="E384" s="73">
        <v>0.13226322558566345</v>
      </c>
      <c r="F384" s="72">
        <v>39.205786146426618</v>
      </c>
      <c r="G384" s="72">
        <v>1555.2099934183798</v>
      </c>
    </row>
    <row r="385" spans="1:7" x14ac:dyDescent="0.2">
      <c r="A385" s="60">
        <v>2899</v>
      </c>
      <c r="B385" s="35" t="s">
        <v>392</v>
      </c>
      <c r="C385" s="71">
        <v>4757.5596427312257</v>
      </c>
      <c r="D385" s="72">
        <v>488.34562968005446</v>
      </c>
      <c r="E385" s="73">
        <v>0.36731145163524481</v>
      </c>
      <c r="F385" s="72">
        <v>56.059124933689795</v>
      </c>
      <c r="G385" s="72">
        <v>871.12603034332028</v>
      </c>
    </row>
    <row r="386" spans="1:7" x14ac:dyDescent="0.2">
      <c r="A386" s="60">
        <v>2902</v>
      </c>
      <c r="B386" s="35" t="s">
        <v>393</v>
      </c>
      <c r="C386" s="71">
        <v>8817.391100629422</v>
      </c>
      <c r="D386" s="72">
        <v>878.4227848101267</v>
      </c>
      <c r="E386" s="73">
        <v>0.12704775820875733</v>
      </c>
      <c r="F386" s="72">
        <v>75.113145647931603</v>
      </c>
      <c r="G386" s="72">
        <v>1169.4661130655443</v>
      </c>
    </row>
    <row r="387" spans="1:7" x14ac:dyDescent="0.2">
      <c r="A387" s="60">
        <v>2903</v>
      </c>
      <c r="B387" s="35" t="s">
        <v>394</v>
      </c>
      <c r="C387" s="71">
        <v>7830.8657443661359</v>
      </c>
      <c r="D387" s="72">
        <v>967.3343204868155</v>
      </c>
      <c r="E387" s="73">
        <v>5.7964483731478285E-2</v>
      </c>
      <c r="F387" s="72">
        <v>99.833800258532946</v>
      </c>
      <c r="G387" s="72">
        <v>968.94470407995516</v>
      </c>
    </row>
    <row r="388" spans="1:7" x14ac:dyDescent="0.2">
      <c r="A388" s="60">
        <v>2904</v>
      </c>
      <c r="B388" s="35" t="s">
        <v>395</v>
      </c>
      <c r="C388" s="71">
        <v>11373.859535486259</v>
      </c>
      <c r="D388" s="72">
        <v>540.85265141318973</v>
      </c>
      <c r="E388" s="73">
        <v>0.13839027713381732</v>
      </c>
      <c r="F388" s="72">
        <v>35.210757558130545</v>
      </c>
      <c r="G388" s="72">
        <v>1536.0437801438356</v>
      </c>
    </row>
    <row r="389" spans="1:7" x14ac:dyDescent="0.2">
      <c r="F389" s="75"/>
    </row>
    <row r="390" spans="1:7" x14ac:dyDescent="0.2">
      <c r="F390" s="75"/>
    </row>
    <row r="391" spans="1:7" x14ac:dyDescent="0.2">
      <c r="F391" s="75"/>
    </row>
    <row r="392" spans="1:7" x14ac:dyDescent="0.2">
      <c r="F392" s="75"/>
    </row>
    <row r="393" spans="1:7" x14ac:dyDescent="0.2">
      <c r="F393" s="75"/>
    </row>
    <row r="394" spans="1:7" x14ac:dyDescent="0.2">
      <c r="F394" s="75"/>
    </row>
    <row r="395" spans="1:7" x14ac:dyDescent="0.2">
      <c r="F395" s="75"/>
    </row>
    <row r="396" spans="1:7" x14ac:dyDescent="0.2">
      <c r="F396" s="75"/>
    </row>
    <row r="397" spans="1:7" x14ac:dyDescent="0.2">
      <c r="F397" s="75"/>
    </row>
    <row r="398" spans="1:7" x14ac:dyDescent="0.2">
      <c r="F398" s="75"/>
    </row>
    <row r="399" spans="1:7" x14ac:dyDescent="0.2">
      <c r="F399" s="75"/>
    </row>
    <row r="400" spans="1:7" x14ac:dyDescent="0.2">
      <c r="F400" s="75"/>
    </row>
    <row r="401" spans="6:6" x14ac:dyDescent="0.2">
      <c r="F401" s="75"/>
    </row>
    <row r="402" spans="6:6" x14ac:dyDescent="0.2">
      <c r="F402" s="75"/>
    </row>
    <row r="403" spans="6:6" x14ac:dyDescent="0.2">
      <c r="F403" s="75"/>
    </row>
  </sheetData>
  <mergeCells count="3">
    <mergeCell ref="A2:F2"/>
    <mergeCell ref="A3:F3"/>
    <mergeCell ref="C6:F6"/>
  </mergeCells>
  <printOptions gridLines="1"/>
  <pageMargins left="0.75" right="0.25" top="0.75" bottom="0.75" header="0.3" footer="0.3"/>
  <pageSetup fitToHeight="0" orientation="portrait" r:id="rId1"/>
  <headerFooter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91"/>
  <sheetViews>
    <sheetView view="pageLayout" topLeftCell="A44" zoomScaleNormal="75" workbookViewId="0">
      <selection activeCell="A45" sqref="A45:Y45"/>
    </sheetView>
  </sheetViews>
  <sheetFormatPr defaultRowHeight="15" x14ac:dyDescent="0.25"/>
  <cols>
    <col min="1" max="1" width="6.7109375" customWidth="1"/>
    <col min="2" max="2" width="3.7109375" hidden="1" customWidth="1"/>
    <col min="3" max="3" width="20.140625" customWidth="1"/>
    <col min="4" max="4" width="6.7109375" hidden="1" customWidth="1"/>
    <col min="5" max="5" width="18.7109375" style="1" hidden="1" customWidth="1"/>
    <col min="6" max="16" width="16.7109375" hidden="1" customWidth="1"/>
    <col min="17" max="17" width="11.42578125" customWidth="1"/>
    <col min="18" max="20" width="16.7109375" hidden="1" customWidth="1"/>
    <col min="21" max="22" width="13" customWidth="1"/>
    <col min="23" max="23" width="13.42578125" customWidth="1"/>
    <col min="24" max="24" width="13.7109375" style="6" customWidth="1"/>
    <col min="25" max="31" width="16.7109375" customWidth="1"/>
  </cols>
  <sheetData>
    <row r="1" spans="1:18" ht="14.45" hidden="1" x14ac:dyDescent="0.3">
      <c r="A1" t="s">
        <v>0</v>
      </c>
      <c r="K1" s="2" t="s">
        <v>1</v>
      </c>
    </row>
    <row r="2" spans="1:18" ht="14.45" hidden="1" x14ac:dyDescent="0.3">
      <c r="A2" t="s">
        <v>2</v>
      </c>
      <c r="K2" s="3">
        <v>41107</v>
      </c>
    </row>
    <row r="3" spans="1:18" ht="14.45" hidden="1" x14ac:dyDescent="0.3"/>
    <row r="4" spans="1:18" ht="14.45" hidden="1" x14ac:dyDescent="0.3">
      <c r="F4" s="2" t="s">
        <v>3</v>
      </c>
      <c r="G4" s="2" t="s">
        <v>4</v>
      </c>
      <c r="H4" s="2" t="s">
        <v>5</v>
      </c>
      <c r="I4" s="2" t="s">
        <v>6</v>
      </c>
      <c r="J4" s="2" t="s">
        <v>7</v>
      </c>
      <c r="K4" s="2" t="s">
        <v>8</v>
      </c>
    </row>
    <row r="5" spans="1:18" ht="14.45" hidden="1" x14ac:dyDescent="0.3">
      <c r="N5" s="1" t="e">
        <f>F41</f>
        <v>#REF!</v>
      </c>
      <c r="O5" s="1" t="e">
        <f>G41</f>
        <v>#REF!</v>
      </c>
      <c r="P5" s="1" t="e">
        <f>H41</f>
        <v>#REF!</v>
      </c>
      <c r="Q5" s="1" t="e">
        <f>I41</f>
        <v>#REF!</v>
      </c>
      <c r="R5" s="1" t="e">
        <f>J41</f>
        <v>#REF!</v>
      </c>
    </row>
    <row r="6" spans="1:18" ht="14.45" hidden="1" x14ac:dyDescent="0.3">
      <c r="C6" t="s">
        <v>9</v>
      </c>
      <c r="F6" s="1">
        <f>Q56</f>
        <v>619271.344185216</v>
      </c>
      <c r="G6" s="1">
        <f>Q221</f>
        <v>496001.93594959972</v>
      </c>
      <c r="H6" s="1">
        <f>Q273</f>
        <v>306574.86962068058</v>
      </c>
      <c r="I6" s="1">
        <f>Q322</f>
        <v>229477.97370175121</v>
      </c>
      <c r="J6" s="1">
        <f>Q360</f>
        <v>332271.77167570888</v>
      </c>
      <c r="K6" s="1">
        <f>F6</f>
        <v>619271.344185216</v>
      </c>
      <c r="M6" t="s">
        <v>3</v>
      </c>
      <c r="N6" s="4" t="e">
        <f>F42</f>
        <v>#REF!</v>
      </c>
      <c r="O6" s="4"/>
      <c r="P6" s="4"/>
      <c r="Q6" s="4"/>
      <c r="R6" s="4"/>
    </row>
    <row r="7" spans="1:18" ht="14.45" hidden="1" x14ac:dyDescent="0.3">
      <c r="C7" t="s">
        <v>10</v>
      </c>
      <c r="F7" s="1">
        <f>Q220</f>
        <v>354701.74402582576</v>
      </c>
      <c r="G7" s="1">
        <f>Q272</f>
        <v>388044.59550046455</v>
      </c>
      <c r="H7" s="1">
        <f>Q321</f>
        <v>255390.41665192938</v>
      </c>
      <c r="I7" s="1">
        <f>Q359</f>
        <v>180055.80231246474</v>
      </c>
      <c r="J7" s="1">
        <f>Q391</f>
        <v>348039.96703340352</v>
      </c>
      <c r="K7" s="1">
        <f>J7</f>
        <v>348039.96703340352</v>
      </c>
      <c r="M7" t="s">
        <v>4</v>
      </c>
      <c r="N7" s="4"/>
      <c r="O7" s="4" t="e">
        <f>G42</f>
        <v>#REF!</v>
      </c>
      <c r="P7" s="4"/>
      <c r="Q7" s="4"/>
      <c r="R7" s="4"/>
    </row>
    <row r="8" spans="1:18" ht="14.45" hidden="1" x14ac:dyDescent="0.3">
      <c r="M8" t="s">
        <v>5</v>
      </c>
      <c r="N8" s="4"/>
      <c r="O8" s="4"/>
      <c r="P8" s="4" t="e">
        <f>H42</f>
        <v>#REF!</v>
      </c>
      <c r="Q8" s="4"/>
      <c r="R8" s="4"/>
    </row>
    <row r="9" spans="1:18" ht="14.45" hidden="1" x14ac:dyDescent="0.3">
      <c r="A9">
        <v>1</v>
      </c>
      <c r="C9" s="1" t="s">
        <v>11</v>
      </c>
      <c r="D9" s="1"/>
      <c r="F9" s="1" t="e">
        <f>#REF!</f>
        <v>#REF!</v>
      </c>
      <c r="G9" s="1" t="e">
        <f>#REF!</f>
        <v>#REF!</v>
      </c>
      <c r="H9" s="1" t="e">
        <f>#REF!</f>
        <v>#REF!</v>
      </c>
      <c r="I9" s="1" t="e">
        <f>#REF!</f>
        <v>#REF!</v>
      </c>
      <c r="J9" s="1" t="e">
        <f>#REF!</f>
        <v>#REF!</v>
      </c>
      <c r="K9" s="1" t="e">
        <f>SUM(F9:J9)</f>
        <v>#REF!</v>
      </c>
      <c r="L9" s="1"/>
      <c r="M9" t="s">
        <v>6</v>
      </c>
      <c r="N9" s="4"/>
      <c r="O9" s="4"/>
      <c r="P9" s="4"/>
      <c r="Q9" s="4" t="e">
        <f>I42</f>
        <v>#REF!</v>
      </c>
      <c r="R9" s="4"/>
    </row>
    <row r="10" spans="1:18" ht="14.45" hidden="1" x14ac:dyDescent="0.3">
      <c r="A10">
        <f>A9+1</f>
        <v>2</v>
      </c>
      <c r="C10" s="1" t="s">
        <v>12</v>
      </c>
      <c r="D10" s="1"/>
      <c r="F10" s="1" t="e">
        <f>#REF!</f>
        <v>#REF!</v>
      </c>
      <c r="G10" s="1" t="e">
        <f>#REF!</f>
        <v>#REF!</v>
      </c>
      <c r="H10" s="1" t="e">
        <f>#REF!</f>
        <v>#REF!</v>
      </c>
      <c r="I10" s="1" t="e">
        <f>#REF!</f>
        <v>#REF!</v>
      </c>
      <c r="J10" s="1" t="e">
        <f>#REF!</f>
        <v>#REF!</v>
      </c>
      <c r="K10" s="1" t="e">
        <f t="shared" ref="K10:K18" si="0">SUM(F10:J10)</f>
        <v>#REF!</v>
      </c>
      <c r="L10" s="1"/>
      <c r="M10" t="s">
        <v>7</v>
      </c>
      <c r="N10" s="4"/>
      <c r="O10" s="4"/>
      <c r="P10" s="4"/>
      <c r="Q10" s="4"/>
      <c r="R10" s="4" t="e">
        <f>J42</f>
        <v>#REF!</v>
      </c>
    </row>
    <row r="11" spans="1:18" ht="14.45" hidden="1" x14ac:dyDescent="0.3">
      <c r="A11">
        <f t="shared" ref="A11:A23" si="1">A10+1</f>
        <v>3</v>
      </c>
      <c r="C11" s="1" t="s">
        <v>13</v>
      </c>
      <c r="D11" s="1"/>
      <c r="F11" s="1" t="e">
        <f>#REF!</f>
        <v>#REF!</v>
      </c>
      <c r="G11" s="1" t="e">
        <f>#REF!</f>
        <v>#REF!</v>
      </c>
      <c r="H11" s="1" t="e">
        <f>#REF!</f>
        <v>#REF!</v>
      </c>
      <c r="I11" s="1" t="e">
        <f>#REF!</f>
        <v>#REF!</v>
      </c>
      <c r="J11" s="1" t="e">
        <f>#REF!</f>
        <v>#REF!</v>
      </c>
      <c r="K11" s="1" t="e">
        <f t="shared" si="0"/>
        <v>#REF!</v>
      </c>
      <c r="L11" s="1"/>
      <c r="M11" s="1"/>
      <c r="N11" s="1"/>
    </row>
    <row r="12" spans="1:18" ht="14.45" hidden="1" x14ac:dyDescent="0.3">
      <c r="K12" s="1"/>
      <c r="L12" s="1"/>
      <c r="M12" s="1"/>
      <c r="N12" s="1"/>
    </row>
    <row r="13" spans="1:18" ht="14.45" hidden="1" x14ac:dyDescent="0.3">
      <c r="A13">
        <f>A11+1</f>
        <v>4</v>
      </c>
      <c r="C13" s="1" t="s">
        <v>14</v>
      </c>
      <c r="D13" s="1"/>
      <c r="F13" s="1" t="e">
        <f>#REF!</f>
        <v>#REF!</v>
      </c>
      <c r="G13" s="1" t="e">
        <f>#REF!</f>
        <v>#REF!</v>
      </c>
      <c r="H13" s="1" t="e">
        <f>#REF!</f>
        <v>#REF!</v>
      </c>
      <c r="I13" s="1" t="e">
        <f>#REF!</f>
        <v>#REF!</v>
      </c>
      <c r="J13" s="1" t="e">
        <f>#REF!</f>
        <v>#REF!</v>
      </c>
      <c r="K13" s="1" t="e">
        <f t="shared" si="0"/>
        <v>#REF!</v>
      </c>
      <c r="L13" s="1"/>
      <c r="M13" s="1"/>
      <c r="N13" s="1"/>
    </row>
    <row r="14" spans="1:18" ht="14.45" hidden="1" x14ac:dyDescent="0.3">
      <c r="A14">
        <f t="shared" si="1"/>
        <v>5</v>
      </c>
      <c r="C14" s="1" t="s">
        <v>15</v>
      </c>
      <c r="D14" s="1"/>
      <c r="F14" s="1" t="e">
        <f>#REF!</f>
        <v>#REF!</v>
      </c>
      <c r="G14" s="1" t="e">
        <f>#REF!</f>
        <v>#REF!</v>
      </c>
      <c r="H14" s="1" t="e">
        <f>#REF!</f>
        <v>#REF!</v>
      </c>
      <c r="I14" s="1" t="e">
        <f>#REF!</f>
        <v>#REF!</v>
      </c>
      <c r="J14" s="1" t="e">
        <f>#REF!</f>
        <v>#REF!</v>
      </c>
      <c r="K14" s="1" t="e">
        <f t="shared" si="0"/>
        <v>#REF!</v>
      </c>
      <c r="L14" s="1"/>
      <c r="M14" s="1"/>
      <c r="N14" s="1"/>
    </row>
    <row r="15" spans="1:18" ht="14.45" hidden="1" x14ac:dyDescent="0.3">
      <c r="A15">
        <f t="shared" si="1"/>
        <v>6</v>
      </c>
      <c r="C15" t="str">
        <f>+"Referendum revenue = ("&amp;+A13&amp;")+("&amp;+A14&amp;") ="</f>
        <v>Referendum revenue = (4)+(5) =</v>
      </c>
      <c r="F15" s="1" t="e">
        <f>F13+F14</f>
        <v>#REF!</v>
      </c>
      <c r="G15" s="1" t="e">
        <f t="shared" ref="G15:K15" si="2">G13+G14</f>
        <v>#REF!</v>
      </c>
      <c r="H15" s="1" t="e">
        <f t="shared" si="2"/>
        <v>#REF!</v>
      </c>
      <c r="I15" s="1" t="e">
        <f t="shared" si="2"/>
        <v>#REF!</v>
      </c>
      <c r="J15" s="1" t="e">
        <f t="shared" si="2"/>
        <v>#REF!</v>
      </c>
      <c r="K15" s="1" t="e">
        <f t="shared" si="2"/>
        <v>#REF!</v>
      </c>
      <c r="L15" s="1"/>
      <c r="M15" s="1"/>
      <c r="N15" s="1"/>
    </row>
    <row r="16" spans="1:18" ht="14.45" hidden="1" x14ac:dyDescent="0.3">
      <c r="K16" s="1"/>
      <c r="L16" s="1"/>
      <c r="M16" s="1"/>
      <c r="N16" s="1"/>
    </row>
    <row r="17" spans="1:17" ht="14.45" hidden="1" x14ac:dyDescent="0.3">
      <c r="A17">
        <f>A15+1</f>
        <v>7</v>
      </c>
      <c r="C17" s="1" t="s">
        <v>16</v>
      </c>
      <c r="D17" s="1"/>
      <c r="F17" s="1" t="e">
        <f>#REF!</f>
        <v>#REF!</v>
      </c>
      <c r="G17" s="1" t="e">
        <f>#REF!</f>
        <v>#REF!</v>
      </c>
      <c r="H17" s="1" t="e">
        <f>#REF!</f>
        <v>#REF!</v>
      </c>
      <c r="I17" s="1" t="e">
        <f>#REF!</f>
        <v>#REF!</v>
      </c>
      <c r="J17" s="1" t="e">
        <f>#REF!</f>
        <v>#REF!</v>
      </c>
      <c r="K17" s="1" t="e">
        <f t="shared" si="0"/>
        <v>#REF!</v>
      </c>
      <c r="L17" s="1"/>
      <c r="M17" s="1"/>
      <c r="N17" s="1"/>
    </row>
    <row r="18" spans="1:17" ht="14.45" hidden="1" x14ac:dyDescent="0.3">
      <c r="A18">
        <f t="shared" si="1"/>
        <v>8</v>
      </c>
      <c r="C18" s="1" t="s">
        <v>17</v>
      </c>
      <c r="D18" s="1"/>
      <c r="F18" s="1" t="e">
        <f>#REF!</f>
        <v>#REF!</v>
      </c>
      <c r="G18" s="1" t="e">
        <f>#REF!</f>
        <v>#REF!</v>
      </c>
      <c r="H18" s="1" t="e">
        <f>#REF!</f>
        <v>#REF!</v>
      </c>
      <c r="I18" s="1" t="e">
        <f>#REF!</f>
        <v>#REF!</v>
      </c>
      <c r="J18" s="1" t="e">
        <f>#REF!</f>
        <v>#REF!</v>
      </c>
      <c r="K18" s="1" t="e">
        <f t="shared" si="0"/>
        <v>#REF!</v>
      </c>
      <c r="L18" s="1"/>
      <c r="M18" s="1"/>
      <c r="N18" s="1"/>
    </row>
    <row r="19" spans="1:17" ht="14.45" hidden="1" x14ac:dyDescent="0.3">
      <c r="A19">
        <f t="shared" si="1"/>
        <v>9</v>
      </c>
      <c r="C19" t="str">
        <f>+"Equity revenue = ("&amp;+A17&amp;")+("&amp;+A18&amp;") ="</f>
        <v>Equity revenue = (7)+(8) =</v>
      </c>
      <c r="F19" s="1" t="e">
        <f>F17+F18</f>
        <v>#REF!</v>
      </c>
      <c r="G19" s="1" t="e">
        <f t="shared" ref="G19:K19" si="3">G17+G18</f>
        <v>#REF!</v>
      </c>
      <c r="H19" s="1" t="e">
        <f t="shared" si="3"/>
        <v>#REF!</v>
      </c>
      <c r="I19" s="1" t="e">
        <f t="shared" si="3"/>
        <v>#REF!</v>
      </c>
      <c r="J19" s="1" t="e">
        <f t="shared" si="3"/>
        <v>#REF!</v>
      </c>
      <c r="K19" s="1" t="e">
        <f t="shared" si="3"/>
        <v>#REF!</v>
      </c>
      <c r="L19" s="1"/>
      <c r="M19" s="1"/>
      <c r="N19" s="1"/>
    </row>
    <row r="20" spans="1:17" ht="14.45" hidden="1" x14ac:dyDescent="0.3">
      <c r="L20" s="1"/>
      <c r="M20" s="1"/>
      <c r="N20" s="1"/>
    </row>
    <row r="21" spans="1:17" ht="14.45" hidden="1" x14ac:dyDescent="0.3">
      <c r="A21">
        <f>A19+1</f>
        <v>10</v>
      </c>
      <c r="C21" s="1" t="s">
        <v>18</v>
      </c>
      <c r="D21" s="1"/>
      <c r="F21" s="1" t="e">
        <f>#REF!</f>
        <v>#REF!</v>
      </c>
      <c r="G21" s="1" t="e">
        <f>#REF!</f>
        <v>#REF!</v>
      </c>
      <c r="H21" s="1" t="e">
        <f>#REF!</f>
        <v>#REF!</v>
      </c>
      <c r="I21" s="1" t="e">
        <f>#REF!</f>
        <v>#REF!</v>
      </c>
      <c r="J21" s="1" t="e">
        <f>#REF!</f>
        <v>#REF!</v>
      </c>
      <c r="K21" s="1" t="e">
        <f t="shared" ref="K21:K22" si="4">SUM(F21:J21)</f>
        <v>#REF!</v>
      </c>
      <c r="L21" s="1"/>
      <c r="M21" s="1"/>
      <c r="N21" s="1"/>
    </row>
    <row r="22" spans="1:17" ht="14.45" hidden="1" x14ac:dyDescent="0.3">
      <c r="A22">
        <f t="shared" si="1"/>
        <v>11</v>
      </c>
      <c r="C22" s="1" t="s">
        <v>19</v>
      </c>
      <c r="D22" s="1"/>
      <c r="F22" s="1" t="e">
        <f>#REF!</f>
        <v>#REF!</v>
      </c>
      <c r="G22" s="1" t="e">
        <f>#REF!</f>
        <v>#REF!</v>
      </c>
      <c r="H22" s="1" t="e">
        <f>#REF!</f>
        <v>#REF!</v>
      </c>
      <c r="I22" s="1" t="e">
        <f>#REF!</f>
        <v>#REF!</v>
      </c>
      <c r="J22" s="1" t="e">
        <f>#REF!</f>
        <v>#REF!</v>
      </c>
      <c r="K22" s="1" t="e">
        <f t="shared" si="4"/>
        <v>#REF!</v>
      </c>
      <c r="L22" s="1"/>
      <c r="M22" s="1"/>
      <c r="N22" s="1"/>
    </row>
    <row r="23" spans="1:17" ht="14.45" hidden="1" x14ac:dyDescent="0.3">
      <c r="A23">
        <f t="shared" si="1"/>
        <v>12</v>
      </c>
      <c r="C23" t="str">
        <f>+"Transition revenue = ("&amp;+A21&amp;")+("&amp;+A22&amp;") ="</f>
        <v>Transition revenue = (10)+(11) =</v>
      </c>
      <c r="F23" s="1" t="e">
        <f>F21+F22</f>
        <v>#REF!</v>
      </c>
      <c r="G23" s="1" t="e">
        <f t="shared" ref="G23:K23" si="5">G21+G22</f>
        <v>#REF!</v>
      </c>
      <c r="H23" s="1" t="e">
        <f t="shared" si="5"/>
        <v>#REF!</v>
      </c>
      <c r="I23" s="1" t="e">
        <f t="shared" si="5"/>
        <v>#REF!</v>
      </c>
      <c r="J23" s="1" t="e">
        <f t="shared" si="5"/>
        <v>#REF!</v>
      </c>
      <c r="K23" s="1" t="e">
        <f t="shared" si="5"/>
        <v>#REF!</v>
      </c>
      <c r="L23" s="1"/>
      <c r="M23" s="1"/>
      <c r="N23" s="1"/>
    </row>
    <row r="24" spans="1:17" ht="14.45" hidden="1" x14ac:dyDescent="0.3"/>
    <row r="25" spans="1:17" ht="14.45" hidden="1" x14ac:dyDescent="0.3">
      <c r="A25">
        <f>A23+1</f>
        <v>13</v>
      </c>
      <c r="C25" t="str">
        <f>+"RMV per RMCPU = ( "&amp;+A11&amp;")/("&amp;+A10&amp;") ="</f>
        <v>RMV per RMCPU = ( 3)/(2) =</v>
      </c>
      <c r="F25" s="1" t="e">
        <f>F11/F10</f>
        <v>#REF!</v>
      </c>
      <c r="G25" s="1" t="e">
        <f t="shared" ref="G25:K25" si="6">G11/G10</f>
        <v>#REF!</v>
      </c>
      <c r="H25" s="1" t="e">
        <f t="shared" si="6"/>
        <v>#REF!</v>
      </c>
      <c r="I25" s="1" t="e">
        <f t="shared" si="6"/>
        <v>#REF!</v>
      </c>
      <c r="J25" s="1" t="e">
        <f t="shared" si="6"/>
        <v>#REF!</v>
      </c>
      <c r="K25" s="1" t="e">
        <f t="shared" si="6"/>
        <v>#REF!</v>
      </c>
    </row>
    <row r="26" spans="1:17" ht="14.45" hidden="1" x14ac:dyDescent="0.3">
      <c r="F26" s="1"/>
      <c r="G26" s="1"/>
      <c r="H26" s="1"/>
      <c r="I26" s="1"/>
      <c r="J26" s="1"/>
      <c r="K26" s="1"/>
    </row>
    <row r="27" spans="1:17" ht="14.45" hidden="1" x14ac:dyDescent="0.3">
      <c r="A27">
        <f>A25+1</f>
        <v>14</v>
      </c>
      <c r="C27" t="str">
        <f>+"Revenue per ADM, referendum = ("&amp;FIXED(A15,0)&amp;")/("&amp;FIXED(A9,0)&amp;") ="</f>
        <v>Revenue per ADM, referendum = (6)/(1) =</v>
      </c>
      <c r="F27" s="1" t="e">
        <f>F15/F9</f>
        <v>#REF!</v>
      </c>
      <c r="G27" s="1" t="e">
        <f t="shared" ref="G27:K27" si="7">G15/G9</f>
        <v>#REF!</v>
      </c>
      <c r="H27" s="1" t="e">
        <f t="shared" si="7"/>
        <v>#REF!</v>
      </c>
      <c r="I27" s="1" t="e">
        <f t="shared" si="7"/>
        <v>#REF!</v>
      </c>
      <c r="J27" s="1" t="e">
        <f t="shared" si="7"/>
        <v>#REF!</v>
      </c>
      <c r="K27" s="1" t="e">
        <f t="shared" si="7"/>
        <v>#REF!</v>
      </c>
      <c r="L27" s="1"/>
      <c r="M27" s="1"/>
      <c r="N27" s="1"/>
      <c r="O27" s="1"/>
      <c r="P27" s="1"/>
      <c r="Q27" s="1"/>
    </row>
    <row r="28" spans="1:17" ht="14.45" hidden="1" x14ac:dyDescent="0.3">
      <c r="A28">
        <f>A27+1</f>
        <v>15</v>
      </c>
      <c r="C28" t="str">
        <f>+"Revenue per ADM, equity = ("&amp;FIXED(A19,0)&amp;")/("&amp;FIXED(A9,0)&amp;") ="</f>
        <v>Revenue per ADM, equity = (9)/(1) =</v>
      </c>
      <c r="F28" s="1" t="e">
        <f>F19/F9</f>
        <v>#REF!</v>
      </c>
      <c r="G28" s="1" t="e">
        <f t="shared" ref="G28:K28" si="8">G19/G9</f>
        <v>#REF!</v>
      </c>
      <c r="H28" s="1" t="e">
        <f t="shared" si="8"/>
        <v>#REF!</v>
      </c>
      <c r="I28" s="1" t="e">
        <f t="shared" si="8"/>
        <v>#REF!</v>
      </c>
      <c r="J28" s="1" t="e">
        <f t="shared" si="8"/>
        <v>#REF!</v>
      </c>
      <c r="K28" s="1" t="e">
        <f t="shared" si="8"/>
        <v>#REF!</v>
      </c>
      <c r="L28" s="1"/>
      <c r="M28" s="1"/>
      <c r="N28" s="1"/>
      <c r="O28" s="1"/>
      <c r="P28" s="1"/>
      <c r="Q28" s="1"/>
    </row>
    <row r="29" spans="1:17" ht="14.45" hidden="1" x14ac:dyDescent="0.3">
      <c r="A29">
        <f>A28+1</f>
        <v>16</v>
      </c>
      <c r="C29" t="str">
        <f>+"Revenue per ADM, transition = ("&amp;FIXED(A17,0)&amp;")/("&amp;FIXED(A9,0)&amp;") ="</f>
        <v>Revenue per ADM, transition = (7)/(1) =</v>
      </c>
      <c r="F29" s="1" t="e">
        <f>F23/F9</f>
        <v>#REF!</v>
      </c>
      <c r="G29" s="1" t="e">
        <f t="shared" ref="G29:K29" si="9">G23/G9</f>
        <v>#REF!</v>
      </c>
      <c r="H29" s="1" t="e">
        <f t="shared" si="9"/>
        <v>#REF!</v>
      </c>
      <c r="I29" s="1" t="e">
        <f t="shared" si="9"/>
        <v>#REF!</v>
      </c>
      <c r="J29" s="1" t="e">
        <f t="shared" si="9"/>
        <v>#REF!</v>
      </c>
      <c r="K29" s="1" t="e">
        <f t="shared" si="9"/>
        <v>#REF!</v>
      </c>
      <c r="L29" s="1"/>
      <c r="M29" s="1"/>
      <c r="N29" s="1"/>
      <c r="O29" s="1"/>
      <c r="P29" s="1"/>
      <c r="Q29" s="1"/>
    </row>
    <row r="30" spans="1:17" ht="14.45" hidden="1" x14ac:dyDescent="0.3">
      <c r="A30">
        <f>A29+1</f>
        <v>17</v>
      </c>
      <c r="C30" t="str">
        <f>+"Revenue per ADM, combined = ("&amp;+A27&amp;")+("&amp;+A28&amp;")+("&amp;+A29&amp;") ="</f>
        <v>Revenue per ADM, combined = (14)+(15)+(16) =</v>
      </c>
      <c r="F30" s="1" t="e">
        <f>SUM(F27:F29)</f>
        <v>#REF!</v>
      </c>
      <c r="G30" s="1" t="e">
        <f t="shared" ref="G30:K30" si="10">SUM(G27:G29)</f>
        <v>#REF!</v>
      </c>
      <c r="H30" s="1" t="e">
        <f t="shared" si="10"/>
        <v>#REF!</v>
      </c>
      <c r="I30" s="1" t="e">
        <f t="shared" si="10"/>
        <v>#REF!</v>
      </c>
      <c r="J30" s="1" t="e">
        <f t="shared" si="10"/>
        <v>#REF!</v>
      </c>
      <c r="K30" s="1" t="e">
        <f t="shared" si="10"/>
        <v>#REF!</v>
      </c>
      <c r="L30" s="1"/>
      <c r="M30" s="1"/>
      <c r="N30" s="1"/>
      <c r="O30" s="1"/>
      <c r="P30" s="1"/>
      <c r="Q30" s="1"/>
    </row>
    <row r="31" spans="1:17" ht="14.45" hidden="1" x14ac:dyDescent="0.3"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4.45" hidden="1" x14ac:dyDescent="0.3">
      <c r="A32">
        <f>A30+1</f>
        <v>18</v>
      </c>
      <c r="C32" t="s">
        <v>20</v>
      </c>
      <c r="F32" s="1"/>
      <c r="G32" s="1"/>
      <c r="H32" s="1"/>
      <c r="I32" s="1"/>
      <c r="J32" s="1"/>
      <c r="K32" s="1"/>
    </row>
    <row r="33" spans="1:26" ht="14.45" hidden="1" x14ac:dyDescent="0.3">
      <c r="C33" t="str">
        <f>+"= [("&amp;+A13&amp;")+("&amp;+A17&amp;")+("&amp;+A21&amp;")/[("&amp;+A15&amp;")+("&amp;+A19&amp;")+("&amp;+A23&amp;")] ="</f>
        <v>= [(4)+(7)+(10)/[(6)+(9)+(12)] =</v>
      </c>
      <c r="F33" s="5" t="e">
        <f>(F13+F17+F21)/(F15+F19+F23)</f>
        <v>#REF!</v>
      </c>
      <c r="G33" s="5" t="e">
        <f t="shared" ref="G33:K33" si="11">(G13+G17+G21)/(G15+G19+G23)</f>
        <v>#REF!</v>
      </c>
      <c r="H33" s="5" t="e">
        <f t="shared" si="11"/>
        <v>#REF!</v>
      </c>
      <c r="I33" s="5" t="e">
        <f t="shared" si="11"/>
        <v>#REF!</v>
      </c>
      <c r="J33" s="5" t="e">
        <f t="shared" si="11"/>
        <v>#REF!</v>
      </c>
      <c r="K33" s="5" t="e">
        <f t="shared" si="11"/>
        <v>#REF!</v>
      </c>
    </row>
    <row r="34" spans="1:26" ht="14.45" hidden="1" x14ac:dyDescent="0.3">
      <c r="F34" s="1"/>
      <c r="G34" s="1"/>
      <c r="H34" s="1"/>
      <c r="I34" s="1"/>
      <c r="J34" s="1"/>
      <c r="K34" s="1"/>
    </row>
    <row r="35" spans="1:26" ht="14.45" hidden="1" x14ac:dyDescent="0.3">
      <c r="A35">
        <f>A32+1</f>
        <v>19</v>
      </c>
      <c r="C35" t="str">
        <f>+"Levy rate = [("&amp;+A14&amp;")+("&amp;+A18&amp;")+("&amp;+A22&amp;")]/("&amp;+A11&amp;") ="</f>
        <v>Levy rate = [(5)+(8)+(11)]/(3) =</v>
      </c>
      <c r="F35" s="7" t="e">
        <f t="shared" ref="F35:K35" si="12">(F14+F18+F22)/F11</f>
        <v>#REF!</v>
      </c>
      <c r="G35" s="7" t="e">
        <f t="shared" si="12"/>
        <v>#REF!</v>
      </c>
      <c r="H35" s="7" t="e">
        <f t="shared" si="12"/>
        <v>#REF!</v>
      </c>
      <c r="I35" s="7" t="e">
        <f t="shared" si="12"/>
        <v>#REF!</v>
      </c>
      <c r="J35" s="7" t="e">
        <f t="shared" si="12"/>
        <v>#REF!</v>
      </c>
      <c r="K35" s="7" t="e">
        <f t="shared" si="12"/>
        <v>#REF!</v>
      </c>
    </row>
    <row r="36" spans="1:26" ht="14.45" hidden="1" x14ac:dyDescent="0.3">
      <c r="A36">
        <f>A35+1</f>
        <v>20</v>
      </c>
      <c r="C36" t="str">
        <f>+"Levy per $100K RMV = $100,000 x ("&amp;+A35&amp;") ="</f>
        <v>Levy per $100K RMV = $100,000 x (19) =</v>
      </c>
      <c r="F36" s="1" t="e">
        <f>100000*F35</f>
        <v>#REF!</v>
      </c>
      <c r="G36" s="1" t="e">
        <f t="shared" ref="G36:K36" si="13">100000*G35</f>
        <v>#REF!</v>
      </c>
      <c r="H36" s="1" t="e">
        <f t="shared" si="13"/>
        <v>#REF!</v>
      </c>
      <c r="I36" s="1" t="e">
        <f t="shared" si="13"/>
        <v>#REF!</v>
      </c>
      <c r="J36" s="1" t="e">
        <f t="shared" si="13"/>
        <v>#REF!</v>
      </c>
      <c r="K36" s="1" t="e">
        <f t="shared" si="13"/>
        <v>#REF!</v>
      </c>
    </row>
    <row r="37" spans="1:26" ht="14.45" hidden="1" x14ac:dyDescent="0.3"/>
    <row r="38" spans="1:26" ht="14.45" hidden="1" x14ac:dyDescent="0.3">
      <c r="A38">
        <f>A36+1</f>
        <v>21</v>
      </c>
      <c r="C38" t="s">
        <v>21</v>
      </c>
    </row>
    <row r="39" spans="1:26" ht="14.45" hidden="1" x14ac:dyDescent="0.3">
      <c r="C39" t="str">
        <f>+"on $100,000 of RMV = ("&amp;+A30&amp;")/("&amp;+A36&amp;") ="</f>
        <v>on $100,000 of RMV = (17)/(20) =</v>
      </c>
      <c r="F39" s="8" t="e">
        <f>F30/F36</f>
        <v>#REF!</v>
      </c>
      <c r="G39" s="8" t="e">
        <f t="shared" ref="G39:K39" si="14">G30/G36</f>
        <v>#REF!</v>
      </c>
      <c r="H39" s="8" t="e">
        <f t="shared" si="14"/>
        <v>#REF!</v>
      </c>
      <c r="I39" s="8" t="e">
        <f t="shared" si="14"/>
        <v>#REF!</v>
      </c>
      <c r="J39" s="8" t="e">
        <f t="shared" si="14"/>
        <v>#REF!</v>
      </c>
      <c r="K39" s="8" t="e">
        <f t="shared" si="14"/>
        <v>#REF!</v>
      </c>
    </row>
    <row r="40" spans="1:26" ht="14.45" hidden="1" x14ac:dyDescent="0.3"/>
    <row r="41" spans="1:26" ht="14.45" hidden="1" x14ac:dyDescent="0.3">
      <c r="A41">
        <f>A38+1</f>
        <v>22</v>
      </c>
      <c r="C41" t="str">
        <f>+"RMV per ADM = ("&amp;+A11&amp;")/("&amp;+A9&amp;") ="</f>
        <v>RMV per ADM = (3)/(1) =</v>
      </c>
      <c r="F41" s="8" t="e">
        <f>F11/F9</f>
        <v>#REF!</v>
      </c>
      <c r="G41" s="8" t="e">
        <f t="shared" ref="G41:K41" si="15">G11/G9</f>
        <v>#REF!</v>
      </c>
      <c r="H41" s="8" t="e">
        <f t="shared" si="15"/>
        <v>#REF!</v>
      </c>
      <c r="I41" s="8" t="e">
        <f t="shared" si="15"/>
        <v>#REF!</v>
      </c>
      <c r="J41" s="8" t="e">
        <f t="shared" si="15"/>
        <v>#REF!</v>
      </c>
      <c r="K41" s="8" t="e">
        <f t="shared" si="15"/>
        <v>#REF!</v>
      </c>
    </row>
    <row r="42" spans="1:26" ht="14.45" hidden="1" x14ac:dyDescent="0.3">
      <c r="A42">
        <f>A41+1</f>
        <v>23</v>
      </c>
      <c r="C42" t="str">
        <f>+"Levy portion = 1 - ("&amp;+A32&amp;") ="</f>
        <v>Levy portion = 1 - (18) =</v>
      </c>
      <c r="F42" s="9" t="e">
        <f>1-F33</f>
        <v>#REF!</v>
      </c>
      <c r="G42" s="9" t="e">
        <f t="shared" ref="G42:K42" si="16">1-G33</f>
        <v>#REF!</v>
      </c>
      <c r="H42" s="9" t="e">
        <f t="shared" si="16"/>
        <v>#REF!</v>
      </c>
      <c r="I42" s="9" t="e">
        <f t="shared" si="16"/>
        <v>#REF!</v>
      </c>
      <c r="J42" s="9" t="e">
        <f t="shared" si="16"/>
        <v>#REF!</v>
      </c>
      <c r="K42" s="9" t="e">
        <f t="shared" si="16"/>
        <v>#REF!</v>
      </c>
    </row>
    <row r="43" spans="1:26" ht="14.45" hidden="1" x14ac:dyDescent="0.3">
      <c r="A43">
        <f>A42+1</f>
        <v>24</v>
      </c>
      <c r="C43" t="str">
        <f>+"Adjusted ratio = [("&amp;+A41&amp;")/("&amp;+A42&amp;")]/100,000 ="</f>
        <v>Adjusted ratio = [(22)/(23)]/100,000 =</v>
      </c>
      <c r="F43" s="8" t="e">
        <f>(F41/F42)/100000</f>
        <v>#REF!</v>
      </c>
      <c r="G43" s="8" t="e">
        <f t="shared" ref="G43:K43" si="17">(G41/G42)/100000</f>
        <v>#REF!</v>
      </c>
      <c r="H43" s="8" t="e">
        <f t="shared" si="17"/>
        <v>#REF!</v>
      </c>
      <c r="I43" s="8" t="e">
        <f t="shared" si="17"/>
        <v>#REF!</v>
      </c>
      <c r="J43" s="8" t="e">
        <f t="shared" si="17"/>
        <v>#REF!</v>
      </c>
      <c r="K43" s="8" t="e">
        <f t="shared" si="17"/>
        <v>#REF!</v>
      </c>
    </row>
    <row r="44" spans="1:26" ht="14.45" x14ac:dyDescent="0.3">
      <c r="A44" t="s">
        <v>22</v>
      </c>
      <c r="Y44" s="10">
        <v>41115</v>
      </c>
    </row>
    <row r="45" spans="1:26" ht="18.600000000000001" customHeight="1" x14ac:dyDescent="0.3">
      <c r="A45" s="76" t="s">
        <v>23</v>
      </c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</row>
    <row r="46" spans="1:26" ht="17.45" customHeight="1" x14ac:dyDescent="0.3">
      <c r="Y46" s="10"/>
    </row>
    <row r="47" spans="1:26" ht="14.45" x14ac:dyDescent="0.3">
      <c r="A47" s="11" t="s">
        <v>24</v>
      </c>
      <c r="B47" s="2"/>
      <c r="C47" s="2"/>
      <c r="D47" s="2"/>
      <c r="E47" s="1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31</v>
      </c>
      <c r="L47" s="2" t="s">
        <v>32</v>
      </c>
      <c r="M47" s="2" t="s">
        <v>33</v>
      </c>
      <c r="N47" s="2" t="s">
        <v>34</v>
      </c>
      <c r="O47" s="2" t="s">
        <v>35</v>
      </c>
      <c r="P47" s="2" t="s">
        <v>36</v>
      </c>
      <c r="Q47" s="2"/>
      <c r="R47" s="2" t="s">
        <v>37</v>
      </c>
      <c r="S47" s="2" t="s">
        <v>38</v>
      </c>
      <c r="T47" s="2" t="s">
        <v>39</v>
      </c>
      <c r="U47" s="2"/>
      <c r="V47" s="2"/>
      <c r="W47" s="2"/>
      <c r="X47" s="13"/>
      <c r="Y47" s="2"/>
      <c r="Z47" s="2"/>
    </row>
    <row r="48" spans="1:26" s="14" customFormat="1" ht="14.45" x14ac:dyDescent="0.3">
      <c r="E48" s="15"/>
      <c r="U48" s="14" t="s">
        <v>40</v>
      </c>
      <c r="V48" s="14" t="s">
        <v>40</v>
      </c>
      <c r="W48" s="14" t="s">
        <v>40</v>
      </c>
      <c r="X48" s="16" t="s">
        <v>41</v>
      </c>
      <c r="Y48" s="14" t="s">
        <v>42</v>
      </c>
    </row>
    <row r="49" spans="1:31" s="17" customFormat="1" ht="14.45" x14ac:dyDescent="0.3">
      <c r="E49" s="18"/>
      <c r="F49" s="18"/>
      <c r="G49" s="18"/>
      <c r="J49" s="17" t="s">
        <v>40</v>
      </c>
      <c r="M49" s="17" t="s">
        <v>43</v>
      </c>
      <c r="P49" s="17" t="s">
        <v>44</v>
      </c>
      <c r="Q49" s="17" t="s">
        <v>45</v>
      </c>
      <c r="S49" s="17" t="s">
        <v>46</v>
      </c>
      <c r="U49" s="17" t="s">
        <v>47</v>
      </c>
      <c r="V49" s="17" t="s">
        <v>48</v>
      </c>
      <c r="W49" s="17" t="s">
        <v>48</v>
      </c>
      <c r="X49" s="19" t="s">
        <v>49</v>
      </c>
      <c r="Y49" s="17" t="s">
        <v>50</v>
      </c>
    </row>
    <row r="50" spans="1:31" s="20" customFormat="1" ht="14.45" x14ac:dyDescent="0.3">
      <c r="E50" s="21"/>
      <c r="G50" s="20" t="s">
        <v>51</v>
      </c>
      <c r="H50" s="20" t="s">
        <v>40</v>
      </c>
      <c r="I50" s="20" t="s">
        <v>40</v>
      </c>
      <c r="J50" s="20" t="s">
        <v>47</v>
      </c>
      <c r="K50" s="20" t="s">
        <v>43</v>
      </c>
      <c r="L50" s="20" t="s">
        <v>43</v>
      </c>
      <c r="M50" s="20" t="s">
        <v>47</v>
      </c>
      <c r="N50" s="20" t="s">
        <v>44</v>
      </c>
      <c r="O50" s="20" t="s">
        <v>44</v>
      </c>
      <c r="P50" s="20" t="s">
        <v>47</v>
      </c>
      <c r="Q50" s="22" t="s">
        <v>52</v>
      </c>
      <c r="R50" s="20" t="s">
        <v>46</v>
      </c>
      <c r="S50" s="20" t="s">
        <v>53</v>
      </c>
      <c r="T50" s="20" t="s">
        <v>54</v>
      </c>
      <c r="U50" s="20" t="s">
        <v>55</v>
      </c>
      <c r="V50" s="20" t="s">
        <v>55</v>
      </c>
      <c r="W50" s="20" t="s">
        <v>56</v>
      </c>
      <c r="X50" s="23" t="s">
        <v>57</v>
      </c>
      <c r="Y50" s="20" t="s">
        <v>58</v>
      </c>
    </row>
    <row r="51" spans="1:31" s="2" customFormat="1" ht="14.45" x14ac:dyDescent="0.3">
      <c r="D51" s="24" t="s">
        <v>59</v>
      </c>
      <c r="E51" s="12" t="s">
        <v>45</v>
      </c>
      <c r="F51" s="2" t="s">
        <v>12</v>
      </c>
      <c r="G51" s="2" t="s">
        <v>53</v>
      </c>
      <c r="H51" s="2" t="s">
        <v>48</v>
      </c>
      <c r="I51" s="2" t="s">
        <v>41</v>
      </c>
      <c r="J51" s="2" t="str">
        <f>+"= "&amp;+H47&amp;"+"&amp;+I47</f>
        <v>= D+E</v>
      </c>
      <c r="K51" s="2" t="s">
        <v>48</v>
      </c>
      <c r="L51" s="2" t="s">
        <v>41</v>
      </c>
      <c r="M51" s="2" t="str">
        <f>+"= "&amp;+K47&amp;"+"&amp;+L47</f>
        <v>= G+H</v>
      </c>
      <c r="N51" s="2" t="s">
        <v>48</v>
      </c>
      <c r="O51" s="2" t="s">
        <v>41</v>
      </c>
      <c r="X51" s="13"/>
    </row>
    <row r="53" spans="1:31" ht="14.45" x14ac:dyDescent="0.3">
      <c r="C53" t="s">
        <v>8</v>
      </c>
      <c r="D53" s="1">
        <f t="shared" ref="D53" si="18">SUM(D56:D391)</f>
        <v>48</v>
      </c>
      <c r="E53" s="1">
        <f t="shared" ref="E53:P53" si="19">SUM(E56:E391)</f>
        <v>446467719794</v>
      </c>
      <c r="F53" s="1">
        <f t="shared" si="19"/>
        <v>926591.6799999997</v>
      </c>
      <c r="G53" s="1">
        <f t="shared" si="19"/>
        <v>779521</v>
      </c>
      <c r="H53" s="1">
        <f t="shared" si="19"/>
        <v>84744858.300000027</v>
      </c>
      <c r="I53" s="1">
        <f t="shared" si="19"/>
        <v>746149031.81999993</v>
      </c>
      <c r="J53" s="1">
        <f t="shared" si="19"/>
        <v>830893890.12000024</v>
      </c>
      <c r="K53" s="1">
        <f t="shared" si="19"/>
        <v>14120660.829999991</v>
      </c>
      <c r="L53" s="1">
        <f t="shared" si="19"/>
        <v>75289635.120000064</v>
      </c>
      <c r="M53" s="1">
        <f t="shared" si="19"/>
        <v>89410295.949999943</v>
      </c>
      <c r="N53" s="1">
        <f t="shared" si="19"/>
        <v>4014506.3099999996</v>
      </c>
      <c r="O53" s="1">
        <f t="shared" si="19"/>
        <v>23507715.480000004</v>
      </c>
      <c r="P53" s="1">
        <f t="shared" si="19"/>
        <v>27522221.790000003</v>
      </c>
      <c r="Q53" s="1">
        <f>IF(F53=0,0,E53/F53)</f>
        <v>481838.68842206756</v>
      </c>
      <c r="R53" s="2" t="s">
        <v>60</v>
      </c>
      <c r="S53" s="2" t="s">
        <v>60</v>
      </c>
      <c r="T53" s="2" t="s">
        <v>60</v>
      </c>
      <c r="U53" s="1">
        <f>IF(G53=0,0,(J53)/G53)</f>
        <v>1065.9031509349975</v>
      </c>
      <c r="V53" s="1">
        <f>H53/G53</f>
        <v>108.71401578661771</v>
      </c>
      <c r="W53" s="25">
        <f>V53/U53</f>
        <v>0.10199239554855906</v>
      </c>
      <c r="X53" s="6">
        <f>IF(E53=0,0,(I53)/E53)*100000</f>
        <v>167.12272774485751</v>
      </c>
      <c r="Y53" s="1">
        <f t="shared" ref="Y53" si="20">IF(X53=0,0,U53/X53)*100</f>
        <v>637.79664520692108</v>
      </c>
      <c r="AE53">
        <f>SUM(AG56:AG391)</f>
        <v>0</v>
      </c>
    </row>
    <row r="54" spans="1:31" ht="14.45" x14ac:dyDescent="0.3">
      <c r="D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"/>
      <c r="U54" s="1"/>
      <c r="V54" s="1"/>
      <c r="W54" s="25"/>
      <c r="Y54" s="1"/>
    </row>
    <row r="55" spans="1:31" ht="14.45" x14ac:dyDescent="0.3">
      <c r="U55" s="1"/>
      <c r="V55" s="1"/>
      <c r="W55" s="25"/>
      <c r="Y55" s="1"/>
    </row>
    <row r="56" spans="1:31" ht="14.45" x14ac:dyDescent="0.3">
      <c r="A56" s="26">
        <v>1</v>
      </c>
      <c r="B56" s="26">
        <v>1</v>
      </c>
      <c r="C56" s="27" t="s">
        <v>61</v>
      </c>
      <c r="D56" s="28">
        <v>0</v>
      </c>
      <c r="E56" s="29">
        <v>832399770</v>
      </c>
      <c r="F56" s="29">
        <v>1344.16</v>
      </c>
      <c r="G56" s="30">
        <v>1221</v>
      </c>
      <c r="H56" s="31">
        <v>0</v>
      </c>
      <c r="I56" s="29">
        <v>80.649999999999991</v>
      </c>
      <c r="J56" s="30">
        <v>80.649999999999991</v>
      </c>
      <c r="K56" s="29">
        <v>0</v>
      </c>
      <c r="L56" s="31">
        <v>290310.81999999995</v>
      </c>
      <c r="M56" s="31">
        <v>290310.81999999995</v>
      </c>
      <c r="N56" s="31">
        <v>0</v>
      </c>
      <c r="O56" s="31">
        <v>57561.920000000006</v>
      </c>
      <c r="P56" s="31">
        <v>57561.920000000006</v>
      </c>
      <c r="Q56" s="1">
        <f t="shared" ref="Q56:Q119" si="21">IF(F56=0,0,E56/F56)</f>
        <v>619271.344185216</v>
      </c>
      <c r="R56" s="1">
        <f t="shared" ref="R56:R119" si="22">R55+G56</f>
        <v>1221</v>
      </c>
      <c r="S56" s="32">
        <f t="shared" ref="S56:S119" si="23">S55+G56/$G$53</f>
        <v>1.5663465127943956E-3</v>
      </c>
      <c r="T56" s="1">
        <f t="shared" ref="T56:T119" si="24">MIN(5,INT(S56/0.2)+1)</f>
        <v>1</v>
      </c>
      <c r="U56" s="1">
        <f t="shared" ref="U56:U119" si="25">IF(G56=0,0,(J56)/G56)</f>
        <v>6.6052416052416046E-2</v>
      </c>
      <c r="V56" s="1">
        <f t="shared" ref="V56:V119" si="26">H56/G56</f>
        <v>0</v>
      </c>
      <c r="W56" s="25">
        <f>V56/U56</f>
        <v>0</v>
      </c>
      <c r="X56" s="6">
        <f t="shared" ref="X56:X119" si="27">IF(E56=0,0,(I56)/E56)*100000</f>
        <v>9.6888541908174714E-3</v>
      </c>
      <c r="Y56" s="1">
        <f t="shared" ref="Y56:Y119" si="28">IF(X56=0,0,U56/X56)*100</f>
        <v>681.73609336609331</v>
      </c>
    </row>
    <row r="57" spans="1:31" ht="14.45" x14ac:dyDescent="0.3">
      <c r="A57" s="26">
        <v>1.2</v>
      </c>
      <c r="B57" s="26">
        <v>3</v>
      </c>
      <c r="C57" s="27" t="s">
        <v>62</v>
      </c>
      <c r="D57" s="28">
        <v>1</v>
      </c>
      <c r="E57" s="29">
        <v>34734592730</v>
      </c>
      <c r="F57" s="29">
        <v>51217.48</v>
      </c>
      <c r="G57" s="30">
        <v>32477</v>
      </c>
      <c r="H57" s="31">
        <v>11887.789999999106</v>
      </c>
      <c r="I57" s="29">
        <v>65298594.010000005</v>
      </c>
      <c r="J57" s="30">
        <v>65310481.800000004</v>
      </c>
      <c r="K57" s="29">
        <v>0</v>
      </c>
      <c r="L57" s="31">
        <v>1693971.16</v>
      </c>
      <c r="M57" s="31">
        <v>1693971.16</v>
      </c>
      <c r="N57" s="31">
        <v>0</v>
      </c>
      <c r="O57" s="31">
        <v>6558162.9100000001</v>
      </c>
      <c r="P57" s="31">
        <v>6558162.9100000001</v>
      </c>
      <c r="Q57" s="1">
        <f t="shared" si="21"/>
        <v>678178.47988616384</v>
      </c>
      <c r="R57" s="1">
        <f t="shared" si="22"/>
        <v>33698</v>
      </c>
      <c r="S57" s="32">
        <f t="shared" si="23"/>
        <v>4.3229111210602404E-2</v>
      </c>
      <c r="T57" s="1">
        <f t="shared" si="24"/>
        <v>1</v>
      </c>
      <c r="U57" s="1">
        <f t="shared" si="25"/>
        <v>2010.9764387104722</v>
      </c>
      <c r="V57" s="1">
        <f t="shared" si="26"/>
        <v>0.36603719555374897</v>
      </c>
      <c r="W57" s="25">
        <f>V57/U57</f>
        <v>1.8201963409798493E-4</v>
      </c>
      <c r="X57" s="6">
        <f t="shared" si="27"/>
        <v>187.99297437451199</v>
      </c>
      <c r="Y57" s="1">
        <f t="shared" si="28"/>
        <v>1069.7082938345804</v>
      </c>
    </row>
    <row r="58" spans="1:31" ht="14.45" x14ac:dyDescent="0.3">
      <c r="A58" s="26">
        <v>2</v>
      </c>
      <c r="B58" s="26">
        <v>1</v>
      </c>
      <c r="C58" s="27" t="s">
        <v>63</v>
      </c>
      <c r="D58" s="28">
        <v>0</v>
      </c>
      <c r="E58" s="29">
        <v>81131225</v>
      </c>
      <c r="F58" s="29">
        <v>274.67</v>
      </c>
      <c r="G58" s="30">
        <v>261</v>
      </c>
      <c r="H58" s="31">
        <v>0</v>
      </c>
      <c r="I58" s="29">
        <v>0</v>
      </c>
      <c r="J58" s="30">
        <v>0</v>
      </c>
      <c r="K58" s="29">
        <v>16223.609999999997</v>
      </c>
      <c r="L58" s="31">
        <v>26530.87</v>
      </c>
      <c r="M58" s="31">
        <v>42754.479999999996</v>
      </c>
      <c r="N58" s="31">
        <v>5567.59</v>
      </c>
      <c r="O58" s="31">
        <v>9104.82</v>
      </c>
      <c r="P58" s="31">
        <v>14672.41</v>
      </c>
      <c r="Q58" s="1">
        <f t="shared" si="21"/>
        <v>295377.08887028066</v>
      </c>
      <c r="R58" s="1">
        <f t="shared" si="22"/>
        <v>33959</v>
      </c>
      <c r="S58" s="32">
        <f t="shared" si="23"/>
        <v>4.3563932209651823E-2</v>
      </c>
      <c r="T58" s="1">
        <f t="shared" si="24"/>
        <v>1</v>
      </c>
      <c r="U58" s="1">
        <f t="shared" si="25"/>
        <v>0</v>
      </c>
      <c r="V58" s="1">
        <f t="shared" si="26"/>
        <v>0</v>
      </c>
      <c r="W58" s="33" t="s">
        <v>60</v>
      </c>
      <c r="X58" s="6">
        <f t="shared" si="27"/>
        <v>0</v>
      </c>
      <c r="Y58" s="1">
        <f t="shared" si="28"/>
        <v>0</v>
      </c>
    </row>
    <row r="59" spans="1:31" ht="14.45" x14ac:dyDescent="0.3">
      <c r="A59" s="26">
        <v>4</v>
      </c>
      <c r="B59" s="26">
        <v>1</v>
      </c>
      <c r="C59" s="27" t="s">
        <v>64</v>
      </c>
      <c r="D59" s="28">
        <v>0</v>
      </c>
      <c r="E59" s="29">
        <v>324940018</v>
      </c>
      <c r="F59" s="29">
        <v>522.96</v>
      </c>
      <c r="G59" s="30">
        <v>355</v>
      </c>
      <c r="H59" s="31">
        <v>0</v>
      </c>
      <c r="I59" s="29">
        <v>0</v>
      </c>
      <c r="J59" s="30">
        <v>0</v>
      </c>
      <c r="K59" s="29">
        <v>0</v>
      </c>
      <c r="L59" s="31">
        <v>71094.09</v>
      </c>
      <c r="M59" s="31">
        <v>71094.09</v>
      </c>
      <c r="N59" s="31">
        <v>0</v>
      </c>
      <c r="O59" s="31">
        <v>0</v>
      </c>
      <c r="P59" s="31">
        <v>0</v>
      </c>
      <c r="Q59" s="1">
        <f t="shared" si="21"/>
        <v>621347.74743766245</v>
      </c>
      <c r="R59" s="1">
        <f t="shared" si="22"/>
        <v>34314</v>
      </c>
      <c r="S59" s="32">
        <f t="shared" si="23"/>
        <v>4.4019340081922105E-2</v>
      </c>
      <c r="T59" s="1">
        <f t="shared" si="24"/>
        <v>1</v>
      </c>
      <c r="U59" s="1">
        <f t="shared" si="25"/>
        <v>0</v>
      </c>
      <c r="V59" s="1">
        <f t="shared" si="26"/>
        <v>0</v>
      </c>
      <c r="W59" s="33" t="s">
        <v>60</v>
      </c>
      <c r="X59" s="6">
        <f t="shared" si="27"/>
        <v>0</v>
      </c>
      <c r="Y59" s="1">
        <f t="shared" si="28"/>
        <v>0</v>
      </c>
    </row>
    <row r="60" spans="1:31" ht="14.45" x14ac:dyDescent="0.3">
      <c r="A60" s="26">
        <v>6</v>
      </c>
      <c r="B60" s="26">
        <v>3</v>
      </c>
      <c r="C60" s="27" t="s">
        <v>65</v>
      </c>
      <c r="D60" s="28">
        <v>1</v>
      </c>
      <c r="E60" s="29">
        <v>1329568050</v>
      </c>
      <c r="F60" s="29">
        <v>3348.69</v>
      </c>
      <c r="G60" s="30">
        <v>3183</v>
      </c>
      <c r="H60" s="31">
        <v>388835.86000000034</v>
      </c>
      <c r="I60" s="29">
        <v>2991901.0999999996</v>
      </c>
      <c r="J60" s="30">
        <v>3380736.96</v>
      </c>
      <c r="K60" s="29">
        <v>72489.640000000014</v>
      </c>
      <c r="L60" s="31">
        <v>364511.54000000004</v>
      </c>
      <c r="M60" s="31">
        <v>437001.18000000005</v>
      </c>
      <c r="N60" s="31">
        <v>16768.25</v>
      </c>
      <c r="O60" s="31">
        <v>84318.540000000008</v>
      </c>
      <c r="P60" s="31">
        <v>101086.79000000001</v>
      </c>
      <c r="Q60" s="1">
        <f t="shared" si="21"/>
        <v>397041.24597977119</v>
      </c>
      <c r="R60" s="1">
        <f t="shared" si="22"/>
        <v>37497</v>
      </c>
      <c r="S60" s="32">
        <f t="shared" si="23"/>
        <v>4.8102616863432798E-2</v>
      </c>
      <c r="T60" s="1">
        <f t="shared" si="24"/>
        <v>1</v>
      </c>
      <c r="U60" s="1">
        <f t="shared" si="25"/>
        <v>1062.1228275212063</v>
      </c>
      <c r="V60" s="1">
        <f t="shared" si="26"/>
        <v>122.16018221803341</v>
      </c>
      <c r="W60" s="25">
        <f t="shared" ref="W60:W68" si="29">V60/U60</f>
        <v>0.11501511788719593</v>
      </c>
      <c r="X60" s="6">
        <f t="shared" si="27"/>
        <v>225.02805328392176</v>
      </c>
      <c r="Y60" s="1">
        <f t="shared" si="28"/>
        <v>471.99574098483959</v>
      </c>
    </row>
    <row r="61" spans="1:31" ht="14.45" x14ac:dyDescent="0.3">
      <c r="A61" s="26">
        <v>11</v>
      </c>
      <c r="B61" s="26">
        <v>1</v>
      </c>
      <c r="C61" s="27" t="s">
        <v>66</v>
      </c>
      <c r="D61" s="28">
        <v>1</v>
      </c>
      <c r="E61" s="29">
        <v>17436117350</v>
      </c>
      <c r="F61" s="29">
        <v>46223.26</v>
      </c>
      <c r="G61" s="30">
        <v>37308</v>
      </c>
      <c r="H61" s="31">
        <v>6714933.1799999997</v>
      </c>
      <c r="I61" s="29">
        <v>50045843.399999999</v>
      </c>
      <c r="J61" s="30">
        <v>56760776.579999998</v>
      </c>
      <c r="K61" s="29">
        <v>841369.75999999978</v>
      </c>
      <c r="L61" s="31">
        <v>3212817.62</v>
      </c>
      <c r="M61" s="31">
        <v>4054187.38</v>
      </c>
      <c r="N61" s="31">
        <v>264008.64999999991</v>
      </c>
      <c r="O61" s="31">
        <v>1008131.81</v>
      </c>
      <c r="P61" s="31">
        <v>1272140.46</v>
      </c>
      <c r="Q61" s="1">
        <f t="shared" si="21"/>
        <v>377215.22346108861</v>
      </c>
      <c r="R61" s="1">
        <f t="shared" si="22"/>
        <v>74805</v>
      </c>
      <c r="S61" s="32">
        <f t="shared" si="23"/>
        <v>9.5962777141347058E-2</v>
      </c>
      <c r="T61" s="1">
        <f t="shared" si="24"/>
        <v>1</v>
      </c>
      <c r="U61" s="1">
        <f t="shared" si="25"/>
        <v>1521.4103296880025</v>
      </c>
      <c r="V61" s="1">
        <f t="shared" si="26"/>
        <v>179.98641524605981</v>
      </c>
      <c r="W61" s="25">
        <f t="shared" si="29"/>
        <v>0.1183023486392194</v>
      </c>
      <c r="X61" s="6">
        <f t="shared" si="27"/>
        <v>287.02401111105161</v>
      </c>
      <c r="Y61" s="1">
        <f t="shared" si="28"/>
        <v>530.0637823988036</v>
      </c>
    </row>
    <row r="62" spans="1:31" ht="14.45" x14ac:dyDescent="0.3">
      <c r="A62" s="26">
        <v>12</v>
      </c>
      <c r="B62" s="26">
        <v>1</v>
      </c>
      <c r="C62" s="27" t="s">
        <v>67</v>
      </c>
      <c r="D62" s="28">
        <v>1</v>
      </c>
      <c r="E62" s="29">
        <v>2673246800</v>
      </c>
      <c r="F62" s="29">
        <v>6508.74</v>
      </c>
      <c r="G62" s="30">
        <v>6382</v>
      </c>
      <c r="H62" s="31">
        <v>624872.71999999974</v>
      </c>
      <c r="I62" s="29">
        <v>5650659.1299999999</v>
      </c>
      <c r="J62" s="30">
        <v>6275531.8499999996</v>
      </c>
      <c r="K62" s="29">
        <v>127531.23999999999</v>
      </c>
      <c r="L62" s="31">
        <v>802333.95000000007</v>
      </c>
      <c r="M62" s="31">
        <v>929865.19000000006</v>
      </c>
      <c r="N62" s="31">
        <v>0</v>
      </c>
      <c r="O62" s="31">
        <v>0</v>
      </c>
      <c r="P62" s="31">
        <v>0</v>
      </c>
      <c r="Q62" s="1">
        <f t="shared" si="21"/>
        <v>410716.48276010412</v>
      </c>
      <c r="R62" s="1">
        <f t="shared" si="22"/>
        <v>81187</v>
      </c>
      <c r="S62" s="32">
        <f t="shared" si="23"/>
        <v>0.10414985612959754</v>
      </c>
      <c r="T62" s="1">
        <f t="shared" si="24"/>
        <v>1</v>
      </c>
      <c r="U62" s="1">
        <f t="shared" si="25"/>
        <v>983.3174318395487</v>
      </c>
      <c r="V62" s="1">
        <f t="shared" si="26"/>
        <v>97.911739266687519</v>
      </c>
      <c r="W62" s="25">
        <f t="shared" si="29"/>
        <v>9.9572870465154242E-2</v>
      </c>
      <c r="X62" s="6">
        <f t="shared" si="27"/>
        <v>211.37813126719163</v>
      </c>
      <c r="Y62" s="1">
        <f t="shared" si="28"/>
        <v>465.19354956194138</v>
      </c>
    </row>
    <row r="63" spans="1:31" ht="14.45" x14ac:dyDescent="0.3">
      <c r="A63" s="26">
        <v>13</v>
      </c>
      <c r="B63" s="26">
        <v>1</v>
      </c>
      <c r="C63" s="27" t="s">
        <v>68</v>
      </c>
      <c r="D63" s="28">
        <v>1</v>
      </c>
      <c r="E63" s="29">
        <v>1729165900</v>
      </c>
      <c r="F63" s="29">
        <v>3794.56</v>
      </c>
      <c r="G63" s="30">
        <v>2992</v>
      </c>
      <c r="H63" s="31">
        <v>113300.99000000022</v>
      </c>
      <c r="I63" s="29">
        <v>3222117.25</v>
      </c>
      <c r="J63" s="30">
        <v>3335418.24</v>
      </c>
      <c r="K63" s="29">
        <v>16978.940000000002</v>
      </c>
      <c r="L63" s="31">
        <v>381069.79000000004</v>
      </c>
      <c r="M63" s="31">
        <v>398048.73000000004</v>
      </c>
      <c r="N63" s="31">
        <v>0</v>
      </c>
      <c r="O63" s="31">
        <v>0</v>
      </c>
      <c r="P63" s="31">
        <v>0</v>
      </c>
      <c r="Q63" s="1">
        <f t="shared" si="21"/>
        <v>455696.02272727271</v>
      </c>
      <c r="R63" s="1">
        <f t="shared" si="22"/>
        <v>84179</v>
      </c>
      <c r="S63" s="32">
        <f t="shared" si="23"/>
        <v>0.10798811064743606</v>
      </c>
      <c r="T63" s="1">
        <f t="shared" si="24"/>
        <v>1</v>
      </c>
      <c r="U63" s="1">
        <f t="shared" si="25"/>
        <v>1114.7788235294117</v>
      </c>
      <c r="V63" s="1">
        <f t="shared" si="26"/>
        <v>37.867977941176548</v>
      </c>
      <c r="W63" s="25">
        <f t="shared" si="29"/>
        <v>3.3969050310164471E-2</v>
      </c>
      <c r="X63" s="6">
        <f t="shared" si="27"/>
        <v>186.33939346132144</v>
      </c>
      <c r="Y63" s="1">
        <f t="shared" si="28"/>
        <v>598.25182577982741</v>
      </c>
    </row>
    <row r="64" spans="1:31" ht="14.45" x14ac:dyDescent="0.3">
      <c r="A64" s="26">
        <v>14</v>
      </c>
      <c r="B64" s="26">
        <v>1</v>
      </c>
      <c r="C64" s="27" t="s">
        <v>69</v>
      </c>
      <c r="D64" s="28">
        <v>1</v>
      </c>
      <c r="E64" s="29">
        <v>1131944200</v>
      </c>
      <c r="F64" s="29">
        <v>2863.78</v>
      </c>
      <c r="G64" s="30">
        <v>3084</v>
      </c>
      <c r="H64" s="31">
        <v>340022.16000000015</v>
      </c>
      <c r="I64" s="29">
        <v>2515366.96</v>
      </c>
      <c r="J64" s="30">
        <v>2855389.12</v>
      </c>
      <c r="K64" s="29">
        <v>77041.549999999988</v>
      </c>
      <c r="L64" s="31">
        <v>377167.17</v>
      </c>
      <c r="M64" s="31">
        <v>454208.72</v>
      </c>
      <c r="N64" s="31">
        <v>0</v>
      </c>
      <c r="O64" s="31">
        <v>0</v>
      </c>
      <c r="P64" s="31">
        <v>0</v>
      </c>
      <c r="Q64" s="1">
        <f t="shared" si="21"/>
        <v>395262.27573347109</v>
      </c>
      <c r="R64" s="1">
        <f t="shared" si="22"/>
        <v>87263</v>
      </c>
      <c r="S64" s="32">
        <f t="shared" si="23"/>
        <v>0.1119443863603418</v>
      </c>
      <c r="T64" s="1">
        <f t="shared" si="24"/>
        <v>1</v>
      </c>
      <c r="U64" s="1">
        <f t="shared" si="25"/>
        <v>925.87195849546049</v>
      </c>
      <c r="V64" s="1">
        <f t="shared" si="26"/>
        <v>110.25361867704285</v>
      </c>
      <c r="W64" s="25">
        <f t="shared" si="29"/>
        <v>0.11908084877762655</v>
      </c>
      <c r="X64" s="6">
        <f t="shared" si="27"/>
        <v>222.2165156197629</v>
      </c>
      <c r="Y64" s="1">
        <f t="shared" si="28"/>
        <v>416.65308085368872</v>
      </c>
    </row>
    <row r="65" spans="1:25" ht="14.45" x14ac:dyDescent="0.3">
      <c r="A65" s="26">
        <v>15</v>
      </c>
      <c r="B65" s="26">
        <v>1</v>
      </c>
      <c r="C65" s="27" t="s">
        <v>70</v>
      </c>
      <c r="D65" s="28">
        <v>1</v>
      </c>
      <c r="E65" s="29">
        <v>2375466900</v>
      </c>
      <c r="F65" s="29">
        <v>6521.3</v>
      </c>
      <c r="G65" s="30">
        <v>4879</v>
      </c>
      <c r="H65" s="31">
        <v>558750.49</v>
      </c>
      <c r="I65" s="29">
        <v>1821524.01</v>
      </c>
      <c r="J65" s="30">
        <v>2380274.5</v>
      </c>
      <c r="K65" s="29">
        <v>207836.66000000003</v>
      </c>
      <c r="L65" s="31">
        <v>677546.53</v>
      </c>
      <c r="M65" s="31">
        <v>885383.19000000006</v>
      </c>
      <c r="N65" s="31">
        <v>13789.699999999997</v>
      </c>
      <c r="O65" s="31">
        <v>44954.34</v>
      </c>
      <c r="P65" s="31">
        <v>58744.039999999994</v>
      </c>
      <c r="Q65" s="1">
        <f t="shared" si="21"/>
        <v>364262.78502752515</v>
      </c>
      <c r="R65" s="1">
        <f t="shared" si="22"/>
        <v>92142</v>
      </c>
      <c r="S65" s="32">
        <f t="shared" si="23"/>
        <v>0.1182033582161353</v>
      </c>
      <c r="T65" s="1">
        <f t="shared" si="24"/>
        <v>1</v>
      </c>
      <c r="U65" s="1">
        <f t="shared" si="25"/>
        <v>487.86113957778235</v>
      </c>
      <c r="V65" s="1">
        <f t="shared" si="26"/>
        <v>114.521518753843</v>
      </c>
      <c r="W65" s="25">
        <f t="shared" si="29"/>
        <v>0.23474203920598233</v>
      </c>
      <c r="X65" s="6">
        <f t="shared" si="27"/>
        <v>76.680673176292203</v>
      </c>
      <c r="Y65" s="1">
        <f t="shared" si="28"/>
        <v>636.22438271527471</v>
      </c>
    </row>
    <row r="66" spans="1:25" ht="14.45" x14ac:dyDescent="0.3">
      <c r="A66" s="26">
        <v>16</v>
      </c>
      <c r="B66" s="26">
        <v>1</v>
      </c>
      <c r="C66" s="27" t="s">
        <v>71</v>
      </c>
      <c r="D66" s="28">
        <v>1</v>
      </c>
      <c r="E66" s="29">
        <v>3124028600</v>
      </c>
      <c r="F66" s="29">
        <v>5605.95</v>
      </c>
      <c r="G66" s="30">
        <v>5066</v>
      </c>
      <c r="H66" s="31">
        <v>1728.730000000447</v>
      </c>
      <c r="I66" s="29">
        <v>4792760.01</v>
      </c>
      <c r="J66" s="30">
        <v>4794488.74</v>
      </c>
      <c r="K66" s="29">
        <v>0</v>
      </c>
      <c r="L66" s="31">
        <v>732395.71</v>
      </c>
      <c r="M66" s="31">
        <v>732395.71</v>
      </c>
      <c r="N66" s="31">
        <v>0</v>
      </c>
      <c r="O66" s="31">
        <v>261940.53999999998</v>
      </c>
      <c r="P66" s="31">
        <v>261940.53999999998</v>
      </c>
      <c r="Q66" s="1">
        <f t="shared" si="21"/>
        <v>557270.15046513081</v>
      </c>
      <c r="R66" s="1">
        <f t="shared" si="22"/>
        <v>97208</v>
      </c>
      <c r="S66" s="32">
        <f t="shared" si="23"/>
        <v>0.1247022209792937</v>
      </c>
      <c r="T66" s="1">
        <f t="shared" si="24"/>
        <v>1</v>
      </c>
      <c r="U66" s="1">
        <f t="shared" si="25"/>
        <v>946.405199368338</v>
      </c>
      <c r="V66" s="1">
        <f t="shared" si="26"/>
        <v>0.34124161073834325</v>
      </c>
      <c r="W66" s="25">
        <f t="shared" si="29"/>
        <v>3.6056607779215406E-4</v>
      </c>
      <c r="X66" s="6">
        <f t="shared" si="27"/>
        <v>153.41600937968366</v>
      </c>
      <c r="Y66" s="1">
        <f t="shared" si="28"/>
        <v>616.88816127795008</v>
      </c>
    </row>
    <row r="67" spans="1:25" ht="14.45" x14ac:dyDescent="0.3">
      <c r="A67" s="26">
        <v>22</v>
      </c>
      <c r="B67" s="26">
        <v>1</v>
      </c>
      <c r="C67" s="27" t="s">
        <v>72</v>
      </c>
      <c r="D67" s="28">
        <v>0</v>
      </c>
      <c r="E67" s="29">
        <v>1391529800</v>
      </c>
      <c r="F67" s="29">
        <v>3128.5</v>
      </c>
      <c r="G67" s="30">
        <v>2836</v>
      </c>
      <c r="H67" s="31">
        <v>93747.159999999916</v>
      </c>
      <c r="I67" s="29">
        <v>1336102.48</v>
      </c>
      <c r="J67" s="30">
        <v>1429849.64</v>
      </c>
      <c r="K67" s="29">
        <v>25108.099999999977</v>
      </c>
      <c r="L67" s="31">
        <v>357845.44999999995</v>
      </c>
      <c r="M67" s="31">
        <v>382953.54999999993</v>
      </c>
      <c r="N67" s="31">
        <v>1792.3600000000006</v>
      </c>
      <c r="O67" s="31">
        <v>25545.079999999998</v>
      </c>
      <c r="P67" s="31">
        <v>27337.439999999999</v>
      </c>
      <c r="Q67" s="1">
        <f t="shared" si="21"/>
        <v>444791.36966597411</v>
      </c>
      <c r="R67" s="1">
        <f t="shared" si="22"/>
        <v>100044</v>
      </c>
      <c r="S67" s="32">
        <f t="shared" si="23"/>
        <v>0.12834035260114868</v>
      </c>
      <c r="T67" s="1">
        <f t="shared" si="24"/>
        <v>1</v>
      </c>
      <c r="U67" s="1">
        <f t="shared" si="25"/>
        <v>504.17829337094497</v>
      </c>
      <c r="V67" s="1">
        <f t="shared" si="26"/>
        <v>33.056121297602225</v>
      </c>
      <c r="W67" s="25">
        <f t="shared" si="29"/>
        <v>6.5564348430370567E-2</v>
      </c>
      <c r="X67" s="6">
        <f t="shared" si="27"/>
        <v>96.016806826558806</v>
      </c>
      <c r="Y67" s="1">
        <f t="shared" si="28"/>
        <v>525.09379350812401</v>
      </c>
    </row>
    <row r="68" spans="1:25" ht="14.45" x14ac:dyDescent="0.3">
      <c r="A68" s="26">
        <v>23</v>
      </c>
      <c r="B68" s="26">
        <v>1</v>
      </c>
      <c r="C68" s="27" t="s">
        <v>73</v>
      </c>
      <c r="D68" s="28">
        <v>0</v>
      </c>
      <c r="E68" s="29">
        <v>417796210</v>
      </c>
      <c r="F68" s="29">
        <v>1017.72</v>
      </c>
      <c r="G68" s="30">
        <v>881</v>
      </c>
      <c r="H68" s="31">
        <v>97997.819999999949</v>
      </c>
      <c r="I68" s="29">
        <v>919722.18</v>
      </c>
      <c r="J68" s="30">
        <v>1017720</v>
      </c>
      <c r="K68" s="29">
        <v>13250.709999999992</v>
      </c>
      <c r="L68" s="31">
        <v>83076.489999999991</v>
      </c>
      <c r="M68" s="31">
        <v>96327.199999999983</v>
      </c>
      <c r="N68" s="31">
        <v>4456.0999999999985</v>
      </c>
      <c r="O68" s="31">
        <v>27937.93</v>
      </c>
      <c r="P68" s="31">
        <v>32394.03</v>
      </c>
      <c r="Q68" s="1">
        <f t="shared" si="21"/>
        <v>410521.76433596667</v>
      </c>
      <c r="R68" s="1">
        <f t="shared" si="22"/>
        <v>100925</v>
      </c>
      <c r="S68" s="32">
        <f t="shared" si="23"/>
        <v>0.12947053382782506</v>
      </c>
      <c r="T68" s="1">
        <f t="shared" si="24"/>
        <v>1</v>
      </c>
      <c r="U68" s="1">
        <f t="shared" si="25"/>
        <v>1155.1872871736664</v>
      </c>
      <c r="V68" s="1">
        <f t="shared" si="26"/>
        <v>111.23475595913729</v>
      </c>
      <c r="W68" s="25">
        <f t="shared" si="29"/>
        <v>9.6291534017214894E-2</v>
      </c>
      <c r="X68" s="6">
        <f t="shared" si="27"/>
        <v>220.13655413484963</v>
      </c>
      <c r="Y68" s="1">
        <f t="shared" si="28"/>
        <v>524.75941204477567</v>
      </c>
    </row>
    <row r="69" spans="1:25" x14ac:dyDescent="0.25">
      <c r="A69" s="26">
        <v>25</v>
      </c>
      <c r="B69" s="26">
        <v>1</v>
      </c>
      <c r="C69" s="27" t="s">
        <v>74</v>
      </c>
      <c r="D69" s="28">
        <v>0</v>
      </c>
      <c r="E69" s="29">
        <v>0</v>
      </c>
      <c r="F69" s="29">
        <v>73.709999999999994</v>
      </c>
      <c r="G69" s="30">
        <v>63</v>
      </c>
      <c r="H69" s="31">
        <v>0</v>
      </c>
      <c r="I69" s="29">
        <v>0</v>
      </c>
      <c r="J69" s="30">
        <v>0</v>
      </c>
      <c r="K69" s="29">
        <v>10475.4</v>
      </c>
      <c r="L69" s="31">
        <v>0</v>
      </c>
      <c r="M69" s="31">
        <v>10475.4</v>
      </c>
      <c r="N69" s="31">
        <v>12494.42</v>
      </c>
      <c r="O69" s="31">
        <v>0</v>
      </c>
      <c r="P69" s="31">
        <v>12494.42</v>
      </c>
      <c r="Q69" s="1">
        <f t="shared" si="21"/>
        <v>0</v>
      </c>
      <c r="R69" s="1">
        <f t="shared" si="22"/>
        <v>100988</v>
      </c>
      <c r="S69" s="32">
        <f t="shared" si="23"/>
        <v>0.12955135268966458</v>
      </c>
      <c r="T69" s="1">
        <f t="shared" si="24"/>
        <v>1</v>
      </c>
      <c r="U69" s="1">
        <f t="shared" si="25"/>
        <v>0</v>
      </c>
      <c r="V69" s="1">
        <f t="shared" si="26"/>
        <v>0</v>
      </c>
      <c r="W69" s="33" t="s">
        <v>60</v>
      </c>
      <c r="X69" s="6">
        <f t="shared" si="27"/>
        <v>0</v>
      </c>
      <c r="Y69" s="1">
        <f t="shared" si="28"/>
        <v>0</v>
      </c>
    </row>
    <row r="70" spans="1:25" x14ac:dyDescent="0.25">
      <c r="A70" s="26">
        <v>31</v>
      </c>
      <c r="B70" s="26">
        <v>1</v>
      </c>
      <c r="C70" s="27" t="s">
        <v>75</v>
      </c>
      <c r="D70" s="28">
        <v>0</v>
      </c>
      <c r="E70" s="29">
        <v>2138544375</v>
      </c>
      <c r="F70" s="29">
        <v>6284.56</v>
      </c>
      <c r="G70" s="30">
        <v>5072</v>
      </c>
      <c r="H70" s="31">
        <v>897701.66000000015</v>
      </c>
      <c r="I70" s="29">
        <v>2250862.9</v>
      </c>
      <c r="J70" s="30">
        <v>3148564.56</v>
      </c>
      <c r="K70" s="29">
        <v>186416.34999999998</v>
      </c>
      <c r="L70" s="31">
        <v>467413.26</v>
      </c>
      <c r="M70" s="31">
        <v>653829.61</v>
      </c>
      <c r="N70" s="31">
        <v>995.32999999999993</v>
      </c>
      <c r="O70" s="31">
        <v>2495.67</v>
      </c>
      <c r="P70" s="31">
        <v>3491</v>
      </c>
      <c r="Q70" s="1">
        <f t="shared" si="21"/>
        <v>340285.45753401984</v>
      </c>
      <c r="R70" s="1">
        <f t="shared" si="22"/>
        <v>106060</v>
      </c>
      <c r="S70" s="32">
        <f t="shared" si="23"/>
        <v>0.13605791248728388</v>
      </c>
      <c r="T70" s="1">
        <f t="shared" si="24"/>
        <v>1</v>
      </c>
      <c r="U70" s="1">
        <f t="shared" si="25"/>
        <v>620.7737697160884</v>
      </c>
      <c r="V70" s="1">
        <f t="shared" si="26"/>
        <v>176.99165220820191</v>
      </c>
      <c r="W70" s="25">
        <f>V70/U70</f>
        <v>0.28511457932436363</v>
      </c>
      <c r="X70" s="6">
        <f t="shared" si="27"/>
        <v>105.25210167780595</v>
      </c>
      <c r="Y70" s="1">
        <f t="shared" si="28"/>
        <v>589.79703000741904</v>
      </c>
    </row>
    <row r="71" spans="1:25" x14ac:dyDescent="0.25">
      <c r="A71" s="26">
        <v>32</v>
      </c>
      <c r="B71" s="26">
        <v>1</v>
      </c>
      <c r="C71" s="27" t="s">
        <v>76</v>
      </c>
      <c r="D71" s="28">
        <v>0</v>
      </c>
      <c r="E71" s="29">
        <v>182142146</v>
      </c>
      <c r="F71" s="29">
        <v>604.87</v>
      </c>
      <c r="G71" s="30">
        <v>608</v>
      </c>
      <c r="H71" s="31">
        <v>0</v>
      </c>
      <c r="I71" s="29">
        <v>0</v>
      </c>
      <c r="J71" s="30">
        <v>0</v>
      </c>
      <c r="K71" s="29">
        <v>35207.210000000006</v>
      </c>
      <c r="L71" s="31">
        <v>60625.45</v>
      </c>
      <c r="M71" s="31">
        <v>95832.66</v>
      </c>
      <c r="N71" s="31">
        <v>10893.02</v>
      </c>
      <c r="O71" s="31">
        <v>18757.370000000003</v>
      </c>
      <c r="P71" s="31">
        <v>29650.390000000003</v>
      </c>
      <c r="Q71" s="1">
        <f t="shared" si="21"/>
        <v>301126.10312959808</v>
      </c>
      <c r="R71" s="1">
        <f t="shared" si="22"/>
        <v>106668</v>
      </c>
      <c r="S71" s="32">
        <f t="shared" si="23"/>
        <v>0.13683787864598904</v>
      </c>
      <c r="T71" s="1">
        <f t="shared" si="24"/>
        <v>1</v>
      </c>
      <c r="U71" s="1">
        <f t="shared" si="25"/>
        <v>0</v>
      </c>
      <c r="V71" s="1">
        <f t="shared" si="26"/>
        <v>0</v>
      </c>
      <c r="W71" s="33" t="s">
        <v>60</v>
      </c>
      <c r="X71" s="6">
        <f t="shared" si="27"/>
        <v>0</v>
      </c>
      <c r="Y71" s="1">
        <f t="shared" si="28"/>
        <v>0</v>
      </c>
    </row>
    <row r="72" spans="1:25" x14ac:dyDescent="0.25">
      <c r="A72" s="26">
        <v>36</v>
      </c>
      <c r="B72" s="26">
        <v>1</v>
      </c>
      <c r="C72" s="27" t="s">
        <v>77</v>
      </c>
      <c r="D72" s="28">
        <v>0</v>
      </c>
      <c r="E72" s="29">
        <v>41714958</v>
      </c>
      <c r="F72" s="29">
        <v>195.75</v>
      </c>
      <c r="G72" s="30">
        <v>258</v>
      </c>
      <c r="H72" s="31">
        <v>0</v>
      </c>
      <c r="I72" s="29">
        <v>0</v>
      </c>
      <c r="J72" s="30">
        <v>0</v>
      </c>
      <c r="K72" s="29">
        <v>19386.27</v>
      </c>
      <c r="L72" s="31">
        <v>15714.439999999999</v>
      </c>
      <c r="M72" s="31">
        <v>35100.71</v>
      </c>
      <c r="N72" s="31">
        <v>24413.250000000004</v>
      </c>
      <c r="O72" s="31">
        <v>19789.3</v>
      </c>
      <c r="P72" s="31">
        <v>44202.55</v>
      </c>
      <c r="Q72" s="1">
        <f t="shared" si="21"/>
        <v>213103.23371647511</v>
      </c>
      <c r="R72" s="1">
        <f t="shared" si="22"/>
        <v>106926</v>
      </c>
      <c r="S72" s="32">
        <f t="shared" si="23"/>
        <v>0.13716885112780799</v>
      </c>
      <c r="T72" s="1">
        <f t="shared" si="24"/>
        <v>1</v>
      </c>
      <c r="U72" s="1">
        <f t="shared" si="25"/>
        <v>0</v>
      </c>
      <c r="V72" s="1">
        <f t="shared" si="26"/>
        <v>0</v>
      </c>
      <c r="W72" s="33" t="s">
        <v>60</v>
      </c>
      <c r="X72" s="6">
        <f t="shared" si="27"/>
        <v>0</v>
      </c>
      <c r="Y72" s="1">
        <f t="shared" si="28"/>
        <v>0</v>
      </c>
    </row>
    <row r="73" spans="1:25" x14ac:dyDescent="0.25">
      <c r="A73" s="26">
        <v>38</v>
      </c>
      <c r="B73" s="26">
        <v>1</v>
      </c>
      <c r="C73" s="27" t="s">
        <v>78</v>
      </c>
      <c r="D73" s="28">
        <v>0</v>
      </c>
      <c r="E73" s="29">
        <v>653800</v>
      </c>
      <c r="F73" s="29">
        <v>1817.38</v>
      </c>
      <c r="G73" s="30">
        <v>1344</v>
      </c>
      <c r="H73" s="31">
        <v>2465882.7999999998</v>
      </c>
      <c r="I73" s="29">
        <v>2555.41</v>
      </c>
      <c r="J73" s="30">
        <v>2468438.21</v>
      </c>
      <c r="K73" s="29">
        <v>103382.24</v>
      </c>
      <c r="L73" s="31">
        <v>78.19</v>
      </c>
      <c r="M73" s="31">
        <v>103460.43000000001</v>
      </c>
      <c r="N73" s="31">
        <v>295995.42</v>
      </c>
      <c r="O73" s="31">
        <v>223.88</v>
      </c>
      <c r="P73" s="31">
        <v>296219.3</v>
      </c>
      <c r="Q73" s="1">
        <f t="shared" si="21"/>
        <v>359.74864915427702</v>
      </c>
      <c r="R73" s="1">
        <f t="shared" si="22"/>
        <v>108270</v>
      </c>
      <c r="S73" s="32">
        <f t="shared" si="23"/>
        <v>0.13889298684705095</v>
      </c>
      <c r="T73" s="1">
        <f t="shared" si="24"/>
        <v>1</v>
      </c>
      <c r="U73" s="1">
        <f t="shared" si="25"/>
        <v>1836.6355729166667</v>
      </c>
      <c r="V73" s="1">
        <f t="shared" si="26"/>
        <v>1834.734226190476</v>
      </c>
      <c r="W73" s="25">
        <f>V73/U73</f>
        <v>0.99896476647069876</v>
      </c>
      <c r="X73" s="6">
        <f t="shared" si="27"/>
        <v>390.85500152951965</v>
      </c>
      <c r="Y73" s="1">
        <f t="shared" si="28"/>
        <v>469.90202651352104</v>
      </c>
    </row>
    <row r="74" spans="1:25" x14ac:dyDescent="0.25">
      <c r="A74" s="26">
        <v>47</v>
      </c>
      <c r="B74" s="26">
        <v>1</v>
      </c>
      <c r="C74" s="27" t="s">
        <v>79</v>
      </c>
      <c r="D74" s="28">
        <v>0</v>
      </c>
      <c r="E74" s="29">
        <v>1418262105</v>
      </c>
      <c r="F74" s="29">
        <v>4165.28</v>
      </c>
      <c r="G74" s="30">
        <v>3846</v>
      </c>
      <c r="H74" s="31">
        <v>0</v>
      </c>
      <c r="I74" s="29">
        <v>0</v>
      </c>
      <c r="J74" s="30">
        <v>0</v>
      </c>
      <c r="K74" s="29">
        <v>102590.53</v>
      </c>
      <c r="L74" s="31">
        <v>257791.22</v>
      </c>
      <c r="M74" s="31">
        <v>360381.75</v>
      </c>
      <c r="N74" s="31">
        <v>8467.6499999999978</v>
      </c>
      <c r="O74" s="31">
        <v>21277.66</v>
      </c>
      <c r="P74" s="31">
        <v>29745.309999999998</v>
      </c>
      <c r="Q74" s="1">
        <f t="shared" si="21"/>
        <v>340496.22234279569</v>
      </c>
      <c r="R74" s="1">
        <f t="shared" si="22"/>
        <v>112116</v>
      </c>
      <c r="S74" s="32">
        <f t="shared" si="23"/>
        <v>0.14382678593649179</v>
      </c>
      <c r="T74" s="1">
        <f t="shared" si="24"/>
        <v>1</v>
      </c>
      <c r="U74" s="1">
        <f t="shared" si="25"/>
        <v>0</v>
      </c>
      <c r="V74" s="1">
        <f t="shared" si="26"/>
        <v>0</v>
      </c>
      <c r="W74" s="33" t="s">
        <v>60</v>
      </c>
      <c r="X74" s="6">
        <f t="shared" si="27"/>
        <v>0</v>
      </c>
      <c r="Y74" s="1">
        <f t="shared" si="28"/>
        <v>0</v>
      </c>
    </row>
    <row r="75" spans="1:25" x14ac:dyDescent="0.25">
      <c r="A75" s="26">
        <v>51</v>
      </c>
      <c r="B75" s="26">
        <v>1</v>
      </c>
      <c r="C75" s="27" t="s">
        <v>80</v>
      </c>
      <c r="D75" s="28">
        <v>0</v>
      </c>
      <c r="E75" s="29">
        <v>488312355</v>
      </c>
      <c r="F75" s="29">
        <v>1897.43</v>
      </c>
      <c r="G75" s="30">
        <v>1755</v>
      </c>
      <c r="H75" s="31">
        <v>248395.65000000002</v>
      </c>
      <c r="I75" s="29">
        <v>292371.90000000002</v>
      </c>
      <c r="J75" s="30">
        <v>540767.55000000005</v>
      </c>
      <c r="K75" s="29">
        <v>114873.03</v>
      </c>
      <c r="L75" s="31">
        <v>135210.27000000002</v>
      </c>
      <c r="M75" s="31">
        <v>250083.30000000002</v>
      </c>
      <c r="N75" s="31">
        <v>8278.9699999999993</v>
      </c>
      <c r="O75" s="31">
        <v>9744.69</v>
      </c>
      <c r="P75" s="31">
        <v>18023.66</v>
      </c>
      <c r="Q75" s="1">
        <f t="shared" si="21"/>
        <v>257354.60860216187</v>
      </c>
      <c r="R75" s="1">
        <f t="shared" si="22"/>
        <v>113871</v>
      </c>
      <c r="S75" s="32">
        <f t="shared" si="23"/>
        <v>0.14607816851630684</v>
      </c>
      <c r="T75" s="1">
        <f t="shared" si="24"/>
        <v>1</v>
      </c>
      <c r="U75" s="1">
        <f t="shared" si="25"/>
        <v>308.12965811965813</v>
      </c>
      <c r="V75" s="1">
        <f t="shared" si="26"/>
        <v>141.53598290598291</v>
      </c>
      <c r="W75" s="25">
        <f>V75/U75</f>
        <v>0.45933904502960649</v>
      </c>
      <c r="X75" s="6">
        <f t="shared" si="27"/>
        <v>59.87395096730657</v>
      </c>
      <c r="Y75" s="1">
        <f t="shared" si="28"/>
        <v>514.63057496891849</v>
      </c>
    </row>
    <row r="76" spans="1:25" x14ac:dyDescent="0.25">
      <c r="A76" s="26">
        <v>75</v>
      </c>
      <c r="B76" s="26">
        <v>1</v>
      </c>
      <c r="C76" s="27" t="s">
        <v>81</v>
      </c>
      <c r="D76" s="28">
        <v>0</v>
      </c>
      <c r="E76" s="29">
        <v>190652800</v>
      </c>
      <c r="F76" s="29">
        <v>445.72</v>
      </c>
      <c r="G76" s="30">
        <v>586</v>
      </c>
      <c r="H76" s="31">
        <v>30874.78</v>
      </c>
      <c r="I76" s="29">
        <v>229626.27</v>
      </c>
      <c r="J76" s="30">
        <v>260501.05</v>
      </c>
      <c r="K76" s="29">
        <v>8218.4900000000052</v>
      </c>
      <c r="L76" s="31">
        <v>72844.42</v>
      </c>
      <c r="M76" s="31">
        <v>81062.91</v>
      </c>
      <c r="N76" s="31">
        <v>364.77</v>
      </c>
      <c r="O76" s="31">
        <v>3233.18</v>
      </c>
      <c r="P76" s="31">
        <v>3597.95</v>
      </c>
      <c r="Q76" s="1">
        <f t="shared" si="21"/>
        <v>427741.1828053486</v>
      </c>
      <c r="R76" s="1">
        <f t="shared" si="22"/>
        <v>114457</v>
      </c>
      <c r="S76" s="32">
        <f t="shared" si="23"/>
        <v>0.14682991221532202</v>
      </c>
      <c r="T76" s="1">
        <f t="shared" si="24"/>
        <v>1</v>
      </c>
      <c r="U76" s="1">
        <f t="shared" si="25"/>
        <v>444.54104095563139</v>
      </c>
      <c r="V76" s="1">
        <f t="shared" si="26"/>
        <v>52.687337883959046</v>
      </c>
      <c r="W76" s="25">
        <f>V76/U76</f>
        <v>0.11852075068411433</v>
      </c>
      <c r="X76" s="6">
        <f t="shared" si="27"/>
        <v>120.44211781835881</v>
      </c>
      <c r="Y76" s="1">
        <f t="shared" si="28"/>
        <v>369.09101982584917</v>
      </c>
    </row>
    <row r="77" spans="1:25" x14ac:dyDescent="0.25">
      <c r="A77" s="26">
        <v>77</v>
      </c>
      <c r="B77" s="26">
        <v>1</v>
      </c>
      <c r="C77" s="27" t="s">
        <v>82</v>
      </c>
      <c r="D77" s="28">
        <v>0</v>
      </c>
      <c r="E77" s="29">
        <v>4374228700</v>
      </c>
      <c r="F77" s="29">
        <v>8239.5400000000009</v>
      </c>
      <c r="G77" s="30">
        <v>7518</v>
      </c>
      <c r="H77" s="31">
        <v>23820.009999999776</v>
      </c>
      <c r="I77" s="29">
        <v>5628998.7999999998</v>
      </c>
      <c r="J77" s="30">
        <v>5652818.8099999996</v>
      </c>
      <c r="K77" s="29">
        <v>0</v>
      </c>
      <c r="L77" s="31">
        <v>926854.39</v>
      </c>
      <c r="M77" s="31">
        <v>926854.39</v>
      </c>
      <c r="N77" s="31">
        <v>0</v>
      </c>
      <c r="O77" s="31">
        <v>225838.2</v>
      </c>
      <c r="P77" s="31">
        <v>225838.2</v>
      </c>
      <c r="Q77" s="1">
        <f t="shared" si="21"/>
        <v>530882.63422472612</v>
      </c>
      <c r="R77" s="1">
        <f t="shared" si="22"/>
        <v>121975</v>
      </c>
      <c r="S77" s="32">
        <f t="shared" si="23"/>
        <v>0.1564742963948374</v>
      </c>
      <c r="T77" s="1">
        <f t="shared" si="24"/>
        <v>1</v>
      </c>
      <c r="U77" s="1">
        <f t="shared" si="25"/>
        <v>751.90460361798341</v>
      </c>
      <c r="V77" s="1">
        <f t="shared" si="26"/>
        <v>3.1683971801010609</v>
      </c>
      <c r="W77" s="25">
        <f>V77/U77</f>
        <v>4.213828675679732E-3</v>
      </c>
      <c r="X77" s="6">
        <f t="shared" si="27"/>
        <v>128.68551660318997</v>
      </c>
      <c r="Y77" s="1">
        <f t="shared" si="28"/>
        <v>584.29621566234948</v>
      </c>
    </row>
    <row r="78" spans="1:25" x14ac:dyDescent="0.25">
      <c r="A78" s="26">
        <v>81</v>
      </c>
      <c r="B78" s="26">
        <v>1</v>
      </c>
      <c r="C78" s="27" t="s">
        <v>83</v>
      </c>
      <c r="D78" s="28">
        <v>0</v>
      </c>
      <c r="E78" s="29">
        <v>38347490</v>
      </c>
      <c r="F78" s="29">
        <v>204.78</v>
      </c>
      <c r="G78" s="30">
        <v>174</v>
      </c>
      <c r="H78" s="31">
        <v>128258.68000000002</v>
      </c>
      <c r="I78" s="29">
        <v>168445.00999999998</v>
      </c>
      <c r="J78" s="30">
        <v>296703.69</v>
      </c>
      <c r="K78" s="29">
        <v>9082.4599999999991</v>
      </c>
      <c r="L78" s="31">
        <v>5890.46</v>
      </c>
      <c r="M78" s="31">
        <v>14972.919999999998</v>
      </c>
      <c r="N78" s="31">
        <v>11091.01</v>
      </c>
      <c r="O78" s="31">
        <v>7193.1</v>
      </c>
      <c r="P78" s="31">
        <v>18284.11</v>
      </c>
      <c r="Q78" s="1">
        <f t="shared" si="21"/>
        <v>187261.89080964937</v>
      </c>
      <c r="R78" s="1">
        <f t="shared" si="22"/>
        <v>122149</v>
      </c>
      <c r="S78" s="32">
        <f t="shared" si="23"/>
        <v>0.15669751039420368</v>
      </c>
      <c r="T78" s="1">
        <f t="shared" si="24"/>
        <v>1</v>
      </c>
      <c r="U78" s="1">
        <f t="shared" si="25"/>
        <v>1705.1936206896553</v>
      </c>
      <c r="V78" s="1">
        <f t="shared" si="26"/>
        <v>737.11885057471272</v>
      </c>
      <c r="W78" s="25">
        <f>V78/U78</f>
        <v>0.43227868180540663</v>
      </c>
      <c r="X78" s="6">
        <f t="shared" si="27"/>
        <v>439.2595447576881</v>
      </c>
      <c r="Y78" s="1">
        <f t="shared" si="28"/>
        <v>388.19728359694574</v>
      </c>
    </row>
    <row r="79" spans="1:25" x14ac:dyDescent="0.25">
      <c r="A79" s="26">
        <v>84</v>
      </c>
      <c r="B79" s="26">
        <v>1</v>
      </c>
      <c r="C79" s="27" t="s">
        <v>84</v>
      </c>
      <c r="D79" s="28">
        <v>0</v>
      </c>
      <c r="E79" s="29">
        <v>236387665</v>
      </c>
      <c r="F79" s="29">
        <v>687.66</v>
      </c>
      <c r="G79" s="30">
        <v>521</v>
      </c>
      <c r="H79" s="31">
        <v>0</v>
      </c>
      <c r="I79" s="29">
        <v>0</v>
      </c>
      <c r="J79" s="30">
        <v>0</v>
      </c>
      <c r="K79" s="29">
        <v>27269.039999999994</v>
      </c>
      <c r="L79" s="31">
        <v>70883.77</v>
      </c>
      <c r="M79" s="31">
        <v>98152.81</v>
      </c>
      <c r="N79" s="31">
        <v>1762.2300000000005</v>
      </c>
      <c r="O79" s="31">
        <v>4580.78</v>
      </c>
      <c r="P79" s="31">
        <v>6343.01</v>
      </c>
      <c r="Q79" s="1">
        <f t="shared" si="21"/>
        <v>343756.60209987493</v>
      </c>
      <c r="R79" s="1">
        <f t="shared" si="22"/>
        <v>122670</v>
      </c>
      <c r="S79" s="32">
        <f t="shared" si="23"/>
        <v>0.15736586955322571</v>
      </c>
      <c r="T79" s="1">
        <f t="shared" si="24"/>
        <v>1</v>
      </c>
      <c r="U79" s="1">
        <f t="shared" si="25"/>
        <v>0</v>
      </c>
      <c r="V79" s="1">
        <f t="shared" si="26"/>
        <v>0</v>
      </c>
      <c r="W79" s="33" t="s">
        <v>60</v>
      </c>
      <c r="X79" s="6">
        <f t="shared" si="27"/>
        <v>0</v>
      </c>
      <c r="Y79" s="1">
        <f t="shared" si="28"/>
        <v>0</v>
      </c>
    </row>
    <row r="80" spans="1:25" x14ac:dyDescent="0.25">
      <c r="A80" s="26">
        <v>85</v>
      </c>
      <c r="B80" s="26">
        <v>1</v>
      </c>
      <c r="C80" s="27" t="s">
        <v>85</v>
      </c>
      <c r="D80" s="28">
        <v>0</v>
      </c>
      <c r="E80" s="29">
        <v>125582590</v>
      </c>
      <c r="F80" s="29">
        <v>549.77</v>
      </c>
      <c r="G80" s="30">
        <v>557</v>
      </c>
      <c r="H80" s="31">
        <v>171564.61000000002</v>
      </c>
      <c r="I80" s="29">
        <v>158297.38999999998</v>
      </c>
      <c r="J80" s="30">
        <v>329862</v>
      </c>
      <c r="K80" s="29">
        <v>38820.650000000009</v>
      </c>
      <c r="L80" s="31">
        <v>35818.61</v>
      </c>
      <c r="M80" s="31">
        <v>74639.260000000009</v>
      </c>
      <c r="N80" s="31">
        <v>4118.43</v>
      </c>
      <c r="O80" s="31">
        <v>3799.94</v>
      </c>
      <c r="P80" s="31">
        <v>7918.3700000000008</v>
      </c>
      <c r="Q80" s="1">
        <f t="shared" si="21"/>
        <v>228427.50604798371</v>
      </c>
      <c r="R80" s="1">
        <f t="shared" si="22"/>
        <v>123227</v>
      </c>
      <c r="S80" s="32">
        <f t="shared" si="23"/>
        <v>0.15808041091901315</v>
      </c>
      <c r="T80" s="1">
        <f t="shared" si="24"/>
        <v>1</v>
      </c>
      <c r="U80" s="1">
        <f t="shared" si="25"/>
        <v>592.21184919210054</v>
      </c>
      <c r="V80" s="1">
        <f t="shared" si="26"/>
        <v>308.01545780969479</v>
      </c>
      <c r="W80" s="25">
        <f>V80/U80</f>
        <v>0.52011025822919887</v>
      </c>
      <c r="X80" s="6">
        <f t="shared" si="27"/>
        <v>126.05042625733391</v>
      </c>
      <c r="Y80" s="1">
        <f t="shared" si="28"/>
        <v>469.82137766284967</v>
      </c>
    </row>
    <row r="81" spans="1:25" x14ac:dyDescent="0.25">
      <c r="A81" s="26">
        <v>88</v>
      </c>
      <c r="B81" s="26">
        <v>1</v>
      </c>
      <c r="C81" s="27" t="s">
        <v>86</v>
      </c>
      <c r="D81" s="28">
        <v>0</v>
      </c>
      <c r="E81" s="29">
        <v>1103627725</v>
      </c>
      <c r="F81" s="29">
        <v>2330.84</v>
      </c>
      <c r="G81" s="30">
        <v>2017</v>
      </c>
      <c r="H81" s="31">
        <v>8606.0400000000373</v>
      </c>
      <c r="I81" s="29">
        <v>1799170.16</v>
      </c>
      <c r="J81" s="30">
        <v>1807776.2</v>
      </c>
      <c r="K81" s="29">
        <v>1277.070000000007</v>
      </c>
      <c r="L81" s="31">
        <v>240838.52</v>
      </c>
      <c r="M81" s="31">
        <v>242115.59</v>
      </c>
      <c r="N81" s="31">
        <v>0</v>
      </c>
      <c r="O81" s="31">
        <v>0</v>
      </c>
      <c r="P81" s="31">
        <v>0</v>
      </c>
      <c r="Q81" s="1">
        <f t="shared" si="21"/>
        <v>473489.26781761082</v>
      </c>
      <c r="R81" s="1">
        <f t="shared" si="22"/>
        <v>125244</v>
      </c>
      <c r="S81" s="32">
        <f t="shared" si="23"/>
        <v>0.16066789733695441</v>
      </c>
      <c r="T81" s="1">
        <f t="shared" si="24"/>
        <v>1</v>
      </c>
      <c r="U81" s="1">
        <f t="shared" si="25"/>
        <v>896.26980664352993</v>
      </c>
      <c r="V81" s="1">
        <f t="shared" si="26"/>
        <v>4.2667526028755765</v>
      </c>
      <c r="W81" s="25">
        <f>V81/U81</f>
        <v>4.7605671542749811E-3</v>
      </c>
      <c r="X81" s="6">
        <f t="shared" si="27"/>
        <v>163.02328396108388</v>
      </c>
      <c r="Y81" s="1">
        <f t="shared" si="28"/>
        <v>549.78024296055958</v>
      </c>
    </row>
    <row r="82" spans="1:25" x14ac:dyDescent="0.25">
      <c r="A82" s="26">
        <v>91</v>
      </c>
      <c r="B82" s="26">
        <v>1</v>
      </c>
      <c r="C82" s="27" t="s">
        <v>87</v>
      </c>
      <c r="D82" s="28">
        <v>0</v>
      </c>
      <c r="E82" s="29">
        <v>221320895</v>
      </c>
      <c r="F82" s="29">
        <v>791.25</v>
      </c>
      <c r="G82" s="30">
        <v>761</v>
      </c>
      <c r="H82" s="31">
        <v>0</v>
      </c>
      <c r="I82" s="29">
        <v>0</v>
      </c>
      <c r="J82" s="30">
        <v>0</v>
      </c>
      <c r="K82" s="29">
        <v>50379.5</v>
      </c>
      <c r="L82" s="31">
        <v>71790.240000000005</v>
      </c>
      <c r="M82" s="31">
        <v>122169.74</v>
      </c>
      <c r="N82" s="31">
        <v>5579.98</v>
      </c>
      <c r="O82" s="31">
        <v>7951.41</v>
      </c>
      <c r="P82" s="31">
        <v>13531.39</v>
      </c>
      <c r="Q82" s="1">
        <f t="shared" si="21"/>
        <v>279710.45181674568</v>
      </c>
      <c r="R82" s="1">
        <f t="shared" si="22"/>
        <v>126005</v>
      </c>
      <c r="S82" s="32">
        <f t="shared" si="23"/>
        <v>0.16164413787441267</v>
      </c>
      <c r="T82" s="1">
        <f t="shared" si="24"/>
        <v>1</v>
      </c>
      <c r="U82" s="1">
        <f t="shared" si="25"/>
        <v>0</v>
      </c>
      <c r="V82" s="1">
        <f t="shared" si="26"/>
        <v>0</v>
      </c>
      <c r="W82" s="33" t="s">
        <v>60</v>
      </c>
      <c r="X82" s="6">
        <f t="shared" si="27"/>
        <v>0</v>
      </c>
      <c r="Y82" s="1">
        <f t="shared" si="28"/>
        <v>0</v>
      </c>
    </row>
    <row r="83" spans="1:25" x14ac:dyDescent="0.25">
      <c r="A83" s="26">
        <v>93</v>
      </c>
      <c r="B83" s="26">
        <v>1</v>
      </c>
      <c r="C83" s="27" t="s">
        <v>88</v>
      </c>
      <c r="D83" s="28">
        <v>0</v>
      </c>
      <c r="E83" s="29">
        <v>295997710</v>
      </c>
      <c r="F83" s="29">
        <v>795.68</v>
      </c>
      <c r="G83" s="30">
        <v>453</v>
      </c>
      <c r="H83" s="31">
        <v>121685.25</v>
      </c>
      <c r="I83" s="29">
        <v>753562.75</v>
      </c>
      <c r="J83" s="30">
        <v>875248</v>
      </c>
      <c r="K83" s="29">
        <v>7645.0199999999968</v>
      </c>
      <c r="L83" s="31">
        <v>27347.68</v>
      </c>
      <c r="M83" s="31">
        <v>34992.699999999997</v>
      </c>
      <c r="N83" s="31">
        <v>237.64999999999998</v>
      </c>
      <c r="O83" s="31">
        <v>850.12</v>
      </c>
      <c r="P83" s="31">
        <v>1087.77</v>
      </c>
      <c r="Q83" s="1">
        <f t="shared" si="21"/>
        <v>372005.96973657754</v>
      </c>
      <c r="R83" s="1">
        <f t="shared" si="22"/>
        <v>126458</v>
      </c>
      <c r="S83" s="32">
        <f t="shared" si="23"/>
        <v>0.16222526397621109</v>
      </c>
      <c r="T83" s="1">
        <f t="shared" si="24"/>
        <v>1</v>
      </c>
      <c r="U83" s="1">
        <f t="shared" si="25"/>
        <v>1932.1147902869757</v>
      </c>
      <c r="V83" s="1">
        <f t="shared" si="26"/>
        <v>268.62086092715231</v>
      </c>
      <c r="W83" s="25">
        <f>V83/U83</f>
        <v>0.13902945222382684</v>
      </c>
      <c r="X83" s="6">
        <f t="shared" si="27"/>
        <v>254.58397972065393</v>
      </c>
      <c r="Y83" s="1">
        <f t="shared" si="28"/>
        <v>758.93023292628914</v>
      </c>
    </row>
    <row r="84" spans="1:25" x14ac:dyDescent="0.25">
      <c r="A84" s="26">
        <v>94</v>
      </c>
      <c r="B84" s="26">
        <v>1</v>
      </c>
      <c r="C84" s="27" t="s">
        <v>89</v>
      </c>
      <c r="D84" s="28">
        <v>0</v>
      </c>
      <c r="E84" s="29">
        <v>827848666</v>
      </c>
      <c r="F84" s="29">
        <v>2710.49</v>
      </c>
      <c r="G84" s="30">
        <v>2604</v>
      </c>
      <c r="H84" s="31">
        <v>94809.78</v>
      </c>
      <c r="I84" s="29">
        <v>169761.15</v>
      </c>
      <c r="J84" s="30">
        <v>264570.93</v>
      </c>
      <c r="K84" s="29">
        <v>139628.26000000004</v>
      </c>
      <c r="L84" s="31">
        <v>250010.65</v>
      </c>
      <c r="M84" s="31">
        <v>389638.91000000003</v>
      </c>
      <c r="N84" s="31">
        <v>1662.8800000000006</v>
      </c>
      <c r="O84" s="31">
        <v>2977.47</v>
      </c>
      <c r="P84" s="31">
        <v>4640.3500000000004</v>
      </c>
      <c r="Q84" s="1">
        <f t="shared" si="21"/>
        <v>305423.98828256148</v>
      </c>
      <c r="R84" s="1">
        <f t="shared" si="22"/>
        <v>129062</v>
      </c>
      <c r="S84" s="32">
        <f t="shared" si="23"/>
        <v>0.16556577693224434</v>
      </c>
      <c r="T84" s="1">
        <f t="shared" si="24"/>
        <v>1</v>
      </c>
      <c r="U84" s="1">
        <f t="shared" si="25"/>
        <v>101.6017396313364</v>
      </c>
      <c r="V84" s="1">
        <f t="shared" si="26"/>
        <v>36.409285714285716</v>
      </c>
      <c r="W84" s="25">
        <f>V84/U84</f>
        <v>0.35835297551397655</v>
      </c>
      <c r="X84" s="6">
        <f t="shared" si="27"/>
        <v>20.50630229559372</v>
      </c>
      <c r="Y84" s="1">
        <f t="shared" si="28"/>
        <v>495.46592148486968</v>
      </c>
    </row>
    <row r="85" spans="1:25" x14ac:dyDescent="0.25">
      <c r="A85" s="26">
        <v>95</v>
      </c>
      <c r="B85" s="26">
        <v>1</v>
      </c>
      <c r="C85" s="27" t="s">
        <v>90</v>
      </c>
      <c r="D85" s="28">
        <v>0</v>
      </c>
      <c r="E85" s="29">
        <v>112141625</v>
      </c>
      <c r="F85" s="29">
        <v>287.47000000000003</v>
      </c>
      <c r="G85" s="30">
        <v>312</v>
      </c>
      <c r="H85" s="31">
        <v>0</v>
      </c>
      <c r="I85" s="29">
        <v>0</v>
      </c>
      <c r="J85" s="30">
        <v>0</v>
      </c>
      <c r="K85" s="29">
        <v>8430.5400000000009</v>
      </c>
      <c r="L85" s="31">
        <v>38285.040000000001</v>
      </c>
      <c r="M85" s="31">
        <v>46715.58</v>
      </c>
      <c r="N85" s="31">
        <v>2093.83</v>
      </c>
      <c r="O85" s="31">
        <v>9508.5499999999993</v>
      </c>
      <c r="P85" s="31">
        <v>11602.38</v>
      </c>
      <c r="Q85" s="1">
        <f t="shared" si="21"/>
        <v>390098.53202073259</v>
      </c>
      <c r="R85" s="1">
        <f t="shared" si="22"/>
        <v>129374</v>
      </c>
      <c r="S85" s="32">
        <f t="shared" si="23"/>
        <v>0.16596602272421146</v>
      </c>
      <c r="T85" s="1">
        <f t="shared" si="24"/>
        <v>1</v>
      </c>
      <c r="U85" s="1">
        <f t="shared" si="25"/>
        <v>0</v>
      </c>
      <c r="V85" s="1">
        <f t="shared" si="26"/>
        <v>0</v>
      </c>
      <c r="W85" s="33" t="s">
        <v>60</v>
      </c>
      <c r="X85" s="6">
        <f t="shared" si="27"/>
        <v>0</v>
      </c>
      <c r="Y85" s="1">
        <f t="shared" si="28"/>
        <v>0</v>
      </c>
    </row>
    <row r="86" spans="1:25" x14ac:dyDescent="0.25">
      <c r="A86" s="26">
        <v>97</v>
      </c>
      <c r="B86" s="26">
        <v>1</v>
      </c>
      <c r="C86" s="27" t="s">
        <v>91</v>
      </c>
      <c r="D86" s="28">
        <v>0</v>
      </c>
      <c r="E86" s="29">
        <v>291048275</v>
      </c>
      <c r="F86" s="29">
        <v>749.62</v>
      </c>
      <c r="G86" s="30">
        <v>684</v>
      </c>
      <c r="H86" s="31">
        <v>62178.320000000007</v>
      </c>
      <c r="I86" s="29">
        <v>275150.68</v>
      </c>
      <c r="J86" s="30">
        <v>337329</v>
      </c>
      <c r="K86" s="29">
        <v>17059.680000000008</v>
      </c>
      <c r="L86" s="31">
        <v>75492.289999999994</v>
      </c>
      <c r="M86" s="31">
        <v>92551.97</v>
      </c>
      <c r="N86" s="31">
        <v>0</v>
      </c>
      <c r="O86" s="31">
        <v>0</v>
      </c>
      <c r="P86" s="31">
        <v>0</v>
      </c>
      <c r="Q86" s="1">
        <f t="shared" si="21"/>
        <v>388261.08561671246</v>
      </c>
      <c r="R86" s="1">
        <f t="shared" si="22"/>
        <v>130058</v>
      </c>
      <c r="S86" s="32">
        <f t="shared" si="23"/>
        <v>0.16684348465275475</v>
      </c>
      <c r="T86" s="1">
        <f t="shared" si="24"/>
        <v>1</v>
      </c>
      <c r="U86" s="1">
        <f t="shared" si="25"/>
        <v>493.17105263157896</v>
      </c>
      <c r="V86" s="1">
        <f t="shared" si="26"/>
        <v>90.903976608187151</v>
      </c>
      <c r="W86" s="25">
        <f>V86/U86</f>
        <v>0.1843254508210086</v>
      </c>
      <c r="X86" s="6">
        <f t="shared" si="27"/>
        <v>94.537815075523113</v>
      </c>
      <c r="Y86" s="1">
        <f t="shared" si="28"/>
        <v>521.66538039577176</v>
      </c>
    </row>
    <row r="87" spans="1:25" x14ac:dyDescent="0.25">
      <c r="A87" s="26">
        <v>99</v>
      </c>
      <c r="B87" s="26">
        <v>1</v>
      </c>
      <c r="C87" s="27" t="s">
        <v>92</v>
      </c>
      <c r="D87" s="28">
        <v>0</v>
      </c>
      <c r="E87" s="29">
        <v>376774860</v>
      </c>
      <c r="F87" s="29">
        <v>1188.2</v>
      </c>
      <c r="G87" s="30">
        <v>1251</v>
      </c>
      <c r="H87" s="31">
        <v>0</v>
      </c>
      <c r="I87" s="29">
        <v>0</v>
      </c>
      <c r="J87" s="30">
        <v>0</v>
      </c>
      <c r="K87" s="29">
        <v>61977.709999999992</v>
      </c>
      <c r="L87" s="31">
        <v>123679.07999999999</v>
      </c>
      <c r="M87" s="31">
        <v>185656.78999999998</v>
      </c>
      <c r="N87" s="31">
        <v>1399.0100000000002</v>
      </c>
      <c r="O87" s="31">
        <v>2791.79</v>
      </c>
      <c r="P87" s="31">
        <v>4190.8</v>
      </c>
      <c r="Q87" s="1">
        <f t="shared" si="21"/>
        <v>317097.17219323345</v>
      </c>
      <c r="R87" s="1">
        <f t="shared" si="22"/>
        <v>131309</v>
      </c>
      <c r="S87" s="32">
        <f t="shared" si="23"/>
        <v>0.16844831633785368</v>
      </c>
      <c r="T87" s="1">
        <f t="shared" si="24"/>
        <v>1</v>
      </c>
      <c r="U87" s="1">
        <f t="shared" si="25"/>
        <v>0</v>
      </c>
      <c r="V87" s="1">
        <f t="shared" si="26"/>
        <v>0</v>
      </c>
      <c r="W87" s="33" t="s">
        <v>60</v>
      </c>
      <c r="X87" s="6">
        <f t="shared" si="27"/>
        <v>0</v>
      </c>
      <c r="Y87" s="1">
        <f t="shared" si="28"/>
        <v>0</v>
      </c>
    </row>
    <row r="88" spans="1:25" x14ac:dyDescent="0.25">
      <c r="A88" s="26">
        <v>100</v>
      </c>
      <c r="B88" s="26">
        <v>1</v>
      </c>
      <c r="C88" s="27" t="s">
        <v>93</v>
      </c>
      <c r="D88" s="28">
        <v>0</v>
      </c>
      <c r="E88" s="29">
        <v>143372600</v>
      </c>
      <c r="F88" s="29">
        <v>335.58</v>
      </c>
      <c r="G88" s="30">
        <v>344</v>
      </c>
      <c r="H88" s="31">
        <v>21623.170000000013</v>
      </c>
      <c r="I88" s="29">
        <v>189456.65</v>
      </c>
      <c r="J88" s="30">
        <v>211079.82</v>
      </c>
      <c r="K88" s="29">
        <v>4742.489999999998</v>
      </c>
      <c r="L88" s="31">
        <v>41552.449999999997</v>
      </c>
      <c r="M88" s="31">
        <v>46294.939999999995</v>
      </c>
      <c r="N88" s="31">
        <v>575.64000000000033</v>
      </c>
      <c r="O88" s="31">
        <v>5043.6499999999996</v>
      </c>
      <c r="P88" s="31">
        <v>5619.29</v>
      </c>
      <c r="Q88" s="1">
        <f t="shared" si="21"/>
        <v>427238.2144347101</v>
      </c>
      <c r="R88" s="1">
        <f t="shared" si="22"/>
        <v>131653</v>
      </c>
      <c r="S88" s="32">
        <f t="shared" si="23"/>
        <v>0.16888961298027896</v>
      </c>
      <c r="T88" s="1">
        <f t="shared" si="24"/>
        <v>1</v>
      </c>
      <c r="U88" s="1">
        <f t="shared" si="25"/>
        <v>613.60412790697671</v>
      </c>
      <c r="V88" s="1">
        <f t="shared" si="26"/>
        <v>62.858052325581433</v>
      </c>
      <c r="W88" s="25">
        <f>V88/U88</f>
        <v>0.10244072597749995</v>
      </c>
      <c r="X88" s="6">
        <f t="shared" si="27"/>
        <v>132.14285714285714</v>
      </c>
      <c r="Y88" s="1">
        <f t="shared" si="28"/>
        <v>464.34906976744185</v>
      </c>
    </row>
    <row r="89" spans="1:25" x14ac:dyDescent="0.25">
      <c r="A89" s="26">
        <v>108</v>
      </c>
      <c r="B89" s="26">
        <v>1</v>
      </c>
      <c r="C89" s="27" t="s">
        <v>94</v>
      </c>
      <c r="D89" s="28">
        <v>1</v>
      </c>
      <c r="E89" s="29">
        <v>579096200</v>
      </c>
      <c r="F89" s="29">
        <v>1265.08</v>
      </c>
      <c r="G89" s="30">
        <v>1019</v>
      </c>
      <c r="H89" s="31">
        <v>24245.670000000042</v>
      </c>
      <c r="I89" s="29">
        <v>608294.32999999996</v>
      </c>
      <c r="J89" s="30">
        <v>632540</v>
      </c>
      <c r="K89" s="29">
        <v>6593.3800000000047</v>
      </c>
      <c r="L89" s="31">
        <v>165419.94</v>
      </c>
      <c r="M89" s="31">
        <v>172013.32</v>
      </c>
      <c r="N89" s="31">
        <v>0</v>
      </c>
      <c r="O89" s="31">
        <v>0</v>
      </c>
      <c r="P89" s="31">
        <v>0</v>
      </c>
      <c r="Q89" s="1">
        <f t="shared" si="21"/>
        <v>457754.60840421164</v>
      </c>
      <c r="R89" s="1">
        <f t="shared" si="22"/>
        <v>132672</v>
      </c>
      <c r="S89" s="32">
        <f t="shared" si="23"/>
        <v>0.17019682599955618</v>
      </c>
      <c r="T89" s="1">
        <f t="shared" si="24"/>
        <v>1</v>
      </c>
      <c r="U89" s="1">
        <f t="shared" si="25"/>
        <v>620.7458292443572</v>
      </c>
      <c r="V89" s="1">
        <f t="shared" si="26"/>
        <v>23.793591756624181</v>
      </c>
      <c r="W89" s="25">
        <f>V89/U89</f>
        <v>3.8330651026022136E-2</v>
      </c>
      <c r="X89" s="6">
        <f t="shared" si="27"/>
        <v>105.04201719852418</v>
      </c>
      <c r="Y89" s="1">
        <f t="shared" si="28"/>
        <v>590.95002723641392</v>
      </c>
    </row>
    <row r="90" spans="1:25" x14ac:dyDescent="0.25">
      <c r="A90" s="26">
        <v>110</v>
      </c>
      <c r="B90" s="26">
        <v>1</v>
      </c>
      <c r="C90" s="27" t="s">
        <v>95</v>
      </c>
      <c r="D90" s="28">
        <v>1</v>
      </c>
      <c r="E90" s="29">
        <v>1894037350</v>
      </c>
      <c r="F90" s="29">
        <v>4306.6000000000004</v>
      </c>
      <c r="G90" s="30">
        <v>3519</v>
      </c>
      <c r="H90" s="31">
        <v>210287.35000000009</v>
      </c>
      <c r="I90" s="29">
        <v>2554722.1100000003</v>
      </c>
      <c r="J90" s="30">
        <v>2765009.4600000004</v>
      </c>
      <c r="K90" s="29">
        <v>41633.910000000033</v>
      </c>
      <c r="L90" s="31">
        <v>505798.72</v>
      </c>
      <c r="M90" s="31">
        <v>547432.63</v>
      </c>
      <c r="N90" s="31">
        <v>0</v>
      </c>
      <c r="O90" s="31">
        <v>0</v>
      </c>
      <c r="P90" s="31">
        <v>0</v>
      </c>
      <c r="Q90" s="1">
        <f t="shared" si="21"/>
        <v>439798.76236474246</v>
      </c>
      <c r="R90" s="1">
        <f t="shared" si="22"/>
        <v>136191</v>
      </c>
      <c r="S90" s="32">
        <f t="shared" si="23"/>
        <v>0.17471113671087762</v>
      </c>
      <c r="T90" s="1">
        <f t="shared" si="24"/>
        <v>1</v>
      </c>
      <c r="U90" s="1">
        <f t="shared" si="25"/>
        <v>785.73727195225933</v>
      </c>
      <c r="V90" s="1">
        <f t="shared" si="26"/>
        <v>59.757701051435092</v>
      </c>
      <c r="W90" s="25">
        <f>V90/U90</f>
        <v>7.6053030936103938E-2</v>
      </c>
      <c r="X90" s="6">
        <f t="shared" si="27"/>
        <v>134.88235118489087</v>
      </c>
      <c r="Y90" s="1">
        <f t="shared" si="28"/>
        <v>582.535272442875</v>
      </c>
    </row>
    <row r="91" spans="1:25" x14ac:dyDescent="0.25">
      <c r="A91" s="26">
        <v>111</v>
      </c>
      <c r="B91" s="26">
        <v>1</v>
      </c>
      <c r="C91" s="27" t="s">
        <v>96</v>
      </c>
      <c r="D91" s="28">
        <v>1</v>
      </c>
      <c r="E91" s="29">
        <v>809746000</v>
      </c>
      <c r="F91" s="29">
        <v>1947.91</v>
      </c>
      <c r="G91" s="30">
        <v>1656</v>
      </c>
      <c r="H91" s="31">
        <v>123381.47999999998</v>
      </c>
      <c r="I91" s="29">
        <v>850573.52</v>
      </c>
      <c r="J91" s="30">
        <v>973955</v>
      </c>
      <c r="K91" s="29">
        <v>36042.079999999987</v>
      </c>
      <c r="L91" s="31">
        <v>248468.75000000003</v>
      </c>
      <c r="M91" s="31">
        <v>284510.83</v>
      </c>
      <c r="N91" s="31">
        <v>0</v>
      </c>
      <c r="O91" s="31">
        <v>0</v>
      </c>
      <c r="P91" s="31">
        <v>0</v>
      </c>
      <c r="Q91" s="1">
        <f t="shared" si="21"/>
        <v>415699.9039996714</v>
      </c>
      <c r="R91" s="1">
        <f t="shared" si="22"/>
        <v>137847</v>
      </c>
      <c r="S91" s="32">
        <f t="shared" si="23"/>
        <v>0.17683551822208771</v>
      </c>
      <c r="T91" s="1">
        <f t="shared" si="24"/>
        <v>1</v>
      </c>
      <c r="U91" s="1">
        <f t="shared" si="25"/>
        <v>588.13707729468604</v>
      </c>
      <c r="V91" s="1">
        <f t="shared" si="26"/>
        <v>74.505724637681155</v>
      </c>
      <c r="W91" s="25">
        <f>V91/U91</f>
        <v>0.12668088361371929</v>
      </c>
      <c r="X91" s="6">
        <f t="shared" si="27"/>
        <v>105.04201564441196</v>
      </c>
      <c r="Y91" s="1">
        <f t="shared" si="28"/>
        <v>559.90650378001749</v>
      </c>
    </row>
    <row r="92" spans="1:25" x14ac:dyDescent="0.25">
      <c r="A92" s="26">
        <v>112</v>
      </c>
      <c r="B92" s="26">
        <v>1</v>
      </c>
      <c r="C92" s="27" t="s">
        <v>97</v>
      </c>
      <c r="D92" s="28">
        <v>1</v>
      </c>
      <c r="E92" s="29">
        <v>5717037200</v>
      </c>
      <c r="F92" s="29">
        <v>11151.63</v>
      </c>
      <c r="G92" s="30">
        <v>9262</v>
      </c>
      <c r="H92" s="31">
        <v>66228.25</v>
      </c>
      <c r="I92" s="29">
        <v>11958016.800000001</v>
      </c>
      <c r="J92" s="30">
        <v>12024245.050000001</v>
      </c>
      <c r="K92" s="29">
        <v>0</v>
      </c>
      <c r="L92" s="31">
        <v>1139904.99</v>
      </c>
      <c r="M92" s="31">
        <v>1139904.99</v>
      </c>
      <c r="N92" s="31">
        <v>0</v>
      </c>
      <c r="O92" s="31">
        <v>42197.82</v>
      </c>
      <c r="P92" s="31">
        <v>42197.82</v>
      </c>
      <c r="Q92" s="1">
        <f t="shared" si="21"/>
        <v>512663.81685906008</v>
      </c>
      <c r="R92" s="1">
        <f t="shared" si="22"/>
        <v>147109</v>
      </c>
      <c r="S92" s="32">
        <f t="shared" si="23"/>
        <v>0.18871717375157313</v>
      </c>
      <c r="T92" s="1">
        <f t="shared" si="24"/>
        <v>1</v>
      </c>
      <c r="U92" s="1">
        <f t="shared" si="25"/>
        <v>1298.2341880803283</v>
      </c>
      <c r="V92" s="1">
        <f t="shared" si="26"/>
        <v>7.1505344418052257</v>
      </c>
      <c r="W92" s="25">
        <f>V92/U92</f>
        <v>5.5078925724322287E-3</v>
      </c>
      <c r="X92" s="6">
        <f t="shared" si="27"/>
        <v>209.16457916348702</v>
      </c>
      <c r="Y92" s="1">
        <f t="shared" si="28"/>
        <v>620.67592575777553</v>
      </c>
    </row>
    <row r="93" spans="1:25" x14ac:dyDescent="0.25">
      <c r="A93" s="26">
        <v>113</v>
      </c>
      <c r="B93" s="26">
        <v>1</v>
      </c>
      <c r="C93" s="27" t="s">
        <v>98</v>
      </c>
      <c r="D93" s="28">
        <v>0</v>
      </c>
      <c r="E93" s="29">
        <v>848121055</v>
      </c>
      <c r="F93" s="29">
        <v>1009.59</v>
      </c>
      <c r="G93" s="30">
        <v>766</v>
      </c>
      <c r="H93" s="31">
        <v>0</v>
      </c>
      <c r="I93" s="29">
        <v>0</v>
      </c>
      <c r="J93" s="30">
        <v>0</v>
      </c>
      <c r="K93" s="29">
        <v>0</v>
      </c>
      <c r="L93" s="31">
        <v>142905.22</v>
      </c>
      <c r="M93" s="31">
        <v>142905.22</v>
      </c>
      <c r="N93" s="31">
        <v>0</v>
      </c>
      <c r="O93" s="31">
        <v>27997.01</v>
      </c>
      <c r="P93" s="31">
        <v>27997.01</v>
      </c>
      <c r="Q93" s="1">
        <f t="shared" si="21"/>
        <v>840064.83324914076</v>
      </c>
      <c r="R93" s="1">
        <f t="shared" si="22"/>
        <v>147875</v>
      </c>
      <c r="S93" s="32">
        <f t="shared" si="23"/>
        <v>0.18969982848441547</v>
      </c>
      <c r="T93" s="1">
        <f t="shared" si="24"/>
        <v>1</v>
      </c>
      <c r="U93" s="1">
        <f t="shared" si="25"/>
        <v>0</v>
      </c>
      <c r="V93" s="1">
        <f t="shared" si="26"/>
        <v>0</v>
      </c>
      <c r="W93" s="33" t="s">
        <v>60</v>
      </c>
      <c r="X93" s="6">
        <f t="shared" si="27"/>
        <v>0</v>
      </c>
      <c r="Y93" s="1">
        <f t="shared" si="28"/>
        <v>0</v>
      </c>
    </row>
    <row r="94" spans="1:25" x14ac:dyDescent="0.25">
      <c r="A94" s="26">
        <v>115</v>
      </c>
      <c r="B94" s="26">
        <v>1</v>
      </c>
      <c r="C94" s="27" t="s">
        <v>99</v>
      </c>
      <c r="D94" s="28">
        <v>0</v>
      </c>
      <c r="E94" s="29">
        <v>228218345</v>
      </c>
      <c r="F94" s="29">
        <v>950.09</v>
      </c>
      <c r="G94" s="30">
        <v>1087</v>
      </c>
      <c r="H94" s="31">
        <v>0</v>
      </c>
      <c r="I94" s="29">
        <v>0</v>
      </c>
      <c r="J94" s="30">
        <v>0</v>
      </c>
      <c r="K94" s="29">
        <v>78088.73</v>
      </c>
      <c r="L94" s="31">
        <v>79550.58</v>
      </c>
      <c r="M94" s="31">
        <v>157639.31</v>
      </c>
      <c r="N94" s="31">
        <v>203422.43000000002</v>
      </c>
      <c r="O94" s="31">
        <v>207230.6</v>
      </c>
      <c r="P94" s="31">
        <v>410653.03</v>
      </c>
      <c r="Q94" s="1">
        <f t="shared" si="21"/>
        <v>240207.08038185854</v>
      </c>
      <c r="R94" s="1">
        <f t="shared" si="22"/>
        <v>148962</v>
      </c>
      <c r="S94" s="32">
        <f t="shared" si="23"/>
        <v>0.19109427456091629</v>
      </c>
      <c r="T94" s="1">
        <f t="shared" si="24"/>
        <v>1</v>
      </c>
      <c r="U94" s="1">
        <f t="shared" si="25"/>
        <v>0</v>
      </c>
      <c r="V94" s="1">
        <f t="shared" si="26"/>
        <v>0</v>
      </c>
      <c r="W94" s="33" t="s">
        <v>60</v>
      </c>
      <c r="X94" s="6">
        <f t="shared" si="27"/>
        <v>0</v>
      </c>
      <c r="Y94" s="1">
        <f t="shared" si="28"/>
        <v>0</v>
      </c>
    </row>
    <row r="95" spans="1:25" x14ac:dyDescent="0.25">
      <c r="A95" s="26">
        <v>116</v>
      </c>
      <c r="B95" s="26">
        <v>1</v>
      </c>
      <c r="C95" s="27" t="s">
        <v>100</v>
      </c>
      <c r="D95" s="28">
        <v>0</v>
      </c>
      <c r="E95" s="29">
        <v>493023315</v>
      </c>
      <c r="F95" s="29">
        <v>979.26</v>
      </c>
      <c r="G95" s="30">
        <v>854</v>
      </c>
      <c r="H95" s="31">
        <v>0</v>
      </c>
      <c r="I95" s="29">
        <v>0</v>
      </c>
      <c r="J95" s="30">
        <v>0</v>
      </c>
      <c r="K95" s="29">
        <v>0</v>
      </c>
      <c r="L95" s="31">
        <v>145557.21000000002</v>
      </c>
      <c r="M95" s="31">
        <v>145557.21000000002</v>
      </c>
      <c r="N95" s="31">
        <v>0</v>
      </c>
      <c r="O95" s="31">
        <v>46847.799999999996</v>
      </c>
      <c r="P95" s="31">
        <v>46847.799999999996</v>
      </c>
      <c r="Q95" s="1">
        <f t="shared" si="21"/>
        <v>503465.18289320508</v>
      </c>
      <c r="R95" s="1">
        <f t="shared" si="22"/>
        <v>149816</v>
      </c>
      <c r="S95" s="32">
        <f t="shared" si="23"/>
        <v>0.19218981913251859</v>
      </c>
      <c r="T95" s="1">
        <f t="shared" si="24"/>
        <v>1</v>
      </c>
      <c r="U95" s="1">
        <f t="shared" si="25"/>
        <v>0</v>
      </c>
      <c r="V95" s="1">
        <f t="shared" si="26"/>
        <v>0</v>
      </c>
      <c r="W95" s="33" t="s">
        <v>60</v>
      </c>
      <c r="X95" s="6">
        <f t="shared" si="27"/>
        <v>0</v>
      </c>
      <c r="Y95" s="1">
        <f t="shared" si="28"/>
        <v>0</v>
      </c>
    </row>
    <row r="96" spans="1:25" x14ac:dyDescent="0.25">
      <c r="A96" s="26">
        <v>118</v>
      </c>
      <c r="B96" s="26">
        <v>1</v>
      </c>
      <c r="C96" s="27" t="s">
        <v>101</v>
      </c>
      <c r="D96" s="28">
        <v>0</v>
      </c>
      <c r="E96" s="29">
        <v>487343276</v>
      </c>
      <c r="F96" s="29">
        <v>451.14</v>
      </c>
      <c r="G96" s="30">
        <v>375</v>
      </c>
      <c r="H96" s="31">
        <v>0</v>
      </c>
      <c r="I96" s="29">
        <v>266122.97000000003</v>
      </c>
      <c r="J96" s="30">
        <v>266122.97000000003</v>
      </c>
      <c r="K96" s="29">
        <v>0</v>
      </c>
      <c r="L96" s="31">
        <v>48100.68</v>
      </c>
      <c r="M96" s="31">
        <v>48100.68</v>
      </c>
      <c r="N96" s="31">
        <v>0</v>
      </c>
      <c r="O96" s="31">
        <v>0</v>
      </c>
      <c r="P96" s="31">
        <v>0</v>
      </c>
      <c r="Q96" s="1">
        <f t="shared" si="21"/>
        <v>1080248.4284257658</v>
      </c>
      <c r="R96" s="1">
        <f t="shared" si="22"/>
        <v>150191</v>
      </c>
      <c r="S96" s="32">
        <f t="shared" si="23"/>
        <v>0.19267088378632521</v>
      </c>
      <c r="T96" s="1">
        <f t="shared" si="24"/>
        <v>1</v>
      </c>
      <c r="U96" s="1">
        <f t="shared" si="25"/>
        <v>709.66125333333343</v>
      </c>
      <c r="V96" s="1">
        <f t="shared" si="26"/>
        <v>0</v>
      </c>
      <c r="W96" s="25">
        <f>V96/U96</f>
        <v>0</v>
      </c>
      <c r="X96" s="6">
        <f t="shared" si="27"/>
        <v>54.606882480102179</v>
      </c>
      <c r="Y96" s="1">
        <f t="shared" si="28"/>
        <v>1299.5820693333335</v>
      </c>
    </row>
    <row r="97" spans="1:25" x14ac:dyDescent="0.25">
      <c r="A97" s="26">
        <v>129</v>
      </c>
      <c r="B97" s="26">
        <v>1</v>
      </c>
      <c r="C97" s="27" t="s">
        <v>102</v>
      </c>
      <c r="D97" s="28">
        <v>0</v>
      </c>
      <c r="E97" s="29">
        <v>334193340</v>
      </c>
      <c r="F97" s="29">
        <v>1444.97</v>
      </c>
      <c r="G97" s="30">
        <v>1490</v>
      </c>
      <c r="H97" s="31">
        <v>561461.59000000008</v>
      </c>
      <c r="I97" s="29">
        <v>739011.40999999992</v>
      </c>
      <c r="J97" s="30">
        <v>1300473</v>
      </c>
      <c r="K97" s="29">
        <v>93394.869999999981</v>
      </c>
      <c r="L97" s="31">
        <v>88265.98</v>
      </c>
      <c r="M97" s="31">
        <v>181660.84999999998</v>
      </c>
      <c r="N97" s="31">
        <v>6306.72</v>
      </c>
      <c r="O97" s="31">
        <v>5960.38</v>
      </c>
      <c r="P97" s="31">
        <v>12267.1</v>
      </c>
      <c r="Q97" s="1">
        <f t="shared" si="21"/>
        <v>231280.46949071606</v>
      </c>
      <c r="R97" s="1">
        <f t="shared" si="22"/>
        <v>151681</v>
      </c>
      <c r="S97" s="32">
        <f t="shared" si="23"/>
        <v>0.19458231401078357</v>
      </c>
      <c r="T97" s="1">
        <f t="shared" si="24"/>
        <v>1</v>
      </c>
      <c r="U97" s="1">
        <f t="shared" si="25"/>
        <v>872.80067114093958</v>
      </c>
      <c r="V97" s="1">
        <f t="shared" si="26"/>
        <v>376.81985906040273</v>
      </c>
      <c r="W97" s="25">
        <f>V97/U97</f>
        <v>0.43173644512419718</v>
      </c>
      <c r="X97" s="6">
        <f t="shared" si="27"/>
        <v>221.1328957064195</v>
      </c>
      <c r="Y97" s="1">
        <f t="shared" si="28"/>
        <v>394.69508521232746</v>
      </c>
    </row>
    <row r="98" spans="1:25" x14ac:dyDescent="0.25">
      <c r="A98" s="26">
        <v>138</v>
      </c>
      <c r="B98" s="26">
        <v>1</v>
      </c>
      <c r="C98" s="27" t="s">
        <v>103</v>
      </c>
      <c r="D98" s="28">
        <v>0</v>
      </c>
      <c r="E98" s="29">
        <v>1421244000</v>
      </c>
      <c r="F98" s="29">
        <v>3967.44</v>
      </c>
      <c r="G98" s="30">
        <v>3097</v>
      </c>
      <c r="H98" s="31">
        <v>0</v>
      </c>
      <c r="I98" s="29">
        <v>0</v>
      </c>
      <c r="J98" s="30">
        <v>0</v>
      </c>
      <c r="K98" s="29">
        <v>77972.659999999974</v>
      </c>
      <c r="L98" s="31">
        <v>237167.3</v>
      </c>
      <c r="M98" s="31">
        <v>315139.95999999996</v>
      </c>
      <c r="N98" s="31">
        <v>15680.419999999998</v>
      </c>
      <c r="O98" s="31">
        <v>47694.71</v>
      </c>
      <c r="P98" s="31">
        <v>63375.13</v>
      </c>
      <c r="Q98" s="1">
        <f t="shared" si="21"/>
        <v>358226.96751557681</v>
      </c>
      <c r="R98" s="1">
        <f t="shared" si="22"/>
        <v>154778</v>
      </c>
      <c r="S98" s="32">
        <f t="shared" si="23"/>
        <v>0.19855526663168796</v>
      </c>
      <c r="T98" s="1">
        <f t="shared" si="24"/>
        <v>1</v>
      </c>
      <c r="U98" s="1">
        <f t="shared" si="25"/>
        <v>0</v>
      </c>
      <c r="V98" s="1">
        <f t="shared" si="26"/>
        <v>0</v>
      </c>
      <c r="W98" s="33" t="s">
        <v>60</v>
      </c>
      <c r="X98" s="6">
        <f t="shared" si="27"/>
        <v>0</v>
      </c>
      <c r="Y98" s="1">
        <f t="shared" si="28"/>
        <v>0</v>
      </c>
    </row>
    <row r="99" spans="1:25" x14ac:dyDescent="0.25">
      <c r="A99" s="26">
        <v>139</v>
      </c>
      <c r="B99" s="26">
        <v>1</v>
      </c>
      <c r="C99" s="27" t="s">
        <v>104</v>
      </c>
      <c r="D99" s="28">
        <v>0</v>
      </c>
      <c r="E99" s="29">
        <v>379683400</v>
      </c>
      <c r="F99" s="29">
        <v>920.43</v>
      </c>
      <c r="G99" s="30">
        <v>907</v>
      </c>
      <c r="H99" s="31">
        <v>0</v>
      </c>
      <c r="I99" s="29">
        <v>0</v>
      </c>
      <c r="J99" s="30">
        <v>0</v>
      </c>
      <c r="K99" s="29">
        <v>19242.039999999994</v>
      </c>
      <c r="L99" s="31">
        <v>125012.34999999999</v>
      </c>
      <c r="M99" s="31">
        <v>144254.38999999998</v>
      </c>
      <c r="N99" s="31">
        <v>0</v>
      </c>
      <c r="O99" s="31">
        <v>0</v>
      </c>
      <c r="P99" s="31">
        <v>0</v>
      </c>
      <c r="Q99" s="1">
        <f t="shared" si="21"/>
        <v>412506.54585356847</v>
      </c>
      <c r="R99" s="1">
        <f t="shared" si="22"/>
        <v>155685</v>
      </c>
      <c r="S99" s="32">
        <f t="shared" si="23"/>
        <v>0.1997188016743616</v>
      </c>
      <c r="T99" s="1">
        <f t="shared" si="24"/>
        <v>1</v>
      </c>
      <c r="U99" s="1">
        <f t="shared" si="25"/>
        <v>0</v>
      </c>
      <c r="V99" s="1">
        <f t="shared" si="26"/>
        <v>0</v>
      </c>
      <c r="W99" s="33" t="s">
        <v>60</v>
      </c>
      <c r="X99" s="6">
        <f t="shared" si="27"/>
        <v>0</v>
      </c>
      <c r="Y99" s="1">
        <f t="shared" si="28"/>
        <v>0</v>
      </c>
    </row>
    <row r="100" spans="1:25" x14ac:dyDescent="0.25">
      <c r="A100" s="26">
        <v>146</v>
      </c>
      <c r="B100" s="26">
        <v>1</v>
      </c>
      <c r="C100" s="27" t="s">
        <v>105</v>
      </c>
      <c r="D100" s="28">
        <v>0</v>
      </c>
      <c r="E100" s="29">
        <v>233229100</v>
      </c>
      <c r="F100" s="29">
        <v>963.84</v>
      </c>
      <c r="G100" s="30">
        <v>805</v>
      </c>
      <c r="H100" s="31">
        <v>356711.16000000003</v>
      </c>
      <c r="I100" s="29">
        <v>558936.84</v>
      </c>
      <c r="J100" s="30">
        <v>915648</v>
      </c>
      <c r="K100" s="29">
        <v>43832.460000000006</v>
      </c>
      <c r="L100" s="31">
        <v>45323.020000000004</v>
      </c>
      <c r="M100" s="31">
        <v>89155.48000000001</v>
      </c>
      <c r="N100" s="31">
        <v>4882.5200000000013</v>
      </c>
      <c r="O100" s="31">
        <v>5048.5600000000004</v>
      </c>
      <c r="P100" s="31">
        <v>9931.0800000000017</v>
      </c>
      <c r="Q100" s="1">
        <f t="shared" si="21"/>
        <v>241979.06291500662</v>
      </c>
      <c r="R100" s="1">
        <f t="shared" si="22"/>
        <v>156490</v>
      </c>
      <c r="S100" s="32">
        <f t="shared" si="23"/>
        <v>0.20075148713119984</v>
      </c>
      <c r="T100" s="1">
        <f t="shared" si="24"/>
        <v>2</v>
      </c>
      <c r="U100" s="1">
        <f t="shared" si="25"/>
        <v>1137.4509316770186</v>
      </c>
      <c r="V100" s="1">
        <f t="shared" si="26"/>
        <v>443.1194534161491</v>
      </c>
      <c r="W100" s="25">
        <f>V100/U100</f>
        <v>0.38957236842105264</v>
      </c>
      <c r="X100" s="6">
        <f t="shared" si="27"/>
        <v>239.65141571098974</v>
      </c>
      <c r="Y100" s="1">
        <f t="shared" si="28"/>
        <v>474.62725321378451</v>
      </c>
    </row>
    <row r="101" spans="1:25" x14ac:dyDescent="0.25">
      <c r="A101" s="26">
        <v>150</v>
      </c>
      <c r="B101" s="26">
        <v>1</v>
      </c>
      <c r="C101" s="27" t="s">
        <v>106</v>
      </c>
      <c r="D101" s="28">
        <v>0</v>
      </c>
      <c r="E101" s="29">
        <v>222586700</v>
      </c>
      <c r="F101" s="29">
        <v>869.64</v>
      </c>
      <c r="G101" s="30">
        <v>918</v>
      </c>
      <c r="H101" s="31">
        <v>201010.44</v>
      </c>
      <c r="I101" s="29">
        <v>233809.56</v>
      </c>
      <c r="J101" s="30">
        <v>434820</v>
      </c>
      <c r="K101" s="29">
        <v>58209.2</v>
      </c>
      <c r="L101" s="31">
        <v>67707.260000000009</v>
      </c>
      <c r="M101" s="31">
        <v>125916.46</v>
      </c>
      <c r="N101" s="31">
        <v>0</v>
      </c>
      <c r="O101" s="31">
        <v>0</v>
      </c>
      <c r="P101" s="31">
        <v>0</v>
      </c>
      <c r="Q101" s="1">
        <f t="shared" si="21"/>
        <v>255952.69306839613</v>
      </c>
      <c r="R101" s="1">
        <f t="shared" si="22"/>
        <v>157408</v>
      </c>
      <c r="S101" s="32">
        <f t="shared" si="23"/>
        <v>0.20192913340371846</v>
      </c>
      <c r="T101" s="1">
        <f t="shared" si="24"/>
        <v>2</v>
      </c>
      <c r="U101" s="1">
        <f t="shared" si="25"/>
        <v>473.66013071895424</v>
      </c>
      <c r="V101" s="1">
        <f t="shared" si="26"/>
        <v>218.96562091503267</v>
      </c>
      <c r="W101" s="25">
        <f>V101/U101</f>
        <v>0.46228425555402236</v>
      </c>
      <c r="X101" s="6">
        <f t="shared" si="27"/>
        <v>105.04201733526756</v>
      </c>
      <c r="Y101" s="1">
        <f t="shared" si="28"/>
        <v>450.92444217550661</v>
      </c>
    </row>
    <row r="102" spans="1:25" x14ac:dyDescent="0.25">
      <c r="A102" s="26">
        <v>152</v>
      </c>
      <c r="B102" s="26">
        <v>1</v>
      </c>
      <c r="C102" s="27" t="s">
        <v>107</v>
      </c>
      <c r="D102" s="28">
        <v>0</v>
      </c>
      <c r="E102" s="29">
        <v>2340059000</v>
      </c>
      <c r="F102" s="29">
        <v>6534.83</v>
      </c>
      <c r="G102" s="30">
        <v>5453</v>
      </c>
      <c r="H102" s="31">
        <v>1133117.8100000005</v>
      </c>
      <c r="I102" s="29">
        <v>4421487.6899999995</v>
      </c>
      <c r="J102" s="30">
        <v>5554605.5</v>
      </c>
      <c r="K102" s="29">
        <v>155562.15000000002</v>
      </c>
      <c r="L102" s="31">
        <v>472440.08999999997</v>
      </c>
      <c r="M102" s="31">
        <v>628002.24</v>
      </c>
      <c r="N102" s="31">
        <v>77593.270000000019</v>
      </c>
      <c r="O102" s="31">
        <v>235649.7</v>
      </c>
      <c r="P102" s="31">
        <v>313242.97000000003</v>
      </c>
      <c r="Q102" s="1">
        <f t="shared" si="21"/>
        <v>358090.26401604939</v>
      </c>
      <c r="R102" s="1">
        <f t="shared" si="22"/>
        <v>162861</v>
      </c>
      <c r="S102" s="32">
        <f t="shared" si="23"/>
        <v>0.20892445488960532</v>
      </c>
      <c r="T102" s="1">
        <f t="shared" si="24"/>
        <v>2</v>
      </c>
      <c r="U102" s="1">
        <f t="shared" si="25"/>
        <v>1018.6329543370622</v>
      </c>
      <c r="V102" s="1">
        <f t="shared" si="26"/>
        <v>207.79714102329004</v>
      </c>
      <c r="W102" s="25">
        <f>V102/U102</f>
        <v>0.20399609117155135</v>
      </c>
      <c r="X102" s="6">
        <f t="shared" si="27"/>
        <v>188.94770131864195</v>
      </c>
      <c r="Y102" s="1">
        <f t="shared" si="28"/>
        <v>539.10841318955067</v>
      </c>
    </row>
    <row r="103" spans="1:25" x14ac:dyDescent="0.25">
      <c r="A103" s="26">
        <v>162</v>
      </c>
      <c r="B103" s="26">
        <v>1</v>
      </c>
      <c r="C103" s="27" t="s">
        <v>108</v>
      </c>
      <c r="D103" s="28">
        <v>0</v>
      </c>
      <c r="E103" s="29">
        <v>255978950</v>
      </c>
      <c r="F103" s="29">
        <v>1100.4100000000001</v>
      </c>
      <c r="G103" s="30">
        <v>955</v>
      </c>
      <c r="H103" s="31">
        <v>0</v>
      </c>
      <c r="I103" s="29">
        <v>0</v>
      </c>
      <c r="J103" s="30">
        <v>0</v>
      </c>
      <c r="K103" s="29">
        <v>83790.86</v>
      </c>
      <c r="L103" s="31">
        <v>80087.37000000001</v>
      </c>
      <c r="M103" s="31">
        <v>163878.23000000001</v>
      </c>
      <c r="N103" s="31">
        <v>24847.309999999998</v>
      </c>
      <c r="O103" s="31">
        <v>23749.08</v>
      </c>
      <c r="P103" s="31">
        <v>48596.39</v>
      </c>
      <c r="Q103" s="1">
        <f t="shared" si="21"/>
        <v>232621.43201170472</v>
      </c>
      <c r="R103" s="1">
        <f t="shared" si="22"/>
        <v>163816</v>
      </c>
      <c r="S103" s="32">
        <f t="shared" si="23"/>
        <v>0.21014956620796621</v>
      </c>
      <c r="T103" s="1">
        <f t="shared" si="24"/>
        <v>2</v>
      </c>
      <c r="U103" s="1">
        <f t="shared" si="25"/>
        <v>0</v>
      </c>
      <c r="V103" s="1">
        <f t="shared" si="26"/>
        <v>0</v>
      </c>
      <c r="W103" s="33" t="s">
        <v>60</v>
      </c>
      <c r="X103" s="6">
        <f t="shared" si="27"/>
        <v>0</v>
      </c>
      <c r="Y103" s="1">
        <f t="shared" si="28"/>
        <v>0</v>
      </c>
    </row>
    <row r="104" spans="1:25" x14ac:dyDescent="0.25">
      <c r="A104" s="26">
        <v>166</v>
      </c>
      <c r="B104" s="26">
        <v>1</v>
      </c>
      <c r="C104" s="27" t="s">
        <v>109</v>
      </c>
      <c r="D104" s="28">
        <v>0</v>
      </c>
      <c r="E104" s="29">
        <v>654820475</v>
      </c>
      <c r="F104" s="29">
        <v>704.83</v>
      </c>
      <c r="G104" s="30">
        <v>444</v>
      </c>
      <c r="H104" s="31">
        <v>0</v>
      </c>
      <c r="I104" s="29">
        <v>458139.5</v>
      </c>
      <c r="J104" s="30">
        <v>458139.5</v>
      </c>
      <c r="K104" s="29">
        <v>0</v>
      </c>
      <c r="L104" s="31">
        <v>52732.07</v>
      </c>
      <c r="M104" s="31">
        <v>52732.07</v>
      </c>
      <c r="N104" s="31">
        <v>0</v>
      </c>
      <c r="O104" s="31">
        <v>0</v>
      </c>
      <c r="P104" s="31">
        <v>0</v>
      </c>
      <c r="Q104" s="1">
        <f t="shared" si="21"/>
        <v>929047.39440716198</v>
      </c>
      <c r="R104" s="1">
        <f t="shared" si="22"/>
        <v>164260</v>
      </c>
      <c r="S104" s="32">
        <f t="shared" si="23"/>
        <v>0.21071914675807327</v>
      </c>
      <c r="T104" s="1">
        <f t="shared" si="24"/>
        <v>2</v>
      </c>
      <c r="U104" s="1">
        <f t="shared" si="25"/>
        <v>1031.8457207207207</v>
      </c>
      <c r="V104" s="1">
        <f t="shared" si="26"/>
        <v>0</v>
      </c>
      <c r="W104" s="25">
        <f t="shared" ref="W104:W122" si="30">V104/U104</f>
        <v>0</v>
      </c>
      <c r="X104" s="6">
        <f t="shared" si="27"/>
        <v>69.964137880691652</v>
      </c>
      <c r="Y104" s="1">
        <f t="shared" si="28"/>
        <v>1474.8208896396395</v>
      </c>
    </row>
    <row r="105" spans="1:25" x14ac:dyDescent="0.25">
      <c r="A105" s="26">
        <v>173</v>
      </c>
      <c r="B105" s="26">
        <v>1</v>
      </c>
      <c r="C105" s="27" t="s">
        <v>110</v>
      </c>
      <c r="D105" s="28">
        <v>0</v>
      </c>
      <c r="E105" s="29">
        <v>102817980</v>
      </c>
      <c r="F105" s="29">
        <v>541.26</v>
      </c>
      <c r="G105" s="30">
        <v>457</v>
      </c>
      <c r="H105" s="31">
        <v>333295.45000000007</v>
      </c>
      <c r="I105" s="29">
        <v>520569.26</v>
      </c>
      <c r="J105" s="30">
        <v>853864.71000000008</v>
      </c>
      <c r="K105" s="29">
        <v>22656.090000000004</v>
      </c>
      <c r="L105" s="31">
        <v>15046.03</v>
      </c>
      <c r="M105" s="31">
        <v>37702.120000000003</v>
      </c>
      <c r="N105" s="31">
        <v>0</v>
      </c>
      <c r="O105" s="31">
        <v>0</v>
      </c>
      <c r="P105" s="31">
        <v>0</v>
      </c>
      <c r="Q105" s="1">
        <f t="shared" si="21"/>
        <v>189960.42567342866</v>
      </c>
      <c r="R105" s="1">
        <f t="shared" si="22"/>
        <v>164717</v>
      </c>
      <c r="S105" s="32">
        <f t="shared" si="23"/>
        <v>0.21130540421617894</v>
      </c>
      <c r="T105" s="1">
        <f t="shared" si="24"/>
        <v>2</v>
      </c>
      <c r="U105" s="1">
        <f t="shared" si="25"/>
        <v>1868.4129321663022</v>
      </c>
      <c r="V105" s="1">
        <f t="shared" si="26"/>
        <v>729.31170678336991</v>
      </c>
      <c r="W105" s="25">
        <f t="shared" si="30"/>
        <v>0.39033753953831868</v>
      </c>
      <c r="X105" s="6">
        <f t="shared" si="27"/>
        <v>506.30177717943883</v>
      </c>
      <c r="Y105" s="1">
        <f t="shared" si="28"/>
        <v>369.0314781384061</v>
      </c>
    </row>
    <row r="106" spans="1:25" x14ac:dyDescent="0.25">
      <c r="A106" s="26">
        <v>177</v>
      </c>
      <c r="B106" s="26">
        <v>1</v>
      </c>
      <c r="C106" s="27" t="s">
        <v>111</v>
      </c>
      <c r="D106" s="28">
        <v>0</v>
      </c>
      <c r="E106" s="29">
        <v>289470925</v>
      </c>
      <c r="F106" s="29">
        <v>1031.06</v>
      </c>
      <c r="G106" s="30">
        <v>950</v>
      </c>
      <c r="H106" s="31">
        <v>296049.46999999997</v>
      </c>
      <c r="I106" s="29">
        <v>1077569.8999999999</v>
      </c>
      <c r="J106" s="30">
        <v>1373619.3699999999</v>
      </c>
      <c r="K106" s="29">
        <v>37381.339999999997</v>
      </c>
      <c r="L106" s="31">
        <v>53751</v>
      </c>
      <c r="M106" s="31">
        <v>91132.34</v>
      </c>
      <c r="N106" s="31">
        <v>0</v>
      </c>
      <c r="O106" s="31">
        <v>0</v>
      </c>
      <c r="P106" s="31">
        <v>0</v>
      </c>
      <c r="Q106" s="1">
        <f t="shared" si="21"/>
        <v>280750.80499679944</v>
      </c>
      <c r="R106" s="1">
        <f t="shared" si="22"/>
        <v>165667</v>
      </c>
      <c r="S106" s="32">
        <f t="shared" si="23"/>
        <v>0.21252410133915575</v>
      </c>
      <c r="T106" s="1">
        <f t="shared" si="24"/>
        <v>2</v>
      </c>
      <c r="U106" s="1">
        <f t="shared" si="25"/>
        <v>1445.9151263157894</v>
      </c>
      <c r="V106" s="1">
        <f t="shared" si="26"/>
        <v>311.63102105263152</v>
      </c>
      <c r="W106" s="25">
        <f t="shared" si="30"/>
        <v>0.21552511304496236</v>
      </c>
      <c r="X106" s="6">
        <f t="shared" si="27"/>
        <v>372.25496826667478</v>
      </c>
      <c r="Y106" s="1">
        <f t="shared" si="28"/>
        <v>388.42063896376783</v>
      </c>
    </row>
    <row r="107" spans="1:25" x14ac:dyDescent="0.25">
      <c r="A107" s="26">
        <v>181</v>
      </c>
      <c r="B107" s="26">
        <v>1</v>
      </c>
      <c r="C107" s="27" t="s">
        <v>112</v>
      </c>
      <c r="D107" s="28">
        <v>0</v>
      </c>
      <c r="E107" s="29">
        <v>3839359745</v>
      </c>
      <c r="F107" s="29">
        <v>7175.92</v>
      </c>
      <c r="G107" s="30">
        <v>6428</v>
      </c>
      <c r="H107" s="31">
        <v>0</v>
      </c>
      <c r="I107" s="29">
        <v>2864914.3</v>
      </c>
      <c r="J107" s="30">
        <v>2864914.3</v>
      </c>
      <c r="K107" s="29">
        <v>0</v>
      </c>
      <c r="L107" s="31">
        <v>883343.01</v>
      </c>
      <c r="M107" s="31">
        <v>883343.01</v>
      </c>
      <c r="N107" s="31">
        <v>0</v>
      </c>
      <c r="O107" s="31">
        <v>69653.490000000005</v>
      </c>
      <c r="P107" s="31">
        <v>69653.490000000005</v>
      </c>
      <c r="Q107" s="1">
        <f t="shared" si="21"/>
        <v>535033.79984726699</v>
      </c>
      <c r="R107" s="1">
        <f t="shared" si="22"/>
        <v>172095</v>
      </c>
      <c r="S107" s="32">
        <f t="shared" si="23"/>
        <v>0.22077019092493985</v>
      </c>
      <c r="T107" s="1">
        <f t="shared" si="24"/>
        <v>2</v>
      </c>
      <c r="U107" s="1">
        <f t="shared" si="25"/>
        <v>445.69295270690725</v>
      </c>
      <c r="V107" s="1">
        <f t="shared" si="26"/>
        <v>0</v>
      </c>
      <c r="W107" s="25">
        <f t="shared" si="30"/>
        <v>0</v>
      </c>
      <c r="X107" s="6">
        <f t="shared" si="27"/>
        <v>74.619584781837105</v>
      </c>
      <c r="Y107" s="1">
        <f t="shared" si="28"/>
        <v>597.28683027380214</v>
      </c>
    </row>
    <row r="108" spans="1:25" x14ac:dyDescent="0.25">
      <c r="A108" s="26">
        <v>182</v>
      </c>
      <c r="B108" s="26">
        <v>1</v>
      </c>
      <c r="C108" s="27" t="s">
        <v>113</v>
      </c>
      <c r="D108" s="28">
        <v>0</v>
      </c>
      <c r="E108" s="29">
        <v>1053229895</v>
      </c>
      <c r="F108" s="29">
        <v>1564.62</v>
      </c>
      <c r="G108" s="30">
        <v>1176</v>
      </c>
      <c r="H108" s="31">
        <v>0</v>
      </c>
      <c r="I108" s="29">
        <v>632106.48</v>
      </c>
      <c r="J108" s="30">
        <v>632106.48</v>
      </c>
      <c r="K108" s="29">
        <v>0</v>
      </c>
      <c r="L108" s="31">
        <v>157407.26</v>
      </c>
      <c r="M108" s="31">
        <v>157407.26</v>
      </c>
      <c r="N108" s="31">
        <v>0</v>
      </c>
      <c r="O108" s="31">
        <v>0</v>
      </c>
      <c r="P108" s="31">
        <v>0</v>
      </c>
      <c r="Q108" s="1">
        <f t="shared" si="21"/>
        <v>673153.79772724374</v>
      </c>
      <c r="R108" s="1">
        <f t="shared" si="22"/>
        <v>173271</v>
      </c>
      <c r="S108" s="32">
        <f t="shared" si="23"/>
        <v>0.22227880967927746</v>
      </c>
      <c r="T108" s="1">
        <f t="shared" si="24"/>
        <v>2</v>
      </c>
      <c r="U108" s="1">
        <f t="shared" si="25"/>
        <v>537.50551020408159</v>
      </c>
      <c r="V108" s="1">
        <f t="shared" si="26"/>
        <v>0</v>
      </c>
      <c r="W108" s="25">
        <f t="shared" si="30"/>
        <v>0</v>
      </c>
      <c r="X108" s="6">
        <f t="shared" si="27"/>
        <v>60.016002489181147</v>
      </c>
      <c r="Y108" s="1">
        <f t="shared" si="28"/>
        <v>895.60365221088421</v>
      </c>
    </row>
    <row r="109" spans="1:25" x14ac:dyDescent="0.25">
      <c r="A109" s="26">
        <v>186</v>
      </c>
      <c r="B109" s="26">
        <v>1</v>
      </c>
      <c r="C109" s="27" t="s">
        <v>114</v>
      </c>
      <c r="D109" s="28">
        <v>0</v>
      </c>
      <c r="E109" s="29">
        <v>1412936950</v>
      </c>
      <c r="F109" s="29">
        <v>1862.66</v>
      </c>
      <c r="G109" s="30">
        <v>1616</v>
      </c>
      <c r="H109" s="31">
        <v>0</v>
      </c>
      <c r="I109" s="29">
        <v>1881.29</v>
      </c>
      <c r="J109" s="30">
        <v>1881.29</v>
      </c>
      <c r="K109" s="29">
        <v>0</v>
      </c>
      <c r="L109" s="31">
        <v>349456.29</v>
      </c>
      <c r="M109" s="31">
        <v>349456.29</v>
      </c>
      <c r="N109" s="31">
        <v>0</v>
      </c>
      <c r="O109" s="31">
        <v>0</v>
      </c>
      <c r="P109" s="31">
        <v>0</v>
      </c>
      <c r="Q109" s="1">
        <f t="shared" si="21"/>
        <v>758558.70099749812</v>
      </c>
      <c r="R109" s="1">
        <f t="shared" si="22"/>
        <v>174887</v>
      </c>
      <c r="S109" s="32">
        <f t="shared" si="23"/>
        <v>0.22435187762741485</v>
      </c>
      <c r="T109" s="1">
        <f t="shared" si="24"/>
        <v>2</v>
      </c>
      <c r="U109" s="1">
        <f t="shared" si="25"/>
        <v>1.1641646039603961</v>
      </c>
      <c r="V109" s="1">
        <f t="shared" si="26"/>
        <v>0</v>
      </c>
      <c r="W109" s="25">
        <f t="shared" si="30"/>
        <v>0</v>
      </c>
      <c r="X109" s="6">
        <f t="shared" si="27"/>
        <v>0.13314748404024679</v>
      </c>
      <c r="Y109" s="1">
        <f t="shared" si="28"/>
        <v>874.34217202970308</v>
      </c>
    </row>
    <row r="110" spans="1:25" x14ac:dyDescent="0.25">
      <c r="A110" s="26">
        <v>191</v>
      </c>
      <c r="B110" s="26">
        <v>1</v>
      </c>
      <c r="C110" s="27" t="s">
        <v>115</v>
      </c>
      <c r="D110" s="28">
        <v>1</v>
      </c>
      <c r="E110" s="29">
        <v>5982262200</v>
      </c>
      <c r="F110" s="29">
        <v>11846.42</v>
      </c>
      <c r="G110" s="30">
        <v>9367</v>
      </c>
      <c r="H110" s="31">
        <v>3391.589999999851</v>
      </c>
      <c r="I110" s="29">
        <v>17484293.609999999</v>
      </c>
      <c r="J110" s="30">
        <v>17487685.199999999</v>
      </c>
      <c r="K110" s="29">
        <v>0</v>
      </c>
      <c r="L110" s="31">
        <v>775399.76</v>
      </c>
      <c r="M110" s="31">
        <v>775399.76</v>
      </c>
      <c r="N110" s="31">
        <v>0</v>
      </c>
      <c r="O110" s="31">
        <v>343698</v>
      </c>
      <c r="P110" s="31">
        <v>343698</v>
      </c>
      <c r="Q110" s="1">
        <f t="shared" si="21"/>
        <v>504984.81397755607</v>
      </c>
      <c r="R110" s="1">
        <f t="shared" si="22"/>
        <v>184254</v>
      </c>
      <c r="S110" s="32">
        <f t="shared" si="23"/>
        <v>0.23636823125996612</v>
      </c>
      <c r="T110" s="1">
        <f t="shared" si="24"/>
        <v>2</v>
      </c>
      <c r="U110" s="1">
        <f t="shared" si="25"/>
        <v>1866.9462154371729</v>
      </c>
      <c r="V110" s="1">
        <f t="shared" si="26"/>
        <v>0.36207857371622193</v>
      </c>
      <c r="W110" s="25">
        <f t="shared" si="30"/>
        <v>1.9394162012933828E-4</v>
      </c>
      <c r="X110" s="6">
        <f t="shared" si="27"/>
        <v>292.26892813223736</v>
      </c>
      <c r="Y110" s="1">
        <f t="shared" si="28"/>
        <v>638.77683726696773</v>
      </c>
    </row>
    <row r="111" spans="1:25" x14ac:dyDescent="0.25">
      <c r="A111" s="26">
        <v>192</v>
      </c>
      <c r="B111" s="26">
        <v>1</v>
      </c>
      <c r="C111" s="27" t="s">
        <v>116</v>
      </c>
      <c r="D111" s="28">
        <v>1</v>
      </c>
      <c r="E111" s="29">
        <v>2359313425</v>
      </c>
      <c r="F111" s="29">
        <v>7652.47</v>
      </c>
      <c r="G111" s="30">
        <v>6516</v>
      </c>
      <c r="H111" s="31">
        <v>1734857.3599999999</v>
      </c>
      <c r="I111" s="29">
        <v>3189583.61</v>
      </c>
      <c r="J111" s="30">
        <v>4924440.97</v>
      </c>
      <c r="K111" s="29">
        <v>359822.80000000005</v>
      </c>
      <c r="L111" s="31">
        <v>661544.25</v>
      </c>
      <c r="M111" s="31">
        <v>1021367.05</v>
      </c>
      <c r="N111" s="31">
        <v>14043.780000000002</v>
      </c>
      <c r="O111" s="31">
        <v>25819.88</v>
      </c>
      <c r="P111" s="31">
        <v>39863.660000000003</v>
      </c>
      <c r="Q111" s="1">
        <f t="shared" si="21"/>
        <v>308307.43864399334</v>
      </c>
      <c r="R111" s="1">
        <f t="shared" si="22"/>
        <v>190770</v>
      </c>
      <c r="S111" s="32">
        <f t="shared" si="23"/>
        <v>0.24472721068451017</v>
      </c>
      <c r="T111" s="1">
        <f t="shared" si="24"/>
        <v>2</v>
      </c>
      <c r="U111" s="1">
        <f t="shared" si="25"/>
        <v>755.74600521792502</v>
      </c>
      <c r="V111" s="1">
        <f t="shared" si="26"/>
        <v>266.24575813382444</v>
      </c>
      <c r="W111" s="25">
        <f t="shared" si="30"/>
        <v>0.35229529007837823</v>
      </c>
      <c r="X111" s="6">
        <f t="shared" si="27"/>
        <v>135.19117791651612</v>
      </c>
      <c r="Y111" s="1">
        <f t="shared" si="28"/>
        <v>559.0202089108335</v>
      </c>
    </row>
    <row r="112" spans="1:25" x14ac:dyDescent="0.25">
      <c r="A112" s="26">
        <v>194</v>
      </c>
      <c r="B112" s="26">
        <v>1</v>
      </c>
      <c r="C112" s="27" t="s">
        <v>117</v>
      </c>
      <c r="D112" s="28">
        <v>1</v>
      </c>
      <c r="E112" s="29">
        <v>5667977225</v>
      </c>
      <c r="F112" s="29">
        <v>12829.55</v>
      </c>
      <c r="G112" s="30">
        <v>10695</v>
      </c>
      <c r="H112" s="31">
        <v>645424.31999999844</v>
      </c>
      <c r="I112" s="29">
        <v>10283042.959999999</v>
      </c>
      <c r="J112" s="30">
        <v>10928467.279999997</v>
      </c>
      <c r="K112" s="29">
        <v>111164.31000000006</v>
      </c>
      <c r="L112" s="31">
        <v>1435619.15</v>
      </c>
      <c r="M112" s="31">
        <v>1546783.46</v>
      </c>
      <c r="N112" s="31">
        <v>955.77000000000044</v>
      </c>
      <c r="O112" s="31">
        <v>12343.150000000001</v>
      </c>
      <c r="P112" s="31">
        <v>13298.920000000002</v>
      </c>
      <c r="Q112" s="1">
        <f t="shared" si="21"/>
        <v>441790.80521140649</v>
      </c>
      <c r="R112" s="1">
        <f t="shared" si="22"/>
        <v>201465</v>
      </c>
      <c r="S112" s="32">
        <f t="shared" si="23"/>
        <v>0.25844717461107536</v>
      </c>
      <c r="T112" s="1">
        <f t="shared" si="24"/>
        <v>2</v>
      </c>
      <c r="U112" s="1">
        <f t="shared" si="25"/>
        <v>1021.8295726975219</v>
      </c>
      <c r="V112" s="1">
        <f t="shared" si="26"/>
        <v>60.348230014025098</v>
      </c>
      <c r="W112" s="25">
        <f t="shared" si="30"/>
        <v>5.9058997338188361E-2</v>
      </c>
      <c r="X112" s="6">
        <f t="shared" si="27"/>
        <v>181.42350527881661</v>
      </c>
      <c r="Y112" s="1">
        <f t="shared" si="28"/>
        <v>563.22887771744149</v>
      </c>
    </row>
    <row r="113" spans="1:25" x14ac:dyDescent="0.25">
      <c r="A113" s="26">
        <v>195</v>
      </c>
      <c r="B113" s="26">
        <v>1</v>
      </c>
      <c r="C113" s="27" t="s">
        <v>118</v>
      </c>
      <c r="D113" s="28">
        <v>1</v>
      </c>
      <c r="E113" s="29">
        <v>252563450</v>
      </c>
      <c r="F113" s="29">
        <v>455.28</v>
      </c>
      <c r="G113" s="30">
        <v>592</v>
      </c>
      <c r="H113" s="31">
        <v>79686.270000000019</v>
      </c>
      <c r="I113" s="29">
        <v>184576.45</v>
      </c>
      <c r="J113" s="30">
        <v>264262.72000000003</v>
      </c>
      <c r="K113" s="29">
        <v>0</v>
      </c>
      <c r="L113" s="31">
        <v>107090.64</v>
      </c>
      <c r="M113" s="31">
        <v>107090.64</v>
      </c>
      <c r="N113" s="31">
        <v>0</v>
      </c>
      <c r="O113" s="31">
        <v>0</v>
      </c>
      <c r="P113" s="31">
        <v>0</v>
      </c>
      <c r="Q113" s="1">
        <f t="shared" si="21"/>
        <v>554743.12510982261</v>
      </c>
      <c r="R113" s="1">
        <f t="shared" si="22"/>
        <v>202057</v>
      </c>
      <c r="S113" s="32">
        <f t="shared" si="23"/>
        <v>0.25920661534455142</v>
      </c>
      <c r="T113" s="1">
        <f t="shared" si="24"/>
        <v>2</v>
      </c>
      <c r="U113" s="1">
        <f t="shared" si="25"/>
        <v>446.38972972972977</v>
      </c>
      <c r="V113" s="1">
        <f t="shared" si="26"/>
        <v>134.60518581081084</v>
      </c>
      <c r="W113" s="25">
        <f t="shared" si="30"/>
        <v>0.30154185198729511</v>
      </c>
      <c r="X113" s="6">
        <f t="shared" si="27"/>
        <v>73.081219788532351</v>
      </c>
      <c r="Y113" s="1">
        <f t="shared" si="28"/>
        <v>610.81318979267451</v>
      </c>
    </row>
    <row r="114" spans="1:25" x14ac:dyDescent="0.25">
      <c r="A114" s="26">
        <v>196</v>
      </c>
      <c r="B114" s="26">
        <v>1</v>
      </c>
      <c r="C114" s="27" t="s">
        <v>119</v>
      </c>
      <c r="D114" s="28">
        <v>1</v>
      </c>
      <c r="E114" s="29">
        <v>13695708725</v>
      </c>
      <c r="F114" s="29">
        <v>31201.37</v>
      </c>
      <c r="G114" s="30">
        <v>27007</v>
      </c>
      <c r="H114" s="31">
        <v>1700210.7600000016</v>
      </c>
      <c r="I114" s="29">
        <v>30823785.310000002</v>
      </c>
      <c r="J114" s="30">
        <v>32523996.070000004</v>
      </c>
      <c r="K114" s="29">
        <v>273896.93000000017</v>
      </c>
      <c r="L114" s="31">
        <v>3244591.3000000003</v>
      </c>
      <c r="M114" s="31">
        <v>3518488.2300000004</v>
      </c>
      <c r="N114" s="31">
        <v>27466.119999999995</v>
      </c>
      <c r="O114" s="31">
        <v>325364.53000000003</v>
      </c>
      <c r="P114" s="31">
        <v>352830.65</v>
      </c>
      <c r="Q114" s="1">
        <f t="shared" si="21"/>
        <v>438945.74901679001</v>
      </c>
      <c r="R114" s="1">
        <f t="shared" si="22"/>
        <v>229064</v>
      </c>
      <c r="S114" s="32">
        <f t="shared" si="23"/>
        <v>0.29385225029216666</v>
      </c>
      <c r="T114" s="1">
        <f t="shared" si="24"/>
        <v>2</v>
      </c>
      <c r="U114" s="1">
        <f t="shared" si="25"/>
        <v>1204.2802262376422</v>
      </c>
      <c r="V114" s="1">
        <f t="shared" si="26"/>
        <v>62.954447365497892</v>
      </c>
      <c r="W114" s="25">
        <f t="shared" si="30"/>
        <v>5.2275580046827912E-2</v>
      </c>
      <c r="X114" s="6">
        <f t="shared" si="27"/>
        <v>225.06163009829928</v>
      </c>
      <c r="Y114" s="1">
        <f t="shared" si="28"/>
        <v>535.08908902492772</v>
      </c>
    </row>
    <row r="115" spans="1:25" x14ac:dyDescent="0.25">
      <c r="A115" s="26">
        <v>197</v>
      </c>
      <c r="B115" s="26">
        <v>1</v>
      </c>
      <c r="C115" s="27" t="s">
        <v>120</v>
      </c>
      <c r="D115" s="28">
        <v>1</v>
      </c>
      <c r="E115" s="29">
        <v>5272644825</v>
      </c>
      <c r="F115" s="29">
        <v>5334.88</v>
      </c>
      <c r="G115" s="30">
        <v>4602</v>
      </c>
      <c r="H115" s="31">
        <v>1051.5999999996275</v>
      </c>
      <c r="I115" s="29">
        <v>8550174.2000000011</v>
      </c>
      <c r="J115" s="30">
        <v>8551225.8000000007</v>
      </c>
      <c r="K115" s="29">
        <v>0</v>
      </c>
      <c r="L115" s="31">
        <v>381329.06999999995</v>
      </c>
      <c r="M115" s="31">
        <v>381329.06999999995</v>
      </c>
      <c r="N115" s="31">
        <v>0</v>
      </c>
      <c r="O115" s="31">
        <v>0</v>
      </c>
      <c r="P115" s="31">
        <v>0</v>
      </c>
      <c r="Q115" s="1">
        <f t="shared" si="21"/>
        <v>988334.28774405422</v>
      </c>
      <c r="R115" s="1">
        <f t="shared" si="22"/>
        <v>233666</v>
      </c>
      <c r="S115" s="32">
        <f t="shared" si="23"/>
        <v>0.29975587572368168</v>
      </c>
      <c r="T115" s="1">
        <f t="shared" si="24"/>
        <v>2</v>
      </c>
      <c r="U115" s="1">
        <f t="shared" si="25"/>
        <v>1858.1542372881358</v>
      </c>
      <c r="V115" s="1">
        <f t="shared" si="26"/>
        <v>0.2285093437635001</v>
      </c>
      <c r="W115" s="25">
        <f t="shared" si="30"/>
        <v>1.2297652109708381E-4</v>
      </c>
      <c r="X115" s="6">
        <f t="shared" si="27"/>
        <v>162.16101185992557</v>
      </c>
      <c r="Y115" s="1">
        <f t="shared" si="28"/>
        <v>1145.869907924111</v>
      </c>
    </row>
    <row r="116" spans="1:25" x14ac:dyDescent="0.25">
      <c r="A116" s="26">
        <v>199</v>
      </c>
      <c r="B116" s="26">
        <v>1</v>
      </c>
      <c r="C116" s="27" t="s">
        <v>121</v>
      </c>
      <c r="D116" s="28">
        <v>1</v>
      </c>
      <c r="E116" s="29">
        <v>2541648200</v>
      </c>
      <c r="F116" s="29">
        <v>4536.09</v>
      </c>
      <c r="G116" s="30">
        <v>3702</v>
      </c>
      <c r="H116" s="31">
        <v>4708.5400000000373</v>
      </c>
      <c r="I116" s="29">
        <v>3824114.31</v>
      </c>
      <c r="J116" s="30">
        <v>3828822.85</v>
      </c>
      <c r="K116" s="29">
        <v>0</v>
      </c>
      <c r="L116" s="31">
        <v>527465.11</v>
      </c>
      <c r="M116" s="31">
        <v>527465.11</v>
      </c>
      <c r="N116" s="31">
        <v>0</v>
      </c>
      <c r="O116" s="31">
        <v>0</v>
      </c>
      <c r="P116" s="31">
        <v>0</v>
      </c>
      <c r="Q116" s="1">
        <f t="shared" si="21"/>
        <v>560316.96901957411</v>
      </c>
      <c r="R116" s="1">
        <f t="shared" si="22"/>
        <v>237368</v>
      </c>
      <c r="S116" s="32">
        <f t="shared" si="23"/>
        <v>0.30450494598606076</v>
      </c>
      <c r="T116" s="1">
        <f t="shared" si="24"/>
        <v>2</v>
      </c>
      <c r="U116" s="1">
        <f t="shared" si="25"/>
        <v>1034.2579281469477</v>
      </c>
      <c r="V116" s="1">
        <f t="shared" si="26"/>
        <v>1.2718908698001181</v>
      </c>
      <c r="W116" s="25">
        <f t="shared" si="30"/>
        <v>1.2297617791327267E-3</v>
      </c>
      <c r="X116" s="6">
        <f t="shared" si="27"/>
        <v>150.45804962307531</v>
      </c>
      <c r="Y116" s="1">
        <f t="shared" si="28"/>
        <v>687.40617782694335</v>
      </c>
    </row>
    <row r="117" spans="1:25" x14ac:dyDescent="0.25">
      <c r="A117" s="26">
        <v>200</v>
      </c>
      <c r="B117" s="26">
        <v>1</v>
      </c>
      <c r="C117" s="27" t="s">
        <v>122</v>
      </c>
      <c r="D117" s="28">
        <v>1</v>
      </c>
      <c r="E117" s="29">
        <v>2622101000</v>
      </c>
      <c r="F117" s="29">
        <v>5549.1</v>
      </c>
      <c r="G117" s="30">
        <v>4590</v>
      </c>
      <c r="H117" s="31">
        <v>39857.980000000447</v>
      </c>
      <c r="I117" s="29">
        <v>7845413.1199999992</v>
      </c>
      <c r="J117" s="30">
        <v>7885271.0999999996</v>
      </c>
      <c r="K117" s="29">
        <v>3194.25</v>
      </c>
      <c r="L117" s="31">
        <v>434634.35</v>
      </c>
      <c r="M117" s="31">
        <v>437828.6</v>
      </c>
      <c r="N117" s="31">
        <v>171.40000000000146</v>
      </c>
      <c r="O117" s="31">
        <v>23322.17</v>
      </c>
      <c r="P117" s="31">
        <v>23493.57</v>
      </c>
      <c r="Q117" s="1">
        <f t="shared" si="21"/>
        <v>472527.25667225313</v>
      </c>
      <c r="R117" s="1">
        <f t="shared" si="22"/>
        <v>241958</v>
      </c>
      <c r="S117" s="32">
        <f t="shared" si="23"/>
        <v>0.31039317734865396</v>
      </c>
      <c r="T117" s="1">
        <f t="shared" si="24"/>
        <v>2</v>
      </c>
      <c r="U117" s="1">
        <f t="shared" si="25"/>
        <v>1717.9239869281046</v>
      </c>
      <c r="V117" s="1">
        <f t="shared" si="26"/>
        <v>8.6836557734205773</v>
      </c>
      <c r="W117" s="25">
        <f t="shared" si="30"/>
        <v>5.0547380672809651E-3</v>
      </c>
      <c r="X117" s="6">
        <f t="shared" si="27"/>
        <v>299.20331520410537</v>
      </c>
      <c r="Y117" s="1">
        <f t="shared" si="28"/>
        <v>574.16609363308714</v>
      </c>
    </row>
    <row r="118" spans="1:25" x14ac:dyDescent="0.25">
      <c r="A118" s="26">
        <v>203</v>
      </c>
      <c r="B118" s="26">
        <v>1</v>
      </c>
      <c r="C118" s="27" t="s">
        <v>123</v>
      </c>
      <c r="D118" s="28">
        <v>0</v>
      </c>
      <c r="E118" s="29">
        <v>269880525</v>
      </c>
      <c r="F118" s="29">
        <v>961.41</v>
      </c>
      <c r="G118" s="30">
        <v>781</v>
      </c>
      <c r="H118" s="31">
        <v>276103.87</v>
      </c>
      <c r="I118" s="29">
        <v>589165.13</v>
      </c>
      <c r="J118" s="30">
        <v>865269</v>
      </c>
      <c r="K118" s="29">
        <v>35476.61</v>
      </c>
      <c r="L118" s="31">
        <v>50995.55</v>
      </c>
      <c r="M118" s="31">
        <v>86472.16</v>
      </c>
      <c r="N118" s="31">
        <v>0</v>
      </c>
      <c r="O118" s="31">
        <v>0</v>
      </c>
      <c r="P118" s="31">
        <v>0</v>
      </c>
      <c r="Q118" s="1">
        <f t="shared" si="21"/>
        <v>280713.24929010519</v>
      </c>
      <c r="R118" s="1">
        <f t="shared" si="22"/>
        <v>242739</v>
      </c>
      <c r="S118" s="32">
        <f t="shared" si="23"/>
        <v>0.3113950746676486</v>
      </c>
      <c r="T118" s="1">
        <f t="shared" si="24"/>
        <v>2</v>
      </c>
      <c r="U118" s="1">
        <f t="shared" si="25"/>
        <v>1107.898847631242</v>
      </c>
      <c r="V118" s="1">
        <f t="shared" si="26"/>
        <v>353.5260819462228</v>
      </c>
      <c r="W118" s="25">
        <f t="shared" si="30"/>
        <v>0.31909599211343526</v>
      </c>
      <c r="X118" s="6">
        <f t="shared" si="27"/>
        <v>218.30590777159631</v>
      </c>
      <c r="Y118" s="1">
        <f t="shared" si="28"/>
        <v>507.49833522159508</v>
      </c>
    </row>
    <row r="119" spans="1:25" x14ac:dyDescent="0.25">
      <c r="A119" s="26">
        <v>204</v>
      </c>
      <c r="B119" s="26">
        <v>1</v>
      </c>
      <c r="C119" s="27" t="s">
        <v>124</v>
      </c>
      <c r="D119" s="28">
        <v>0</v>
      </c>
      <c r="E119" s="29">
        <v>617911575</v>
      </c>
      <c r="F119" s="29">
        <v>2515.86</v>
      </c>
      <c r="G119" s="30">
        <v>2192</v>
      </c>
      <c r="H119" s="31">
        <v>426204.26</v>
      </c>
      <c r="I119" s="29">
        <v>454346.74</v>
      </c>
      <c r="J119" s="30">
        <v>880551</v>
      </c>
      <c r="K119" s="29">
        <v>147313.5</v>
      </c>
      <c r="L119" s="31">
        <v>157040.69</v>
      </c>
      <c r="M119" s="31">
        <v>304354.19</v>
      </c>
      <c r="N119" s="31">
        <v>0</v>
      </c>
      <c r="O119" s="31">
        <v>0</v>
      </c>
      <c r="P119" s="31">
        <v>0</v>
      </c>
      <c r="Q119" s="1">
        <f t="shared" si="21"/>
        <v>245606.50234909731</v>
      </c>
      <c r="R119" s="1">
        <f t="shared" si="22"/>
        <v>244931</v>
      </c>
      <c r="S119" s="32">
        <f t="shared" si="23"/>
        <v>0.31420705792403297</v>
      </c>
      <c r="T119" s="1">
        <f t="shared" si="24"/>
        <v>2</v>
      </c>
      <c r="U119" s="1">
        <f t="shared" si="25"/>
        <v>401.71122262773724</v>
      </c>
      <c r="V119" s="1">
        <f t="shared" si="26"/>
        <v>194.43625</v>
      </c>
      <c r="W119" s="25">
        <f t="shared" si="30"/>
        <v>0.48401996022944721</v>
      </c>
      <c r="X119" s="6">
        <f t="shared" si="27"/>
        <v>73.52941074133463</v>
      </c>
      <c r="Y119" s="1">
        <f t="shared" si="28"/>
        <v>546.32727037742313</v>
      </c>
    </row>
    <row r="120" spans="1:25" x14ac:dyDescent="0.25">
      <c r="A120" s="26">
        <v>206</v>
      </c>
      <c r="B120" s="26">
        <v>1</v>
      </c>
      <c r="C120" s="27" t="s">
        <v>125</v>
      </c>
      <c r="D120" s="28">
        <v>0</v>
      </c>
      <c r="E120" s="29">
        <v>2781373250</v>
      </c>
      <c r="F120" s="29">
        <v>4680.93</v>
      </c>
      <c r="G120" s="30">
        <v>3936</v>
      </c>
      <c r="H120" s="31">
        <v>0</v>
      </c>
      <c r="I120" s="29">
        <v>1825562.7</v>
      </c>
      <c r="J120" s="30">
        <v>1825562.7</v>
      </c>
      <c r="K120" s="29">
        <v>0</v>
      </c>
      <c r="L120" s="31">
        <v>539745.74</v>
      </c>
      <c r="M120" s="31">
        <v>539745.74</v>
      </c>
      <c r="N120" s="31">
        <v>0</v>
      </c>
      <c r="O120" s="31">
        <v>64992.21</v>
      </c>
      <c r="P120" s="31">
        <v>64992.21</v>
      </c>
      <c r="Q120" s="1">
        <f t="shared" ref="Q120:Q183" si="31">IF(F120=0,0,E120/F120)</f>
        <v>594192.44680010166</v>
      </c>
      <c r="R120" s="1">
        <f t="shared" ref="R120:R183" si="32">R119+G120</f>
        <v>248867</v>
      </c>
      <c r="S120" s="32">
        <f t="shared" ref="S120:S183" si="33">S119+G120/$G$53</f>
        <v>0.31925631253038739</v>
      </c>
      <c r="T120" s="1">
        <f t="shared" ref="T120:T183" si="34">MIN(5,INT(S120/0.2)+1)</f>
        <v>2</v>
      </c>
      <c r="U120" s="1">
        <f t="shared" ref="U120:U183" si="35">IF(G120=0,0,(J120)/G120)</f>
        <v>463.81166158536587</v>
      </c>
      <c r="V120" s="1">
        <f t="shared" ref="V120:V183" si="36">H120/G120</f>
        <v>0</v>
      </c>
      <c r="W120" s="25">
        <f t="shared" si="30"/>
        <v>0</v>
      </c>
      <c r="X120" s="6">
        <f t="shared" ref="X120:X183" si="37">IF(E120=0,0,(I120)/E120)*100000</f>
        <v>65.635300835657347</v>
      </c>
      <c r="Y120" s="1">
        <f t="shared" ref="Y120:Y183" si="38">IF(X120=0,0,U120/X120)*100</f>
        <v>706.64970782520334</v>
      </c>
    </row>
    <row r="121" spans="1:25" x14ac:dyDescent="0.25">
      <c r="A121" s="26">
        <v>207</v>
      </c>
      <c r="B121" s="26">
        <v>1</v>
      </c>
      <c r="C121" s="27" t="s">
        <v>126</v>
      </c>
      <c r="D121" s="28">
        <v>0</v>
      </c>
      <c r="E121" s="29">
        <v>134238725</v>
      </c>
      <c r="F121" s="29">
        <v>331.16</v>
      </c>
      <c r="G121" s="30">
        <v>286</v>
      </c>
      <c r="H121" s="31">
        <v>34402.110000000015</v>
      </c>
      <c r="I121" s="29">
        <v>197409.88999999998</v>
      </c>
      <c r="J121" s="30">
        <v>231812</v>
      </c>
      <c r="K121" s="29">
        <v>5116.2900000000009</v>
      </c>
      <c r="L121" s="31">
        <v>29358.86</v>
      </c>
      <c r="M121" s="31">
        <v>34475.15</v>
      </c>
      <c r="N121" s="31">
        <v>637.84999999999991</v>
      </c>
      <c r="O121" s="31">
        <v>3660.1600000000003</v>
      </c>
      <c r="P121" s="31">
        <v>4298.01</v>
      </c>
      <c r="Q121" s="1">
        <f t="shared" si="31"/>
        <v>405359.11643918342</v>
      </c>
      <c r="R121" s="1">
        <f t="shared" si="32"/>
        <v>249153</v>
      </c>
      <c r="S121" s="32">
        <f t="shared" si="33"/>
        <v>0.31962320450635723</v>
      </c>
      <c r="T121" s="1">
        <f t="shared" si="34"/>
        <v>2</v>
      </c>
      <c r="U121" s="1">
        <f t="shared" si="35"/>
        <v>810.53146853146848</v>
      </c>
      <c r="V121" s="1">
        <f t="shared" si="36"/>
        <v>120.28709790209795</v>
      </c>
      <c r="W121" s="25">
        <f t="shared" si="30"/>
        <v>0.14840521629596404</v>
      </c>
      <c r="X121" s="6">
        <f t="shared" si="37"/>
        <v>147.0588237485122</v>
      </c>
      <c r="Y121" s="1">
        <f t="shared" si="38"/>
        <v>551.16139778023262</v>
      </c>
    </row>
    <row r="122" spans="1:25" x14ac:dyDescent="0.25">
      <c r="A122" s="26">
        <v>208</v>
      </c>
      <c r="B122" s="26">
        <v>1</v>
      </c>
      <c r="C122" s="27" t="s">
        <v>127</v>
      </c>
      <c r="D122" s="28">
        <v>0</v>
      </c>
      <c r="E122" s="29">
        <v>83428325</v>
      </c>
      <c r="F122" s="29">
        <v>248.86</v>
      </c>
      <c r="G122" s="30">
        <v>143</v>
      </c>
      <c r="H122" s="31">
        <v>51513.289999999979</v>
      </c>
      <c r="I122" s="29">
        <v>290348.18</v>
      </c>
      <c r="J122" s="30">
        <v>341861.47</v>
      </c>
      <c r="K122" s="29">
        <v>2243.2199999999993</v>
      </c>
      <c r="L122" s="31">
        <v>5342.6399999999994</v>
      </c>
      <c r="M122" s="31">
        <v>7585.8599999999988</v>
      </c>
      <c r="N122" s="31">
        <v>0</v>
      </c>
      <c r="O122" s="31">
        <v>0</v>
      </c>
      <c r="P122" s="31">
        <v>0</v>
      </c>
      <c r="Q122" s="1">
        <f t="shared" si="31"/>
        <v>335242.00353612471</v>
      </c>
      <c r="R122" s="1">
        <f t="shared" si="32"/>
        <v>249296</v>
      </c>
      <c r="S122" s="32">
        <f t="shared" si="33"/>
        <v>0.31980665049434215</v>
      </c>
      <c r="T122" s="1">
        <f t="shared" si="34"/>
        <v>2</v>
      </c>
      <c r="U122" s="1">
        <f t="shared" si="35"/>
        <v>2390.6396503496503</v>
      </c>
      <c r="V122" s="1">
        <f t="shared" si="36"/>
        <v>360.23279720279703</v>
      </c>
      <c r="W122" s="25">
        <f t="shared" si="30"/>
        <v>0.15068469108261887</v>
      </c>
      <c r="X122" s="6">
        <f t="shared" si="37"/>
        <v>348.02110674042655</v>
      </c>
      <c r="Y122" s="1">
        <f t="shared" si="38"/>
        <v>686.92375377471637</v>
      </c>
    </row>
    <row r="123" spans="1:25" x14ac:dyDescent="0.25">
      <c r="A123" s="26">
        <v>213</v>
      </c>
      <c r="B123" s="26">
        <v>1</v>
      </c>
      <c r="C123" s="27" t="s">
        <v>128</v>
      </c>
      <c r="D123" s="28">
        <v>0</v>
      </c>
      <c r="E123" s="29">
        <v>219015165</v>
      </c>
      <c r="F123" s="29">
        <v>735.92</v>
      </c>
      <c r="G123" s="30">
        <v>826</v>
      </c>
      <c r="H123" s="31">
        <v>0</v>
      </c>
      <c r="I123" s="29">
        <v>0</v>
      </c>
      <c r="J123" s="30">
        <v>0</v>
      </c>
      <c r="K123" s="29">
        <v>45985.25</v>
      </c>
      <c r="L123" s="31">
        <v>76715.839999999997</v>
      </c>
      <c r="M123" s="31">
        <v>122701.09</v>
      </c>
      <c r="N123" s="31">
        <v>0</v>
      </c>
      <c r="O123" s="31">
        <v>0</v>
      </c>
      <c r="P123" s="31">
        <v>0</v>
      </c>
      <c r="Q123" s="1">
        <f t="shared" si="31"/>
        <v>297607.30106533319</v>
      </c>
      <c r="R123" s="1">
        <f t="shared" si="32"/>
        <v>250122</v>
      </c>
      <c r="S123" s="32">
        <f t="shared" si="33"/>
        <v>0.32086627557179354</v>
      </c>
      <c r="T123" s="1">
        <f t="shared" si="34"/>
        <v>2</v>
      </c>
      <c r="U123" s="1">
        <f t="shared" si="35"/>
        <v>0</v>
      </c>
      <c r="V123" s="1">
        <f t="shared" si="36"/>
        <v>0</v>
      </c>
      <c r="W123" s="33" t="s">
        <v>60</v>
      </c>
      <c r="X123" s="6">
        <f t="shared" si="37"/>
        <v>0</v>
      </c>
      <c r="Y123" s="1">
        <f t="shared" si="38"/>
        <v>0</v>
      </c>
    </row>
    <row r="124" spans="1:25" x14ac:dyDescent="0.25">
      <c r="A124" s="26">
        <v>227</v>
      </c>
      <c r="B124" s="26">
        <v>1</v>
      </c>
      <c r="C124" s="27" t="s">
        <v>129</v>
      </c>
      <c r="D124" s="28">
        <v>0</v>
      </c>
      <c r="E124" s="29">
        <v>339539325</v>
      </c>
      <c r="F124" s="29">
        <v>904.03</v>
      </c>
      <c r="G124" s="30">
        <v>876</v>
      </c>
      <c r="H124" s="31">
        <v>114574.10999999999</v>
      </c>
      <c r="I124" s="29">
        <v>428539.99</v>
      </c>
      <c r="J124" s="30">
        <v>543114.1</v>
      </c>
      <c r="K124" s="29">
        <v>23806.42</v>
      </c>
      <c r="L124" s="31">
        <v>89042.85</v>
      </c>
      <c r="M124" s="31">
        <v>112849.27</v>
      </c>
      <c r="N124" s="31">
        <v>0</v>
      </c>
      <c r="O124" s="31">
        <v>0</v>
      </c>
      <c r="P124" s="31">
        <v>0</v>
      </c>
      <c r="Q124" s="1">
        <f t="shared" si="31"/>
        <v>375584.13437607163</v>
      </c>
      <c r="R124" s="1">
        <f t="shared" si="32"/>
        <v>250998</v>
      </c>
      <c r="S124" s="32">
        <f t="shared" si="33"/>
        <v>0.32199004260308584</v>
      </c>
      <c r="T124" s="1">
        <f t="shared" si="34"/>
        <v>2</v>
      </c>
      <c r="U124" s="1">
        <f t="shared" si="35"/>
        <v>619.99326484018263</v>
      </c>
      <c r="V124" s="1">
        <f t="shared" si="36"/>
        <v>130.7923630136986</v>
      </c>
      <c r="W124" s="25">
        <f>V124/U124</f>
        <v>0.21095771588327386</v>
      </c>
      <c r="X124" s="6">
        <f t="shared" si="37"/>
        <v>126.21218175538282</v>
      </c>
      <c r="Y124" s="1">
        <f t="shared" si="38"/>
        <v>491.23092257593476</v>
      </c>
    </row>
    <row r="125" spans="1:25" x14ac:dyDescent="0.25">
      <c r="A125" s="26">
        <v>229</v>
      </c>
      <c r="B125" s="26">
        <v>1</v>
      </c>
      <c r="C125" s="27" t="s">
        <v>130</v>
      </c>
      <c r="D125" s="28">
        <v>0</v>
      </c>
      <c r="E125" s="29">
        <v>111694625</v>
      </c>
      <c r="F125" s="29">
        <v>240.39</v>
      </c>
      <c r="G125" s="30">
        <v>307</v>
      </c>
      <c r="H125" s="31">
        <v>0</v>
      </c>
      <c r="I125" s="29">
        <v>0</v>
      </c>
      <c r="J125" s="30">
        <v>0</v>
      </c>
      <c r="K125" s="29">
        <v>1020.6900000000023</v>
      </c>
      <c r="L125" s="31">
        <v>41744.86</v>
      </c>
      <c r="M125" s="31">
        <v>42765.55</v>
      </c>
      <c r="N125" s="31">
        <v>310.70000000000073</v>
      </c>
      <c r="O125" s="31">
        <v>12707.18</v>
      </c>
      <c r="P125" s="31">
        <v>13017.880000000001</v>
      </c>
      <c r="Q125" s="1">
        <f t="shared" si="31"/>
        <v>464639.23208120139</v>
      </c>
      <c r="R125" s="1">
        <f t="shared" si="32"/>
        <v>251305</v>
      </c>
      <c r="S125" s="32">
        <f t="shared" si="33"/>
        <v>0.32238387419966885</v>
      </c>
      <c r="T125" s="1">
        <f t="shared" si="34"/>
        <v>2</v>
      </c>
      <c r="U125" s="1">
        <f t="shared" si="35"/>
        <v>0</v>
      </c>
      <c r="V125" s="1">
        <f t="shared" si="36"/>
        <v>0</v>
      </c>
      <c r="W125" s="33" t="s">
        <v>60</v>
      </c>
      <c r="X125" s="6">
        <f t="shared" si="37"/>
        <v>0</v>
      </c>
      <c r="Y125" s="1">
        <f t="shared" si="38"/>
        <v>0</v>
      </c>
    </row>
    <row r="126" spans="1:25" x14ac:dyDescent="0.25">
      <c r="A126" s="26">
        <v>238</v>
      </c>
      <c r="B126" s="26">
        <v>1</v>
      </c>
      <c r="C126" s="27" t="s">
        <v>131</v>
      </c>
      <c r="D126" s="28">
        <v>0</v>
      </c>
      <c r="E126" s="29">
        <v>92260550</v>
      </c>
      <c r="F126" s="29">
        <v>325.33999999999997</v>
      </c>
      <c r="G126" s="30">
        <v>255</v>
      </c>
      <c r="H126" s="31">
        <v>92060.719999999972</v>
      </c>
      <c r="I126" s="29">
        <v>300936.99</v>
      </c>
      <c r="J126" s="30">
        <v>392997.70999999996</v>
      </c>
      <c r="K126" s="29">
        <v>9522.59</v>
      </c>
      <c r="L126" s="31">
        <v>14034.2</v>
      </c>
      <c r="M126" s="31">
        <v>23556.79</v>
      </c>
      <c r="N126" s="31">
        <v>1311.43</v>
      </c>
      <c r="O126" s="31">
        <v>1932.76</v>
      </c>
      <c r="P126" s="31">
        <v>3244.19</v>
      </c>
      <c r="Q126" s="1">
        <f t="shared" si="31"/>
        <v>283581.94504210982</v>
      </c>
      <c r="R126" s="1">
        <f t="shared" si="32"/>
        <v>251560</v>
      </c>
      <c r="S126" s="32">
        <f t="shared" si="33"/>
        <v>0.32271099816425736</v>
      </c>
      <c r="T126" s="1">
        <f t="shared" si="34"/>
        <v>2</v>
      </c>
      <c r="U126" s="1">
        <f t="shared" si="35"/>
        <v>1541.1674901960782</v>
      </c>
      <c r="V126" s="1">
        <f t="shared" si="36"/>
        <v>361.02243137254891</v>
      </c>
      <c r="W126" s="25">
        <f t="shared" ref="W126:W153" si="39">V126/U126</f>
        <v>0.23425256091186888</v>
      </c>
      <c r="X126" s="6">
        <f t="shared" si="37"/>
        <v>326.18165618999672</v>
      </c>
      <c r="Y126" s="1">
        <f t="shared" si="38"/>
        <v>472.48748080988577</v>
      </c>
    </row>
    <row r="127" spans="1:25" x14ac:dyDescent="0.25">
      <c r="A127" s="26">
        <v>239</v>
      </c>
      <c r="B127" s="26">
        <v>1</v>
      </c>
      <c r="C127" s="27" t="s">
        <v>132</v>
      </c>
      <c r="D127" s="28">
        <v>0</v>
      </c>
      <c r="E127" s="29">
        <v>229117550</v>
      </c>
      <c r="F127" s="29">
        <v>750.17</v>
      </c>
      <c r="G127" s="30">
        <v>651</v>
      </c>
      <c r="H127" s="31">
        <v>188181.42000000004</v>
      </c>
      <c r="I127" s="29">
        <v>546385.04</v>
      </c>
      <c r="J127" s="30">
        <v>734566.46000000008</v>
      </c>
      <c r="K127" s="29">
        <v>25675.129999999997</v>
      </c>
      <c r="L127" s="31">
        <v>45971.15</v>
      </c>
      <c r="M127" s="31">
        <v>71646.28</v>
      </c>
      <c r="N127" s="31">
        <v>5784.16</v>
      </c>
      <c r="O127" s="31">
        <v>10356.51</v>
      </c>
      <c r="P127" s="31">
        <v>16140.67</v>
      </c>
      <c r="Q127" s="1">
        <f t="shared" si="31"/>
        <v>305420.8379433995</v>
      </c>
      <c r="R127" s="1">
        <f t="shared" si="32"/>
        <v>252211</v>
      </c>
      <c r="S127" s="32">
        <f t="shared" si="33"/>
        <v>0.32354612640326569</v>
      </c>
      <c r="T127" s="1">
        <f t="shared" si="34"/>
        <v>2</v>
      </c>
      <c r="U127" s="1">
        <f t="shared" si="35"/>
        <v>1128.3662980030724</v>
      </c>
      <c r="V127" s="1">
        <f t="shared" si="36"/>
        <v>289.06516129032264</v>
      </c>
      <c r="W127" s="25">
        <f t="shared" si="39"/>
        <v>0.25618025086525187</v>
      </c>
      <c r="X127" s="6">
        <f t="shared" si="37"/>
        <v>238.47367432132546</v>
      </c>
      <c r="Y127" s="1">
        <f t="shared" si="38"/>
        <v>473.16178660571273</v>
      </c>
    </row>
    <row r="128" spans="1:25" x14ac:dyDescent="0.25">
      <c r="A128" s="26">
        <v>241</v>
      </c>
      <c r="B128" s="26">
        <v>1</v>
      </c>
      <c r="C128" s="27" t="s">
        <v>133</v>
      </c>
      <c r="D128" s="28">
        <v>0</v>
      </c>
      <c r="E128" s="29">
        <v>1224958255</v>
      </c>
      <c r="F128" s="29">
        <v>3743.22</v>
      </c>
      <c r="G128" s="30">
        <v>3082</v>
      </c>
      <c r="H128" s="31">
        <v>818844.78000000026</v>
      </c>
      <c r="I128" s="29">
        <v>3027201.4699999997</v>
      </c>
      <c r="J128" s="30">
        <v>3846046.25</v>
      </c>
      <c r="K128" s="29">
        <v>101836.55999999997</v>
      </c>
      <c r="L128" s="31">
        <v>224034.29</v>
      </c>
      <c r="M128" s="31">
        <v>325870.84999999998</v>
      </c>
      <c r="N128" s="31">
        <v>49415.76999999999</v>
      </c>
      <c r="O128" s="31">
        <v>108711.72</v>
      </c>
      <c r="P128" s="31">
        <v>158127.49</v>
      </c>
      <c r="Q128" s="1">
        <f t="shared" si="31"/>
        <v>327247.19759992737</v>
      </c>
      <c r="R128" s="1">
        <f t="shared" si="32"/>
        <v>255293</v>
      </c>
      <c r="S128" s="32">
        <f t="shared" si="33"/>
        <v>0.32749983643801778</v>
      </c>
      <c r="T128" s="1">
        <f t="shared" si="34"/>
        <v>2</v>
      </c>
      <c r="U128" s="1">
        <f t="shared" si="35"/>
        <v>1247.9059863724854</v>
      </c>
      <c r="V128" s="1">
        <f t="shared" si="36"/>
        <v>265.68617131732651</v>
      </c>
      <c r="W128" s="25">
        <f t="shared" si="39"/>
        <v>0.21290559883412746</v>
      </c>
      <c r="X128" s="6">
        <f t="shared" si="37"/>
        <v>247.12690882678282</v>
      </c>
      <c r="Y128" s="1">
        <f t="shared" si="38"/>
        <v>504.96564388590019</v>
      </c>
    </row>
    <row r="129" spans="1:25" x14ac:dyDescent="0.25">
      <c r="A129" s="26">
        <v>242</v>
      </c>
      <c r="B129" s="26">
        <v>1</v>
      </c>
      <c r="C129" s="27" t="s">
        <v>134</v>
      </c>
      <c r="D129" s="28">
        <v>0</v>
      </c>
      <c r="E129" s="29">
        <v>68421065</v>
      </c>
      <c r="F129" s="29">
        <v>274.18</v>
      </c>
      <c r="G129" s="30">
        <v>508</v>
      </c>
      <c r="H129" s="31">
        <v>62349.490000000005</v>
      </c>
      <c r="I129" s="29">
        <v>68708.55</v>
      </c>
      <c r="J129" s="30">
        <v>131058.04000000001</v>
      </c>
      <c r="K129" s="29">
        <v>34898.319999999992</v>
      </c>
      <c r="L129" s="31">
        <v>38457.61</v>
      </c>
      <c r="M129" s="31">
        <v>73355.929999999993</v>
      </c>
      <c r="N129" s="31">
        <v>1795.0900000000001</v>
      </c>
      <c r="O129" s="31">
        <v>1978.17</v>
      </c>
      <c r="P129" s="31">
        <v>3773.26</v>
      </c>
      <c r="Q129" s="1">
        <f t="shared" si="31"/>
        <v>249547.9794295718</v>
      </c>
      <c r="R129" s="1">
        <f t="shared" si="32"/>
        <v>255801</v>
      </c>
      <c r="S129" s="32">
        <f t="shared" si="33"/>
        <v>0.32815151868904119</v>
      </c>
      <c r="T129" s="1">
        <f t="shared" si="34"/>
        <v>2</v>
      </c>
      <c r="U129" s="1">
        <f t="shared" si="35"/>
        <v>257.98826771653546</v>
      </c>
      <c r="V129" s="1">
        <f t="shared" si="36"/>
        <v>122.73521653543308</v>
      </c>
      <c r="W129" s="25">
        <f t="shared" si="39"/>
        <v>0.47573952731171626</v>
      </c>
      <c r="X129" s="6">
        <f t="shared" si="37"/>
        <v>100.42017030866154</v>
      </c>
      <c r="Y129" s="1">
        <f t="shared" si="38"/>
        <v>256.90881316328858</v>
      </c>
    </row>
    <row r="130" spans="1:25" x14ac:dyDescent="0.25">
      <c r="A130" s="26">
        <v>252</v>
      </c>
      <c r="B130" s="26">
        <v>1</v>
      </c>
      <c r="C130" s="27" t="s">
        <v>135</v>
      </c>
      <c r="D130" s="28">
        <v>0</v>
      </c>
      <c r="E130" s="29">
        <v>715723850</v>
      </c>
      <c r="F130" s="29">
        <v>1371.13</v>
      </c>
      <c r="G130" s="30">
        <v>1173</v>
      </c>
      <c r="H130" s="31">
        <v>0</v>
      </c>
      <c r="I130" s="29">
        <v>685565</v>
      </c>
      <c r="J130" s="30">
        <v>685565</v>
      </c>
      <c r="K130" s="29">
        <v>0</v>
      </c>
      <c r="L130" s="31">
        <v>156747.58000000002</v>
      </c>
      <c r="M130" s="31">
        <v>156747.58000000002</v>
      </c>
      <c r="N130" s="31">
        <v>0</v>
      </c>
      <c r="O130" s="31">
        <v>0</v>
      </c>
      <c r="P130" s="31">
        <v>0</v>
      </c>
      <c r="Q130" s="1">
        <f t="shared" si="31"/>
        <v>521995.6167540641</v>
      </c>
      <c r="R130" s="1">
        <f t="shared" si="32"/>
        <v>256974</v>
      </c>
      <c r="S130" s="32">
        <f t="shared" si="33"/>
        <v>0.32965628892614834</v>
      </c>
      <c r="T130" s="1">
        <f t="shared" si="34"/>
        <v>2</v>
      </c>
      <c r="U130" s="1">
        <f t="shared" si="35"/>
        <v>584.45439045183286</v>
      </c>
      <c r="V130" s="1">
        <f t="shared" si="36"/>
        <v>0</v>
      </c>
      <c r="W130" s="25">
        <f t="shared" si="39"/>
        <v>0</v>
      </c>
      <c r="X130" s="6">
        <f t="shared" si="37"/>
        <v>95.786244932315725</v>
      </c>
      <c r="Y130" s="1">
        <f t="shared" si="38"/>
        <v>610.16526001705017</v>
      </c>
    </row>
    <row r="131" spans="1:25" x14ac:dyDescent="0.25">
      <c r="A131" s="26">
        <v>253</v>
      </c>
      <c r="B131" s="26">
        <v>1</v>
      </c>
      <c r="C131" s="27" t="s">
        <v>136</v>
      </c>
      <c r="D131" s="28">
        <v>0</v>
      </c>
      <c r="E131" s="29">
        <v>192549325</v>
      </c>
      <c r="F131" s="29">
        <v>760.66</v>
      </c>
      <c r="G131" s="30">
        <v>644</v>
      </c>
      <c r="H131" s="31">
        <v>178072.3</v>
      </c>
      <c r="I131" s="29">
        <v>202257.7</v>
      </c>
      <c r="J131" s="30">
        <v>380330</v>
      </c>
      <c r="K131" s="29">
        <v>39796.510000000009</v>
      </c>
      <c r="L131" s="31">
        <v>45201.59</v>
      </c>
      <c r="M131" s="31">
        <v>84998.1</v>
      </c>
      <c r="N131" s="31">
        <v>740.46999999999991</v>
      </c>
      <c r="O131" s="31">
        <v>841.03000000000009</v>
      </c>
      <c r="P131" s="31">
        <v>1581.5</v>
      </c>
      <c r="Q131" s="1">
        <f t="shared" si="31"/>
        <v>253134.54762969003</v>
      </c>
      <c r="R131" s="1">
        <f t="shared" si="32"/>
        <v>257618</v>
      </c>
      <c r="S131" s="32">
        <f t="shared" si="33"/>
        <v>0.33048243729161891</v>
      </c>
      <c r="T131" s="1">
        <f t="shared" si="34"/>
        <v>2</v>
      </c>
      <c r="U131" s="1">
        <f t="shared" si="35"/>
        <v>590.57453416149065</v>
      </c>
      <c r="V131" s="1">
        <f t="shared" si="36"/>
        <v>276.50978260869562</v>
      </c>
      <c r="W131" s="25">
        <f t="shared" si="39"/>
        <v>0.46820471695632737</v>
      </c>
      <c r="X131" s="6">
        <f t="shared" si="37"/>
        <v>105.04201975260105</v>
      </c>
      <c r="Y131" s="1">
        <f t="shared" si="38"/>
        <v>562.22694075421828</v>
      </c>
    </row>
    <row r="132" spans="1:25" x14ac:dyDescent="0.25">
      <c r="A132" s="26">
        <v>255</v>
      </c>
      <c r="B132" s="26">
        <v>1</v>
      </c>
      <c r="C132" s="27" t="s">
        <v>137</v>
      </c>
      <c r="D132" s="28">
        <v>0</v>
      </c>
      <c r="E132" s="29">
        <v>467957500</v>
      </c>
      <c r="F132" s="29">
        <v>1276.31</v>
      </c>
      <c r="G132" s="30">
        <v>1211</v>
      </c>
      <c r="H132" s="31">
        <v>205244.19999999995</v>
      </c>
      <c r="I132" s="29">
        <v>688172.8</v>
      </c>
      <c r="J132" s="30">
        <v>893417</v>
      </c>
      <c r="K132" s="29">
        <v>34974.929999999993</v>
      </c>
      <c r="L132" s="31">
        <v>117269.04999999999</v>
      </c>
      <c r="M132" s="31">
        <v>152243.97999999998</v>
      </c>
      <c r="N132" s="31">
        <v>0</v>
      </c>
      <c r="O132" s="31">
        <v>0</v>
      </c>
      <c r="P132" s="31">
        <v>0</v>
      </c>
      <c r="Q132" s="1">
        <f t="shared" si="31"/>
        <v>366648.77655115136</v>
      </c>
      <c r="R132" s="1">
        <f t="shared" si="32"/>
        <v>258829</v>
      </c>
      <c r="S132" s="32">
        <f t="shared" si="33"/>
        <v>0.33203595541364511</v>
      </c>
      <c r="T132" s="1">
        <f t="shared" si="34"/>
        <v>2</v>
      </c>
      <c r="U132" s="1">
        <f t="shared" si="35"/>
        <v>737.75144508670519</v>
      </c>
      <c r="V132" s="1">
        <f t="shared" si="36"/>
        <v>169.48323699421962</v>
      </c>
      <c r="W132" s="25">
        <f t="shared" si="39"/>
        <v>0.22972945444288609</v>
      </c>
      <c r="X132" s="6">
        <f t="shared" si="37"/>
        <v>147.05882478643895</v>
      </c>
      <c r="Y132" s="1">
        <f t="shared" si="38"/>
        <v>501.67097837078398</v>
      </c>
    </row>
    <row r="133" spans="1:25" x14ac:dyDescent="0.25">
      <c r="A133" s="26">
        <v>256</v>
      </c>
      <c r="B133" s="26">
        <v>1</v>
      </c>
      <c r="C133" s="27" t="s">
        <v>138</v>
      </c>
      <c r="D133" s="28">
        <v>0</v>
      </c>
      <c r="E133" s="29">
        <v>2007547650</v>
      </c>
      <c r="F133" s="29">
        <v>3406.19</v>
      </c>
      <c r="G133" s="30">
        <v>2825</v>
      </c>
      <c r="H133" s="31">
        <v>14923.120000000112</v>
      </c>
      <c r="I133" s="29">
        <v>3770750.51</v>
      </c>
      <c r="J133" s="30">
        <v>3785673.63</v>
      </c>
      <c r="K133" s="29">
        <v>0</v>
      </c>
      <c r="L133" s="31">
        <v>289080.32000000001</v>
      </c>
      <c r="M133" s="31">
        <v>289080.32000000001</v>
      </c>
      <c r="N133" s="31">
        <v>0</v>
      </c>
      <c r="O133" s="31">
        <v>0</v>
      </c>
      <c r="P133" s="31">
        <v>0</v>
      </c>
      <c r="Q133" s="1">
        <f t="shared" si="31"/>
        <v>589382.16893361788</v>
      </c>
      <c r="R133" s="1">
        <f t="shared" si="32"/>
        <v>261654</v>
      </c>
      <c r="S133" s="32">
        <f t="shared" si="33"/>
        <v>0.3356599758056551</v>
      </c>
      <c r="T133" s="1">
        <f t="shared" si="34"/>
        <v>2</v>
      </c>
      <c r="U133" s="1">
        <f t="shared" si="35"/>
        <v>1340.0614619469027</v>
      </c>
      <c r="V133" s="1">
        <f t="shared" si="36"/>
        <v>5.2825203539823402</v>
      </c>
      <c r="W133" s="25">
        <f t="shared" si="39"/>
        <v>3.9419985605045702E-3</v>
      </c>
      <c r="X133" s="6">
        <f t="shared" si="37"/>
        <v>187.82869288308052</v>
      </c>
      <c r="Y133" s="1">
        <f t="shared" si="38"/>
        <v>713.44875022958456</v>
      </c>
    </row>
    <row r="134" spans="1:25" x14ac:dyDescent="0.25">
      <c r="A134" s="26">
        <v>261</v>
      </c>
      <c r="B134" s="26">
        <v>1</v>
      </c>
      <c r="C134" s="27" t="s">
        <v>139</v>
      </c>
      <c r="D134" s="28">
        <v>0</v>
      </c>
      <c r="E134" s="29">
        <v>86419900</v>
      </c>
      <c r="F134" s="29">
        <v>237.99</v>
      </c>
      <c r="G134" s="30">
        <v>241</v>
      </c>
      <c r="H134" s="31">
        <v>39504.909999999974</v>
      </c>
      <c r="I134" s="29">
        <v>249664.16999999998</v>
      </c>
      <c r="J134" s="30">
        <v>289169.07999999996</v>
      </c>
      <c r="K134" s="29">
        <v>5805.23</v>
      </c>
      <c r="L134" s="31">
        <v>18675.559999999998</v>
      </c>
      <c r="M134" s="31">
        <v>24480.789999999997</v>
      </c>
      <c r="N134" s="31">
        <v>501.61999999999989</v>
      </c>
      <c r="O134" s="31">
        <v>1613.73</v>
      </c>
      <c r="P134" s="31">
        <v>2115.35</v>
      </c>
      <c r="Q134" s="1">
        <f t="shared" si="31"/>
        <v>363124.08084373293</v>
      </c>
      <c r="R134" s="1">
        <f t="shared" si="32"/>
        <v>261895</v>
      </c>
      <c r="S134" s="32">
        <f t="shared" si="33"/>
        <v>0.33596914002316813</v>
      </c>
      <c r="T134" s="1">
        <f t="shared" si="34"/>
        <v>2</v>
      </c>
      <c r="U134" s="1">
        <f t="shared" si="35"/>
        <v>1199.871701244813</v>
      </c>
      <c r="V134" s="1">
        <f t="shared" si="36"/>
        <v>163.92078838174263</v>
      </c>
      <c r="W134" s="25">
        <f t="shared" si="39"/>
        <v>0.1366152632916354</v>
      </c>
      <c r="X134" s="6">
        <f t="shared" si="37"/>
        <v>288.89661987574618</v>
      </c>
      <c r="Y134" s="1">
        <f t="shared" si="38"/>
        <v>415.32908961028181</v>
      </c>
    </row>
    <row r="135" spans="1:25" x14ac:dyDescent="0.25">
      <c r="A135" s="26">
        <v>264</v>
      </c>
      <c r="B135" s="26">
        <v>1</v>
      </c>
      <c r="C135" s="27" t="s">
        <v>140</v>
      </c>
      <c r="D135" s="28">
        <v>0</v>
      </c>
      <c r="E135" s="29">
        <v>45327230</v>
      </c>
      <c r="F135" s="29">
        <v>160.5</v>
      </c>
      <c r="G135" s="30">
        <v>97</v>
      </c>
      <c r="H135" s="31">
        <v>247332.50000000003</v>
      </c>
      <c r="I135" s="29">
        <v>142239.51999999999</v>
      </c>
      <c r="J135" s="30">
        <v>389572.02</v>
      </c>
      <c r="K135" s="29">
        <v>2053.02</v>
      </c>
      <c r="L135" s="31">
        <v>2995.02</v>
      </c>
      <c r="M135" s="31">
        <v>5048.04</v>
      </c>
      <c r="N135" s="31">
        <v>1763.37</v>
      </c>
      <c r="O135" s="31">
        <v>2572.46</v>
      </c>
      <c r="P135" s="31">
        <v>4335.83</v>
      </c>
      <c r="Q135" s="1">
        <f t="shared" si="31"/>
        <v>282412.64797507785</v>
      </c>
      <c r="R135" s="1">
        <f t="shared" si="32"/>
        <v>261992</v>
      </c>
      <c r="S135" s="32">
        <f t="shared" si="33"/>
        <v>0.33609357541361945</v>
      </c>
      <c r="T135" s="1">
        <f t="shared" si="34"/>
        <v>2</v>
      </c>
      <c r="U135" s="1">
        <f t="shared" si="35"/>
        <v>4016.2063917525775</v>
      </c>
      <c r="V135" s="1">
        <f t="shared" si="36"/>
        <v>2549.8195876288664</v>
      </c>
      <c r="W135" s="25">
        <f t="shared" si="39"/>
        <v>0.63488260784231898</v>
      </c>
      <c r="X135" s="6">
        <f t="shared" si="37"/>
        <v>313.80589548489945</v>
      </c>
      <c r="Y135" s="1">
        <f t="shared" si="38"/>
        <v>1279.8377753695963</v>
      </c>
    </row>
    <row r="136" spans="1:25" x14ac:dyDescent="0.25">
      <c r="A136" s="26">
        <v>270</v>
      </c>
      <c r="B136" s="26">
        <v>1</v>
      </c>
      <c r="C136" s="27" t="s">
        <v>141</v>
      </c>
      <c r="D136" s="28">
        <v>1</v>
      </c>
      <c r="E136" s="29">
        <v>9035192625</v>
      </c>
      <c r="F136" s="29">
        <v>8265.8799999999992</v>
      </c>
      <c r="G136" s="30">
        <v>7117</v>
      </c>
      <c r="H136" s="31">
        <v>12249.939999999478</v>
      </c>
      <c r="I136" s="29">
        <v>14497675.810000001</v>
      </c>
      <c r="J136" s="30">
        <v>14509925.75</v>
      </c>
      <c r="K136" s="29">
        <v>0</v>
      </c>
      <c r="L136" s="31">
        <v>516743.85</v>
      </c>
      <c r="M136" s="31">
        <v>516743.85</v>
      </c>
      <c r="N136" s="31">
        <v>0</v>
      </c>
      <c r="O136" s="31">
        <v>2240.4</v>
      </c>
      <c r="P136" s="31">
        <v>2240.4</v>
      </c>
      <c r="Q136" s="1">
        <f t="shared" si="31"/>
        <v>1093070.8678325841</v>
      </c>
      <c r="R136" s="1">
        <f t="shared" si="32"/>
        <v>269109</v>
      </c>
      <c r="S136" s="32">
        <f t="shared" si="33"/>
        <v>0.34522354112333092</v>
      </c>
      <c r="T136" s="1">
        <f t="shared" si="34"/>
        <v>2</v>
      </c>
      <c r="U136" s="1">
        <f t="shared" si="35"/>
        <v>2038.769952227062</v>
      </c>
      <c r="V136" s="1">
        <f t="shared" si="36"/>
        <v>1.7212224251790753</v>
      </c>
      <c r="W136" s="25">
        <f t="shared" si="39"/>
        <v>8.4424553309650659E-4</v>
      </c>
      <c r="X136" s="6">
        <f t="shared" si="37"/>
        <v>160.45784978491258</v>
      </c>
      <c r="Y136" s="1">
        <f t="shared" si="38"/>
        <v>1270.5953338898362</v>
      </c>
    </row>
    <row r="137" spans="1:25" x14ac:dyDescent="0.25">
      <c r="A137" s="26">
        <v>271</v>
      </c>
      <c r="B137" s="26">
        <v>1</v>
      </c>
      <c r="C137" s="27" t="s">
        <v>142</v>
      </c>
      <c r="D137" s="28">
        <v>1</v>
      </c>
      <c r="E137" s="29">
        <v>10170822775</v>
      </c>
      <c r="F137" s="29">
        <v>12095.5</v>
      </c>
      <c r="G137" s="30">
        <v>10106</v>
      </c>
      <c r="H137" s="31">
        <v>368.85999999940395</v>
      </c>
      <c r="I137" s="29">
        <v>19319047.560000002</v>
      </c>
      <c r="J137" s="30">
        <v>19319416.420000002</v>
      </c>
      <c r="K137" s="29">
        <v>0</v>
      </c>
      <c r="L137" s="31">
        <v>823275.72</v>
      </c>
      <c r="M137" s="31">
        <v>823275.72</v>
      </c>
      <c r="N137" s="31">
        <v>0</v>
      </c>
      <c r="O137" s="31">
        <v>0</v>
      </c>
      <c r="P137" s="31">
        <v>0</v>
      </c>
      <c r="Q137" s="1">
        <f t="shared" si="31"/>
        <v>840876.58840064483</v>
      </c>
      <c r="R137" s="1">
        <f t="shared" si="32"/>
        <v>279215</v>
      </c>
      <c r="S137" s="32">
        <f t="shared" si="33"/>
        <v>0.35818791283365048</v>
      </c>
      <c r="T137" s="1">
        <f t="shared" si="34"/>
        <v>2</v>
      </c>
      <c r="U137" s="1">
        <f t="shared" si="35"/>
        <v>1911.6778567187812</v>
      </c>
      <c r="V137" s="1">
        <f t="shared" si="36"/>
        <v>3.6499109439877692E-2</v>
      </c>
      <c r="W137" s="25">
        <f t="shared" si="39"/>
        <v>1.9092709219598874E-5</v>
      </c>
      <c r="X137" s="6">
        <f t="shared" si="37"/>
        <v>189.9457692595573</v>
      </c>
      <c r="Y137" s="1">
        <f t="shared" si="38"/>
        <v>1006.4335016098777</v>
      </c>
    </row>
    <row r="138" spans="1:25" x14ac:dyDescent="0.25">
      <c r="A138" s="26">
        <v>272</v>
      </c>
      <c r="B138" s="26">
        <v>1</v>
      </c>
      <c r="C138" s="27" t="s">
        <v>143</v>
      </c>
      <c r="D138" s="28">
        <v>1</v>
      </c>
      <c r="E138" s="29">
        <v>8580727600</v>
      </c>
      <c r="F138" s="29">
        <v>10985.52</v>
      </c>
      <c r="G138" s="30">
        <v>9538</v>
      </c>
      <c r="H138" s="31">
        <v>3125.179999999702</v>
      </c>
      <c r="I138" s="29">
        <v>13179498.82</v>
      </c>
      <c r="J138" s="30">
        <v>13182624</v>
      </c>
      <c r="K138" s="29">
        <v>0</v>
      </c>
      <c r="L138" s="31">
        <v>1109479.3899999999</v>
      </c>
      <c r="M138" s="31">
        <v>1109479.3899999999</v>
      </c>
      <c r="N138" s="31">
        <v>0</v>
      </c>
      <c r="O138" s="31">
        <v>57895.45</v>
      </c>
      <c r="P138" s="31">
        <v>57895.45</v>
      </c>
      <c r="Q138" s="1">
        <f t="shared" si="31"/>
        <v>781094.34965299768</v>
      </c>
      <c r="R138" s="1">
        <f t="shared" si="32"/>
        <v>288753</v>
      </c>
      <c r="S138" s="32">
        <f t="shared" si="33"/>
        <v>0.37042363194833755</v>
      </c>
      <c r="T138" s="1">
        <f t="shared" si="34"/>
        <v>2</v>
      </c>
      <c r="U138" s="1">
        <f t="shared" si="35"/>
        <v>1382.1161669113021</v>
      </c>
      <c r="V138" s="1">
        <f t="shared" si="36"/>
        <v>0.3276556930173728</v>
      </c>
      <c r="W138" s="25">
        <f t="shared" si="39"/>
        <v>2.3706812846969631E-4</v>
      </c>
      <c r="X138" s="6">
        <f t="shared" si="37"/>
        <v>153.59418728080823</v>
      </c>
      <c r="Y138" s="1">
        <f t="shared" si="38"/>
        <v>899.849266030134</v>
      </c>
    </row>
    <row r="139" spans="1:25" x14ac:dyDescent="0.25">
      <c r="A139" s="26">
        <v>273</v>
      </c>
      <c r="B139" s="26">
        <v>1</v>
      </c>
      <c r="C139" s="27" t="s">
        <v>144</v>
      </c>
      <c r="D139" s="28">
        <v>1</v>
      </c>
      <c r="E139" s="29">
        <v>7822483100</v>
      </c>
      <c r="F139" s="29">
        <v>8561.6</v>
      </c>
      <c r="G139" s="30">
        <v>8390</v>
      </c>
      <c r="H139" s="31">
        <v>4471.9700000006706</v>
      </c>
      <c r="I139" s="29">
        <v>15608889.869999999</v>
      </c>
      <c r="J139" s="30">
        <v>15613361.84</v>
      </c>
      <c r="K139" s="29">
        <v>0</v>
      </c>
      <c r="L139" s="31">
        <v>710322.32</v>
      </c>
      <c r="M139" s="31">
        <v>710322.32</v>
      </c>
      <c r="N139" s="31">
        <v>0</v>
      </c>
      <c r="O139" s="31">
        <v>0</v>
      </c>
      <c r="P139" s="31">
        <v>0</v>
      </c>
      <c r="Q139" s="1">
        <f t="shared" si="31"/>
        <v>913670.70407400478</v>
      </c>
      <c r="R139" s="1">
        <f t="shared" si="32"/>
        <v>297143</v>
      </c>
      <c r="S139" s="32">
        <f t="shared" si="33"/>
        <v>0.38118665180283795</v>
      </c>
      <c r="T139" s="1">
        <f t="shared" si="34"/>
        <v>2</v>
      </c>
      <c r="U139" s="1">
        <f t="shared" si="35"/>
        <v>1860.948967818832</v>
      </c>
      <c r="V139" s="1">
        <f t="shared" si="36"/>
        <v>0.53301191895121225</v>
      </c>
      <c r="W139" s="25">
        <f t="shared" si="39"/>
        <v>2.8641941728038955E-4</v>
      </c>
      <c r="X139" s="6">
        <f t="shared" si="37"/>
        <v>199.53881229861653</v>
      </c>
      <c r="Y139" s="1">
        <f t="shared" si="38"/>
        <v>932.62505994766536</v>
      </c>
    </row>
    <row r="140" spans="1:25" x14ac:dyDescent="0.25">
      <c r="A140" s="26">
        <v>276</v>
      </c>
      <c r="B140" s="26">
        <v>1</v>
      </c>
      <c r="C140" s="27" t="s">
        <v>145</v>
      </c>
      <c r="D140" s="28">
        <v>1</v>
      </c>
      <c r="E140" s="29">
        <v>7229065650</v>
      </c>
      <c r="F140" s="29">
        <v>8532.5400000000009</v>
      </c>
      <c r="G140" s="30">
        <v>9241</v>
      </c>
      <c r="H140" s="31">
        <v>51014.240000000224</v>
      </c>
      <c r="I140" s="29">
        <v>15818827.560000002</v>
      </c>
      <c r="J140" s="30">
        <v>15869841.800000003</v>
      </c>
      <c r="K140" s="29">
        <v>0</v>
      </c>
      <c r="L140" s="31">
        <v>849104.89999999991</v>
      </c>
      <c r="M140" s="31">
        <v>849104.89999999991</v>
      </c>
      <c r="N140" s="31">
        <v>0</v>
      </c>
      <c r="O140" s="31">
        <v>15575.53</v>
      </c>
      <c r="P140" s="31">
        <v>15575.53</v>
      </c>
      <c r="Q140" s="1">
        <f t="shared" si="31"/>
        <v>847234.89722872665</v>
      </c>
      <c r="R140" s="1">
        <f t="shared" si="32"/>
        <v>306384</v>
      </c>
      <c r="S140" s="32">
        <f t="shared" si="33"/>
        <v>0.39304136771171017</v>
      </c>
      <c r="T140" s="1">
        <f t="shared" si="34"/>
        <v>2</v>
      </c>
      <c r="U140" s="1">
        <f t="shared" si="35"/>
        <v>1717.3294881506333</v>
      </c>
      <c r="V140" s="1">
        <f t="shared" si="36"/>
        <v>5.5204241965155525</v>
      </c>
      <c r="W140" s="25">
        <f t="shared" si="39"/>
        <v>3.2145399206185039E-3</v>
      </c>
      <c r="X140" s="6">
        <f t="shared" si="37"/>
        <v>218.82257439452087</v>
      </c>
      <c r="Y140" s="1">
        <f t="shared" si="38"/>
        <v>784.80453531929277</v>
      </c>
    </row>
    <row r="141" spans="1:25" x14ac:dyDescent="0.25">
      <c r="A141" s="26">
        <v>277</v>
      </c>
      <c r="B141" s="26">
        <v>1</v>
      </c>
      <c r="C141" s="27" t="s">
        <v>146</v>
      </c>
      <c r="D141" s="28">
        <v>1</v>
      </c>
      <c r="E141" s="29">
        <v>3347372950</v>
      </c>
      <c r="F141" s="29">
        <v>2906.79</v>
      </c>
      <c r="G141" s="30">
        <v>2215</v>
      </c>
      <c r="H141" s="31">
        <v>36997.139999999665</v>
      </c>
      <c r="I141" s="29">
        <v>4309060.8600000003</v>
      </c>
      <c r="J141" s="30">
        <v>4346058</v>
      </c>
      <c r="K141" s="29">
        <v>0</v>
      </c>
      <c r="L141" s="31">
        <v>170335.53999999998</v>
      </c>
      <c r="M141" s="31">
        <v>170335.53999999998</v>
      </c>
      <c r="N141" s="31">
        <v>0</v>
      </c>
      <c r="O141" s="31">
        <v>10505.84</v>
      </c>
      <c r="P141" s="31">
        <v>10505.84</v>
      </c>
      <c r="Q141" s="1">
        <f t="shared" si="31"/>
        <v>1151570.2716742523</v>
      </c>
      <c r="R141" s="1">
        <f t="shared" si="32"/>
        <v>308599</v>
      </c>
      <c r="S141" s="32">
        <f t="shared" si="33"/>
        <v>0.39588285626686132</v>
      </c>
      <c r="T141" s="1">
        <f t="shared" si="34"/>
        <v>2</v>
      </c>
      <c r="U141" s="1">
        <f t="shared" si="35"/>
        <v>1962.102934537246</v>
      </c>
      <c r="V141" s="1">
        <f t="shared" si="36"/>
        <v>16.702997742663506</v>
      </c>
      <c r="W141" s="25">
        <f t="shared" si="39"/>
        <v>8.5128040168814274E-3</v>
      </c>
      <c r="X141" s="6">
        <f t="shared" si="37"/>
        <v>128.72963139646572</v>
      </c>
      <c r="Y141" s="1">
        <f t="shared" si="38"/>
        <v>1524.2045776502671</v>
      </c>
    </row>
    <row r="142" spans="1:25" x14ac:dyDescent="0.25">
      <c r="A142" s="26">
        <v>278</v>
      </c>
      <c r="B142" s="26">
        <v>1</v>
      </c>
      <c r="C142" s="27" t="s">
        <v>147</v>
      </c>
      <c r="D142" s="28">
        <v>1</v>
      </c>
      <c r="E142" s="29">
        <v>3285366900</v>
      </c>
      <c r="F142" s="29">
        <v>2488.4899999999998</v>
      </c>
      <c r="G142" s="30">
        <v>2707</v>
      </c>
      <c r="H142" s="31">
        <v>26860.729999999981</v>
      </c>
      <c r="I142" s="29">
        <v>3965747.28</v>
      </c>
      <c r="J142" s="30">
        <v>3992608.01</v>
      </c>
      <c r="K142" s="29">
        <v>0</v>
      </c>
      <c r="L142" s="31">
        <v>303530.20999999996</v>
      </c>
      <c r="M142" s="31">
        <v>303530.20999999996</v>
      </c>
      <c r="N142" s="31">
        <v>0</v>
      </c>
      <c r="O142" s="31">
        <v>2588.27</v>
      </c>
      <c r="P142" s="31">
        <v>2588.27</v>
      </c>
      <c r="Q142" s="1">
        <f t="shared" si="31"/>
        <v>1320225.07625106</v>
      </c>
      <c r="R142" s="1">
        <f t="shared" si="32"/>
        <v>311306</v>
      </c>
      <c r="S142" s="32">
        <f t="shared" si="33"/>
        <v>0.39935550164780681</v>
      </c>
      <c r="T142" s="1">
        <f t="shared" si="34"/>
        <v>2</v>
      </c>
      <c r="U142" s="1">
        <f t="shared" si="35"/>
        <v>1474.9198411525674</v>
      </c>
      <c r="V142" s="1">
        <f t="shared" si="36"/>
        <v>9.9226930181012118</v>
      </c>
      <c r="W142" s="25">
        <f t="shared" si="39"/>
        <v>6.7276151159151682E-3</v>
      </c>
      <c r="X142" s="6">
        <f t="shared" si="37"/>
        <v>120.70941848230102</v>
      </c>
      <c r="Y142" s="1">
        <f t="shared" si="38"/>
        <v>1221.876353723655</v>
      </c>
    </row>
    <row r="143" spans="1:25" x14ac:dyDescent="0.25">
      <c r="A143" s="26">
        <v>279</v>
      </c>
      <c r="B143" s="26">
        <v>1</v>
      </c>
      <c r="C143" s="27" t="s">
        <v>148</v>
      </c>
      <c r="D143" s="28">
        <v>1</v>
      </c>
      <c r="E143" s="29">
        <v>13027371800</v>
      </c>
      <c r="F143" s="29">
        <v>26760.2</v>
      </c>
      <c r="G143" s="30">
        <v>20295</v>
      </c>
      <c r="H143" s="31">
        <v>34130.89999999851</v>
      </c>
      <c r="I143" s="29">
        <v>32942731.160000004</v>
      </c>
      <c r="J143" s="30">
        <v>32976862.060000002</v>
      </c>
      <c r="K143" s="29">
        <v>0</v>
      </c>
      <c r="L143" s="31">
        <v>2025470.02</v>
      </c>
      <c r="M143" s="31">
        <v>2025470.02</v>
      </c>
      <c r="N143" s="31">
        <v>0</v>
      </c>
      <c r="O143" s="31">
        <v>726027.85</v>
      </c>
      <c r="P143" s="31">
        <v>726027.85</v>
      </c>
      <c r="Q143" s="1">
        <f t="shared" si="31"/>
        <v>486818.92512014107</v>
      </c>
      <c r="R143" s="1">
        <f t="shared" si="32"/>
        <v>331601</v>
      </c>
      <c r="S143" s="32">
        <f t="shared" si="33"/>
        <v>0.42539072071182177</v>
      </c>
      <c r="T143" s="1">
        <f t="shared" si="34"/>
        <v>3</v>
      </c>
      <c r="U143" s="1">
        <f t="shared" si="35"/>
        <v>1624.8761793545209</v>
      </c>
      <c r="V143" s="1">
        <f t="shared" si="36"/>
        <v>1.6817393446661004</v>
      </c>
      <c r="W143" s="25">
        <f t="shared" si="39"/>
        <v>1.0349953836692764E-3</v>
      </c>
      <c r="X143" s="6">
        <f t="shared" si="37"/>
        <v>252.87319396226954</v>
      </c>
      <c r="Y143" s="1">
        <f t="shared" si="38"/>
        <v>642.56560922664028</v>
      </c>
    </row>
    <row r="144" spans="1:25" x14ac:dyDescent="0.25">
      <c r="A144" s="26">
        <v>280</v>
      </c>
      <c r="B144" s="26">
        <v>1</v>
      </c>
      <c r="C144" s="27" t="s">
        <v>149</v>
      </c>
      <c r="D144" s="28">
        <v>1</v>
      </c>
      <c r="E144" s="29">
        <v>3629904825</v>
      </c>
      <c r="F144" s="29">
        <v>5375.03</v>
      </c>
      <c r="G144" s="30">
        <v>4341</v>
      </c>
      <c r="H144" s="31">
        <v>222.63999999966472</v>
      </c>
      <c r="I144" s="29">
        <v>5911127.8499999996</v>
      </c>
      <c r="J144" s="30">
        <v>5911350.4899999993</v>
      </c>
      <c r="K144" s="29">
        <v>0</v>
      </c>
      <c r="L144" s="31">
        <v>500039.4</v>
      </c>
      <c r="M144" s="31">
        <v>500039.4</v>
      </c>
      <c r="N144" s="31">
        <v>0</v>
      </c>
      <c r="O144" s="31">
        <v>0</v>
      </c>
      <c r="P144" s="31">
        <v>0</v>
      </c>
      <c r="Q144" s="1">
        <f t="shared" si="31"/>
        <v>675327.36096356669</v>
      </c>
      <c r="R144" s="1">
        <f t="shared" si="32"/>
        <v>335942</v>
      </c>
      <c r="S144" s="32">
        <f t="shared" si="33"/>
        <v>0.43095952514428737</v>
      </c>
      <c r="T144" s="1">
        <f t="shared" si="34"/>
        <v>3</v>
      </c>
      <c r="U144" s="1">
        <f t="shared" si="35"/>
        <v>1361.7485579359593</v>
      </c>
      <c r="V144" s="1">
        <f t="shared" si="36"/>
        <v>5.1287721723028042E-2</v>
      </c>
      <c r="W144" s="25">
        <f t="shared" si="39"/>
        <v>3.7663136431564344E-5</v>
      </c>
      <c r="X144" s="6">
        <f t="shared" si="37"/>
        <v>162.84525724445129</v>
      </c>
      <c r="Y144" s="1">
        <f t="shared" si="38"/>
        <v>836.22242426858213</v>
      </c>
    </row>
    <row r="145" spans="1:25" x14ac:dyDescent="0.25">
      <c r="A145" s="26">
        <v>281</v>
      </c>
      <c r="B145" s="26">
        <v>1</v>
      </c>
      <c r="C145" s="27" t="s">
        <v>150</v>
      </c>
      <c r="D145" s="28">
        <v>1</v>
      </c>
      <c r="E145" s="29">
        <v>7936214800</v>
      </c>
      <c r="F145" s="29">
        <v>14220.32</v>
      </c>
      <c r="G145" s="30">
        <v>11992</v>
      </c>
      <c r="H145" s="31">
        <v>437.48000000044703</v>
      </c>
      <c r="I145" s="29">
        <v>22254505.520000003</v>
      </c>
      <c r="J145" s="30">
        <v>22254943.000000004</v>
      </c>
      <c r="K145" s="29">
        <v>0</v>
      </c>
      <c r="L145" s="31">
        <v>1010774</v>
      </c>
      <c r="M145" s="31">
        <v>1010774</v>
      </c>
      <c r="N145" s="31">
        <v>0</v>
      </c>
      <c r="O145" s="31">
        <v>253641.81</v>
      </c>
      <c r="P145" s="31">
        <v>253641.81</v>
      </c>
      <c r="Q145" s="1">
        <f t="shared" si="31"/>
        <v>558089.74762874539</v>
      </c>
      <c r="R145" s="1">
        <f t="shared" si="32"/>
        <v>347934</v>
      </c>
      <c r="S145" s="32">
        <f t="shared" si="33"/>
        <v>0.44634333135348508</v>
      </c>
      <c r="T145" s="1">
        <f t="shared" si="34"/>
        <v>3</v>
      </c>
      <c r="U145" s="1">
        <f t="shared" si="35"/>
        <v>1855.8157938625754</v>
      </c>
      <c r="V145" s="1">
        <f t="shared" si="36"/>
        <v>3.6480987324920534E-2</v>
      </c>
      <c r="W145" s="25">
        <f t="shared" si="39"/>
        <v>1.9657655380220337E-5</v>
      </c>
      <c r="X145" s="6">
        <f t="shared" si="37"/>
        <v>280.41712681466237</v>
      </c>
      <c r="Y145" s="1">
        <f t="shared" si="38"/>
        <v>661.80543782874929</v>
      </c>
    </row>
    <row r="146" spans="1:25" x14ac:dyDescent="0.25">
      <c r="A146" s="26">
        <v>282</v>
      </c>
      <c r="B146" s="26">
        <v>1</v>
      </c>
      <c r="C146" s="27" t="s">
        <v>151</v>
      </c>
      <c r="D146" s="28">
        <v>1</v>
      </c>
      <c r="E146" s="29">
        <v>896829100</v>
      </c>
      <c r="F146" s="29">
        <v>1146.42</v>
      </c>
      <c r="G146" s="30">
        <v>1758</v>
      </c>
      <c r="H146" s="31">
        <v>0</v>
      </c>
      <c r="I146" s="29">
        <v>1853818.46</v>
      </c>
      <c r="J146" s="30">
        <v>1853818.46</v>
      </c>
      <c r="K146" s="29">
        <v>0</v>
      </c>
      <c r="L146" s="31">
        <v>250009.57</v>
      </c>
      <c r="M146" s="31">
        <v>250009.57</v>
      </c>
      <c r="N146" s="31">
        <v>0</v>
      </c>
      <c r="O146" s="31">
        <v>5728.6299999999992</v>
      </c>
      <c r="P146" s="31">
        <v>5728.6299999999992</v>
      </c>
      <c r="Q146" s="1">
        <f t="shared" si="31"/>
        <v>782286.68376336771</v>
      </c>
      <c r="R146" s="1">
        <f t="shared" si="32"/>
        <v>349692</v>
      </c>
      <c r="S146" s="32">
        <f t="shared" si="33"/>
        <v>0.44859856245053059</v>
      </c>
      <c r="T146" s="1">
        <f t="shared" si="34"/>
        <v>3</v>
      </c>
      <c r="U146" s="1">
        <f t="shared" si="35"/>
        <v>1054.5042434584755</v>
      </c>
      <c r="V146" s="1">
        <f t="shared" si="36"/>
        <v>0</v>
      </c>
      <c r="W146" s="25">
        <f t="shared" si="39"/>
        <v>0</v>
      </c>
      <c r="X146" s="6">
        <f t="shared" si="37"/>
        <v>206.7081074866995</v>
      </c>
      <c r="Y146" s="1">
        <f t="shared" si="38"/>
        <v>510.14169510807739</v>
      </c>
    </row>
    <row r="147" spans="1:25" x14ac:dyDescent="0.25">
      <c r="A147" s="26">
        <v>283</v>
      </c>
      <c r="B147" s="26">
        <v>1</v>
      </c>
      <c r="C147" s="27" t="s">
        <v>152</v>
      </c>
      <c r="D147" s="28">
        <v>1</v>
      </c>
      <c r="E147" s="29">
        <v>5075077025</v>
      </c>
      <c r="F147" s="29">
        <v>4847.34</v>
      </c>
      <c r="G147" s="30">
        <v>4438</v>
      </c>
      <c r="H147" s="31">
        <v>936.75</v>
      </c>
      <c r="I147" s="29">
        <v>9083414.6699999999</v>
      </c>
      <c r="J147" s="30">
        <v>9084351.4199999999</v>
      </c>
      <c r="K147" s="29">
        <v>0</v>
      </c>
      <c r="L147" s="31">
        <v>235572.9</v>
      </c>
      <c r="M147" s="31">
        <v>235572.9</v>
      </c>
      <c r="N147" s="31">
        <v>0</v>
      </c>
      <c r="O147" s="31">
        <v>106161.43999999999</v>
      </c>
      <c r="P147" s="31">
        <v>106161.43999999999</v>
      </c>
      <c r="Q147" s="1">
        <f t="shared" si="31"/>
        <v>1046981.8549967611</v>
      </c>
      <c r="R147" s="1">
        <f t="shared" si="32"/>
        <v>354130</v>
      </c>
      <c r="S147" s="32">
        <f t="shared" si="33"/>
        <v>0.45429180227344751</v>
      </c>
      <c r="T147" s="1">
        <f t="shared" si="34"/>
        <v>3</v>
      </c>
      <c r="U147" s="1">
        <f t="shared" si="35"/>
        <v>2046.9471428571428</v>
      </c>
      <c r="V147" s="1">
        <f t="shared" si="36"/>
        <v>0.21107480847228483</v>
      </c>
      <c r="W147" s="25">
        <f t="shared" si="39"/>
        <v>1.0311688272402832E-4</v>
      </c>
      <c r="X147" s="6">
        <f t="shared" si="37"/>
        <v>178.98082384276719</v>
      </c>
      <c r="Y147" s="1">
        <f t="shared" si="38"/>
        <v>1143.6684103406321</v>
      </c>
    </row>
    <row r="148" spans="1:25" x14ac:dyDescent="0.25">
      <c r="A148" s="26">
        <v>284</v>
      </c>
      <c r="B148" s="26">
        <v>1</v>
      </c>
      <c r="C148" s="27" t="s">
        <v>153</v>
      </c>
      <c r="D148" s="28">
        <v>1</v>
      </c>
      <c r="E148" s="29">
        <v>10058702050</v>
      </c>
      <c r="F148" s="29">
        <v>11420.05</v>
      </c>
      <c r="G148" s="30">
        <v>10780</v>
      </c>
      <c r="H148" s="31">
        <v>29735.640000000596</v>
      </c>
      <c r="I148" s="29">
        <v>18292935.18</v>
      </c>
      <c r="J148" s="30">
        <v>18322670.82</v>
      </c>
      <c r="K148" s="29">
        <v>0</v>
      </c>
      <c r="L148" s="31">
        <v>1019657.44</v>
      </c>
      <c r="M148" s="31">
        <v>1019657.44</v>
      </c>
      <c r="N148" s="31">
        <v>0</v>
      </c>
      <c r="O148" s="31">
        <v>13941.91</v>
      </c>
      <c r="P148" s="31">
        <v>13941.91</v>
      </c>
      <c r="Q148" s="1">
        <f t="shared" si="31"/>
        <v>880793.17078296514</v>
      </c>
      <c r="R148" s="1">
        <f t="shared" si="32"/>
        <v>364910</v>
      </c>
      <c r="S148" s="32">
        <f t="shared" si="33"/>
        <v>0.46812080752154217</v>
      </c>
      <c r="T148" s="1">
        <f t="shared" si="34"/>
        <v>3</v>
      </c>
      <c r="U148" s="1">
        <f t="shared" si="35"/>
        <v>1699.6911706864564</v>
      </c>
      <c r="V148" s="1">
        <f t="shared" si="36"/>
        <v>2.7584081632653614</v>
      </c>
      <c r="W148" s="25">
        <f t="shared" si="39"/>
        <v>1.6228878580050042E-3</v>
      </c>
      <c r="X148" s="6">
        <f t="shared" si="37"/>
        <v>181.86178583547962</v>
      </c>
      <c r="Y148" s="1">
        <f t="shared" si="38"/>
        <v>934.6060047073737</v>
      </c>
    </row>
    <row r="149" spans="1:25" x14ac:dyDescent="0.25">
      <c r="A149" s="26">
        <v>286</v>
      </c>
      <c r="B149" s="26">
        <v>1</v>
      </c>
      <c r="C149" s="27" t="s">
        <v>154</v>
      </c>
      <c r="D149" s="28">
        <v>1</v>
      </c>
      <c r="E149" s="29">
        <v>582752900</v>
      </c>
      <c r="F149" s="29">
        <v>1609.59</v>
      </c>
      <c r="G149" s="30">
        <v>2194</v>
      </c>
      <c r="H149" s="31">
        <v>129852.57000000007</v>
      </c>
      <c r="I149" s="29">
        <v>412579.26</v>
      </c>
      <c r="J149" s="30">
        <v>542431.83000000007</v>
      </c>
      <c r="K149" s="29">
        <v>101909.51000000001</v>
      </c>
      <c r="L149" s="31">
        <v>323796.06</v>
      </c>
      <c r="M149" s="31">
        <v>425705.57</v>
      </c>
      <c r="N149" s="31">
        <v>8395.2999999999956</v>
      </c>
      <c r="O149" s="31">
        <v>26674.32</v>
      </c>
      <c r="P149" s="31">
        <v>35069.619999999995</v>
      </c>
      <c r="Q149" s="1">
        <f t="shared" si="31"/>
        <v>362050.52218266763</v>
      </c>
      <c r="R149" s="1">
        <f t="shared" si="32"/>
        <v>367104</v>
      </c>
      <c r="S149" s="32">
        <f t="shared" si="33"/>
        <v>0.4709353564560802</v>
      </c>
      <c r="T149" s="1">
        <f t="shared" si="34"/>
        <v>3</v>
      </c>
      <c r="U149" s="1">
        <f t="shared" si="35"/>
        <v>247.23419781221517</v>
      </c>
      <c r="V149" s="1">
        <f t="shared" si="36"/>
        <v>59.18530993618964</v>
      </c>
      <c r="W149" s="25">
        <f t="shared" si="39"/>
        <v>0.23938965749852853</v>
      </c>
      <c r="X149" s="6">
        <f t="shared" si="37"/>
        <v>70.79831949356236</v>
      </c>
      <c r="Y149" s="1">
        <f t="shared" si="38"/>
        <v>349.20913318386886</v>
      </c>
    </row>
    <row r="150" spans="1:25" x14ac:dyDescent="0.25">
      <c r="A150" s="26">
        <v>294</v>
      </c>
      <c r="B150" s="26">
        <v>1</v>
      </c>
      <c r="C150" s="27" t="s">
        <v>155</v>
      </c>
      <c r="D150" s="28">
        <v>0</v>
      </c>
      <c r="E150" s="29">
        <v>155291315</v>
      </c>
      <c r="F150" s="29">
        <v>515.08000000000004</v>
      </c>
      <c r="G150" s="30">
        <v>2342</v>
      </c>
      <c r="H150" s="31">
        <v>132186.42000000004</v>
      </c>
      <c r="I150" s="29">
        <v>422554.74</v>
      </c>
      <c r="J150" s="30">
        <v>554741.16</v>
      </c>
      <c r="K150" s="29">
        <v>127146.87</v>
      </c>
      <c r="L150" s="31">
        <v>219663.09999999998</v>
      </c>
      <c r="M150" s="31">
        <v>346809.97</v>
      </c>
      <c r="N150" s="31">
        <v>18044.240000000005</v>
      </c>
      <c r="O150" s="31">
        <v>31173.83</v>
      </c>
      <c r="P150" s="31">
        <v>49218.070000000007</v>
      </c>
      <c r="Q150" s="1">
        <f t="shared" si="31"/>
        <v>301489.70062902849</v>
      </c>
      <c r="R150" s="1">
        <f t="shared" si="32"/>
        <v>369446</v>
      </c>
      <c r="S150" s="32">
        <f t="shared" si="33"/>
        <v>0.4739397655739872</v>
      </c>
      <c r="T150" s="1">
        <f t="shared" si="34"/>
        <v>3</v>
      </c>
      <c r="U150" s="1">
        <f t="shared" si="35"/>
        <v>236.8664218616567</v>
      </c>
      <c r="V150" s="1">
        <f t="shared" si="36"/>
        <v>56.441682322801043</v>
      </c>
      <c r="W150" s="25">
        <f t="shared" si="39"/>
        <v>0.23828486063662563</v>
      </c>
      <c r="X150" s="6">
        <f t="shared" si="37"/>
        <v>272.10455394752756</v>
      </c>
      <c r="Y150" s="1">
        <f t="shared" si="38"/>
        <v>87.049782308065986</v>
      </c>
    </row>
    <row r="151" spans="1:25" x14ac:dyDescent="0.25">
      <c r="A151" s="26">
        <v>297</v>
      </c>
      <c r="B151" s="26">
        <v>1</v>
      </c>
      <c r="C151" s="27" t="s">
        <v>156</v>
      </c>
      <c r="D151" s="28">
        <v>0</v>
      </c>
      <c r="E151" s="29">
        <v>100263125</v>
      </c>
      <c r="F151" s="29">
        <v>358.93</v>
      </c>
      <c r="G151" s="30">
        <v>315</v>
      </c>
      <c r="H151" s="31">
        <v>103805.22999999998</v>
      </c>
      <c r="I151" s="29">
        <v>394389.61</v>
      </c>
      <c r="J151" s="30">
        <v>498194.83999999997</v>
      </c>
      <c r="K151" s="29">
        <v>11706.21</v>
      </c>
      <c r="L151" s="31">
        <v>16627.59</v>
      </c>
      <c r="M151" s="31">
        <v>28333.8</v>
      </c>
      <c r="N151" s="31">
        <v>0</v>
      </c>
      <c r="O151" s="31">
        <v>0</v>
      </c>
      <c r="P151" s="31">
        <v>0</v>
      </c>
      <c r="Q151" s="1">
        <f t="shared" si="31"/>
        <v>279338.93795447581</v>
      </c>
      <c r="R151" s="1">
        <f t="shared" si="32"/>
        <v>369761</v>
      </c>
      <c r="S151" s="32">
        <f t="shared" si="33"/>
        <v>0.47434385988318478</v>
      </c>
      <c r="T151" s="1">
        <f t="shared" si="34"/>
        <v>3</v>
      </c>
      <c r="U151" s="1">
        <f t="shared" si="35"/>
        <v>1581.5709206349206</v>
      </c>
      <c r="V151" s="1">
        <f t="shared" si="36"/>
        <v>329.54041269841264</v>
      </c>
      <c r="W151" s="25">
        <f t="shared" si="39"/>
        <v>0.20836271608112195</v>
      </c>
      <c r="X151" s="6">
        <f t="shared" si="37"/>
        <v>393.35459572001167</v>
      </c>
      <c r="Y151" s="1">
        <f t="shared" si="38"/>
        <v>402.07256705364057</v>
      </c>
    </row>
    <row r="152" spans="1:25" x14ac:dyDescent="0.25">
      <c r="A152" s="26">
        <v>299</v>
      </c>
      <c r="B152" s="26">
        <v>1</v>
      </c>
      <c r="C152" s="27" t="s">
        <v>157</v>
      </c>
      <c r="D152" s="28">
        <v>0</v>
      </c>
      <c r="E152" s="29">
        <v>315347825</v>
      </c>
      <c r="F152" s="29">
        <v>821.71</v>
      </c>
      <c r="G152" s="30">
        <v>686</v>
      </c>
      <c r="H152" s="31">
        <v>111450.19000000006</v>
      </c>
      <c r="I152" s="29">
        <v>485078.4</v>
      </c>
      <c r="J152" s="30">
        <v>596528.59000000008</v>
      </c>
      <c r="K152" s="29">
        <v>16253.479999999996</v>
      </c>
      <c r="L152" s="31">
        <v>67631.11</v>
      </c>
      <c r="M152" s="31">
        <v>83884.59</v>
      </c>
      <c r="N152" s="31">
        <v>0</v>
      </c>
      <c r="O152" s="31">
        <v>0</v>
      </c>
      <c r="P152" s="31">
        <v>0</v>
      </c>
      <c r="Q152" s="1">
        <f t="shared" si="31"/>
        <v>383770.21698652807</v>
      </c>
      <c r="R152" s="1">
        <f t="shared" si="32"/>
        <v>370447</v>
      </c>
      <c r="S152" s="32">
        <f t="shared" si="33"/>
        <v>0.4752238874898817</v>
      </c>
      <c r="T152" s="1">
        <f t="shared" si="34"/>
        <v>3</v>
      </c>
      <c r="U152" s="1">
        <f t="shared" si="35"/>
        <v>869.57520408163282</v>
      </c>
      <c r="V152" s="1">
        <f t="shared" si="36"/>
        <v>162.46383381924207</v>
      </c>
      <c r="W152" s="25">
        <f t="shared" si="39"/>
        <v>0.18683126319226381</v>
      </c>
      <c r="X152" s="6">
        <f t="shared" si="37"/>
        <v>153.82329020344443</v>
      </c>
      <c r="Y152" s="1">
        <f t="shared" si="38"/>
        <v>565.30789513834043</v>
      </c>
    </row>
    <row r="153" spans="1:25" x14ac:dyDescent="0.25">
      <c r="A153" s="26">
        <v>300</v>
      </c>
      <c r="B153" s="26">
        <v>1</v>
      </c>
      <c r="C153" s="27" t="s">
        <v>158</v>
      </c>
      <c r="D153" s="28">
        <v>0</v>
      </c>
      <c r="E153" s="29">
        <v>587655065</v>
      </c>
      <c r="F153" s="29">
        <v>1358.15</v>
      </c>
      <c r="G153" s="30">
        <v>1260</v>
      </c>
      <c r="H153" s="31">
        <v>75178.979999999981</v>
      </c>
      <c r="I153" s="29">
        <v>751037.99</v>
      </c>
      <c r="J153" s="30">
        <v>826216.97</v>
      </c>
      <c r="K153" s="29">
        <v>15105.850000000006</v>
      </c>
      <c r="L153" s="31">
        <v>150907.43</v>
      </c>
      <c r="M153" s="31">
        <v>166013.28</v>
      </c>
      <c r="N153" s="31">
        <v>0</v>
      </c>
      <c r="O153" s="31">
        <v>0</v>
      </c>
      <c r="P153" s="31">
        <v>0</v>
      </c>
      <c r="Q153" s="1">
        <f t="shared" si="31"/>
        <v>432687.89529875194</v>
      </c>
      <c r="R153" s="1">
        <f t="shared" si="32"/>
        <v>371707</v>
      </c>
      <c r="S153" s="32">
        <f t="shared" si="33"/>
        <v>0.47684026472667201</v>
      </c>
      <c r="T153" s="1">
        <f t="shared" si="34"/>
        <v>3</v>
      </c>
      <c r="U153" s="1">
        <f t="shared" si="35"/>
        <v>655.72775396825398</v>
      </c>
      <c r="V153" s="1">
        <f t="shared" si="36"/>
        <v>59.665857142857128</v>
      </c>
      <c r="W153" s="25">
        <f t="shared" si="39"/>
        <v>9.0991812961672747E-2</v>
      </c>
      <c r="X153" s="6">
        <f t="shared" si="37"/>
        <v>127.8025213651481</v>
      </c>
      <c r="Y153" s="1">
        <f t="shared" si="38"/>
        <v>513.0788868356957</v>
      </c>
    </row>
    <row r="154" spans="1:25" x14ac:dyDescent="0.25">
      <c r="A154" s="26">
        <v>306</v>
      </c>
      <c r="B154" s="26">
        <v>1</v>
      </c>
      <c r="C154" s="27" t="s">
        <v>159</v>
      </c>
      <c r="D154" s="28">
        <v>0</v>
      </c>
      <c r="E154" s="29">
        <v>125980440</v>
      </c>
      <c r="F154" s="29">
        <v>258.16000000000003</v>
      </c>
      <c r="G154" s="30">
        <v>269</v>
      </c>
      <c r="H154" s="31">
        <v>0</v>
      </c>
      <c r="I154" s="29">
        <v>0</v>
      </c>
      <c r="J154" s="30">
        <v>0</v>
      </c>
      <c r="K154" s="29">
        <v>0</v>
      </c>
      <c r="L154" s="31">
        <v>41400.78</v>
      </c>
      <c r="M154" s="31">
        <v>41400.78</v>
      </c>
      <c r="N154" s="31">
        <v>0</v>
      </c>
      <c r="O154" s="31">
        <v>14409.39</v>
      </c>
      <c r="P154" s="31">
        <v>14409.39</v>
      </c>
      <c r="Q154" s="1">
        <f t="shared" si="31"/>
        <v>487993.64735048026</v>
      </c>
      <c r="R154" s="1">
        <f t="shared" si="32"/>
        <v>371976</v>
      </c>
      <c r="S154" s="32">
        <f t="shared" si="33"/>
        <v>0.47718534843833599</v>
      </c>
      <c r="T154" s="1">
        <f t="shared" si="34"/>
        <v>3</v>
      </c>
      <c r="U154" s="1">
        <f t="shared" si="35"/>
        <v>0</v>
      </c>
      <c r="V154" s="1">
        <f t="shared" si="36"/>
        <v>0</v>
      </c>
      <c r="W154" s="33" t="s">
        <v>60</v>
      </c>
      <c r="X154" s="6">
        <f t="shared" si="37"/>
        <v>0</v>
      </c>
      <c r="Y154" s="1">
        <f t="shared" si="38"/>
        <v>0</v>
      </c>
    </row>
    <row r="155" spans="1:25" x14ac:dyDescent="0.25">
      <c r="A155" s="26">
        <v>308</v>
      </c>
      <c r="B155" s="26">
        <v>1</v>
      </c>
      <c r="C155" s="27" t="s">
        <v>160</v>
      </c>
      <c r="D155" s="28">
        <v>0</v>
      </c>
      <c r="E155" s="29">
        <v>256361000</v>
      </c>
      <c r="F155" s="29">
        <v>314.95</v>
      </c>
      <c r="G155" s="30">
        <v>526</v>
      </c>
      <c r="H155" s="31">
        <v>0</v>
      </c>
      <c r="I155" s="29">
        <v>79367.399999999994</v>
      </c>
      <c r="J155" s="30">
        <v>79367.399999999994</v>
      </c>
      <c r="K155" s="29">
        <v>0</v>
      </c>
      <c r="L155" s="31">
        <v>78592.31</v>
      </c>
      <c r="M155" s="31">
        <v>78592.31</v>
      </c>
      <c r="N155" s="31">
        <v>0</v>
      </c>
      <c r="O155" s="31">
        <v>32118.69</v>
      </c>
      <c r="P155" s="31">
        <v>32118.69</v>
      </c>
      <c r="Q155" s="1">
        <f t="shared" si="31"/>
        <v>813973.64661057317</v>
      </c>
      <c r="R155" s="1">
        <f t="shared" si="32"/>
        <v>372502</v>
      </c>
      <c r="S155" s="32">
        <f t="shared" si="33"/>
        <v>0.47786012179274207</v>
      </c>
      <c r="T155" s="1">
        <f t="shared" si="34"/>
        <v>3</v>
      </c>
      <c r="U155" s="1">
        <f t="shared" si="35"/>
        <v>150.88859315589352</v>
      </c>
      <c r="V155" s="1">
        <f t="shared" si="36"/>
        <v>0</v>
      </c>
      <c r="W155" s="25">
        <f>V155/U155</f>
        <v>0</v>
      </c>
      <c r="X155" s="6">
        <f t="shared" si="37"/>
        <v>30.959233268710918</v>
      </c>
      <c r="Y155" s="1">
        <f t="shared" si="38"/>
        <v>487.3783269961977</v>
      </c>
    </row>
    <row r="156" spans="1:25" x14ac:dyDescent="0.25">
      <c r="A156" s="26">
        <v>309</v>
      </c>
      <c r="B156" s="26">
        <v>1</v>
      </c>
      <c r="C156" s="27" t="s">
        <v>161</v>
      </c>
      <c r="D156" s="28">
        <v>0</v>
      </c>
      <c r="E156" s="29">
        <v>1082705830</v>
      </c>
      <c r="F156" s="29">
        <v>1759.27</v>
      </c>
      <c r="G156" s="30">
        <v>1502</v>
      </c>
      <c r="H156" s="31">
        <v>0</v>
      </c>
      <c r="I156" s="29">
        <v>1055562</v>
      </c>
      <c r="J156" s="30">
        <v>1055562</v>
      </c>
      <c r="K156" s="29">
        <v>0</v>
      </c>
      <c r="L156" s="31">
        <v>190673.19</v>
      </c>
      <c r="M156" s="31">
        <v>190673.19</v>
      </c>
      <c r="N156" s="31">
        <v>0</v>
      </c>
      <c r="O156" s="31">
        <v>0</v>
      </c>
      <c r="P156" s="31">
        <v>0</v>
      </c>
      <c r="Q156" s="1">
        <f t="shared" si="31"/>
        <v>615429.03022276284</v>
      </c>
      <c r="R156" s="1">
        <f t="shared" si="32"/>
        <v>374004</v>
      </c>
      <c r="S156" s="32">
        <f t="shared" si="33"/>
        <v>0.47978694608612221</v>
      </c>
      <c r="T156" s="1">
        <f t="shared" si="34"/>
        <v>3</v>
      </c>
      <c r="U156" s="1">
        <f t="shared" si="35"/>
        <v>702.77097203728363</v>
      </c>
      <c r="V156" s="1">
        <f t="shared" si="36"/>
        <v>0</v>
      </c>
      <c r="W156" s="25">
        <f>V156/U156</f>
        <v>0</v>
      </c>
      <c r="X156" s="6">
        <f t="shared" si="37"/>
        <v>97.492963531931849</v>
      </c>
      <c r="Y156" s="1">
        <f t="shared" si="38"/>
        <v>720.84276298268981</v>
      </c>
    </row>
    <row r="157" spans="1:25" x14ac:dyDescent="0.25">
      <c r="A157" s="26">
        <v>314</v>
      </c>
      <c r="B157" s="26">
        <v>1</v>
      </c>
      <c r="C157" s="27" t="s">
        <v>162</v>
      </c>
      <c r="D157" s="28">
        <v>0</v>
      </c>
      <c r="E157" s="29">
        <v>346465800</v>
      </c>
      <c r="F157" s="29">
        <v>1216.57</v>
      </c>
      <c r="G157" s="30">
        <v>900</v>
      </c>
      <c r="H157" s="31">
        <v>232132.82</v>
      </c>
      <c r="I157" s="29">
        <v>345737.93</v>
      </c>
      <c r="J157" s="30">
        <v>577870.75</v>
      </c>
      <c r="K157" s="29">
        <v>46674.729999999996</v>
      </c>
      <c r="L157" s="31">
        <v>69517.2</v>
      </c>
      <c r="M157" s="31">
        <v>116191.93</v>
      </c>
      <c r="N157" s="31">
        <v>0</v>
      </c>
      <c r="O157" s="31">
        <v>0</v>
      </c>
      <c r="P157" s="31">
        <v>0</v>
      </c>
      <c r="Q157" s="1">
        <f t="shared" si="31"/>
        <v>284789.03803315881</v>
      </c>
      <c r="R157" s="1">
        <f t="shared" si="32"/>
        <v>374904</v>
      </c>
      <c r="S157" s="32">
        <f t="shared" si="33"/>
        <v>0.48094150125525814</v>
      </c>
      <c r="T157" s="1">
        <f t="shared" si="34"/>
        <v>3</v>
      </c>
      <c r="U157" s="1">
        <f t="shared" si="35"/>
        <v>642.07861111111106</v>
      </c>
      <c r="V157" s="1">
        <f t="shared" si="36"/>
        <v>257.92535555555554</v>
      </c>
      <c r="W157" s="25">
        <f>V157/U157</f>
        <v>0.40170370277436607</v>
      </c>
      <c r="X157" s="6">
        <f t="shared" si="37"/>
        <v>99.789915772350398</v>
      </c>
      <c r="Y157" s="1">
        <f t="shared" si="38"/>
        <v>643.4303568066714</v>
      </c>
    </row>
    <row r="158" spans="1:25" x14ac:dyDescent="0.25">
      <c r="A158" s="26">
        <v>316</v>
      </c>
      <c r="B158" s="26">
        <v>1</v>
      </c>
      <c r="C158" s="27" t="s">
        <v>163</v>
      </c>
      <c r="D158" s="28">
        <v>0</v>
      </c>
      <c r="E158" s="29">
        <v>468635595</v>
      </c>
      <c r="F158" s="29">
        <v>1227.56</v>
      </c>
      <c r="G158" s="30">
        <v>1066</v>
      </c>
      <c r="H158" s="31">
        <v>0</v>
      </c>
      <c r="I158" s="29">
        <v>0</v>
      </c>
      <c r="J158" s="30">
        <v>0</v>
      </c>
      <c r="K158" s="29">
        <v>34136.78</v>
      </c>
      <c r="L158" s="31">
        <v>138289.26</v>
      </c>
      <c r="M158" s="31">
        <v>172426.04</v>
      </c>
      <c r="N158" s="31">
        <v>6022.32</v>
      </c>
      <c r="O158" s="31">
        <v>24396.620000000003</v>
      </c>
      <c r="P158" s="31">
        <v>30418.940000000002</v>
      </c>
      <c r="Q158" s="1">
        <f t="shared" si="31"/>
        <v>381761.86500048882</v>
      </c>
      <c r="R158" s="1">
        <f t="shared" si="32"/>
        <v>375970</v>
      </c>
      <c r="S158" s="32">
        <f t="shared" si="33"/>
        <v>0.48230900771114582</v>
      </c>
      <c r="T158" s="1">
        <f t="shared" si="34"/>
        <v>3</v>
      </c>
      <c r="U158" s="1">
        <f t="shared" si="35"/>
        <v>0</v>
      </c>
      <c r="V158" s="1">
        <f t="shared" si="36"/>
        <v>0</v>
      </c>
      <c r="W158" s="33" t="s">
        <v>60</v>
      </c>
      <c r="X158" s="6">
        <f t="shared" si="37"/>
        <v>0</v>
      </c>
      <c r="Y158" s="1">
        <f t="shared" si="38"/>
        <v>0</v>
      </c>
    </row>
    <row r="159" spans="1:25" x14ac:dyDescent="0.25">
      <c r="A159" s="26">
        <v>317</v>
      </c>
      <c r="B159" s="26">
        <v>1</v>
      </c>
      <c r="C159" s="27" t="s">
        <v>164</v>
      </c>
      <c r="D159" s="28">
        <v>0</v>
      </c>
      <c r="E159" s="29">
        <v>387307301</v>
      </c>
      <c r="F159" s="29">
        <v>1033.69</v>
      </c>
      <c r="G159" s="30">
        <v>849</v>
      </c>
      <c r="H159" s="31">
        <v>0</v>
      </c>
      <c r="I159" s="29">
        <v>0</v>
      </c>
      <c r="J159" s="30">
        <v>0</v>
      </c>
      <c r="K159" s="29">
        <v>31971.390000000014</v>
      </c>
      <c r="L159" s="31">
        <v>118236</v>
      </c>
      <c r="M159" s="31">
        <v>150207.39000000001</v>
      </c>
      <c r="N159" s="31">
        <v>8860.7099999999991</v>
      </c>
      <c r="O159" s="31">
        <v>32768.51</v>
      </c>
      <c r="P159" s="31">
        <v>41629.22</v>
      </c>
      <c r="Q159" s="1">
        <f t="shared" si="31"/>
        <v>374684.19061807694</v>
      </c>
      <c r="R159" s="1">
        <f t="shared" si="32"/>
        <v>376819</v>
      </c>
      <c r="S159" s="32">
        <f t="shared" si="33"/>
        <v>0.48339813808736404</v>
      </c>
      <c r="T159" s="1">
        <f t="shared" si="34"/>
        <v>3</v>
      </c>
      <c r="U159" s="1">
        <f t="shared" si="35"/>
        <v>0</v>
      </c>
      <c r="V159" s="1">
        <f t="shared" si="36"/>
        <v>0</v>
      </c>
      <c r="W159" s="33" t="s">
        <v>60</v>
      </c>
      <c r="X159" s="6">
        <f t="shared" si="37"/>
        <v>0</v>
      </c>
      <c r="Y159" s="1">
        <f t="shared" si="38"/>
        <v>0</v>
      </c>
    </row>
    <row r="160" spans="1:25" x14ac:dyDescent="0.25">
      <c r="A160" s="26">
        <v>318</v>
      </c>
      <c r="B160" s="26">
        <v>1</v>
      </c>
      <c r="C160" s="27" t="s">
        <v>165</v>
      </c>
      <c r="D160" s="28">
        <v>0</v>
      </c>
      <c r="E160" s="29">
        <v>2531741644</v>
      </c>
      <c r="F160" s="29">
        <v>4432.13</v>
      </c>
      <c r="G160" s="30">
        <v>3861</v>
      </c>
      <c r="H160" s="31">
        <v>0</v>
      </c>
      <c r="I160" s="29">
        <v>0</v>
      </c>
      <c r="J160" s="30">
        <v>0</v>
      </c>
      <c r="K160" s="29">
        <v>0</v>
      </c>
      <c r="L160" s="31">
        <v>363548.28</v>
      </c>
      <c r="M160" s="31">
        <v>363548.28</v>
      </c>
      <c r="N160" s="31">
        <v>0</v>
      </c>
      <c r="O160" s="31">
        <v>127396.56</v>
      </c>
      <c r="P160" s="31">
        <v>127396.56</v>
      </c>
      <c r="Q160" s="1">
        <f t="shared" si="31"/>
        <v>571224.59043394483</v>
      </c>
      <c r="R160" s="1">
        <f t="shared" si="32"/>
        <v>380680</v>
      </c>
      <c r="S160" s="32">
        <f t="shared" si="33"/>
        <v>0.48835117976295711</v>
      </c>
      <c r="T160" s="1">
        <f t="shared" si="34"/>
        <v>3</v>
      </c>
      <c r="U160" s="1">
        <f t="shared" si="35"/>
        <v>0</v>
      </c>
      <c r="V160" s="1">
        <f t="shared" si="36"/>
        <v>0</v>
      </c>
      <c r="W160" s="33" t="s">
        <v>60</v>
      </c>
      <c r="X160" s="6">
        <f t="shared" si="37"/>
        <v>0</v>
      </c>
      <c r="Y160" s="1">
        <f t="shared" si="38"/>
        <v>0</v>
      </c>
    </row>
    <row r="161" spans="1:25" x14ac:dyDescent="0.25">
      <c r="A161" s="26">
        <v>319</v>
      </c>
      <c r="B161" s="26">
        <v>1</v>
      </c>
      <c r="C161" s="27" t="s">
        <v>166</v>
      </c>
      <c r="D161" s="28">
        <v>0</v>
      </c>
      <c r="E161" s="29">
        <v>205112585</v>
      </c>
      <c r="F161" s="29">
        <v>649.99</v>
      </c>
      <c r="G161" s="30">
        <v>560</v>
      </c>
      <c r="H161" s="31">
        <v>153356.84000000003</v>
      </c>
      <c r="I161" s="29">
        <v>301636.15999999997</v>
      </c>
      <c r="J161" s="30">
        <v>454993</v>
      </c>
      <c r="K161" s="29">
        <v>23321.200000000004</v>
      </c>
      <c r="L161" s="31">
        <v>45870.239999999998</v>
      </c>
      <c r="M161" s="31">
        <v>69191.44</v>
      </c>
      <c r="N161" s="31">
        <v>8752.2900000000009</v>
      </c>
      <c r="O161" s="31">
        <v>17214.810000000001</v>
      </c>
      <c r="P161" s="31">
        <v>25967.100000000002</v>
      </c>
      <c r="Q161" s="1">
        <f t="shared" si="31"/>
        <v>315562.67788735213</v>
      </c>
      <c r="R161" s="1">
        <f t="shared" si="32"/>
        <v>381240</v>
      </c>
      <c r="S161" s="32">
        <f t="shared" si="33"/>
        <v>0.48906956964597503</v>
      </c>
      <c r="T161" s="1">
        <f t="shared" si="34"/>
        <v>3</v>
      </c>
      <c r="U161" s="1">
        <f t="shared" si="35"/>
        <v>812.48749999999995</v>
      </c>
      <c r="V161" s="1">
        <f t="shared" si="36"/>
        <v>273.85150000000004</v>
      </c>
      <c r="W161" s="25">
        <f>V161/U161</f>
        <v>0.33705318543362212</v>
      </c>
      <c r="X161" s="6">
        <f t="shared" si="37"/>
        <v>147.05882625388392</v>
      </c>
      <c r="Y161" s="1">
        <f t="shared" si="38"/>
        <v>552.4914897643157</v>
      </c>
    </row>
    <row r="162" spans="1:25" x14ac:dyDescent="0.25">
      <c r="A162" s="26">
        <v>323</v>
      </c>
      <c r="B162" s="26">
        <v>2</v>
      </c>
      <c r="C162" s="27" t="s">
        <v>167</v>
      </c>
      <c r="D162" s="28">
        <v>0</v>
      </c>
      <c r="E162" s="29">
        <v>25450200</v>
      </c>
      <c r="F162" s="29">
        <v>29.26</v>
      </c>
      <c r="G162" s="30">
        <v>29</v>
      </c>
      <c r="H162" s="31">
        <v>1877.1299999999974</v>
      </c>
      <c r="I162" s="29">
        <v>45068.490000000005</v>
      </c>
      <c r="J162" s="30">
        <v>46945.62</v>
      </c>
      <c r="K162" s="29">
        <v>0</v>
      </c>
      <c r="L162" s="31">
        <v>2760.83</v>
      </c>
      <c r="M162" s="31">
        <v>2760.83</v>
      </c>
      <c r="N162" s="31">
        <v>0</v>
      </c>
      <c r="O162" s="31">
        <v>0</v>
      </c>
      <c r="P162" s="31">
        <v>0</v>
      </c>
      <c r="Q162" s="1">
        <f t="shared" si="31"/>
        <v>869794.94190020498</v>
      </c>
      <c r="R162" s="1">
        <f t="shared" si="32"/>
        <v>381269</v>
      </c>
      <c r="S162" s="32">
        <f t="shared" si="33"/>
        <v>0.48910677197920277</v>
      </c>
      <c r="T162" s="1">
        <f t="shared" si="34"/>
        <v>3</v>
      </c>
      <c r="U162" s="1">
        <f t="shared" si="35"/>
        <v>1618.8144827586207</v>
      </c>
      <c r="V162" s="1">
        <f t="shared" si="36"/>
        <v>64.728620689655088</v>
      </c>
      <c r="W162" s="25">
        <f>V162/U162</f>
        <v>3.9985199897242758E-2</v>
      </c>
      <c r="X162" s="6">
        <f t="shared" si="37"/>
        <v>177.08501308437658</v>
      </c>
      <c r="Y162" s="1">
        <f t="shared" si="38"/>
        <v>914.14538958601543</v>
      </c>
    </row>
    <row r="163" spans="1:25" x14ac:dyDescent="0.25">
      <c r="A163" s="26">
        <v>330</v>
      </c>
      <c r="B163" s="26">
        <v>1</v>
      </c>
      <c r="C163" s="27" t="s">
        <v>168</v>
      </c>
      <c r="D163" s="28">
        <v>0</v>
      </c>
      <c r="E163" s="29">
        <v>72459900</v>
      </c>
      <c r="F163" s="29">
        <v>272.8</v>
      </c>
      <c r="G163" s="30">
        <v>274</v>
      </c>
      <c r="H163" s="31">
        <v>90546.750000000058</v>
      </c>
      <c r="I163" s="29">
        <v>478849.59</v>
      </c>
      <c r="J163" s="30">
        <v>569396.34000000008</v>
      </c>
      <c r="K163" s="29">
        <v>10345.600000000002</v>
      </c>
      <c r="L163" s="31">
        <v>13061.560000000001</v>
      </c>
      <c r="M163" s="31">
        <v>23407.160000000003</v>
      </c>
      <c r="N163" s="31">
        <v>841.73</v>
      </c>
      <c r="O163" s="31">
        <v>1062.71</v>
      </c>
      <c r="P163" s="31">
        <v>1904.44</v>
      </c>
      <c r="Q163" s="1">
        <f t="shared" si="31"/>
        <v>265615.46920821111</v>
      </c>
      <c r="R163" s="1">
        <f t="shared" si="32"/>
        <v>381543</v>
      </c>
      <c r="S163" s="32">
        <f t="shared" si="33"/>
        <v>0.4894582698862508</v>
      </c>
      <c r="T163" s="1">
        <f t="shared" si="34"/>
        <v>3</v>
      </c>
      <c r="U163" s="1">
        <f t="shared" si="35"/>
        <v>2078.0888321167886</v>
      </c>
      <c r="V163" s="1">
        <f t="shared" si="36"/>
        <v>330.46259124087612</v>
      </c>
      <c r="W163" s="25">
        <f>V163/U163</f>
        <v>0.1590223604177014</v>
      </c>
      <c r="X163" s="6">
        <f t="shared" si="37"/>
        <v>660.84771025077316</v>
      </c>
      <c r="Y163" s="1">
        <f t="shared" si="38"/>
        <v>314.45805136076086</v>
      </c>
    </row>
    <row r="164" spans="1:25" x14ac:dyDescent="0.25">
      <c r="A164" s="26">
        <v>332</v>
      </c>
      <c r="B164" s="26">
        <v>1</v>
      </c>
      <c r="C164" s="27" t="s">
        <v>169</v>
      </c>
      <c r="D164" s="28">
        <v>0</v>
      </c>
      <c r="E164" s="29">
        <v>607128265</v>
      </c>
      <c r="F164" s="29">
        <v>1856.88</v>
      </c>
      <c r="G164" s="30">
        <v>1750</v>
      </c>
      <c r="H164" s="31">
        <v>73378.550000000017</v>
      </c>
      <c r="I164" s="29">
        <v>160978.26999999999</v>
      </c>
      <c r="J164" s="30">
        <v>234356.82</v>
      </c>
      <c r="K164" s="29">
        <v>81716.070000000007</v>
      </c>
      <c r="L164" s="31">
        <v>179269.16999999998</v>
      </c>
      <c r="M164" s="31">
        <v>260985.24</v>
      </c>
      <c r="N164" s="31">
        <v>0</v>
      </c>
      <c r="O164" s="31">
        <v>0</v>
      </c>
      <c r="P164" s="31">
        <v>0</v>
      </c>
      <c r="Q164" s="1">
        <f t="shared" si="31"/>
        <v>326961.49724268663</v>
      </c>
      <c r="R164" s="1">
        <f t="shared" si="32"/>
        <v>383293</v>
      </c>
      <c r="S164" s="32">
        <f t="shared" si="33"/>
        <v>0.49170323827068174</v>
      </c>
      <c r="T164" s="1">
        <f t="shared" si="34"/>
        <v>3</v>
      </c>
      <c r="U164" s="1">
        <f t="shared" si="35"/>
        <v>133.91818285714285</v>
      </c>
      <c r="V164" s="1">
        <f t="shared" si="36"/>
        <v>41.930600000000013</v>
      </c>
      <c r="W164" s="25">
        <f>V164/U164</f>
        <v>0.31310610034732517</v>
      </c>
      <c r="X164" s="6">
        <f t="shared" si="37"/>
        <v>26.514705257545536</v>
      </c>
      <c r="Y164" s="1">
        <f t="shared" si="38"/>
        <v>505.07136155712129</v>
      </c>
    </row>
    <row r="165" spans="1:25" x14ac:dyDescent="0.25">
      <c r="A165" s="26">
        <v>333</v>
      </c>
      <c r="B165" s="26">
        <v>1</v>
      </c>
      <c r="C165" s="27" t="s">
        <v>170</v>
      </c>
      <c r="D165" s="28">
        <v>0</v>
      </c>
      <c r="E165" s="29">
        <v>169245430</v>
      </c>
      <c r="F165" s="29">
        <v>697.68</v>
      </c>
      <c r="G165" s="30">
        <v>560</v>
      </c>
      <c r="H165" s="31">
        <v>0</v>
      </c>
      <c r="I165" s="29">
        <v>0</v>
      </c>
      <c r="J165" s="30">
        <v>0</v>
      </c>
      <c r="K165" s="29">
        <v>49307.530000000006</v>
      </c>
      <c r="L165" s="31">
        <v>51243.85</v>
      </c>
      <c r="M165" s="31">
        <v>100551.38</v>
      </c>
      <c r="N165" s="31">
        <v>11803.020000000002</v>
      </c>
      <c r="O165" s="31">
        <v>12266.53</v>
      </c>
      <c r="P165" s="31">
        <v>24069.550000000003</v>
      </c>
      <c r="Q165" s="1">
        <f t="shared" si="31"/>
        <v>242583.17566792801</v>
      </c>
      <c r="R165" s="1">
        <f t="shared" si="32"/>
        <v>383853</v>
      </c>
      <c r="S165" s="32">
        <f t="shared" si="33"/>
        <v>0.49242162815369966</v>
      </c>
      <c r="T165" s="1">
        <f t="shared" si="34"/>
        <v>3</v>
      </c>
      <c r="U165" s="1">
        <f t="shared" si="35"/>
        <v>0</v>
      </c>
      <c r="V165" s="1">
        <f t="shared" si="36"/>
        <v>0</v>
      </c>
      <c r="W165" s="33" t="s">
        <v>60</v>
      </c>
      <c r="X165" s="6">
        <f t="shared" si="37"/>
        <v>0</v>
      </c>
      <c r="Y165" s="1">
        <f t="shared" si="38"/>
        <v>0</v>
      </c>
    </row>
    <row r="166" spans="1:25" x14ac:dyDescent="0.25">
      <c r="A166" s="26">
        <v>345</v>
      </c>
      <c r="B166" s="26">
        <v>1</v>
      </c>
      <c r="C166" s="27" t="s">
        <v>171</v>
      </c>
      <c r="D166" s="28">
        <v>0</v>
      </c>
      <c r="E166" s="29">
        <v>891293990</v>
      </c>
      <c r="F166" s="29">
        <v>1624.09</v>
      </c>
      <c r="G166" s="30">
        <v>1388</v>
      </c>
      <c r="H166" s="31">
        <v>0</v>
      </c>
      <c r="I166" s="29">
        <v>969581.73</v>
      </c>
      <c r="J166" s="30">
        <v>969581.73</v>
      </c>
      <c r="K166" s="29">
        <v>0</v>
      </c>
      <c r="L166" s="31">
        <v>178388.03</v>
      </c>
      <c r="M166" s="31">
        <v>178388.03</v>
      </c>
      <c r="N166" s="31">
        <v>0</v>
      </c>
      <c r="O166" s="31">
        <v>0</v>
      </c>
      <c r="P166" s="31">
        <v>0</v>
      </c>
      <c r="Q166" s="1">
        <f t="shared" si="31"/>
        <v>548795.93495434371</v>
      </c>
      <c r="R166" s="1">
        <f t="shared" si="32"/>
        <v>385241</v>
      </c>
      <c r="S166" s="32">
        <f t="shared" si="33"/>
        <v>0.49420220879232263</v>
      </c>
      <c r="T166" s="1">
        <f t="shared" si="34"/>
        <v>3</v>
      </c>
      <c r="U166" s="1">
        <f t="shared" si="35"/>
        <v>698.5459149855908</v>
      </c>
      <c r="V166" s="1">
        <f t="shared" si="36"/>
        <v>0</v>
      </c>
      <c r="W166" s="25">
        <f>V166/U166</f>
        <v>0</v>
      </c>
      <c r="X166" s="6">
        <f t="shared" si="37"/>
        <v>108.7836046106403</v>
      </c>
      <c r="Y166" s="1">
        <f t="shared" si="38"/>
        <v>642.14264409221914</v>
      </c>
    </row>
    <row r="167" spans="1:25" x14ac:dyDescent="0.25">
      <c r="A167" s="26">
        <v>347</v>
      </c>
      <c r="B167" s="26">
        <v>1</v>
      </c>
      <c r="C167" s="27" t="s">
        <v>172</v>
      </c>
      <c r="D167" s="28">
        <v>0</v>
      </c>
      <c r="E167" s="29">
        <v>1499389950</v>
      </c>
      <c r="F167" s="29">
        <v>4741.05</v>
      </c>
      <c r="G167" s="30">
        <v>4018</v>
      </c>
      <c r="H167" s="31">
        <v>1113749.7400000002</v>
      </c>
      <c r="I167" s="29">
        <v>2204985.2599999998</v>
      </c>
      <c r="J167" s="30">
        <v>3318735</v>
      </c>
      <c r="K167" s="29">
        <v>163640.13</v>
      </c>
      <c r="L167" s="31">
        <v>323972.31</v>
      </c>
      <c r="M167" s="31">
        <v>487612.44</v>
      </c>
      <c r="N167" s="31">
        <v>47424.520000000004</v>
      </c>
      <c r="O167" s="31">
        <v>93890.349999999991</v>
      </c>
      <c r="P167" s="31">
        <v>141314.87</v>
      </c>
      <c r="Q167" s="1">
        <f t="shared" si="31"/>
        <v>316256.93675451638</v>
      </c>
      <c r="R167" s="1">
        <f t="shared" si="32"/>
        <v>389259</v>
      </c>
      <c r="S167" s="32">
        <f t="shared" si="33"/>
        <v>0.49935665620297609</v>
      </c>
      <c r="T167" s="1">
        <f t="shared" si="34"/>
        <v>3</v>
      </c>
      <c r="U167" s="1">
        <f t="shared" si="35"/>
        <v>825.96689895470388</v>
      </c>
      <c r="V167" s="1">
        <f t="shared" si="36"/>
        <v>277.19007964161278</v>
      </c>
      <c r="W167" s="25">
        <f>V167/U167</f>
        <v>0.33559465880825079</v>
      </c>
      <c r="X167" s="6">
        <f t="shared" si="37"/>
        <v>147.05882615793175</v>
      </c>
      <c r="Y167" s="1">
        <f t="shared" si="38"/>
        <v>561.65748125016876</v>
      </c>
    </row>
    <row r="168" spans="1:25" x14ac:dyDescent="0.25">
      <c r="A168" s="26">
        <v>356</v>
      </c>
      <c r="B168" s="26">
        <v>1</v>
      </c>
      <c r="C168" s="27" t="s">
        <v>173</v>
      </c>
      <c r="D168" s="28">
        <v>0</v>
      </c>
      <c r="E168" s="29">
        <v>23389700</v>
      </c>
      <c r="F168" s="29">
        <v>136.9</v>
      </c>
      <c r="G168" s="30">
        <v>153</v>
      </c>
      <c r="H168" s="31">
        <v>166074.97999999998</v>
      </c>
      <c r="I168" s="29">
        <v>214716.47999999998</v>
      </c>
      <c r="J168" s="30">
        <v>380791.45999999996</v>
      </c>
      <c r="K168" s="29">
        <v>5341.94</v>
      </c>
      <c r="L168" s="31">
        <v>2990.96</v>
      </c>
      <c r="M168" s="31">
        <v>8332.9</v>
      </c>
      <c r="N168" s="31">
        <v>0</v>
      </c>
      <c r="O168" s="31">
        <v>0</v>
      </c>
      <c r="P168" s="31">
        <v>0</v>
      </c>
      <c r="Q168" s="1">
        <f t="shared" si="31"/>
        <v>170852.44704163622</v>
      </c>
      <c r="R168" s="1">
        <f t="shared" si="32"/>
        <v>389412</v>
      </c>
      <c r="S168" s="32">
        <f t="shared" si="33"/>
        <v>0.49955293058172917</v>
      </c>
      <c r="T168" s="1">
        <f t="shared" si="34"/>
        <v>3</v>
      </c>
      <c r="U168" s="1">
        <f t="shared" si="35"/>
        <v>2488.8330718954244</v>
      </c>
      <c r="V168" s="1">
        <f t="shared" si="36"/>
        <v>1085.4573856209149</v>
      </c>
      <c r="W168" s="25">
        <f>V168/U168</f>
        <v>0.43613105188861118</v>
      </c>
      <c r="X168" s="6">
        <f t="shared" si="37"/>
        <v>917.99586997695565</v>
      </c>
      <c r="Y168" s="1">
        <f t="shared" si="38"/>
        <v>271.11593344727152</v>
      </c>
    </row>
    <row r="169" spans="1:25" x14ac:dyDescent="0.25">
      <c r="A169" s="26">
        <v>361</v>
      </c>
      <c r="B169" s="26">
        <v>1</v>
      </c>
      <c r="C169" s="27" t="s">
        <v>174</v>
      </c>
      <c r="D169" s="28">
        <v>0</v>
      </c>
      <c r="E169" s="29">
        <v>489553591</v>
      </c>
      <c r="F169" s="29">
        <v>1575.62</v>
      </c>
      <c r="G169" s="30">
        <v>1167</v>
      </c>
      <c r="H169" s="31">
        <v>348800.14</v>
      </c>
      <c r="I169" s="29">
        <v>655641.85</v>
      </c>
      <c r="J169" s="30">
        <v>1004441.99</v>
      </c>
      <c r="K169" s="29">
        <v>49520</v>
      </c>
      <c r="L169" s="31">
        <v>93083.07</v>
      </c>
      <c r="M169" s="31">
        <v>142603.07</v>
      </c>
      <c r="N169" s="31">
        <v>1066.6699999999998</v>
      </c>
      <c r="O169" s="31">
        <v>2005.03</v>
      </c>
      <c r="P169" s="31">
        <v>3071.7</v>
      </c>
      <c r="Q169" s="1">
        <f t="shared" si="31"/>
        <v>310705.36741092399</v>
      </c>
      <c r="R169" s="1">
        <f t="shared" si="32"/>
        <v>390579</v>
      </c>
      <c r="S169" s="32">
        <f t="shared" si="33"/>
        <v>0.50105000378437536</v>
      </c>
      <c r="T169" s="1">
        <f t="shared" si="34"/>
        <v>3</v>
      </c>
      <c r="U169" s="1">
        <f t="shared" si="35"/>
        <v>860.70436161096825</v>
      </c>
      <c r="V169" s="1">
        <f t="shared" si="36"/>
        <v>298.88615252784922</v>
      </c>
      <c r="W169" s="25">
        <f>V169/U169</f>
        <v>0.3472576251018738</v>
      </c>
      <c r="X169" s="6">
        <f t="shared" si="37"/>
        <v>133.926471392179</v>
      </c>
      <c r="Y169" s="1">
        <f t="shared" si="38"/>
        <v>642.66933389931114</v>
      </c>
    </row>
    <row r="170" spans="1:25" x14ac:dyDescent="0.25">
      <c r="A170" s="26">
        <v>362</v>
      </c>
      <c r="B170" s="26">
        <v>1</v>
      </c>
      <c r="C170" s="27" t="s">
        <v>175</v>
      </c>
      <c r="D170" s="28">
        <v>0</v>
      </c>
      <c r="E170" s="29">
        <v>55968915</v>
      </c>
      <c r="F170" s="29">
        <v>257.36</v>
      </c>
      <c r="G170" s="30">
        <v>281</v>
      </c>
      <c r="H170" s="31">
        <v>0</v>
      </c>
      <c r="I170" s="29">
        <v>0</v>
      </c>
      <c r="J170" s="30">
        <v>0</v>
      </c>
      <c r="K170" s="29">
        <v>23224.82</v>
      </c>
      <c r="L170" s="31">
        <v>19536.769999999997</v>
      </c>
      <c r="M170" s="31">
        <v>42761.59</v>
      </c>
      <c r="N170" s="31">
        <v>828.42</v>
      </c>
      <c r="O170" s="31">
        <v>696.86</v>
      </c>
      <c r="P170" s="31">
        <v>1525.28</v>
      </c>
      <c r="Q170" s="1">
        <f t="shared" si="31"/>
        <v>217473.24759092322</v>
      </c>
      <c r="R170" s="1">
        <f t="shared" si="32"/>
        <v>390860</v>
      </c>
      <c r="S170" s="32">
        <f t="shared" si="33"/>
        <v>0.50141048156496115</v>
      </c>
      <c r="T170" s="1">
        <f t="shared" si="34"/>
        <v>3</v>
      </c>
      <c r="U170" s="1">
        <f t="shared" si="35"/>
        <v>0</v>
      </c>
      <c r="V170" s="1">
        <f t="shared" si="36"/>
        <v>0</v>
      </c>
      <c r="W170" s="33" t="s">
        <v>60</v>
      </c>
      <c r="X170" s="6">
        <f t="shared" si="37"/>
        <v>0</v>
      </c>
      <c r="Y170" s="1">
        <f t="shared" si="38"/>
        <v>0</v>
      </c>
    </row>
    <row r="171" spans="1:25" x14ac:dyDescent="0.25">
      <c r="A171" s="26">
        <v>363</v>
      </c>
      <c r="B171" s="26">
        <v>1</v>
      </c>
      <c r="C171" s="27" t="s">
        <v>176</v>
      </c>
      <c r="D171" s="28">
        <v>0</v>
      </c>
      <c r="E171" s="29">
        <v>39310765</v>
      </c>
      <c r="F171" s="29">
        <v>145.38</v>
      </c>
      <c r="G171" s="30">
        <v>359</v>
      </c>
      <c r="H171" s="31">
        <v>63.419999999999987</v>
      </c>
      <c r="I171" s="29">
        <v>83.41</v>
      </c>
      <c r="J171" s="30">
        <v>146.82999999999998</v>
      </c>
      <c r="K171" s="29">
        <v>29821.89</v>
      </c>
      <c r="L171" s="31">
        <v>39221.03</v>
      </c>
      <c r="M171" s="31">
        <v>69042.92</v>
      </c>
      <c r="N171" s="31">
        <v>0</v>
      </c>
      <c r="O171" s="31">
        <v>0</v>
      </c>
      <c r="P171" s="31">
        <v>0</v>
      </c>
      <c r="Q171" s="1">
        <f t="shared" si="31"/>
        <v>270400.08942082821</v>
      </c>
      <c r="R171" s="1">
        <f t="shared" si="32"/>
        <v>391219</v>
      </c>
      <c r="S171" s="32">
        <f t="shared" si="33"/>
        <v>0.50187102079353874</v>
      </c>
      <c r="T171" s="1">
        <f t="shared" si="34"/>
        <v>3</v>
      </c>
      <c r="U171" s="1">
        <f t="shared" si="35"/>
        <v>0.40899721448467963</v>
      </c>
      <c r="V171" s="1">
        <f t="shared" si="36"/>
        <v>0.17665738161559885</v>
      </c>
      <c r="W171" s="25">
        <f>V171/U171</f>
        <v>0.43192808009262407</v>
      </c>
      <c r="X171" s="6">
        <f t="shared" si="37"/>
        <v>0.21218106541554199</v>
      </c>
      <c r="Y171" s="1">
        <f t="shared" si="38"/>
        <v>192.75858271504421</v>
      </c>
    </row>
    <row r="172" spans="1:25" x14ac:dyDescent="0.25">
      <c r="A172" s="26">
        <v>378</v>
      </c>
      <c r="B172" s="26">
        <v>1</v>
      </c>
      <c r="C172" s="27" t="s">
        <v>177</v>
      </c>
      <c r="D172" s="28">
        <v>0</v>
      </c>
      <c r="E172" s="29">
        <v>100672835</v>
      </c>
      <c r="F172" s="29">
        <v>559.73</v>
      </c>
      <c r="G172" s="30">
        <v>507</v>
      </c>
      <c r="H172" s="31">
        <v>297954.32999999996</v>
      </c>
      <c r="I172" s="29">
        <v>256178.37</v>
      </c>
      <c r="J172" s="30">
        <v>554132.69999999995</v>
      </c>
      <c r="K172" s="29">
        <v>35603.61</v>
      </c>
      <c r="L172" s="31">
        <v>21623.71</v>
      </c>
      <c r="M172" s="31">
        <v>57227.32</v>
      </c>
      <c r="N172" s="31">
        <v>11910.68</v>
      </c>
      <c r="O172" s="31">
        <v>7233.9000000000005</v>
      </c>
      <c r="P172" s="31">
        <v>19144.580000000002</v>
      </c>
      <c r="Q172" s="1">
        <f t="shared" si="31"/>
        <v>179859.63768245402</v>
      </c>
      <c r="R172" s="1">
        <f t="shared" si="32"/>
        <v>391726</v>
      </c>
      <c r="S172" s="32">
        <f t="shared" si="33"/>
        <v>0.50252142020548529</v>
      </c>
      <c r="T172" s="1">
        <f t="shared" si="34"/>
        <v>3</v>
      </c>
      <c r="U172" s="1">
        <f t="shared" si="35"/>
        <v>1092.9639053254436</v>
      </c>
      <c r="V172" s="1">
        <f t="shared" si="36"/>
        <v>587.68112426035498</v>
      </c>
      <c r="W172" s="25">
        <f>V172/U172</f>
        <v>0.53769490593137714</v>
      </c>
      <c r="X172" s="6">
        <f t="shared" si="37"/>
        <v>254.46623212706785</v>
      </c>
      <c r="Y172" s="1">
        <f t="shared" si="38"/>
        <v>429.51235462144598</v>
      </c>
    </row>
    <row r="173" spans="1:25" x14ac:dyDescent="0.25">
      <c r="A173" s="26">
        <v>381</v>
      </c>
      <c r="B173" s="26">
        <v>1</v>
      </c>
      <c r="C173" s="27" t="s">
        <v>178</v>
      </c>
      <c r="D173" s="28">
        <v>0</v>
      </c>
      <c r="E173" s="29">
        <v>1213485125</v>
      </c>
      <c r="F173" s="29">
        <v>1960.48</v>
      </c>
      <c r="G173" s="30">
        <v>1327</v>
      </c>
      <c r="H173" s="31">
        <v>0</v>
      </c>
      <c r="I173" s="29">
        <v>0</v>
      </c>
      <c r="J173" s="30">
        <v>0</v>
      </c>
      <c r="K173" s="29">
        <v>0</v>
      </c>
      <c r="L173" s="31">
        <v>193071.91</v>
      </c>
      <c r="M173" s="31">
        <v>193071.91</v>
      </c>
      <c r="N173" s="31">
        <v>0</v>
      </c>
      <c r="O173" s="31">
        <v>20302.3</v>
      </c>
      <c r="P173" s="31">
        <v>20302.3</v>
      </c>
      <c r="Q173" s="1">
        <f t="shared" si="31"/>
        <v>618973.4784338529</v>
      </c>
      <c r="R173" s="1">
        <f t="shared" si="32"/>
        <v>393053</v>
      </c>
      <c r="S173" s="32">
        <f t="shared" si="33"/>
        <v>0.50422374766042233</v>
      </c>
      <c r="T173" s="1">
        <f t="shared" si="34"/>
        <v>3</v>
      </c>
      <c r="U173" s="1">
        <f t="shared" si="35"/>
        <v>0</v>
      </c>
      <c r="V173" s="1">
        <f t="shared" si="36"/>
        <v>0</v>
      </c>
      <c r="W173" s="33" t="s">
        <v>60</v>
      </c>
      <c r="X173" s="6">
        <f t="shared" si="37"/>
        <v>0</v>
      </c>
      <c r="Y173" s="1">
        <f t="shared" si="38"/>
        <v>0</v>
      </c>
    </row>
    <row r="174" spans="1:25" x14ac:dyDescent="0.25">
      <c r="A174" s="26">
        <v>390</v>
      </c>
      <c r="B174" s="26">
        <v>1</v>
      </c>
      <c r="C174" s="27" t="s">
        <v>179</v>
      </c>
      <c r="D174" s="28">
        <v>0</v>
      </c>
      <c r="E174" s="29">
        <v>199478100</v>
      </c>
      <c r="F174" s="29">
        <v>560.4</v>
      </c>
      <c r="G174" s="30">
        <v>487</v>
      </c>
      <c r="H174" s="31">
        <v>98929.850000000035</v>
      </c>
      <c r="I174" s="29">
        <v>293350.14999999997</v>
      </c>
      <c r="J174" s="30">
        <v>392280</v>
      </c>
      <c r="K174" s="29">
        <v>15044.400000000001</v>
      </c>
      <c r="L174" s="31">
        <v>44610.18</v>
      </c>
      <c r="M174" s="31">
        <v>59654.58</v>
      </c>
      <c r="N174" s="31">
        <v>2200.4800000000005</v>
      </c>
      <c r="O174" s="31">
        <v>6524.95</v>
      </c>
      <c r="P174" s="31">
        <v>8725.43</v>
      </c>
      <c r="Q174" s="1">
        <f t="shared" si="31"/>
        <v>355956.63811563171</v>
      </c>
      <c r="R174" s="1">
        <f t="shared" si="32"/>
        <v>393540</v>
      </c>
      <c r="S174" s="32">
        <f t="shared" si="33"/>
        <v>0.50484849029083256</v>
      </c>
      <c r="T174" s="1">
        <f t="shared" si="34"/>
        <v>3</v>
      </c>
      <c r="U174" s="1">
        <f t="shared" si="35"/>
        <v>805.50308008213551</v>
      </c>
      <c r="V174" s="1">
        <f t="shared" si="36"/>
        <v>203.1413757700206</v>
      </c>
      <c r="W174" s="25">
        <f t="shared" ref="W174:W183" si="40">V174/U174</f>
        <v>0.25219192923422057</v>
      </c>
      <c r="X174" s="6">
        <f t="shared" si="37"/>
        <v>147.05882500384752</v>
      </c>
      <c r="Y174" s="1">
        <f t="shared" si="38"/>
        <v>547.74208896410062</v>
      </c>
    </row>
    <row r="175" spans="1:25" x14ac:dyDescent="0.25">
      <c r="A175" s="26">
        <v>391</v>
      </c>
      <c r="B175" s="26">
        <v>1</v>
      </c>
      <c r="C175" s="27" t="s">
        <v>180</v>
      </c>
      <c r="D175" s="28">
        <v>0</v>
      </c>
      <c r="E175" s="29">
        <v>252240450</v>
      </c>
      <c r="F175" s="29">
        <v>432.61</v>
      </c>
      <c r="G175" s="30">
        <v>394</v>
      </c>
      <c r="H175" s="31">
        <v>0</v>
      </c>
      <c r="I175" s="29">
        <v>390132.02</v>
      </c>
      <c r="J175" s="30">
        <v>390132.02</v>
      </c>
      <c r="K175" s="29">
        <v>0</v>
      </c>
      <c r="L175" s="31">
        <v>46412.05</v>
      </c>
      <c r="M175" s="31">
        <v>46412.05</v>
      </c>
      <c r="N175" s="31">
        <v>0</v>
      </c>
      <c r="O175" s="31">
        <v>5038.07</v>
      </c>
      <c r="P175" s="31">
        <v>5038.07</v>
      </c>
      <c r="Q175" s="1">
        <f t="shared" si="31"/>
        <v>583066.61889461637</v>
      </c>
      <c r="R175" s="1">
        <f t="shared" si="32"/>
        <v>393934</v>
      </c>
      <c r="S175" s="32">
        <f t="shared" si="33"/>
        <v>0.50535392888709874</v>
      </c>
      <c r="T175" s="1">
        <f t="shared" si="34"/>
        <v>3</v>
      </c>
      <c r="U175" s="1">
        <f t="shared" si="35"/>
        <v>990.18279187817268</v>
      </c>
      <c r="V175" s="1">
        <f t="shared" si="36"/>
        <v>0</v>
      </c>
      <c r="W175" s="25">
        <f t="shared" si="40"/>
        <v>0</v>
      </c>
      <c r="X175" s="6">
        <f t="shared" si="37"/>
        <v>154.66671582610957</v>
      </c>
      <c r="Y175" s="1">
        <f t="shared" si="38"/>
        <v>640.20418781725891</v>
      </c>
    </row>
    <row r="176" spans="1:25" x14ac:dyDescent="0.25">
      <c r="A176" s="26">
        <v>402</v>
      </c>
      <c r="B176" s="26">
        <v>1</v>
      </c>
      <c r="C176" s="27" t="s">
        <v>181</v>
      </c>
      <c r="D176" s="28">
        <v>0</v>
      </c>
      <c r="E176" s="29">
        <v>40608860</v>
      </c>
      <c r="F176" s="29">
        <v>155.26</v>
      </c>
      <c r="G176" s="30">
        <v>101</v>
      </c>
      <c r="H176" s="31">
        <v>52160.040000000008</v>
      </c>
      <c r="I176" s="29">
        <v>166137.06999999998</v>
      </c>
      <c r="J176" s="30">
        <v>218297.11</v>
      </c>
      <c r="K176" s="29">
        <v>2322.3100000000004</v>
      </c>
      <c r="L176" s="31">
        <v>2832.45</v>
      </c>
      <c r="M176" s="31">
        <v>5154.76</v>
      </c>
      <c r="N176" s="31">
        <v>0</v>
      </c>
      <c r="O176" s="31">
        <v>0</v>
      </c>
      <c r="P176" s="31">
        <v>0</v>
      </c>
      <c r="Q176" s="1">
        <f t="shared" si="31"/>
        <v>261553.90957104214</v>
      </c>
      <c r="R176" s="1">
        <f t="shared" si="32"/>
        <v>394035</v>
      </c>
      <c r="S176" s="32">
        <f t="shared" si="33"/>
        <v>0.5054834956338573</v>
      </c>
      <c r="T176" s="1">
        <f t="shared" si="34"/>
        <v>3</v>
      </c>
      <c r="U176" s="1">
        <f t="shared" si="35"/>
        <v>2161.357524752475</v>
      </c>
      <c r="V176" s="1">
        <f t="shared" si="36"/>
        <v>516.43603960396047</v>
      </c>
      <c r="W176" s="25">
        <f t="shared" si="40"/>
        <v>0.23894058881494132</v>
      </c>
      <c r="X176" s="6">
        <f t="shared" si="37"/>
        <v>409.115326064312</v>
      </c>
      <c r="Y176" s="1">
        <f t="shared" si="38"/>
        <v>528.3003072861452</v>
      </c>
    </row>
    <row r="177" spans="1:25" x14ac:dyDescent="0.25">
      <c r="A177" s="26">
        <v>403</v>
      </c>
      <c r="B177" s="26">
        <v>1</v>
      </c>
      <c r="C177" s="27" t="s">
        <v>182</v>
      </c>
      <c r="D177" s="28">
        <v>0</v>
      </c>
      <c r="E177" s="29">
        <v>48243105</v>
      </c>
      <c r="F177" s="29">
        <v>210.66</v>
      </c>
      <c r="G177" s="30">
        <v>190</v>
      </c>
      <c r="H177" s="31">
        <v>92507.18</v>
      </c>
      <c r="I177" s="29">
        <v>160284.82</v>
      </c>
      <c r="J177" s="30">
        <v>252792</v>
      </c>
      <c r="K177" s="29">
        <v>10412.66</v>
      </c>
      <c r="L177" s="31">
        <v>9654.5999999999985</v>
      </c>
      <c r="M177" s="31">
        <v>20067.259999999998</v>
      </c>
      <c r="N177" s="31">
        <v>0</v>
      </c>
      <c r="O177" s="31">
        <v>0</v>
      </c>
      <c r="P177" s="31">
        <v>0</v>
      </c>
      <c r="Q177" s="1">
        <f t="shared" si="31"/>
        <v>229009.32782682998</v>
      </c>
      <c r="R177" s="1">
        <f t="shared" si="32"/>
        <v>394225</v>
      </c>
      <c r="S177" s="32">
        <f t="shared" si="33"/>
        <v>0.50572723505845263</v>
      </c>
      <c r="T177" s="1">
        <f t="shared" si="34"/>
        <v>3</v>
      </c>
      <c r="U177" s="1">
        <f t="shared" si="35"/>
        <v>1330.4842105263158</v>
      </c>
      <c r="V177" s="1">
        <f t="shared" si="36"/>
        <v>486.87989473684206</v>
      </c>
      <c r="W177" s="25">
        <f t="shared" si="40"/>
        <v>0.36594188107218578</v>
      </c>
      <c r="X177" s="6">
        <f t="shared" si="37"/>
        <v>332.24399631823036</v>
      </c>
      <c r="Y177" s="1">
        <f t="shared" si="38"/>
        <v>400.45395109320492</v>
      </c>
    </row>
    <row r="178" spans="1:25" x14ac:dyDescent="0.25">
      <c r="A178" s="26">
        <v>404</v>
      </c>
      <c r="B178" s="26">
        <v>1</v>
      </c>
      <c r="C178" s="27" t="s">
        <v>183</v>
      </c>
      <c r="D178" s="28">
        <v>0</v>
      </c>
      <c r="E178" s="29">
        <v>69452840</v>
      </c>
      <c r="F178" s="29">
        <v>248.09</v>
      </c>
      <c r="G178" s="30">
        <v>155</v>
      </c>
      <c r="H178" s="31">
        <v>71807.789999999979</v>
      </c>
      <c r="I178" s="29">
        <v>317792.75</v>
      </c>
      <c r="J178" s="30">
        <v>389600.54</v>
      </c>
      <c r="K178" s="29">
        <v>3299.0700000000006</v>
      </c>
      <c r="L178" s="31">
        <v>4710.9100000000008</v>
      </c>
      <c r="M178" s="31">
        <v>8009.9800000000014</v>
      </c>
      <c r="N178" s="31">
        <v>0</v>
      </c>
      <c r="O178" s="31">
        <v>0</v>
      </c>
      <c r="P178" s="31">
        <v>0</v>
      </c>
      <c r="Q178" s="1">
        <f t="shared" si="31"/>
        <v>279950.17937038979</v>
      </c>
      <c r="R178" s="1">
        <f t="shared" si="32"/>
        <v>394380</v>
      </c>
      <c r="S178" s="32">
        <f t="shared" si="33"/>
        <v>0.50592607511535936</v>
      </c>
      <c r="T178" s="1">
        <f t="shared" si="34"/>
        <v>3</v>
      </c>
      <c r="U178" s="1">
        <f t="shared" si="35"/>
        <v>2513.5518709677417</v>
      </c>
      <c r="V178" s="1">
        <f t="shared" si="36"/>
        <v>463.27606451612888</v>
      </c>
      <c r="W178" s="25">
        <f t="shared" si="40"/>
        <v>0.18431132051305674</v>
      </c>
      <c r="X178" s="6">
        <f t="shared" si="37"/>
        <v>457.56624207159848</v>
      </c>
      <c r="Y178" s="1">
        <f t="shared" si="38"/>
        <v>549.33070665086984</v>
      </c>
    </row>
    <row r="179" spans="1:25" x14ac:dyDescent="0.25">
      <c r="A179" s="26">
        <v>413</v>
      </c>
      <c r="B179" s="26">
        <v>1</v>
      </c>
      <c r="C179" s="27" t="s">
        <v>184</v>
      </c>
      <c r="D179" s="28">
        <v>0</v>
      </c>
      <c r="E179" s="29">
        <v>949440650</v>
      </c>
      <c r="F179" s="29">
        <v>2484.25</v>
      </c>
      <c r="G179" s="30">
        <v>2207</v>
      </c>
      <c r="H179" s="31">
        <v>330498.06999999983</v>
      </c>
      <c r="I179" s="29">
        <v>1346370.68</v>
      </c>
      <c r="J179" s="30">
        <v>1676868.7499999998</v>
      </c>
      <c r="K179" s="29">
        <v>54471.27999999997</v>
      </c>
      <c r="L179" s="31">
        <v>221903.07</v>
      </c>
      <c r="M179" s="31">
        <v>276374.34999999998</v>
      </c>
      <c r="N179" s="31">
        <v>3248.0300000000007</v>
      </c>
      <c r="O179" s="31">
        <v>13231.72</v>
      </c>
      <c r="P179" s="31">
        <v>16479.75</v>
      </c>
      <c r="Q179" s="1">
        <f t="shared" si="31"/>
        <v>382184.01932172687</v>
      </c>
      <c r="R179" s="1">
        <f t="shared" si="32"/>
        <v>396587</v>
      </c>
      <c r="S179" s="32">
        <f t="shared" si="33"/>
        <v>0.50875730095789595</v>
      </c>
      <c r="T179" s="1">
        <f t="shared" si="34"/>
        <v>3</v>
      </c>
      <c r="U179" s="1">
        <f t="shared" si="35"/>
        <v>759.79553692795639</v>
      </c>
      <c r="V179" s="1">
        <f t="shared" si="36"/>
        <v>149.74991844132299</v>
      </c>
      <c r="W179" s="25">
        <f t="shared" si="40"/>
        <v>0.1970923902064487</v>
      </c>
      <c r="X179" s="6">
        <f t="shared" si="37"/>
        <v>141.80672377994347</v>
      </c>
      <c r="Y179" s="1">
        <f t="shared" si="38"/>
        <v>535.79655228972899</v>
      </c>
    </row>
    <row r="180" spans="1:25" x14ac:dyDescent="0.25">
      <c r="A180" s="26">
        <v>414</v>
      </c>
      <c r="B180" s="26">
        <v>1</v>
      </c>
      <c r="C180" s="27" t="s">
        <v>185</v>
      </c>
      <c r="D180" s="28">
        <v>0</v>
      </c>
      <c r="E180" s="29">
        <v>108283810</v>
      </c>
      <c r="F180" s="29">
        <v>457.58</v>
      </c>
      <c r="G180" s="30">
        <v>436</v>
      </c>
      <c r="H180" s="31">
        <v>161065.10999999999</v>
      </c>
      <c r="I180" s="29">
        <v>159240.89000000001</v>
      </c>
      <c r="J180" s="30">
        <v>320306</v>
      </c>
      <c r="K180" s="29">
        <v>28200.940000000002</v>
      </c>
      <c r="L180" s="31">
        <v>27881.53</v>
      </c>
      <c r="M180" s="31">
        <v>56082.47</v>
      </c>
      <c r="N180" s="31">
        <v>0</v>
      </c>
      <c r="O180" s="31">
        <v>0</v>
      </c>
      <c r="P180" s="31">
        <v>0</v>
      </c>
      <c r="Q180" s="1">
        <f t="shared" si="31"/>
        <v>236644.54303072687</v>
      </c>
      <c r="R180" s="1">
        <f t="shared" si="32"/>
        <v>397023</v>
      </c>
      <c r="S180" s="32">
        <f t="shared" si="33"/>
        <v>0.50931661879538848</v>
      </c>
      <c r="T180" s="1">
        <f t="shared" si="34"/>
        <v>3</v>
      </c>
      <c r="U180" s="1">
        <f t="shared" si="35"/>
        <v>734.64678899082571</v>
      </c>
      <c r="V180" s="1">
        <f t="shared" si="36"/>
        <v>369.41538990825683</v>
      </c>
      <c r="W180" s="25">
        <f t="shared" si="40"/>
        <v>0.5028476207126934</v>
      </c>
      <c r="X180" s="6">
        <f t="shared" si="37"/>
        <v>147.05881701059468</v>
      </c>
      <c r="Y180" s="1">
        <f t="shared" si="38"/>
        <v>499.5598386582281</v>
      </c>
    </row>
    <row r="181" spans="1:25" x14ac:dyDescent="0.25">
      <c r="A181" s="26">
        <v>415</v>
      </c>
      <c r="B181" s="26">
        <v>1</v>
      </c>
      <c r="C181" s="27" t="s">
        <v>186</v>
      </c>
      <c r="D181" s="28">
        <v>0</v>
      </c>
      <c r="E181" s="29">
        <v>65537200</v>
      </c>
      <c r="F181" s="29">
        <v>163.59</v>
      </c>
      <c r="G181" s="30">
        <v>159</v>
      </c>
      <c r="H181" s="31">
        <v>18134.760000000009</v>
      </c>
      <c r="I181" s="29">
        <v>244333.94</v>
      </c>
      <c r="J181" s="30">
        <v>262468.7</v>
      </c>
      <c r="K181" s="29">
        <v>2248.3999999999996</v>
      </c>
      <c r="L181" s="31">
        <v>11949.24</v>
      </c>
      <c r="M181" s="31">
        <v>14197.64</v>
      </c>
      <c r="N181" s="31">
        <v>2748.9799999999996</v>
      </c>
      <c r="O181" s="31">
        <v>14609.59</v>
      </c>
      <c r="P181" s="31">
        <v>17358.57</v>
      </c>
      <c r="Q181" s="1">
        <f t="shared" si="31"/>
        <v>400618.6197200318</v>
      </c>
      <c r="R181" s="1">
        <f t="shared" si="32"/>
        <v>397182</v>
      </c>
      <c r="S181" s="32">
        <f t="shared" si="33"/>
        <v>0.50952059020860252</v>
      </c>
      <c r="T181" s="1">
        <f t="shared" si="34"/>
        <v>3</v>
      </c>
      <c r="U181" s="1">
        <f t="shared" si="35"/>
        <v>1650.7465408805033</v>
      </c>
      <c r="V181" s="1">
        <f t="shared" si="36"/>
        <v>114.0550943396227</v>
      </c>
      <c r="W181" s="25">
        <f t="shared" si="40"/>
        <v>6.9093038522307637E-2</v>
      </c>
      <c r="X181" s="6">
        <f t="shared" si="37"/>
        <v>372.81717864052786</v>
      </c>
      <c r="Y181" s="1">
        <f t="shared" si="38"/>
        <v>442.77641574884649</v>
      </c>
    </row>
    <row r="182" spans="1:25" x14ac:dyDescent="0.25">
      <c r="A182" s="26">
        <v>423</v>
      </c>
      <c r="B182" s="26">
        <v>1</v>
      </c>
      <c r="C182" s="27" t="s">
        <v>187</v>
      </c>
      <c r="D182" s="28">
        <v>0</v>
      </c>
      <c r="E182" s="29">
        <v>1198538400</v>
      </c>
      <c r="F182" s="29">
        <v>3352.67</v>
      </c>
      <c r="G182" s="30">
        <v>2870</v>
      </c>
      <c r="H182" s="31">
        <v>584312.54999999981</v>
      </c>
      <c r="I182" s="29">
        <v>2121929.1500000004</v>
      </c>
      <c r="J182" s="30">
        <v>2706241.7</v>
      </c>
      <c r="K182" s="29">
        <v>84685.41</v>
      </c>
      <c r="L182" s="31">
        <v>255450.30000000002</v>
      </c>
      <c r="M182" s="31">
        <v>340135.71</v>
      </c>
      <c r="N182" s="31">
        <v>0</v>
      </c>
      <c r="O182" s="31">
        <v>0</v>
      </c>
      <c r="P182" s="31">
        <v>0</v>
      </c>
      <c r="Q182" s="1">
        <f t="shared" si="31"/>
        <v>357487.73365705542</v>
      </c>
      <c r="R182" s="1">
        <f t="shared" si="32"/>
        <v>400052</v>
      </c>
      <c r="S182" s="32">
        <f t="shared" si="33"/>
        <v>0.51320233835906925</v>
      </c>
      <c r="T182" s="1">
        <f t="shared" si="34"/>
        <v>3</v>
      </c>
      <c r="U182" s="1">
        <f t="shared" si="35"/>
        <v>942.94135888501751</v>
      </c>
      <c r="V182" s="1">
        <f t="shared" si="36"/>
        <v>203.59322299651561</v>
      </c>
      <c r="W182" s="25">
        <f t="shared" si="40"/>
        <v>0.21591292085995117</v>
      </c>
      <c r="X182" s="6">
        <f t="shared" si="37"/>
        <v>177.04306762303156</v>
      </c>
      <c r="Y182" s="1">
        <f t="shared" si="38"/>
        <v>532.60563745583795</v>
      </c>
    </row>
    <row r="183" spans="1:25" x14ac:dyDescent="0.25">
      <c r="A183" s="26">
        <v>424</v>
      </c>
      <c r="B183" s="26">
        <v>1</v>
      </c>
      <c r="C183" s="27" t="s">
        <v>188</v>
      </c>
      <c r="D183" s="28">
        <v>0</v>
      </c>
      <c r="E183" s="29">
        <v>186719700</v>
      </c>
      <c r="F183" s="29">
        <v>457.96</v>
      </c>
      <c r="G183" s="30">
        <v>397</v>
      </c>
      <c r="H183" s="31">
        <v>45984.210000000021</v>
      </c>
      <c r="I183" s="29">
        <v>421592.95</v>
      </c>
      <c r="J183" s="30">
        <v>467577.16000000003</v>
      </c>
      <c r="K183" s="29">
        <v>6163.1999999999971</v>
      </c>
      <c r="L183" s="31">
        <v>36802.61</v>
      </c>
      <c r="M183" s="31">
        <v>42965.81</v>
      </c>
      <c r="N183" s="31">
        <v>0</v>
      </c>
      <c r="O183" s="31">
        <v>0</v>
      </c>
      <c r="P183" s="31">
        <v>0</v>
      </c>
      <c r="Q183" s="1">
        <f t="shared" si="31"/>
        <v>407720.54327888903</v>
      </c>
      <c r="R183" s="1">
        <f t="shared" si="32"/>
        <v>400449</v>
      </c>
      <c r="S183" s="32">
        <f t="shared" si="33"/>
        <v>0.51371162547256588</v>
      </c>
      <c r="T183" s="1">
        <f t="shared" si="34"/>
        <v>3</v>
      </c>
      <c r="U183" s="1">
        <f t="shared" si="35"/>
        <v>1177.7762216624685</v>
      </c>
      <c r="V183" s="1">
        <f t="shared" si="36"/>
        <v>115.82924433249376</v>
      </c>
      <c r="W183" s="25">
        <f t="shared" si="40"/>
        <v>9.8345714747914592E-2</v>
      </c>
      <c r="X183" s="6">
        <f t="shared" si="37"/>
        <v>225.789217741888</v>
      </c>
      <c r="Y183" s="1">
        <f t="shared" si="38"/>
        <v>521.62642372447067</v>
      </c>
    </row>
    <row r="184" spans="1:25" x14ac:dyDescent="0.25">
      <c r="A184" s="26">
        <v>432</v>
      </c>
      <c r="B184" s="26">
        <v>1</v>
      </c>
      <c r="C184" s="27" t="s">
        <v>189</v>
      </c>
      <c r="D184" s="28">
        <v>0</v>
      </c>
      <c r="E184" s="29">
        <v>94457695</v>
      </c>
      <c r="F184" s="29">
        <v>709.1</v>
      </c>
      <c r="G184" s="30">
        <v>612</v>
      </c>
      <c r="H184" s="31">
        <v>0</v>
      </c>
      <c r="I184" s="29">
        <v>0</v>
      </c>
      <c r="J184" s="30">
        <v>0</v>
      </c>
      <c r="K184" s="29">
        <v>75904.42</v>
      </c>
      <c r="L184" s="31">
        <v>29496.2</v>
      </c>
      <c r="M184" s="31">
        <v>105400.62</v>
      </c>
      <c r="N184" s="31">
        <v>49518.650000000009</v>
      </c>
      <c r="O184" s="31">
        <v>19242.780000000002</v>
      </c>
      <c r="P184" s="31">
        <v>68761.430000000008</v>
      </c>
      <c r="Q184" s="1">
        <f t="shared" ref="Q184:Q247" si="41">IF(F184=0,0,E184/F184)</f>
        <v>133207.86207869131</v>
      </c>
      <c r="R184" s="1">
        <f t="shared" ref="R184:R247" si="42">R183+G184</f>
        <v>401061</v>
      </c>
      <c r="S184" s="32">
        <f t="shared" ref="S184:S247" si="43">S183+G184/$G$53</f>
        <v>0.51449672298757831</v>
      </c>
      <c r="T184" s="1">
        <f t="shared" ref="T184:T247" si="44">MIN(5,INT(S184/0.2)+1)</f>
        <v>3</v>
      </c>
      <c r="U184" s="1">
        <f t="shared" ref="U184:U247" si="45">IF(G184=0,0,(J184)/G184)</f>
        <v>0</v>
      </c>
      <c r="V184" s="1">
        <f t="shared" ref="V184:V247" si="46">H184/G184</f>
        <v>0</v>
      </c>
      <c r="W184" s="33" t="s">
        <v>60</v>
      </c>
      <c r="X184" s="6">
        <f t="shared" ref="X184:X247" si="47">IF(E184=0,0,(I184)/E184)*100000</f>
        <v>0</v>
      </c>
      <c r="Y184" s="1">
        <f t="shared" ref="Y184:Y247" si="48">IF(X184=0,0,U184/X184)*100</f>
        <v>0</v>
      </c>
    </row>
    <row r="185" spans="1:25" x14ac:dyDescent="0.25">
      <c r="A185" s="26">
        <v>435</v>
      </c>
      <c r="B185" s="26">
        <v>1</v>
      </c>
      <c r="C185" s="27" t="s">
        <v>190</v>
      </c>
      <c r="D185" s="28">
        <v>0</v>
      </c>
      <c r="E185" s="29">
        <v>139715995</v>
      </c>
      <c r="F185" s="29">
        <v>711.7</v>
      </c>
      <c r="G185" s="30">
        <v>616</v>
      </c>
      <c r="H185" s="31">
        <v>0</v>
      </c>
      <c r="I185" s="29">
        <v>0</v>
      </c>
      <c r="J185" s="30">
        <v>0</v>
      </c>
      <c r="K185" s="29">
        <v>62158.13</v>
      </c>
      <c r="L185" s="31">
        <v>43628.959999999999</v>
      </c>
      <c r="M185" s="31">
        <v>105787.09</v>
      </c>
      <c r="N185" s="31">
        <v>36034.480000000003</v>
      </c>
      <c r="O185" s="31">
        <v>25292.71</v>
      </c>
      <c r="P185" s="31">
        <v>61327.19</v>
      </c>
      <c r="Q185" s="1">
        <f t="shared" si="41"/>
        <v>196313.04622734297</v>
      </c>
      <c r="R185" s="1">
        <f t="shared" si="42"/>
        <v>401677</v>
      </c>
      <c r="S185" s="32">
        <f t="shared" si="43"/>
        <v>0.51528695185889806</v>
      </c>
      <c r="T185" s="1">
        <f t="shared" si="44"/>
        <v>3</v>
      </c>
      <c r="U185" s="1">
        <f t="shared" si="45"/>
        <v>0</v>
      </c>
      <c r="V185" s="1">
        <f t="shared" si="46"/>
        <v>0</v>
      </c>
      <c r="W185" s="33" t="s">
        <v>60</v>
      </c>
      <c r="X185" s="6">
        <f t="shared" si="47"/>
        <v>0</v>
      </c>
      <c r="Y185" s="1">
        <f t="shared" si="48"/>
        <v>0</v>
      </c>
    </row>
    <row r="186" spans="1:25" x14ac:dyDescent="0.25">
      <c r="A186" s="26">
        <v>441</v>
      </c>
      <c r="B186" s="26">
        <v>1</v>
      </c>
      <c r="C186" s="27" t="s">
        <v>191</v>
      </c>
      <c r="D186" s="28">
        <v>0</v>
      </c>
      <c r="E186" s="29">
        <v>152228595</v>
      </c>
      <c r="F186" s="29">
        <v>374.07</v>
      </c>
      <c r="G186" s="30">
        <v>402</v>
      </c>
      <c r="H186" s="31">
        <v>37983.420000000042</v>
      </c>
      <c r="I186" s="29">
        <v>560528.57999999996</v>
      </c>
      <c r="J186" s="30">
        <v>598512</v>
      </c>
      <c r="K186" s="29">
        <v>5647.6900000000023</v>
      </c>
      <c r="L186" s="31">
        <v>33286.199999999997</v>
      </c>
      <c r="M186" s="31">
        <v>38933.89</v>
      </c>
      <c r="N186" s="31">
        <v>0</v>
      </c>
      <c r="O186" s="31">
        <v>0</v>
      </c>
      <c r="P186" s="31">
        <v>0</v>
      </c>
      <c r="Q186" s="1">
        <f t="shared" si="41"/>
        <v>406952.16136017325</v>
      </c>
      <c r="R186" s="1">
        <f t="shared" si="42"/>
        <v>402079</v>
      </c>
      <c r="S186" s="32">
        <f t="shared" si="43"/>
        <v>0.51580265316777874</v>
      </c>
      <c r="T186" s="1">
        <f t="shared" si="44"/>
        <v>3</v>
      </c>
      <c r="U186" s="1">
        <f t="shared" si="45"/>
        <v>1488.8358208955224</v>
      </c>
      <c r="V186" s="1">
        <f t="shared" si="46"/>
        <v>94.486119402985182</v>
      </c>
      <c r="W186" s="25">
        <f t="shared" ref="W186:W191" si="49">V186/U186</f>
        <v>6.3463088459379327E-2</v>
      </c>
      <c r="X186" s="6">
        <f t="shared" si="47"/>
        <v>368.2150387054416</v>
      </c>
      <c r="Y186" s="1">
        <f t="shared" si="48"/>
        <v>404.33867832501431</v>
      </c>
    </row>
    <row r="187" spans="1:25" x14ac:dyDescent="0.25">
      <c r="A187" s="26">
        <v>447</v>
      </c>
      <c r="B187" s="26">
        <v>1</v>
      </c>
      <c r="C187" s="27" t="s">
        <v>192</v>
      </c>
      <c r="D187" s="28">
        <v>0</v>
      </c>
      <c r="E187" s="29">
        <v>27081366</v>
      </c>
      <c r="F187" s="29">
        <v>149.97</v>
      </c>
      <c r="G187" s="30">
        <v>165</v>
      </c>
      <c r="H187" s="31">
        <v>80054.050000000017</v>
      </c>
      <c r="I187" s="29">
        <v>69915.949999999983</v>
      </c>
      <c r="J187" s="30">
        <v>149970</v>
      </c>
      <c r="K187" s="29">
        <v>12294.55</v>
      </c>
      <c r="L187" s="31">
        <v>7515.14</v>
      </c>
      <c r="M187" s="31">
        <v>19809.689999999999</v>
      </c>
      <c r="N187" s="31">
        <v>993.19000000000017</v>
      </c>
      <c r="O187" s="31">
        <v>607.09</v>
      </c>
      <c r="P187" s="31">
        <v>1600.2800000000002</v>
      </c>
      <c r="Q187" s="1">
        <f t="shared" si="41"/>
        <v>180578.55571114222</v>
      </c>
      <c r="R187" s="1">
        <f t="shared" si="42"/>
        <v>402244</v>
      </c>
      <c r="S187" s="32">
        <f t="shared" si="43"/>
        <v>0.51601432161545369</v>
      </c>
      <c r="T187" s="1">
        <f t="shared" si="44"/>
        <v>3</v>
      </c>
      <c r="U187" s="1">
        <f t="shared" si="45"/>
        <v>908.90909090909088</v>
      </c>
      <c r="V187" s="1">
        <f t="shared" si="46"/>
        <v>485.17606060606073</v>
      </c>
      <c r="W187" s="25">
        <f t="shared" si="49"/>
        <v>0.53380042675201722</v>
      </c>
      <c r="X187" s="6">
        <f t="shared" si="47"/>
        <v>258.16995346541967</v>
      </c>
      <c r="Y187" s="1">
        <f t="shared" si="48"/>
        <v>352.05843232676335</v>
      </c>
    </row>
    <row r="188" spans="1:25" x14ac:dyDescent="0.25">
      <c r="A188" s="26">
        <v>458</v>
      </c>
      <c r="B188" s="26">
        <v>1</v>
      </c>
      <c r="C188" s="27" t="s">
        <v>193</v>
      </c>
      <c r="D188" s="28">
        <v>0</v>
      </c>
      <c r="E188" s="29">
        <v>90711635</v>
      </c>
      <c r="F188" s="29">
        <v>382.82</v>
      </c>
      <c r="G188" s="30">
        <v>270</v>
      </c>
      <c r="H188" s="31">
        <v>204651.09000000003</v>
      </c>
      <c r="I188" s="29">
        <v>360467.79</v>
      </c>
      <c r="J188" s="30">
        <v>565118.88</v>
      </c>
      <c r="K188" s="29">
        <v>9922</v>
      </c>
      <c r="L188" s="31">
        <v>9835.369999999999</v>
      </c>
      <c r="M188" s="31">
        <v>19757.37</v>
      </c>
      <c r="N188" s="31">
        <v>0</v>
      </c>
      <c r="O188" s="31">
        <v>0</v>
      </c>
      <c r="P188" s="31">
        <v>0</v>
      </c>
      <c r="Q188" s="1">
        <f t="shared" si="41"/>
        <v>236956.36330390262</v>
      </c>
      <c r="R188" s="1">
        <f t="shared" si="42"/>
        <v>402514</v>
      </c>
      <c r="S188" s="32">
        <f t="shared" si="43"/>
        <v>0.51636068816619451</v>
      </c>
      <c r="T188" s="1">
        <f t="shared" si="44"/>
        <v>3</v>
      </c>
      <c r="U188" s="1">
        <f t="shared" si="45"/>
        <v>2093.0328888888889</v>
      </c>
      <c r="V188" s="1">
        <f t="shared" si="46"/>
        <v>757.9670000000001</v>
      </c>
      <c r="W188" s="25">
        <f t="shared" si="49"/>
        <v>0.36213812215935881</v>
      </c>
      <c r="X188" s="6">
        <f t="shared" si="47"/>
        <v>397.37767928006144</v>
      </c>
      <c r="Y188" s="1">
        <f t="shared" si="48"/>
        <v>526.71123669575161</v>
      </c>
    </row>
    <row r="189" spans="1:25" x14ac:dyDescent="0.25">
      <c r="A189" s="26">
        <v>463</v>
      </c>
      <c r="B189" s="26">
        <v>1</v>
      </c>
      <c r="C189" s="27" t="s">
        <v>194</v>
      </c>
      <c r="D189" s="28">
        <v>0</v>
      </c>
      <c r="E189" s="29">
        <v>304623725</v>
      </c>
      <c r="F189" s="29">
        <v>1092.95</v>
      </c>
      <c r="G189" s="30">
        <v>962</v>
      </c>
      <c r="H189" s="31">
        <v>317088.94</v>
      </c>
      <c r="I189" s="29">
        <v>479715.33</v>
      </c>
      <c r="J189" s="30">
        <v>796804.27</v>
      </c>
      <c r="K189" s="29">
        <v>48029.600000000006</v>
      </c>
      <c r="L189" s="31">
        <v>67855.12</v>
      </c>
      <c r="M189" s="31">
        <v>115884.72</v>
      </c>
      <c r="N189" s="31">
        <v>0</v>
      </c>
      <c r="O189" s="31">
        <v>0</v>
      </c>
      <c r="P189" s="31">
        <v>0</v>
      </c>
      <c r="Q189" s="1">
        <f t="shared" si="41"/>
        <v>278716.98156365799</v>
      </c>
      <c r="R189" s="1">
        <f t="shared" si="42"/>
        <v>403476</v>
      </c>
      <c r="S189" s="32">
        <f t="shared" si="43"/>
        <v>0.51759477935809317</v>
      </c>
      <c r="T189" s="1">
        <f t="shared" si="44"/>
        <v>3</v>
      </c>
      <c r="U189" s="1">
        <f t="shared" si="45"/>
        <v>828.278866943867</v>
      </c>
      <c r="V189" s="1">
        <f t="shared" si="46"/>
        <v>329.61428274428272</v>
      </c>
      <c r="W189" s="25">
        <f t="shared" si="49"/>
        <v>0.39795085435473376</v>
      </c>
      <c r="X189" s="6">
        <f t="shared" si="47"/>
        <v>157.47799354761355</v>
      </c>
      <c r="Y189" s="1">
        <f t="shared" si="48"/>
        <v>525.96483374258673</v>
      </c>
    </row>
    <row r="190" spans="1:25" x14ac:dyDescent="0.25">
      <c r="A190" s="26">
        <v>465</v>
      </c>
      <c r="B190" s="26">
        <v>1</v>
      </c>
      <c r="C190" s="27" t="s">
        <v>195</v>
      </c>
      <c r="D190" s="28">
        <v>0</v>
      </c>
      <c r="E190" s="29">
        <v>747095475</v>
      </c>
      <c r="F190" s="29">
        <v>2111.15</v>
      </c>
      <c r="G190" s="30">
        <v>1719</v>
      </c>
      <c r="H190" s="31">
        <v>324973.02</v>
      </c>
      <c r="I190" s="29">
        <v>941716.98</v>
      </c>
      <c r="J190" s="30">
        <v>1266690</v>
      </c>
      <c r="K190" s="29">
        <v>54841.669999999984</v>
      </c>
      <c r="L190" s="31">
        <v>158921.89000000001</v>
      </c>
      <c r="M190" s="31">
        <v>213763.56</v>
      </c>
      <c r="N190" s="31">
        <v>5360.01</v>
      </c>
      <c r="O190" s="31">
        <v>15532.4</v>
      </c>
      <c r="P190" s="31">
        <v>20892.41</v>
      </c>
      <c r="Q190" s="1">
        <f t="shared" si="41"/>
        <v>353880.81140610564</v>
      </c>
      <c r="R190" s="1">
        <f t="shared" si="42"/>
        <v>405195</v>
      </c>
      <c r="S190" s="32">
        <f t="shared" si="43"/>
        <v>0.51979997973114278</v>
      </c>
      <c r="T190" s="1">
        <f t="shared" si="44"/>
        <v>3</v>
      </c>
      <c r="U190" s="1">
        <f t="shared" si="45"/>
        <v>736.87609075043633</v>
      </c>
      <c r="V190" s="1">
        <f t="shared" si="46"/>
        <v>189.04771378708551</v>
      </c>
      <c r="W190" s="25">
        <f t="shared" si="49"/>
        <v>0.25655292139355329</v>
      </c>
      <c r="X190" s="6">
        <f t="shared" si="47"/>
        <v>126.05041945944056</v>
      </c>
      <c r="Y190" s="1">
        <f t="shared" si="48"/>
        <v>584.58836861510179</v>
      </c>
    </row>
    <row r="191" spans="1:25" x14ac:dyDescent="0.25">
      <c r="A191" s="26">
        <v>466</v>
      </c>
      <c r="B191" s="26">
        <v>1</v>
      </c>
      <c r="C191" s="27" t="s">
        <v>196</v>
      </c>
      <c r="D191" s="28">
        <v>0</v>
      </c>
      <c r="E191" s="29">
        <v>673804650</v>
      </c>
      <c r="F191" s="29">
        <v>2367.42</v>
      </c>
      <c r="G191" s="30">
        <v>2250</v>
      </c>
      <c r="H191" s="31">
        <v>438209.64999999991</v>
      </c>
      <c r="I191" s="29">
        <v>651679.5</v>
      </c>
      <c r="J191" s="30">
        <v>1089889.1499999999</v>
      </c>
      <c r="K191" s="29">
        <v>122623.37</v>
      </c>
      <c r="L191" s="31">
        <v>182358.22999999998</v>
      </c>
      <c r="M191" s="31">
        <v>304981.59999999998</v>
      </c>
      <c r="N191" s="31">
        <v>19779.650000000005</v>
      </c>
      <c r="O191" s="31">
        <v>29415.119999999999</v>
      </c>
      <c r="P191" s="31">
        <v>49194.770000000004</v>
      </c>
      <c r="Q191" s="1">
        <f t="shared" si="41"/>
        <v>284615.5941911448</v>
      </c>
      <c r="R191" s="1">
        <f t="shared" si="42"/>
        <v>407445</v>
      </c>
      <c r="S191" s="32">
        <f t="shared" si="43"/>
        <v>0.52268636765398258</v>
      </c>
      <c r="T191" s="1">
        <f t="shared" si="44"/>
        <v>3</v>
      </c>
      <c r="U191" s="1">
        <f t="shared" si="45"/>
        <v>484.39517777777775</v>
      </c>
      <c r="V191" s="1">
        <f t="shared" si="46"/>
        <v>194.75984444444441</v>
      </c>
      <c r="W191" s="25">
        <f t="shared" si="49"/>
        <v>0.40206809105311303</v>
      </c>
      <c r="X191" s="6">
        <f t="shared" si="47"/>
        <v>96.716385082827784</v>
      </c>
      <c r="Y191" s="1">
        <f t="shared" si="48"/>
        <v>500.84086306879891</v>
      </c>
    </row>
    <row r="192" spans="1:25" x14ac:dyDescent="0.25">
      <c r="A192" s="26">
        <v>473</v>
      </c>
      <c r="B192" s="26">
        <v>1</v>
      </c>
      <c r="C192" s="27" t="s">
        <v>197</v>
      </c>
      <c r="D192" s="28">
        <v>0</v>
      </c>
      <c r="E192" s="29">
        <v>295171850</v>
      </c>
      <c r="F192" s="29">
        <v>468.16</v>
      </c>
      <c r="G192" s="30">
        <v>511</v>
      </c>
      <c r="H192" s="31">
        <v>0</v>
      </c>
      <c r="I192" s="29">
        <v>0</v>
      </c>
      <c r="J192" s="30">
        <v>0</v>
      </c>
      <c r="K192" s="29">
        <v>0</v>
      </c>
      <c r="L192" s="31">
        <v>77089.739999999991</v>
      </c>
      <c r="M192" s="31">
        <v>77089.739999999991</v>
      </c>
      <c r="N192" s="31">
        <v>0</v>
      </c>
      <c r="O192" s="31">
        <v>19949.170000000002</v>
      </c>
      <c r="P192" s="31">
        <v>19949.170000000002</v>
      </c>
      <c r="Q192" s="1">
        <f t="shared" si="41"/>
        <v>630493.52785372525</v>
      </c>
      <c r="R192" s="1">
        <f t="shared" si="42"/>
        <v>407956</v>
      </c>
      <c r="S192" s="32">
        <f t="shared" si="43"/>
        <v>0.52334189842223644</v>
      </c>
      <c r="T192" s="1">
        <f t="shared" si="44"/>
        <v>3</v>
      </c>
      <c r="U192" s="1">
        <f t="shared" si="45"/>
        <v>0</v>
      </c>
      <c r="V192" s="1">
        <f t="shared" si="46"/>
        <v>0</v>
      </c>
      <c r="W192" s="33" t="s">
        <v>60</v>
      </c>
      <c r="X192" s="6">
        <f t="shared" si="47"/>
        <v>0</v>
      </c>
      <c r="Y192" s="1">
        <f t="shared" si="48"/>
        <v>0</v>
      </c>
    </row>
    <row r="193" spans="1:25" x14ac:dyDescent="0.25">
      <c r="A193" s="26">
        <v>477</v>
      </c>
      <c r="B193" s="26">
        <v>1</v>
      </c>
      <c r="C193" s="27" t="s">
        <v>198</v>
      </c>
      <c r="D193" s="28">
        <v>0</v>
      </c>
      <c r="E193" s="29">
        <v>1300827550</v>
      </c>
      <c r="F193" s="29">
        <v>4224.66</v>
      </c>
      <c r="G193" s="30">
        <v>3406</v>
      </c>
      <c r="H193" s="31">
        <v>484844.41000000003</v>
      </c>
      <c r="I193" s="29">
        <v>888170.09</v>
      </c>
      <c r="J193" s="30">
        <v>1373014.5</v>
      </c>
      <c r="K193" s="29">
        <v>166610.91000000003</v>
      </c>
      <c r="L193" s="31">
        <v>305208.88</v>
      </c>
      <c r="M193" s="31">
        <v>471819.79000000004</v>
      </c>
      <c r="N193" s="31">
        <v>7912.739999999998</v>
      </c>
      <c r="O193" s="31">
        <v>14495.07</v>
      </c>
      <c r="P193" s="31">
        <v>22407.809999999998</v>
      </c>
      <c r="Q193" s="1">
        <f t="shared" si="41"/>
        <v>307912.9563089101</v>
      </c>
      <c r="R193" s="1">
        <f t="shared" si="42"/>
        <v>411362</v>
      </c>
      <c r="S193" s="32">
        <f t="shared" si="43"/>
        <v>0.52771124831787752</v>
      </c>
      <c r="T193" s="1">
        <f t="shared" si="44"/>
        <v>3</v>
      </c>
      <c r="U193" s="1">
        <f t="shared" si="45"/>
        <v>403.11641221374043</v>
      </c>
      <c r="V193" s="1">
        <f t="shared" si="46"/>
        <v>142.35009101585439</v>
      </c>
      <c r="W193" s="25">
        <f>V193/U193</f>
        <v>0.35312402745928761</v>
      </c>
      <c r="X193" s="6">
        <f t="shared" si="47"/>
        <v>68.277312392407438</v>
      </c>
      <c r="Y193" s="1">
        <f t="shared" si="48"/>
        <v>590.41048642472299</v>
      </c>
    </row>
    <row r="194" spans="1:25" x14ac:dyDescent="0.25">
      <c r="A194" s="26">
        <v>480</v>
      </c>
      <c r="B194" s="26">
        <v>1</v>
      </c>
      <c r="C194" s="27" t="s">
        <v>199</v>
      </c>
      <c r="D194" s="28">
        <v>0</v>
      </c>
      <c r="E194" s="29">
        <v>337006000</v>
      </c>
      <c r="F194" s="29">
        <v>801.96</v>
      </c>
      <c r="G194" s="30">
        <v>589</v>
      </c>
      <c r="H194" s="31">
        <v>61076.729999999981</v>
      </c>
      <c r="I194" s="29">
        <v>460197.27</v>
      </c>
      <c r="J194" s="30">
        <v>521274</v>
      </c>
      <c r="K194" s="29">
        <v>8330.0499999999956</v>
      </c>
      <c r="L194" s="31">
        <v>62764.79</v>
      </c>
      <c r="M194" s="31">
        <v>71094.84</v>
      </c>
      <c r="N194" s="31">
        <v>3542.2200000000012</v>
      </c>
      <c r="O194" s="31">
        <v>26689.67</v>
      </c>
      <c r="P194" s="31">
        <v>30231.89</v>
      </c>
      <c r="Q194" s="1">
        <f t="shared" si="41"/>
        <v>420227.94154321909</v>
      </c>
      <c r="R194" s="1">
        <f t="shared" si="42"/>
        <v>411951</v>
      </c>
      <c r="S194" s="32">
        <f t="shared" si="43"/>
        <v>0.52846684053412318</v>
      </c>
      <c r="T194" s="1">
        <f t="shared" si="44"/>
        <v>3</v>
      </c>
      <c r="U194" s="1">
        <f t="shared" si="45"/>
        <v>885.01528013582345</v>
      </c>
      <c r="V194" s="1">
        <f t="shared" si="46"/>
        <v>103.69563667232595</v>
      </c>
      <c r="W194" s="25">
        <f>V194/U194</f>
        <v>0.11716818793954807</v>
      </c>
      <c r="X194" s="6">
        <f t="shared" si="47"/>
        <v>136.554622172899</v>
      </c>
      <c r="Y194" s="1">
        <f t="shared" si="48"/>
        <v>648.10349591481349</v>
      </c>
    </row>
    <row r="195" spans="1:25" x14ac:dyDescent="0.25">
      <c r="A195" s="26">
        <v>482</v>
      </c>
      <c r="B195" s="26">
        <v>1</v>
      </c>
      <c r="C195" s="27" t="s">
        <v>200</v>
      </c>
      <c r="D195" s="28">
        <v>0</v>
      </c>
      <c r="E195" s="29">
        <v>933517700</v>
      </c>
      <c r="F195" s="29">
        <v>2982.29</v>
      </c>
      <c r="G195" s="30">
        <v>2230</v>
      </c>
      <c r="H195" s="31">
        <v>714782.85000000009</v>
      </c>
      <c r="I195" s="29">
        <v>1837431.1099999999</v>
      </c>
      <c r="J195" s="30">
        <v>2552213.96</v>
      </c>
      <c r="K195" s="29">
        <v>85096.260000000009</v>
      </c>
      <c r="L195" s="31">
        <v>163436.85999999999</v>
      </c>
      <c r="M195" s="31">
        <v>248533.12</v>
      </c>
      <c r="N195" s="31">
        <v>28383.249999999993</v>
      </c>
      <c r="O195" s="31">
        <v>54513.21</v>
      </c>
      <c r="P195" s="31">
        <v>82896.459999999992</v>
      </c>
      <c r="Q195" s="1">
        <f t="shared" si="41"/>
        <v>313020.43060869334</v>
      </c>
      <c r="R195" s="1">
        <f t="shared" si="42"/>
        <v>414181</v>
      </c>
      <c r="S195" s="32">
        <f t="shared" si="43"/>
        <v>0.53132757167542666</v>
      </c>
      <c r="T195" s="1">
        <f t="shared" si="44"/>
        <v>3</v>
      </c>
      <c r="U195" s="1">
        <f t="shared" si="45"/>
        <v>1144.4905650224216</v>
      </c>
      <c r="V195" s="1">
        <f t="shared" si="46"/>
        <v>320.53042600896867</v>
      </c>
      <c r="W195" s="25">
        <f>V195/U195</f>
        <v>0.2800638430799901</v>
      </c>
      <c r="X195" s="6">
        <f t="shared" si="47"/>
        <v>196.82873822317453</v>
      </c>
      <c r="Y195" s="1">
        <f t="shared" si="48"/>
        <v>581.46517391415648</v>
      </c>
    </row>
    <row r="196" spans="1:25" x14ac:dyDescent="0.25">
      <c r="A196" s="26">
        <v>484</v>
      </c>
      <c r="B196" s="26">
        <v>1</v>
      </c>
      <c r="C196" s="27" t="s">
        <v>201</v>
      </c>
      <c r="D196" s="28">
        <v>0</v>
      </c>
      <c r="E196" s="29">
        <v>264369200</v>
      </c>
      <c r="F196" s="29">
        <v>1001.91</v>
      </c>
      <c r="G196" s="30">
        <v>1076</v>
      </c>
      <c r="H196" s="31">
        <v>312578.56999999995</v>
      </c>
      <c r="I196" s="29">
        <v>389630.08999999997</v>
      </c>
      <c r="J196" s="30">
        <v>702208.65999999992</v>
      </c>
      <c r="K196" s="29">
        <v>63155.619999999995</v>
      </c>
      <c r="L196" s="31">
        <v>78556.51999999999</v>
      </c>
      <c r="M196" s="31">
        <v>141712.13999999998</v>
      </c>
      <c r="N196" s="31">
        <v>0</v>
      </c>
      <c r="O196" s="31">
        <v>0</v>
      </c>
      <c r="P196" s="31">
        <v>0</v>
      </c>
      <c r="Q196" s="1">
        <f t="shared" si="41"/>
        <v>263865.21743469971</v>
      </c>
      <c r="R196" s="1">
        <f t="shared" si="42"/>
        <v>415257</v>
      </c>
      <c r="S196" s="32">
        <f t="shared" si="43"/>
        <v>0.53270790652208244</v>
      </c>
      <c r="T196" s="1">
        <f t="shared" si="44"/>
        <v>3</v>
      </c>
      <c r="U196" s="1">
        <f t="shared" si="45"/>
        <v>652.61027881040889</v>
      </c>
      <c r="V196" s="1">
        <f t="shared" si="46"/>
        <v>290.50052973977688</v>
      </c>
      <c r="W196" s="25">
        <f>V196/U196</f>
        <v>0.4451363074901411</v>
      </c>
      <c r="X196" s="6">
        <f t="shared" si="47"/>
        <v>147.38104514444191</v>
      </c>
      <c r="Y196" s="1">
        <f t="shared" si="48"/>
        <v>442.80475699626993</v>
      </c>
    </row>
    <row r="197" spans="1:25" x14ac:dyDescent="0.25">
      <c r="A197" s="26">
        <v>485</v>
      </c>
      <c r="B197" s="26">
        <v>1</v>
      </c>
      <c r="C197" s="27" t="s">
        <v>202</v>
      </c>
      <c r="D197" s="28">
        <v>0</v>
      </c>
      <c r="E197" s="29">
        <v>223938300</v>
      </c>
      <c r="F197" s="29">
        <v>764.17</v>
      </c>
      <c r="G197" s="30">
        <v>844</v>
      </c>
      <c r="H197" s="31">
        <v>0</v>
      </c>
      <c r="I197" s="29">
        <v>0</v>
      </c>
      <c r="J197" s="30">
        <v>0</v>
      </c>
      <c r="K197" s="29">
        <v>48051.81</v>
      </c>
      <c r="L197" s="31">
        <v>76968.03</v>
      </c>
      <c r="M197" s="31">
        <v>125019.84</v>
      </c>
      <c r="N197" s="31">
        <v>6771.1100000000006</v>
      </c>
      <c r="O197" s="31">
        <v>10845.77</v>
      </c>
      <c r="P197" s="31">
        <v>17616.88</v>
      </c>
      <c r="Q197" s="1">
        <f t="shared" si="41"/>
        <v>293047.75115484773</v>
      </c>
      <c r="R197" s="1">
        <f t="shared" si="42"/>
        <v>416101</v>
      </c>
      <c r="S197" s="32">
        <f t="shared" si="43"/>
        <v>0.53379062270291655</v>
      </c>
      <c r="T197" s="1">
        <f t="shared" si="44"/>
        <v>3</v>
      </c>
      <c r="U197" s="1">
        <f t="shared" si="45"/>
        <v>0</v>
      </c>
      <c r="V197" s="1">
        <f t="shared" si="46"/>
        <v>0</v>
      </c>
      <c r="W197" s="33" t="s">
        <v>60</v>
      </c>
      <c r="X197" s="6">
        <f t="shared" si="47"/>
        <v>0</v>
      </c>
      <c r="Y197" s="1">
        <f t="shared" si="48"/>
        <v>0</v>
      </c>
    </row>
    <row r="198" spans="1:25" x14ac:dyDescent="0.25">
      <c r="A198" s="26">
        <v>486</v>
      </c>
      <c r="B198" s="26">
        <v>1</v>
      </c>
      <c r="C198" s="27" t="s">
        <v>203</v>
      </c>
      <c r="D198" s="28">
        <v>0</v>
      </c>
      <c r="E198" s="29">
        <v>107248050</v>
      </c>
      <c r="F198" s="29">
        <v>385.78</v>
      </c>
      <c r="G198" s="30">
        <v>290</v>
      </c>
      <c r="H198" s="31">
        <v>112328.28000000003</v>
      </c>
      <c r="I198" s="29">
        <v>198000.87</v>
      </c>
      <c r="J198" s="30">
        <v>310329.15000000002</v>
      </c>
      <c r="K198" s="29">
        <v>13930.760000000002</v>
      </c>
      <c r="L198" s="31">
        <v>19559.89</v>
      </c>
      <c r="M198" s="31">
        <v>33490.65</v>
      </c>
      <c r="N198" s="31">
        <v>0</v>
      </c>
      <c r="O198" s="31">
        <v>0</v>
      </c>
      <c r="P198" s="31">
        <v>0</v>
      </c>
      <c r="Q198" s="1">
        <f t="shared" si="41"/>
        <v>278003.13650266995</v>
      </c>
      <c r="R198" s="1">
        <f t="shared" si="42"/>
        <v>416391</v>
      </c>
      <c r="S198" s="32">
        <f t="shared" si="43"/>
        <v>0.5341626460351937</v>
      </c>
      <c r="T198" s="1">
        <f t="shared" si="44"/>
        <v>3</v>
      </c>
      <c r="U198" s="1">
        <f t="shared" si="45"/>
        <v>1070.1005172413793</v>
      </c>
      <c r="V198" s="1">
        <f t="shared" si="46"/>
        <v>387.33889655172425</v>
      </c>
      <c r="W198" s="25">
        <f t="shared" ref="W198:W216" si="50">V198/U198</f>
        <v>0.36196496526349531</v>
      </c>
      <c r="X198" s="6">
        <f t="shared" si="47"/>
        <v>184.6195525233326</v>
      </c>
      <c r="Y198" s="1">
        <f t="shared" si="48"/>
        <v>579.62469446790465</v>
      </c>
    </row>
    <row r="199" spans="1:25" x14ac:dyDescent="0.25">
      <c r="A199" s="26">
        <v>487</v>
      </c>
      <c r="B199" s="26">
        <v>1</v>
      </c>
      <c r="C199" s="27" t="s">
        <v>204</v>
      </c>
      <c r="D199" s="28">
        <v>0</v>
      </c>
      <c r="E199" s="29">
        <v>101921600</v>
      </c>
      <c r="F199" s="29">
        <v>321.29000000000002</v>
      </c>
      <c r="G199" s="30">
        <v>358</v>
      </c>
      <c r="H199" s="31">
        <v>75018.299999999988</v>
      </c>
      <c r="I199" s="29">
        <v>230207.2</v>
      </c>
      <c r="J199" s="30">
        <v>305225.5</v>
      </c>
      <c r="K199" s="29">
        <v>14527.75</v>
      </c>
      <c r="L199" s="31">
        <v>29026.089999999997</v>
      </c>
      <c r="M199" s="31">
        <v>43553.84</v>
      </c>
      <c r="N199" s="31">
        <v>2000.1099999999997</v>
      </c>
      <c r="O199" s="31">
        <v>3996.16</v>
      </c>
      <c r="P199" s="31">
        <v>5996.2699999999995</v>
      </c>
      <c r="Q199" s="1">
        <f t="shared" si="41"/>
        <v>317226.18195399793</v>
      </c>
      <c r="R199" s="1">
        <f t="shared" si="42"/>
        <v>416749</v>
      </c>
      <c r="S199" s="32">
        <f t="shared" si="43"/>
        <v>0.53462190242469443</v>
      </c>
      <c r="T199" s="1">
        <f t="shared" si="44"/>
        <v>3</v>
      </c>
      <c r="U199" s="1">
        <f t="shared" si="45"/>
        <v>852.58519553072631</v>
      </c>
      <c r="V199" s="1">
        <f t="shared" si="46"/>
        <v>209.54832402234635</v>
      </c>
      <c r="W199" s="25">
        <f t="shared" si="50"/>
        <v>0.2457799233681327</v>
      </c>
      <c r="X199" s="6">
        <f t="shared" si="47"/>
        <v>225.86694086435065</v>
      </c>
      <c r="Y199" s="1">
        <f t="shared" si="48"/>
        <v>377.47232608191433</v>
      </c>
    </row>
    <row r="200" spans="1:25" x14ac:dyDescent="0.25">
      <c r="A200" s="26">
        <v>492</v>
      </c>
      <c r="B200" s="26">
        <v>1</v>
      </c>
      <c r="C200" s="27" t="s">
        <v>205</v>
      </c>
      <c r="D200" s="28">
        <v>0</v>
      </c>
      <c r="E200" s="29">
        <v>1272948300</v>
      </c>
      <c r="F200" s="29">
        <v>5226.37</v>
      </c>
      <c r="G200" s="30">
        <v>4511</v>
      </c>
      <c r="H200" s="31">
        <v>1796470.5699999996</v>
      </c>
      <c r="I200" s="29">
        <v>1964059.4400000002</v>
      </c>
      <c r="J200" s="30">
        <v>3760530.01</v>
      </c>
      <c r="K200" s="29">
        <v>263495.76000000007</v>
      </c>
      <c r="L200" s="31">
        <v>276107.53999999998</v>
      </c>
      <c r="M200" s="31">
        <v>539603.30000000005</v>
      </c>
      <c r="N200" s="31">
        <v>99174.23000000001</v>
      </c>
      <c r="O200" s="31">
        <v>103921.04000000001</v>
      </c>
      <c r="P200" s="31">
        <v>203095.27000000002</v>
      </c>
      <c r="Q200" s="1">
        <f t="shared" si="41"/>
        <v>243562.60655100961</v>
      </c>
      <c r="R200" s="1">
        <f t="shared" si="42"/>
        <v>421260</v>
      </c>
      <c r="S200" s="32">
        <f t="shared" si="43"/>
        <v>0.54040878950021898</v>
      </c>
      <c r="T200" s="1">
        <f t="shared" si="44"/>
        <v>3</v>
      </c>
      <c r="U200" s="1">
        <f t="shared" si="45"/>
        <v>833.63555974285077</v>
      </c>
      <c r="V200" s="1">
        <f t="shared" si="46"/>
        <v>398.24220128574586</v>
      </c>
      <c r="W200" s="25">
        <f t="shared" si="50"/>
        <v>0.47771738697014138</v>
      </c>
      <c r="X200" s="6">
        <f t="shared" si="47"/>
        <v>154.2921609620752</v>
      </c>
      <c r="Y200" s="1">
        <f t="shared" si="48"/>
        <v>540.29676851033105</v>
      </c>
    </row>
    <row r="201" spans="1:25" x14ac:dyDescent="0.25">
      <c r="A201" s="26">
        <v>495</v>
      </c>
      <c r="B201" s="26">
        <v>1</v>
      </c>
      <c r="C201" s="27" t="s">
        <v>206</v>
      </c>
      <c r="D201" s="28">
        <v>0</v>
      </c>
      <c r="E201" s="29">
        <v>95920200</v>
      </c>
      <c r="F201" s="29">
        <v>432.3</v>
      </c>
      <c r="G201" s="30">
        <v>391</v>
      </c>
      <c r="H201" s="31">
        <v>205861.20999999996</v>
      </c>
      <c r="I201" s="29">
        <v>345390.45999999996</v>
      </c>
      <c r="J201" s="30">
        <v>551251.66999999993</v>
      </c>
      <c r="K201" s="29">
        <v>19962.329999999998</v>
      </c>
      <c r="L201" s="31">
        <v>17430.23</v>
      </c>
      <c r="M201" s="31">
        <v>37392.559999999998</v>
      </c>
      <c r="N201" s="31">
        <v>0</v>
      </c>
      <c r="O201" s="31">
        <v>0</v>
      </c>
      <c r="P201" s="31">
        <v>0</v>
      </c>
      <c r="Q201" s="1">
        <f t="shared" si="41"/>
        <v>221883.41429562803</v>
      </c>
      <c r="R201" s="1">
        <f t="shared" si="42"/>
        <v>421651</v>
      </c>
      <c r="S201" s="32">
        <f t="shared" si="43"/>
        <v>0.5409103795792547</v>
      </c>
      <c r="T201" s="1">
        <f t="shared" si="44"/>
        <v>3</v>
      </c>
      <c r="U201" s="1">
        <f t="shared" si="45"/>
        <v>1409.850818414322</v>
      </c>
      <c r="V201" s="1">
        <f t="shared" si="46"/>
        <v>526.4992583120204</v>
      </c>
      <c r="W201" s="25">
        <f t="shared" si="50"/>
        <v>0.37344324054383365</v>
      </c>
      <c r="X201" s="6">
        <f t="shared" si="47"/>
        <v>360.08104653660018</v>
      </c>
      <c r="Y201" s="1">
        <f t="shared" si="48"/>
        <v>391.53708088076741</v>
      </c>
    </row>
    <row r="202" spans="1:25" x14ac:dyDescent="0.25">
      <c r="A202" s="26">
        <v>497</v>
      </c>
      <c r="B202" s="26">
        <v>1</v>
      </c>
      <c r="C202" s="27" t="s">
        <v>207</v>
      </c>
      <c r="D202" s="28">
        <v>0</v>
      </c>
      <c r="E202" s="29">
        <v>49938100</v>
      </c>
      <c r="F202" s="29">
        <v>220.34</v>
      </c>
      <c r="G202" s="30">
        <v>229</v>
      </c>
      <c r="H202" s="31">
        <v>100327.73999999998</v>
      </c>
      <c r="I202" s="29">
        <v>84760.060000000012</v>
      </c>
      <c r="J202" s="30">
        <v>185087.8</v>
      </c>
      <c r="K202" s="29">
        <v>14676.99</v>
      </c>
      <c r="L202" s="31">
        <v>13339.85</v>
      </c>
      <c r="M202" s="31">
        <v>28016.84</v>
      </c>
      <c r="N202" s="31">
        <v>4311.329999999999</v>
      </c>
      <c r="O202" s="31">
        <v>3918.54</v>
      </c>
      <c r="P202" s="31">
        <v>8229.869999999999</v>
      </c>
      <c r="Q202" s="1">
        <f t="shared" si="41"/>
        <v>226641.10011799945</v>
      </c>
      <c r="R202" s="1">
        <f t="shared" si="42"/>
        <v>421880</v>
      </c>
      <c r="S202" s="32">
        <f t="shared" si="43"/>
        <v>0.54120414972784592</v>
      </c>
      <c r="T202" s="1">
        <f t="shared" si="44"/>
        <v>3</v>
      </c>
      <c r="U202" s="1">
        <f t="shared" si="45"/>
        <v>808.24366812227072</v>
      </c>
      <c r="V202" s="1">
        <f t="shared" si="46"/>
        <v>438.1124017467248</v>
      </c>
      <c r="W202" s="25">
        <f t="shared" si="50"/>
        <v>0.54205485180546731</v>
      </c>
      <c r="X202" s="6">
        <f t="shared" si="47"/>
        <v>169.73024604460323</v>
      </c>
      <c r="Y202" s="1">
        <f t="shared" si="48"/>
        <v>476.19306927173915</v>
      </c>
    </row>
    <row r="203" spans="1:25" x14ac:dyDescent="0.25">
      <c r="A203" s="26">
        <v>499</v>
      </c>
      <c r="B203" s="26">
        <v>1</v>
      </c>
      <c r="C203" s="27" t="s">
        <v>208</v>
      </c>
      <c r="D203" s="28">
        <v>0</v>
      </c>
      <c r="E203" s="29">
        <v>94375000</v>
      </c>
      <c r="F203" s="29">
        <v>389.79</v>
      </c>
      <c r="G203" s="30">
        <v>318</v>
      </c>
      <c r="H203" s="31">
        <v>160562.33999999997</v>
      </c>
      <c r="I203" s="29">
        <v>443121.02</v>
      </c>
      <c r="J203" s="30">
        <v>603683.36</v>
      </c>
      <c r="K203" s="29">
        <v>12375.939999999999</v>
      </c>
      <c r="L203" s="31">
        <v>12811.7</v>
      </c>
      <c r="M203" s="31">
        <v>25187.64</v>
      </c>
      <c r="N203" s="31">
        <v>0</v>
      </c>
      <c r="O203" s="31">
        <v>0</v>
      </c>
      <c r="P203" s="31">
        <v>0</v>
      </c>
      <c r="Q203" s="1">
        <f t="shared" si="41"/>
        <v>242117.55047589727</v>
      </c>
      <c r="R203" s="1">
        <f t="shared" si="42"/>
        <v>422198</v>
      </c>
      <c r="S203" s="32">
        <f t="shared" si="43"/>
        <v>0.54161209255427389</v>
      </c>
      <c r="T203" s="1">
        <f t="shared" si="44"/>
        <v>3</v>
      </c>
      <c r="U203" s="1">
        <f t="shared" si="45"/>
        <v>1898.3753459119496</v>
      </c>
      <c r="V203" s="1">
        <f t="shared" si="46"/>
        <v>504.91301886792445</v>
      </c>
      <c r="W203" s="25">
        <f t="shared" si="50"/>
        <v>0.26597112101946951</v>
      </c>
      <c r="X203" s="6">
        <f t="shared" si="47"/>
        <v>469.53220662251658</v>
      </c>
      <c r="Y203" s="1">
        <f t="shared" si="48"/>
        <v>404.31206190679075</v>
      </c>
    </row>
    <row r="204" spans="1:25" x14ac:dyDescent="0.25">
      <c r="A204" s="26">
        <v>500</v>
      </c>
      <c r="B204" s="26">
        <v>1</v>
      </c>
      <c r="C204" s="27" t="s">
        <v>209</v>
      </c>
      <c r="D204" s="28">
        <v>0</v>
      </c>
      <c r="E204" s="29">
        <v>169817500</v>
      </c>
      <c r="F204" s="29">
        <v>558.53</v>
      </c>
      <c r="G204" s="30">
        <v>474</v>
      </c>
      <c r="H204" s="31">
        <v>128324.04999999999</v>
      </c>
      <c r="I204" s="29">
        <v>226895.44</v>
      </c>
      <c r="J204" s="30">
        <v>355219.49</v>
      </c>
      <c r="K204" s="29">
        <v>22544.660000000003</v>
      </c>
      <c r="L204" s="31">
        <v>39862.22</v>
      </c>
      <c r="M204" s="31">
        <v>62406.880000000005</v>
      </c>
      <c r="N204" s="31">
        <v>1433.2399999999998</v>
      </c>
      <c r="O204" s="31">
        <v>2534.17</v>
      </c>
      <c r="P204" s="31">
        <v>3967.41</v>
      </c>
      <c r="Q204" s="1">
        <f t="shared" si="41"/>
        <v>304043.65029631357</v>
      </c>
      <c r="R204" s="1">
        <f t="shared" si="42"/>
        <v>422672</v>
      </c>
      <c r="S204" s="32">
        <f t="shared" si="43"/>
        <v>0.54222015827668546</v>
      </c>
      <c r="T204" s="1">
        <f t="shared" si="44"/>
        <v>3</v>
      </c>
      <c r="U204" s="1">
        <f t="shared" si="45"/>
        <v>749.40820675105488</v>
      </c>
      <c r="V204" s="1">
        <f t="shared" si="46"/>
        <v>270.72584388185652</v>
      </c>
      <c r="W204" s="25">
        <f t="shared" si="50"/>
        <v>0.36125284116589435</v>
      </c>
      <c r="X204" s="6">
        <f t="shared" si="47"/>
        <v>133.61134158729223</v>
      </c>
      <c r="Y204" s="1">
        <f t="shared" si="48"/>
        <v>560.88667163142304</v>
      </c>
    </row>
    <row r="205" spans="1:25" x14ac:dyDescent="0.25">
      <c r="A205" s="26">
        <v>505</v>
      </c>
      <c r="B205" s="26">
        <v>1</v>
      </c>
      <c r="C205" s="27" t="s">
        <v>210</v>
      </c>
      <c r="D205" s="28">
        <v>0</v>
      </c>
      <c r="E205" s="29">
        <v>86088430</v>
      </c>
      <c r="F205" s="29">
        <v>358.57</v>
      </c>
      <c r="G205" s="30">
        <v>296</v>
      </c>
      <c r="H205" s="31">
        <v>136315.56</v>
      </c>
      <c r="I205" s="29">
        <v>222254.44</v>
      </c>
      <c r="J205" s="30">
        <v>358570</v>
      </c>
      <c r="K205" s="29">
        <v>16820.439999999995</v>
      </c>
      <c r="L205" s="31">
        <v>17118.21</v>
      </c>
      <c r="M205" s="31">
        <v>33938.649999999994</v>
      </c>
      <c r="N205" s="31">
        <v>0</v>
      </c>
      <c r="O205" s="31">
        <v>0</v>
      </c>
      <c r="P205" s="31">
        <v>0</v>
      </c>
      <c r="Q205" s="1">
        <f t="shared" si="41"/>
        <v>240088.21150681877</v>
      </c>
      <c r="R205" s="1">
        <f t="shared" si="42"/>
        <v>422968</v>
      </c>
      <c r="S205" s="32">
        <f t="shared" si="43"/>
        <v>0.54259987864342352</v>
      </c>
      <c r="T205" s="1">
        <f t="shared" si="44"/>
        <v>3</v>
      </c>
      <c r="U205" s="1">
        <f t="shared" si="45"/>
        <v>1211.3851351351352</v>
      </c>
      <c r="V205" s="1">
        <f t="shared" si="46"/>
        <v>460.52554054054053</v>
      </c>
      <c r="W205" s="25">
        <f t="shared" si="50"/>
        <v>0.38016443093398777</v>
      </c>
      <c r="X205" s="6">
        <f t="shared" si="47"/>
        <v>258.16993061669262</v>
      </c>
      <c r="Y205" s="1">
        <f t="shared" si="48"/>
        <v>469.22007231496315</v>
      </c>
    </row>
    <row r="206" spans="1:25" x14ac:dyDescent="0.25">
      <c r="A206" s="26">
        <v>507</v>
      </c>
      <c r="B206" s="26">
        <v>1</v>
      </c>
      <c r="C206" s="27" t="s">
        <v>211</v>
      </c>
      <c r="D206" s="28">
        <v>0</v>
      </c>
      <c r="E206" s="29">
        <v>159839700</v>
      </c>
      <c r="F206" s="29">
        <v>390.32</v>
      </c>
      <c r="G206" s="30">
        <v>333</v>
      </c>
      <c r="H206" s="31">
        <v>131491.56</v>
      </c>
      <c r="I206" s="29">
        <v>297860.44</v>
      </c>
      <c r="J206" s="30">
        <v>429352</v>
      </c>
      <c r="K206" s="29">
        <v>4729.41</v>
      </c>
      <c r="L206" s="31">
        <v>29127.95</v>
      </c>
      <c r="M206" s="31">
        <v>33857.360000000001</v>
      </c>
      <c r="N206" s="31">
        <v>465.05999999999995</v>
      </c>
      <c r="O206" s="31">
        <v>2864.24</v>
      </c>
      <c r="P206" s="31">
        <v>3329.2999999999997</v>
      </c>
      <c r="Q206" s="1">
        <f t="shared" si="41"/>
        <v>409509.37692150031</v>
      </c>
      <c r="R206" s="1">
        <f t="shared" si="42"/>
        <v>423301</v>
      </c>
      <c r="S206" s="32">
        <f t="shared" si="43"/>
        <v>0.54302706405600376</v>
      </c>
      <c r="T206" s="1">
        <f t="shared" si="44"/>
        <v>3</v>
      </c>
      <c r="U206" s="1">
        <f t="shared" si="45"/>
        <v>1289.3453453453453</v>
      </c>
      <c r="V206" s="1">
        <f t="shared" si="46"/>
        <v>394.86954954954956</v>
      </c>
      <c r="W206" s="25">
        <f t="shared" si="50"/>
        <v>0.30625584601911721</v>
      </c>
      <c r="X206" s="6">
        <f t="shared" si="47"/>
        <v>186.34947387914266</v>
      </c>
      <c r="Y206" s="1">
        <f t="shared" si="48"/>
        <v>691.89642369559522</v>
      </c>
    </row>
    <row r="207" spans="1:25" x14ac:dyDescent="0.25">
      <c r="A207" s="26">
        <v>508</v>
      </c>
      <c r="B207" s="26">
        <v>1</v>
      </c>
      <c r="C207" s="27" t="s">
        <v>212</v>
      </c>
      <c r="D207" s="28">
        <v>0</v>
      </c>
      <c r="E207" s="29">
        <v>762525995</v>
      </c>
      <c r="F207" s="29">
        <v>2187.25</v>
      </c>
      <c r="G207" s="30">
        <v>1872</v>
      </c>
      <c r="H207" s="31">
        <v>409713.25000000023</v>
      </c>
      <c r="I207" s="29">
        <v>1485429.51</v>
      </c>
      <c r="J207" s="30">
        <v>1895142.7600000002</v>
      </c>
      <c r="K207" s="29">
        <v>57306.380000000005</v>
      </c>
      <c r="L207" s="31">
        <v>156844.28</v>
      </c>
      <c r="M207" s="31">
        <v>214150.66</v>
      </c>
      <c r="N207" s="31">
        <v>13693.800000000003</v>
      </c>
      <c r="O207" s="31">
        <v>37479.14</v>
      </c>
      <c r="P207" s="31">
        <v>51172.94</v>
      </c>
      <c r="Q207" s="1">
        <f t="shared" si="41"/>
        <v>348623.1546462453</v>
      </c>
      <c r="R207" s="1">
        <f t="shared" si="42"/>
        <v>425173</v>
      </c>
      <c r="S207" s="32">
        <f t="shared" si="43"/>
        <v>0.54542853880780651</v>
      </c>
      <c r="T207" s="1">
        <f t="shared" si="44"/>
        <v>3</v>
      </c>
      <c r="U207" s="1">
        <f t="shared" si="45"/>
        <v>1012.3625854700856</v>
      </c>
      <c r="V207" s="1">
        <f t="shared" si="46"/>
        <v>218.86391559829073</v>
      </c>
      <c r="W207" s="25">
        <f t="shared" si="50"/>
        <v>0.21619123300241519</v>
      </c>
      <c r="X207" s="6">
        <f t="shared" si="47"/>
        <v>194.80378632862215</v>
      </c>
      <c r="Y207" s="1">
        <f t="shared" si="48"/>
        <v>519.68321794438396</v>
      </c>
    </row>
    <row r="208" spans="1:25" x14ac:dyDescent="0.25">
      <c r="A208" s="26">
        <v>511</v>
      </c>
      <c r="B208" s="26">
        <v>1</v>
      </c>
      <c r="C208" s="27" t="s">
        <v>213</v>
      </c>
      <c r="D208" s="28">
        <v>0</v>
      </c>
      <c r="E208" s="29">
        <v>94457685</v>
      </c>
      <c r="F208" s="29">
        <v>518.82000000000005</v>
      </c>
      <c r="G208" s="30">
        <v>580</v>
      </c>
      <c r="H208" s="31">
        <v>317202.82999999996</v>
      </c>
      <c r="I208" s="29">
        <v>331322.17000000004</v>
      </c>
      <c r="J208" s="30">
        <v>648525</v>
      </c>
      <c r="K208" s="29">
        <v>40031.229999999996</v>
      </c>
      <c r="L208" s="31">
        <v>24795.02</v>
      </c>
      <c r="M208" s="31">
        <v>64826.25</v>
      </c>
      <c r="N208" s="31">
        <v>0</v>
      </c>
      <c r="O208" s="31">
        <v>0</v>
      </c>
      <c r="P208" s="31">
        <v>0</v>
      </c>
      <c r="Q208" s="1">
        <f t="shared" si="41"/>
        <v>182062.53613970161</v>
      </c>
      <c r="R208" s="1">
        <f t="shared" si="42"/>
        <v>425753</v>
      </c>
      <c r="S208" s="32">
        <f t="shared" si="43"/>
        <v>0.54617258547236081</v>
      </c>
      <c r="T208" s="1">
        <f t="shared" si="44"/>
        <v>3</v>
      </c>
      <c r="U208" s="1">
        <f t="shared" si="45"/>
        <v>1118.1465517241379</v>
      </c>
      <c r="V208" s="1">
        <f t="shared" si="46"/>
        <v>546.9014310344827</v>
      </c>
      <c r="W208" s="25">
        <f t="shared" si="50"/>
        <v>0.48911426699047833</v>
      </c>
      <c r="X208" s="6">
        <f t="shared" si="47"/>
        <v>350.76253456772741</v>
      </c>
      <c r="Y208" s="1">
        <f t="shared" si="48"/>
        <v>318.77593572019282</v>
      </c>
    </row>
    <row r="209" spans="1:25" x14ac:dyDescent="0.25">
      <c r="A209" s="26">
        <v>513</v>
      </c>
      <c r="B209" s="26">
        <v>1</v>
      </c>
      <c r="C209" s="27" t="s">
        <v>214</v>
      </c>
      <c r="D209" s="28">
        <v>0</v>
      </c>
      <c r="E209" s="29">
        <v>45055520</v>
      </c>
      <c r="F209" s="29">
        <v>180.16</v>
      </c>
      <c r="G209" s="30">
        <v>189</v>
      </c>
      <c r="H209" s="31">
        <v>68600.38</v>
      </c>
      <c r="I209" s="29">
        <v>201639.62</v>
      </c>
      <c r="J209" s="30">
        <v>270240</v>
      </c>
      <c r="K209" s="29">
        <v>8351.6100000000024</v>
      </c>
      <c r="L209" s="31">
        <v>9245.2199999999993</v>
      </c>
      <c r="M209" s="31">
        <v>17596.830000000002</v>
      </c>
      <c r="N209" s="31">
        <v>717.96</v>
      </c>
      <c r="O209" s="31">
        <v>794.79</v>
      </c>
      <c r="P209" s="31">
        <v>1512.75</v>
      </c>
      <c r="Q209" s="1">
        <f t="shared" si="41"/>
        <v>250086.14564831261</v>
      </c>
      <c r="R209" s="1">
        <f t="shared" si="42"/>
        <v>425942</v>
      </c>
      <c r="S209" s="32">
        <f t="shared" si="43"/>
        <v>0.54641504205787939</v>
      </c>
      <c r="T209" s="1">
        <f t="shared" si="44"/>
        <v>3</v>
      </c>
      <c r="U209" s="1">
        <f t="shared" si="45"/>
        <v>1429.8412698412699</v>
      </c>
      <c r="V209" s="1">
        <f t="shared" si="46"/>
        <v>362.96497354497359</v>
      </c>
      <c r="W209" s="25">
        <f t="shared" si="50"/>
        <v>0.2538498371817644</v>
      </c>
      <c r="X209" s="6">
        <f t="shared" si="47"/>
        <v>447.53588461524799</v>
      </c>
      <c r="Y209" s="1">
        <f t="shared" si="48"/>
        <v>319.49198242963723</v>
      </c>
    </row>
    <row r="210" spans="1:25" x14ac:dyDescent="0.25">
      <c r="A210" s="26">
        <v>514</v>
      </c>
      <c r="B210" s="26">
        <v>1</v>
      </c>
      <c r="C210" s="27" t="s">
        <v>215</v>
      </c>
      <c r="D210" s="28">
        <v>0</v>
      </c>
      <c r="E210" s="29">
        <v>29187595</v>
      </c>
      <c r="F210" s="29">
        <v>148.58000000000001</v>
      </c>
      <c r="G210" s="30">
        <v>154</v>
      </c>
      <c r="H210" s="31">
        <v>91944.879999999976</v>
      </c>
      <c r="I210" s="29">
        <v>105981.50999999998</v>
      </c>
      <c r="J210" s="30">
        <v>197926.38999999996</v>
      </c>
      <c r="K210" s="29">
        <v>10144.030000000001</v>
      </c>
      <c r="L210" s="31">
        <v>7128.1900000000005</v>
      </c>
      <c r="M210" s="31">
        <v>17272.22</v>
      </c>
      <c r="N210" s="31">
        <v>0</v>
      </c>
      <c r="O210" s="31">
        <v>0</v>
      </c>
      <c r="P210" s="31">
        <v>0</v>
      </c>
      <c r="Q210" s="1">
        <f t="shared" si="41"/>
        <v>196443.63305963116</v>
      </c>
      <c r="R210" s="1">
        <f t="shared" si="42"/>
        <v>426096</v>
      </c>
      <c r="S210" s="32">
        <f t="shared" si="43"/>
        <v>0.54661259927570927</v>
      </c>
      <c r="T210" s="1">
        <f t="shared" si="44"/>
        <v>3</v>
      </c>
      <c r="U210" s="1">
        <f t="shared" si="45"/>
        <v>1285.2362987012984</v>
      </c>
      <c r="V210" s="1">
        <f t="shared" si="46"/>
        <v>597.04467532467515</v>
      </c>
      <c r="W210" s="25">
        <f t="shared" si="50"/>
        <v>0.46454078205538935</v>
      </c>
      <c r="X210" s="6">
        <f t="shared" si="47"/>
        <v>363.10463400633034</v>
      </c>
      <c r="Y210" s="1">
        <f t="shared" si="48"/>
        <v>353.95755887788852</v>
      </c>
    </row>
    <row r="211" spans="1:25" x14ac:dyDescent="0.25">
      <c r="A211" s="26">
        <v>516</v>
      </c>
      <c r="B211" s="26">
        <v>1</v>
      </c>
      <c r="C211" s="27" t="s">
        <v>216</v>
      </c>
      <c r="D211" s="28">
        <v>0</v>
      </c>
      <c r="E211" s="29">
        <v>27691875</v>
      </c>
      <c r="F211" s="29">
        <v>121.57</v>
      </c>
      <c r="G211" s="30">
        <v>92</v>
      </c>
      <c r="H211" s="31">
        <v>59606.240000000005</v>
      </c>
      <c r="I211" s="29">
        <v>122748.76</v>
      </c>
      <c r="J211" s="30">
        <v>182355</v>
      </c>
      <c r="K211" s="29">
        <v>3852.3600000000006</v>
      </c>
      <c r="L211" s="31">
        <v>3535.2999999999993</v>
      </c>
      <c r="M211" s="31">
        <v>7387.66</v>
      </c>
      <c r="N211" s="31">
        <v>0</v>
      </c>
      <c r="O211" s="31">
        <v>0</v>
      </c>
      <c r="P211" s="31">
        <v>0</v>
      </c>
      <c r="Q211" s="1">
        <f t="shared" si="41"/>
        <v>227785.43226124867</v>
      </c>
      <c r="R211" s="1">
        <f t="shared" si="42"/>
        <v>426188</v>
      </c>
      <c r="S211" s="32">
        <f t="shared" si="43"/>
        <v>0.54673062047077647</v>
      </c>
      <c r="T211" s="1">
        <f t="shared" si="44"/>
        <v>3</v>
      </c>
      <c r="U211" s="1">
        <f t="shared" si="45"/>
        <v>1982.1195652173913</v>
      </c>
      <c r="V211" s="1">
        <f t="shared" si="46"/>
        <v>647.89391304347828</v>
      </c>
      <c r="W211" s="25">
        <f t="shared" si="50"/>
        <v>0.3268692385731129</v>
      </c>
      <c r="X211" s="6">
        <f t="shared" si="47"/>
        <v>443.26633714762903</v>
      </c>
      <c r="Y211" s="1">
        <f t="shared" si="48"/>
        <v>447.16221357392402</v>
      </c>
    </row>
    <row r="212" spans="1:25" x14ac:dyDescent="0.25">
      <c r="A212" s="26">
        <v>518</v>
      </c>
      <c r="B212" s="26">
        <v>1</v>
      </c>
      <c r="C212" s="27" t="s">
        <v>217</v>
      </c>
      <c r="D212" s="28">
        <v>0</v>
      </c>
      <c r="E212" s="29">
        <v>642336180</v>
      </c>
      <c r="F212" s="29">
        <v>3005.69</v>
      </c>
      <c r="G212" s="30">
        <v>2726</v>
      </c>
      <c r="H212" s="31">
        <v>1347371.1</v>
      </c>
      <c r="I212" s="29">
        <v>1658318.9</v>
      </c>
      <c r="J212" s="30">
        <v>3005690</v>
      </c>
      <c r="K212" s="29">
        <v>166120.31000000003</v>
      </c>
      <c r="L212" s="31">
        <v>135348.6</v>
      </c>
      <c r="M212" s="31">
        <v>301468.91000000003</v>
      </c>
      <c r="N212" s="31">
        <v>0</v>
      </c>
      <c r="O212" s="31">
        <v>0</v>
      </c>
      <c r="P212" s="31">
        <v>0</v>
      </c>
      <c r="Q212" s="1">
        <f t="shared" si="41"/>
        <v>213706.72956958303</v>
      </c>
      <c r="R212" s="1">
        <f t="shared" si="42"/>
        <v>428914</v>
      </c>
      <c r="S212" s="32">
        <f t="shared" si="43"/>
        <v>0.55022763979418143</v>
      </c>
      <c r="T212" s="1">
        <f t="shared" si="44"/>
        <v>3</v>
      </c>
      <c r="U212" s="1">
        <f t="shared" si="45"/>
        <v>1102.6008804108585</v>
      </c>
      <c r="V212" s="1">
        <f t="shared" si="46"/>
        <v>494.26672780630963</v>
      </c>
      <c r="W212" s="25">
        <f t="shared" si="50"/>
        <v>0.44827347464309358</v>
      </c>
      <c r="X212" s="6">
        <f t="shared" si="47"/>
        <v>258.16993525103942</v>
      </c>
      <c r="Y212" s="1">
        <f t="shared" si="48"/>
        <v>427.08337798462514</v>
      </c>
    </row>
    <row r="213" spans="1:25" x14ac:dyDescent="0.25">
      <c r="A213" s="26">
        <v>531</v>
      </c>
      <c r="B213" s="26">
        <v>1</v>
      </c>
      <c r="C213" s="27" t="s">
        <v>218</v>
      </c>
      <c r="D213" s="28">
        <v>0</v>
      </c>
      <c r="E213" s="29">
        <v>608090850</v>
      </c>
      <c r="F213" s="29">
        <v>1624.89</v>
      </c>
      <c r="G213" s="30">
        <v>1798</v>
      </c>
      <c r="H213" s="31">
        <v>100742.58000000002</v>
      </c>
      <c r="I213" s="29">
        <v>370475.52000000002</v>
      </c>
      <c r="J213" s="30">
        <v>471218.10000000003</v>
      </c>
      <c r="K213" s="29">
        <v>55180.209999999992</v>
      </c>
      <c r="L213" s="31">
        <v>202922.33000000002</v>
      </c>
      <c r="M213" s="31">
        <v>258102.54</v>
      </c>
      <c r="N213" s="31">
        <v>538.47000000000025</v>
      </c>
      <c r="O213" s="31">
        <v>1980.21</v>
      </c>
      <c r="P213" s="31">
        <v>2518.6800000000003</v>
      </c>
      <c r="Q213" s="1">
        <f t="shared" si="41"/>
        <v>374235.08668279083</v>
      </c>
      <c r="R213" s="1">
        <f t="shared" si="42"/>
        <v>430712</v>
      </c>
      <c r="S213" s="32">
        <f t="shared" si="43"/>
        <v>0.55253418445429958</v>
      </c>
      <c r="T213" s="1">
        <f t="shared" si="44"/>
        <v>3</v>
      </c>
      <c r="U213" s="1">
        <f t="shared" si="45"/>
        <v>262.07903225806456</v>
      </c>
      <c r="V213" s="1">
        <f t="shared" si="46"/>
        <v>56.030355951056741</v>
      </c>
      <c r="W213" s="25">
        <f t="shared" si="50"/>
        <v>0.21379183015253447</v>
      </c>
      <c r="X213" s="6">
        <f t="shared" si="47"/>
        <v>60.924370100290112</v>
      </c>
      <c r="Y213" s="1">
        <f t="shared" si="48"/>
        <v>430.17109873544115</v>
      </c>
    </row>
    <row r="214" spans="1:25" x14ac:dyDescent="0.25">
      <c r="A214" s="26">
        <v>533</v>
      </c>
      <c r="B214" s="26">
        <v>1</v>
      </c>
      <c r="C214" s="27" t="s">
        <v>219</v>
      </c>
      <c r="D214" s="28">
        <v>0</v>
      </c>
      <c r="E214" s="29">
        <v>261368550</v>
      </c>
      <c r="F214" s="29">
        <v>979.61</v>
      </c>
      <c r="G214" s="30">
        <v>1243</v>
      </c>
      <c r="H214" s="31">
        <v>54585.17</v>
      </c>
      <c r="I214" s="29">
        <v>69619.58</v>
      </c>
      <c r="J214" s="30">
        <v>124204.75</v>
      </c>
      <c r="K214" s="29">
        <v>82523.01999999999</v>
      </c>
      <c r="L214" s="31">
        <v>105252.35</v>
      </c>
      <c r="M214" s="31">
        <v>187775.37</v>
      </c>
      <c r="N214" s="31">
        <v>7304.489999999998</v>
      </c>
      <c r="O214" s="31">
        <v>9316.36</v>
      </c>
      <c r="P214" s="31">
        <v>16620.849999999999</v>
      </c>
      <c r="Q214" s="1">
        <f t="shared" si="41"/>
        <v>266808.78104551812</v>
      </c>
      <c r="R214" s="1">
        <f t="shared" si="42"/>
        <v>431955</v>
      </c>
      <c r="S214" s="32">
        <f t="shared" si="43"/>
        <v>0.55412875342678392</v>
      </c>
      <c r="T214" s="1">
        <f t="shared" si="44"/>
        <v>3</v>
      </c>
      <c r="U214" s="1">
        <f t="shared" si="45"/>
        <v>99.923370876910695</v>
      </c>
      <c r="V214" s="1">
        <f t="shared" si="46"/>
        <v>43.914054706355593</v>
      </c>
      <c r="W214" s="25">
        <f t="shared" si="50"/>
        <v>0.43947731467596857</v>
      </c>
      <c r="X214" s="6">
        <f t="shared" si="47"/>
        <v>26.636555928400721</v>
      </c>
      <c r="Y214" s="1">
        <f t="shared" si="48"/>
        <v>375.13622686621176</v>
      </c>
    </row>
    <row r="215" spans="1:25" x14ac:dyDescent="0.25">
      <c r="A215" s="26">
        <v>534</v>
      </c>
      <c r="B215" s="26">
        <v>1</v>
      </c>
      <c r="C215" s="27" t="s">
        <v>220</v>
      </c>
      <c r="D215" s="28">
        <v>0</v>
      </c>
      <c r="E215" s="29">
        <v>587227750</v>
      </c>
      <c r="F215" s="29">
        <v>1808.52</v>
      </c>
      <c r="G215" s="30">
        <v>1939</v>
      </c>
      <c r="H215" s="31">
        <v>402393.78</v>
      </c>
      <c r="I215" s="29">
        <v>1081225.6000000001</v>
      </c>
      <c r="J215" s="30">
        <v>1483619.3800000001</v>
      </c>
      <c r="K215" s="29">
        <v>76133.13</v>
      </c>
      <c r="L215" s="31">
        <v>163387.97</v>
      </c>
      <c r="M215" s="31">
        <v>239521.1</v>
      </c>
      <c r="N215" s="31">
        <v>2077.5100000000002</v>
      </c>
      <c r="O215" s="31">
        <v>4458.5199999999995</v>
      </c>
      <c r="P215" s="31">
        <v>6536.03</v>
      </c>
      <c r="Q215" s="1">
        <f t="shared" si="41"/>
        <v>324700.72213743837</v>
      </c>
      <c r="R215" s="1">
        <f t="shared" si="42"/>
        <v>433894</v>
      </c>
      <c r="S215" s="32">
        <f t="shared" si="43"/>
        <v>0.55661617839673339</v>
      </c>
      <c r="T215" s="1">
        <f t="shared" si="44"/>
        <v>3</v>
      </c>
      <c r="U215" s="1">
        <f t="shared" si="45"/>
        <v>765.14666322846836</v>
      </c>
      <c r="V215" s="1">
        <f t="shared" si="46"/>
        <v>207.52644662197011</v>
      </c>
      <c r="W215" s="25">
        <f t="shared" si="50"/>
        <v>0.27122440258228497</v>
      </c>
      <c r="X215" s="6">
        <f t="shared" si="47"/>
        <v>184.12372371707571</v>
      </c>
      <c r="Y215" s="1">
        <f t="shared" si="48"/>
        <v>415.561149743089</v>
      </c>
    </row>
    <row r="216" spans="1:25" x14ac:dyDescent="0.25">
      <c r="A216" s="26">
        <v>535</v>
      </c>
      <c r="B216" s="26">
        <v>1</v>
      </c>
      <c r="C216" s="27" t="s">
        <v>221</v>
      </c>
      <c r="D216" s="28">
        <v>0</v>
      </c>
      <c r="E216" s="29">
        <v>9960866026</v>
      </c>
      <c r="F216" s="29">
        <v>19639.29</v>
      </c>
      <c r="G216" s="30">
        <v>15894</v>
      </c>
      <c r="H216" s="31">
        <v>21786.699999999255</v>
      </c>
      <c r="I216" s="29">
        <v>9263866</v>
      </c>
      <c r="J216" s="30">
        <v>9285652.6999999993</v>
      </c>
      <c r="K216" s="29">
        <v>0</v>
      </c>
      <c r="L216" s="31">
        <v>2074297.31</v>
      </c>
      <c r="M216" s="31">
        <v>2074297.31</v>
      </c>
      <c r="N216" s="31">
        <v>0</v>
      </c>
      <c r="O216" s="31">
        <v>446976.2</v>
      </c>
      <c r="P216" s="31">
        <v>446976.2</v>
      </c>
      <c r="Q216" s="1">
        <f t="shared" si="41"/>
        <v>507190.73988927295</v>
      </c>
      <c r="R216" s="1">
        <f t="shared" si="42"/>
        <v>449788</v>
      </c>
      <c r="S216" s="32">
        <f t="shared" si="43"/>
        <v>0.57700562268367372</v>
      </c>
      <c r="T216" s="1">
        <f t="shared" si="44"/>
        <v>3</v>
      </c>
      <c r="U216" s="1">
        <f t="shared" si="45"/>
        <v>584.22377626777393</v>
      </c>
      <c r="V216" s="1">
        <f t="shared" si="46"/>
        <v>1.3707499685415412</v>
      </c>
      <c r="W216" s="25">
        <f t="shared" si="50"/>
        <v>2.3462755612213733E-3</v>
      </c>
      <c r="X216" s="6">
        <f t="shared" si="47"/>
        <v>93.002616196416255</v>
      </c>
      <c r="Y216" s="1">
        <f t="shared" si="48"/>
        <v>628.1799374696368</v>
      </c>
    </row>
    <row r="217" spans="1:25" x14ac:dyDescent="0.25">
      <c r="A217" s="26">
        <v>542</v>
      </c>
      <c r="B217" s="26">
        <v>1</v>
      </c>
      <c r="C217" s="27" t="s">
        <v>222</v>
      </c>
      <c r="D217" s="28">
        <v>0</v>
      </c>
      <c r="E217" s="29">
        <v>479543880</v>
      </c>
      <c r="F217" s="29">
        <v>602.75</v>
      </c>
      <c r="G217" s="30">
        <v>455</v>
      </c>
      <c r="H217" s="31">
        <v>0</v>
      </c>
      <c r="I217" s="29">
        <v>0</v>
      </c>
      <c r="J217" s="30">
        <v>0</v>
      </c>
      <c r="K217" s="29">
        <v>0</v>
      </c>
      <c r="L217" s="31">
        <v>85461.58</v>
      </c>
      <c r="M217" s="31">
        <v>85461.58</v>
      </c>
      <c r="N217" s="31">
        <v>0</v>
      </c>
      <c r="O217" s="31">
        <v>12987.960000000001</v>
      </c>
      <c r="P217" s="31">
        <v>12987.960000000001</v>
      </c>
      <c r="Q217" s="1">
        <f t="shared" si="41"/>
        <v>795593.33056822896</v>
      </c>
      <c r="R217" s="1">
        <f t="shared" si="42"/>
        <v>450243</v>
      </c>
      <c r="S217" s="32">
        <f t="shared" si="43"/>
        <v>0.57758931446362582</v>
      </c>
      <c r="T217" s="1">
        <f t="shared" si="44"/>
        <v>3</v>
      </c>
      <c r="U217" s="1">
        <f t="shared" si="45"/>
        <v>0</v>
      </c>
      <c r="V217" s="1">
        <f t="shared" si="46"/>
        <v>0</v>
      </c>
      <c r="W217" s="33" t="s">
        <v>60</v>
      </c>
      <c r="X217" s="6">
        <f t="shared" si="47"/>
        <v>0</v>
      </c>
      <c r="Y217" s="1">
        <f t="shared" si="48"/>
        <v>0</v>
      </c>
    </row>
    <row r="218" spans="1:25" x14ac:dyDescent="0.25">
      <c r="A218" s="26">
        <v>544</v>
      </c>
      <c r="B218" s="26">
        <v>1</v>
      </c>
      <c r="C218" s="27" t="s">
        <v>223</v>
      </c>
      <c r="D218" s="28">
        <v>0</v>
      </c>
      <c r="E218" s="29">
        <v>1233558860</v>
      </c>
      <c r="F218" s="29">
        <v>2448.83</v>
      </c>
      <c r="G218" s="30">
        <v>2592</v>
      </c>
      <c r="H218" s="31">
        <v>0</v>
      </c>
      <c r="I218" s="29">
        <v>1018835.7200000001</v>
      </c>
      <c r="J218" s="30">
        <v>1018835.7200000001</v>
      </c>
      <c r="K218" s="29">
        <v>0</v>
      </c>
      <c r="L218" s="31">
        <v>373057.52</v>
      </c>
      <c r="M218" s="31">
        <v>373057.52</v>
      </c>
      <c r="N218" s="31">
        <v>0</v>
      </c>
      <c r="O218" s="31">
        <v>49792.39</v>
      </c>
      <c r="P218" s="31">
        <v>49792.39</v>
      </c>
      <c r="Q218" s="1">
        <f t="shared" si="41"/>
        <v>503733.97091672348</v>
      </c>
      <c r="R218" s="1">
        <f t="shared" si="42"/>
        <v>452835</v>
      </c>
      <c r="S218" s="32">
        <f t="shared" si="43"/>
        <v>0.58091443335073722</v>
      </c>
      <c r="T218" s="1">
        <f t="shared" si="44"/>
        <v>3</v>
      </c>
      <c r="U218" s="1">
        <f t="shared" si="45"/>
        <v>393.06933641975314</v>
      </c>
      <c r="V218" s="1">
        <f t="shared" si="46"/>
        <v>0</v>
      </c>
      <c r="W218" s="25">
        <f>V218/U218</f>
        <v>0</v>
      </c>
      <c r="X218" s="6">
        <f t="shared" si="47"/>
        <v>82.593198673957076</v>
      </c>
      <c r="Y218" s="1">
        <f t="shared" si="48"/>
        <v>475.91005401234571</v>
      </c>
    </row>
    <row r="219" spans="1:25" x14ac:dyDescent="0.25">
      <c r="A219" s="26">
        <v>545</v>
      </c>
      <c r="B219" s="26">
        <v>1</v>
      </c>
      <c r="C219" s="27" t="s">
        <v>224</v>
      </c>
      <c r="D219" s="28">
        <v>0</v>
      </c>
      <c r="E219" s="29">
        <v>202538360</v>
      </c>
      <c r="F219" s="29">
        <v>497.84</v>
      </c>
      <c r="G219" s="30">
        <v>362</v>
      </c>
      <c r="H219" s="31">
        <v>50637.469999999972</v>
      </c>
      <c r="I219" s="29">
        <v>457428.16000000003</v>
      </c>
      <c r="J219" s="30">
        <v>508065.63</v>
      </c>
      <c r="K219" s="29">
        <v>5286.9299999999967</v>
      </c>
      <c r="L219" s="31">
        <v>31097.8</v>
      </c>
      <c r="M219" s="31">
        <v>36384.729999999996</v>
      </c>
      <c r="N219" s="31">
        <v>0</v>
      </c>
      <c r="O219" s="31">
        <v>0</v>
      </c>
      <c r="P219" s="31">
        <v>0</v>
      </c>
      <c r="Q219" s="1">
        <f t="shared" si="41"/>
        <v>406834.24393379403</v>
      </c>
      <c r="R219" s="1">
        <f t="shared" si="42"/>
        <v>453197</v>
      </c>
      <c r="S219" s="32">
        <f t="shared" si="43"/>
        <v>0.58137882109654526</v>
      </c>
      <c r="T219" s="1">
        <f t="shared" si="44"/>
        <v>3</v>
      </c>
      <c r="U219" s="1">
        <f t="shared" si="45"/>
        <v>1403.4962154696132</v>
      </c>
      <c r="V219" s="1">
        <f t="shared" si="46"/>
        <v>139.88251381215463</v>
      </c>
      <c r="W219" s="25">
        <f>V219/U219</f>
        <v>9.9667182761408166E-2</v>
      </c>
      <c r="X219" s="6">
        <f t="shared" si="47"/>
        <v>225.84766658523355</v>
      </c>
      <c r="Y219" s="1">
        <f t="shared" si="48"/>
        <v>621.43489755292296</v>
      </c>
    </row>
    <row r="220" spans="1:25" x14ac:dyDescent="0.25">
      <c r="A220" s="26">
        <v>547</v>
      </c>
      <c r="B220" s="26">
        <v>1</v>
      </c>
      <c r="C220" s="27" t="s">
        <v>225</v>
      </c>
      <c r="D220" s="28">
        <v>0</v>
      </c>
      <c r="E220" s="29">
        <v>180195580</v>
      </c>
      <c r="F220" s="29">
        <v>508.02</v>
      </c>
      <c r="G220" s="30">
        <v>528</v>
      </c>
      <c r="H220" s="31">
        <v>90620.5</v>
      </c>
      <c r="I220" s="29">
        <v>519003.5</v>
      </c>
      <c r="J220" s="30">
        <v>609624</v>
      </c>
      <c r="K220" s="29">
        <v>14902.129999999997</v>
      </c>
      <c r="L220" s="31">
        <v>43576.979999999996</v>
      </c>
      <c r="M220" s="31">
        <v>58479.109999999993</v>
      </c>
      <c r="N220" s="31">
        <v>0</v>
      </c>
      <c r="O220" s="31">
        <v>0</v>
      </c>
      <c r="P220" s="31">
        <v>0</v>
      </c>
      <c r="Q220" s="1">
        <f t="shared" si="41"/>
        <v>354701.74402582576</v>
      </c>
      <c r="R220" s="1">
        <f t="shared" si="42"/>
        <v>453725</v>
      </c>
      <c r="S220" s="32">
        <f t="shared" si="43"/>
        <v>0.58205616012910499</v>
      </c>
      <c r="T220" s="1">
        <f t="shared" si="44"/>
        <v>3</v>
      </c>
      <c r="U220" s="1">
        <f t="shared" si="45"/>
        <v>1154.590909090909</v>
      </c>
      <c r="V220" s="1">
        <f t="shared" si="46"/>
        <v>171.62973484848484</v>
      </c>
      <c r="W220" s="25">
        <f>V220/U220</f>
        <v>0.14864982349776257</v>
      </c>
      <c r="X220" s="6">
        <f t="shared" si="47"/>
        <v>288.02232551986015</v>
      </c>
      <c r="Y220" s="1">
        <f t="shared" si="48"/>
        <v>400.86854621667032</v>
      </c>
    </row>
    <row r="221" spans="1:25" x14ac:dyDescent="0.25">
      <c r="A221" s="26">
        <v>548</v>
      </c>
      <c r="B221" s="26">
        <v>1</v>
      </c>
      <c r="C221" s="27" t="s">
        <v>226</v>
      </c>
      <c r="D221" s="28">
        <v>0</v>
      </c>
      <c r="E221" s="29">
        <v>604646200</v>
      </c>
      <c r="F221" s="29">
        <v>1219.04</v>
      </c>
      <c r="G221" s="30">
        <v>890</v>
      </c>
      <c r="H221" s="31">
        <v>0</v>
      </c>
      <c r="I221" s="29">
        <v>731424</v>
      </c>
      <c r="J221" s="30">
        <v>731424</v>
      </c>
      <c r="K221" s="29">
        <v>0</v>
      </c>
      <c r="L221" s="31">
        <v>109958.42000000001</v>
      </c>
      <c r="M221" s="31">
        <v>109958.42000000001</v>
      </c>
      <c r="N221" s="31">
        <v>0</v>
      </c>
      <c r="O221" s="31">
        <v>27551.730000000003</v>
      </c>
      <c r="P221" s="31">
        <v>27551.730000000003</v>
      </c>
      <c r="Q221" s="1">
        <f t="shared" si="41"/>
        <v>496001.93594959972</v>
      </c>
      <c r="R221" s="1">
        <f t="shared" si="42"/>
        <v>454615</v>
      </c>
      <c r="S221" s="32">
        <f t="shared" si="43"/>
        <v>0.58319788690747276</v>
      </c>
      <c r="T221" s="1">
        <f t="shared" si="44"/>
        <v>3</v>
      </c>
      <c r="U221" s="1">
        <f t="shared" si="45"/>
        <v>821.82471910112361</v>
      </c>
      <c r="V221" s="1">
        <f t="shared" si="46"/>
        <v>0</v>
      </c>
      <c r="W221" s="25">
        <f>V221/U221</f>
        <v>0</v>
      </c>
      <c r="X221" s="6">
        <f t="shared" si="47"/>
        <v>120.96726978520662</v>
      </c>
      <c r="Y221" s="1">
        <f t="shared" si="48"/>
        <v>679.37775280898882</v>
      </c>
    </row>
    <row r="222" spans="1:25" x14ac:dyDescent="0.25">
      <c r="A222" s="26">
        <v>549</v>
      </c>
      <c r="B222" s="26">
        <v>1</v>
      </c>
      <c r="C222" s="27" t="s">
        <v>227</v>
      </c>
      <c r="D222" s="28">
        <v>0</v>
      </c>
      <c r="E222" s="29">
        <v>929743375</v>
      </c>
      <c r="F222" s="29">
        <v>1352.88</v>
      </c>
      <c r="G222" s="30">
        <v>1329</v>
      </c>
      <c r="H222" s="31">
        <v>0</v>
      </c>
      <c r="I222" s="29">
        <v>0</v>
      </c>
      <c r="J222" s="30">
        <v>0</v>
      </c>
      <c r="K222" s="29">
        <v>0</v>
      </c>
      <c r="L222" s="31">
        <v>192527.34</v>
      </c>
      <c r="M222" s="31">
        <v>192527.34</v>
      </c>
      <c r="N222" s="31">
        <v>0</v>
      </c>
      <c r="O222" s="31">
        <v>58525.9</v>
      </c>
      <c r="P222" s="31">
        <v>58525.9</v>
      </c>
      <c r="Q222" s="1">
        <f t="shared" si="41"/>
        <v>687232.69986990711</v>
      </c>
      <c r="R222" s="1">
        <f t="shared" si="42"/>
        <v>455944</v>
      </c>
      <c r="S222" s="32">
        <f t="shared" si="43"/>
        <v>0.58490278004056351</v>
      </c>
      <c r="T222" s="1">
        <f t="shared" si="44"/>
        <v>3</v>
      </c>
      <c r="U222" s="1">
        <f t="shared" si="45"/>
        <v>0</v>
      </c>
      <c r="V222" s="1">
        <f t="shared" si="46"/>
        <v>0</v>
      </c>
      <c r="W222" s="33" t="s">
        <v>60</v>
      </c>
      <c r="X222" s="6">
        <f t="shared" si="47"/>
        <v>0</v>
      </c>
      <c r="Y222" s="1">
        <f t="shared" si="48"/>
        <v>0</v>
      </c>
    </row>
    <row r="223" spans="1:25" x14ac:dyDescent="0.25">
      <c r="A223" s="26">
        <v>550</v>
      </c>
      <c r="B223" s="26">
        <v>1</v>
      </c>
      <c r="C223" s="27" t="s">
        <v>228</v>
      </c>
      <c r="D223" s="28">
        <v>0</v>
      </c>
      <c r="E223" s="29">
        <v>162983450</v>
      </c>
      <c r="F223" s="29">
        <v>316.75</v>
      </c>
      <c r="G223" s="30">
        <v>567</v>
      </c>
      <c r="H223" s="31">
        <v>0</v>
      </c>
      <c r="I223" s="29">
        <v>0</v>
      </c>
      <c r="J223" s="30">
        <v>0</v>
      </c>
      <c r="K223" s="29">
        <v>0</v>
      </c>
      <c r="L223" s="31">
        <v>67226.679999999993</v>
      </c>
      <c r="M223" s="31">
        <v>67226.679999999993</v>
      </c>
      <c r="N223" s="31">
        <v>0</v>
      </c>
      <c r="O223" s="31">
        <v>0</v>
      </c>
      <c r="P223" s="31">
        <v>0</v>
      </c>
      <c r="Q223" s="1">
        <f t="shared" si="41"/>
        <v>514549.17127071822</v>
      </c>
      <c r="R223" s="1">
        <f t="shared" si="42"/>
        <v>456511</v>
      </c>
      <c r="S223" s="32">
        <f t="shared" si="43"/>
        <v>0.58563014979711914</v>
      </c>
      <c r="T223" s="1">
        <f t="shared" si="44"/>
        <v>3</v>
      </c>
      <c r="U223" s="1">
        <f t="shared" si="45"/>
        <v>0</v>
      </c>
      <c r="V223" s="1">
        <f t="shared" si="46"/>
        <v>0</v>
      </c>
      <c r="W223" s="33" t="s">
        <v>60</v>
      </c>
      <c r="X223" s="6">
        <f t="shared" si="47"/>
        <v>0</v>
      </c>
      <c r="Y223" s="1">
        <f t="shared" si="48"/>
        <v>0</v>
      </c>
    </row>
    <row r="224" spans="1:25" x14ac:dyDescent="0.25">
      <c r="A224" s="26">
        <v>553</v>
      </c>
      <c r="B224" s="26">
        <v>1</v>
      </c>
      <c r="C224" s="27" t="s">
        <v>229</v>
      </c>
      <c r="D224" s="28">
        <v>0</v>
      </c>
      <c r="E224" s="29">
        <v>168502915</v>
      </c>
      <c r="F224" s="29">
        <v>744.13</v>
      </c>
      <c r="G224" s="30">
        <v>692</v>
      </c>
      <c r="H224" s="31">
        <v>204819.44</v>
      </c>
      <c r="I224" s="29">
        <v>185848.81</v>
      </c>
      <c r="J224" s="30">
        <v>390668.25</v>
      </c>
      <c r="K224" s="29">
        <v>46989.03</v>
      </c>
      <c r="L224" s="31">
        <v>42636.850000000006</v>
      </c>
      <c r="M224" s="31">
        <v>89625.88</v>
      </c>
      <c r="N224" s="31">
        <v>0</v>
      </c>
      <c r="O224" s="31">
        <v>0</v>
      </c>
      <c r="P224" s="31">
        <v>0</v>
      </c>
      <c r="Q224" s="1">
        <f t="shared" si="41"/>
        <v>226442.84600808998</v>
      </c>
      <c r="R224" s="1">
        <f t="shared" si="42"/>
        <v>457203</v>
      </c>
      <c r="S224" s="32">
        <f t="shared" si="43"/>
        <v>0.58651787443827696</v>
      </c>
      <c r="T224" s="1">
        <f t="shared" si="44"/>
        <v>3</v>
      </c>
      <c r="U224" s="1">
        <f t="shared" si="45"/>
        <v>564.54949421965318</v>
      </c>
      <c r="V224" s="1">
        <f t="shared" si="46"/>
        <v>295.98184971098266</v>
      </c>
      <c r="W224" s="25">
        <f t="shared" ref="W224:W254" si="51">V224/U224</f>
        <v>0.5242797181496065</v>
      </c>
      <c r="X224" s="6">
        <f t="shared" si="47"/>
        <v>110.29412161801474</v>
      </c>
      <c r="Y224" s="1">
        <f t="shared" si="48"/>
        <v>511.85818966388439</v>
      </c>
    </row>
    <row r="225" spans="1:25" x14ac:dyDescent="0.25">
      <c r="A225" s="26">
        <v>561</v>
      </c>
      <c r="B225" s="26">
        <v>1</v>
      </c>
      <c r="C225" s="27" t="s">
        <v>230</v>
      </c>
      <c r="D225" s="28">
        <v>0</v>
      </c>
      <c r="E225" s="29">
        <v>20866800</v>
      </c>
      <c r="F225" s="29">
        <v>176.62</v>
      </c>
      <c r="G225" s="30">
        <v>193</v>
      </c>
      <c r="H225" s="31">
        <v>207030.45</v>
      </c>
      <c r="I225" s="29">
        <v>119444.56</v>
      </c>
      <c r="J225" s="30">
        <v>326475.01</v>
      </c>
      <c r="K225" s="29">
        <v>12305.59</v>
      </c>
      <c r="L225" s="31">
        <v>4062.67</v>
      </c>
      <c r="M225" s="31">
        <v>16368.26</v>
      </c>
      <c r="N225" s="31">
        <v>0</v>
      </c>
      <c r="O225" s="31">
        <v>0</v>
      </c>
      <c r="P225" s="31">
        <v>0</v>
      </c>
      <c r="Q225" s="1">
        <f t="shared" si="41"/>
        <v>118145.17042237573</v>
      </c>
      <c r="R225" s="1">
        <f t="shared" si="42"/>
        <v>457396</v>
      </c>
      <c r="S225" s="32">
        <f t="shared" si="43"/>
        <v>0.58676546238010274</v>
      </c>
      <c r="T225" s="1">
        <f t="shared" si="44"/>
        <v>3</v>
      </c>
      <c r="U225" s="1">
        <f t="shared" si="45"/>
        <v>1691.5803626943007</v>
      </c>
      <c r="V225" s="1">
        <f t="shared" si="46"/>
        <v>1072.6966321243524</v>
      </c>
      <c r="W225" s="25">
        <f t="shared" si="51"/>
        <v>0.63413873545788391</v>
      </c>
      <c r="X225" s="6">
        <f t="shared" si="47"/>
        <v>572.41436156957468</v>
      </c>
      <c r="Y225" s="1">
        <f t="shared" si="48"/>
        <v>295.5167578353458</v>
      </c>
    </row>
    <row r="226" spans="1:25" x14ac:dyDescent="0.25">
      <c r="A226" s="26">
        <v>564</v>
      </c>
      <c r="B226" s="26">
        <v>1</v>
      </c>
      <c r="C226" s="27" t="s">
        <v>231</v>
      </c>
      <c r="D226" s="28">
        <v>0</v>
      </c>
      <c r="E226" s="29">
        <v>598388910</v>
      </c>
      <c r="F226" s="29">
        <v>2355.67</v>
      </c>
      <c r="G226" s="30">
        <v>1983</v>
      </c>
      <c r="H226" s="31">
        <v>775677.21000000008</v>
      </c>
      <c r="I226" s="29">
        <v>986363.95000000007</v>
      </c>
      <c r="J226" s="30">
        <v>1762041.1600000001</v>
      </c>
      <c r="K226" s="29">
        <v>110394.66</v>
      </c>
      <c r="L226" s="31">
        <v>126329.45999999999</v>
      </c>
      <c r="M226" s="31">
        <v>236724.12</v>
      </c>
      <c r="N226" s="31">
        <v>32828.839999999989</v>
      </c>
      <c r="O226" s="31">
        <v>37567.49</v>
      </c>
      <c r="P226" s="31">
        <v>70396.329999999987</v>
      </c>
      <c r="Q226" s="1">
        <f t="shared" si="41"/>
        <v>254020.68625911098</v>
      </c>
      <c r="R226" s="1">
        <f t="shared" si="42"/>
        <v>459379</v>
      </c>
      <c r="S226" s="32">
        <f t="shared" si="43"/>
        <v>0.58930933226943216</v>
      </c>
      <c r="T226" s="1">
        <f t="shared" si="44"/>
        <v>3</v>
      </c>
      <c r="U226" s="1">
        <f t="shared" si="45"/>
        <v>888.57345436207777</v>
      </c>
      <c r="V226" s="1">
        <f t="shared" si="46"/>
        <v>391.1634947049925</v>
      </c>
      <c r="W226" s="25">
        <f t="shared" si="51"/>
        <v>0.44021514798212774</v>
      </c>
      <c r="X226" s="6">
        <f t="shared" si="47"/>
        <v>164.8366026703269</v>
      </c>
      <c r="Y226" s="1">
        <f t="shared" si="48"/>
        <v>539.06319346997464</v>
      </c>
    </row>
    <row r="227" spans="1:25" x14ac:dyDescent="0.25">
      <c r="A227" s="26">
        <v>577</v>
      </c>
      <c r="B227" s="26">
        <v>1</v>
      </c>
      <c r="C227" s="27" t="s">
        <v>232</v>
      </c>
      <c r="D227" s="28">
        <v>0</v>
      </c>
      <c r="E227" s="29">
        <v>190044140</v>
      </c>
      <c r="F227" s="29">
        <v>550.47</v>
      </c>
      <c r="G227" s="30">
        <v>420</v>
      </c>
      <c r="H227" s="31">
        <v>19101.809999999998</v>
      </c>
      <c r="I227" s="29">
        <v>50433.56</v>
      </c>
      <c r="J227" s="30">
        <v>69535.37</v>
      </c>
      <c r="K227" s="29">
        <v>17019.830000000002</v>
      </c>
      <c r="L227" s="31">
        <v>44936.61</v>
      </c>
      <c r="M227" s="31">
        <v>61956.44</v>
      </c>
      <c r="N227" s="31">
        <v>6420.4000000000015</v>
      </c>
      <c r="O227" s="31">
        <v>16951.46</v>
      </c>
      <c r="P227" s="31">
        <v>23371.86</v>
      </c>
      <c r="Q227" s="1">
        <f t="shared" si="41"/>
        <v>345239.77691790648</v>
      </c>
      <c r="R227" s="1">
        <f t="shared" si="42"/>
        <v>459799</v>
      </c>
      <c r="S227" s="32">
        <f t="shared" si="43"/>
        <v>0.58984812468169556</v>
      </c>
      <c r="T227" s="1">
        <f t="shared" si="44"/>
        <v>3</v>
      </c>
      <c r="U227" s="1">
        <f t="shared" si="45"/>
        <v>165.56040476190475</v>
      </c>
      <c r="V227" s="1">
        <f t="shared" si="46"/>
        <v>45.480499999999992</v>
      </c>
      <c r="W227" s="25">
        <f t="shared" si="51"/>
        <v>0.27470638324064428</v>
      </c>
      <c r="X227" s="6">
        <f t="shared" si="47"/>
        <v>26.537813794205913</v>
      </c>
      <c r="Y227" s="1">
        <f t="shared" si="48"/>
        <v>623.86602772098763</v>
      </c>
    </row>
    <row r="228" spans="1:25" x14ac:dyDescent="0.25">
      <c r="A228" s="26">
        <v>578</v>
      </c>
      <c r="B228" s="26">
        <v>1</v>
      </c>
      <c r="C228" s="27" t="s">
        <v>233</v>
      </c>
      <c r="D228" s="28">
        <v>0</v>
      </c>
      <c r="E228" s="29">
        <v>691202000</v>
      </c>
      <c r="F228" s="29">
        <v>1833.54</v>
      </c>
      <c r="G228" s="30">
        <v>1591</v>
      </c>
      <c r="H228" s="31">
        <v>267004.45999999996</v>
      </c>
      <c r="I228" s="29">
        <v>1270675.5300000003</v>
      </c>
      <c r="J228" s="30">
        <v>1537679.9900000002</v>
      </c>
      <c r="K228" s="29">
        <v>38550.389999999985</v>
      </c>
      <c r="L228" s="31">
        <v>146759.53</v>
      </c>
      <c r="M228" s="31">
        <v>185309.91999999998</v>
      </c>
      <c r="N228" s="31">
        <v>0</v>
      </c>
      <c r="O228" s="31">
        <v>0</v>
      </c>
      <c r="P228" s="31">
        <v>0</v>
      </c>
      <c r="Q228" s="1">
        <f t="shared" si="41"/>
        <v>376976.77716330159</v>
      </c>
      <c r="R228" s="1">
        <f t="shared" si="42"/>
        <v>461390</v>
      </c>
      <c r="S228" s="32">
        <f t="shared" si="43"/>
        <v>0.59188912165291252</v>
      </c>
      <c r="T228" s="1">
        <f t="shared" si="44"/>
        <v>3</v>
      </c>
      <c r="U228" s="1">
        <f t="shared" si="45"/>
        <v>966.48648020113149</v>
      </c>
      <c r="V228" s="1">
        <f t="shared" si="46"/>
        <v>167.82178504085479</v>
      </c>
      <c r="W228" s="25">
        <f t="shared" si="51"/>
        <v>0.1736411098124519</v>
      </c>
      <c r="X228" s="6">
        <f t="shared" si="47"/>
        <v>183.83562692237584</v>
      </c>
      <c r="Y228" s="1">
        <f t="shared" si="48"/>
        <v>525.73404643117851</v>
      </c>
    </row>
    <row r="229" spans="1:25" x14ac:dyDescent="0.25">
      <c r="A229" s="26">
        <v>581</v>
      </c>
      <c r="B229" s="26">
        <v>1</v>
      </c>
      <c r="C229" s="27" t="s">
        <v>234</v>
      </c>
      <c r="D229" s="28">
        <v>0</v>
      </c>
      <c r="E229" s="29">
        <v>86366715</v>
      </c>
      <c r="F229" s="29">
        <v>258.14999999999998</v>
      </c>
      <c r="G229" s="30">
        <v>335</v>
      </c>
      <c r="H229" s="31">
        <v>53695.119999999995</v>
      </c>
      <c r="I229" s="29">
        <v>268935.58999999997</v>
      </c>
      <c r="J229" s="30">
        <v>322630.70999999996</v>
      </c>
      <c r="K229" s="29">
        <v>11384.850000000002</v>
      </c>
      <c r="L229" s="31">
        <v>26929.59</v>
      </c>
      <c r="M229" s="31">
        <v>38314.44</v>
      </c>
      <c r="N229" s="31">
        <v>1873.1599999999999</v>
      </c>
      <c r="O229" s="31">
        <v>4430.74</v>
      </c>
      <c r="P229" s="31">
        <v>6303.9</v>
      </c>
      <c r="Q229" s="1">
        <f t="shared" si="41"/>
        <v>334560.19755955844</v>
      </c>
      <c r="R229" s="1">
        <f t="shared" si="42"/>
        <v>461725</v>
      </c>
      <c r="S229" s="32">
        <f t="shared" si="43"/>
        <v>0.59231887274364647</v>
      </c>
      <c r="T229" s="1">
        <f t="shared" si="44"/>
        <v>3</v>
      </c>
      <c r="U229" s="1">
        <f t="shared" si="45"/>
        <v>963.07674626865662</v>
      </c>
      <c r="V229" s="1">
        <f t="shared" si="46"/>
        <v>160.28394029850745</v>
      </c>
      <c r="W229" s="25">
        <f t="shared" si="51"/>
        <v>0.16642904204624537</v>
      </c>
      <c r="X229" s="6">
        <f t="shared" si="47"/>
        <v>311.38800404762412</v>
      </c>
      <c r="Y229" s="1">
        <f t="shared" si="48"/>
        <v>309.28511495303536</v>
      </c>
    </row>
    <row r="230" spans="1:25" x14ac:dyDescent="0.25">
      <c r="A230" s="26">
        <v>592</v>
      </c>
      <c r="B230" s="26">
        <v>1</v>
      </c>
      <c r="C230" s="27" t="s">
        <v>235</v>
      </c>
      <c r="D230" s="28">
        <v>0</v>
      </c>
      <c r="E230" s="29">
        <v>23187725</v>
      </c>
      <c r="F230" s="29">
        <v>123.34</v>
      </c>
      <c r="G230" s="30">
        <v>135</v>
      </c>
      <c r="H230" s="31">
        <v>111186.76000000001</v>
      </c>
      <c r="I230" s="29">
        <v>127072.82</v>
      </c>
      <c r="J230" s="30">
        <v>238259.58000000002</v>
      </c>
      <c r="K230" s="29">
        <v>7087.8300000000008</v>
      </c>
      <c r="L230" s="31">
        <v>4626.71</v>
      </c>
      <c r="M230" s="31">
        <v>11714.54</v>
      </c>
      <c r="N230" s="31">
        <v>7446.8400000000011</v>
      </c>
      <c r="O230" s="31">
        <v>4861.0600000000004</v>
      </c>
      <c r="P230" s="31">
        <v>12307.900000000001</v>
      </c>
      <c r="Q230" s="1">
        <f t="shared" si="41"/>
        <v>187998.41900437814</v>
      </c>
      <c r="R230" s="1">
        <f t="shared" si="42"/>
        <v>461860</v>
      </c>
      <c r="S230" s="32">
        <f t="shared" si="43"/>
        <v>0.59249205601901689</v>
      </c>
      <c r="T230" s="1">
        <f t="shared" si="44"/>
        <v>3</v>
      </c>
      <c r="U230" s="1">
        <f t="shared" si="45"/>
        <v>1764.885777777778</v>
      </c>
      <c r="V230" s="1">
        <f t="shared" si="46"/>
        <v>823.60562962962968</v>
      </c>
      <c r="W230" s="25">
        <f t="shared" si="51"/>
        <v>0.46666228489112588</v>
      </c>
      <c r="X230" s="6">
        <f t="shared" si="47"/>
        <v>548.01762570497965</v>
      </c>
      <c r="Y230" s="1">
        <f t="shared" si="48"/>
        <v>322.04909021081164</v>
      </c>
    </row>
    <row r="231" spans="1:25" x14ac:dyDescent="0.25">
      <c r="A231" s="26">
        <v>593</v>
      </c>
      <c r="B231" s="26">
        <v>1</v>
      </c>
      <c r="C231" s="27" t="s">
        <v>236</v>
      </c>
      <c r="D231" s="28">
        <v>0</v>
      </c>
      <c r="E231" s="29">
        <v>357794100</v>
      </c>
      <c r="F231" s="29">
        <v>1505.29</v>
      </c>
      <c r="G231" s="30">
        <v>1235</v>
      </c>
      <c r="H231" s="31">
        <v>644617.56000000006</v>
      </c>
      <c r="I231" s="29">
        <v>1387523.94</v>
      </c>
      <c r="J231" s="30">
        <v>2032141.5</v>
      </c>
      <c r="K231" s="29">
        <v>55645.56</v>
      </c>
      <c r="L231" s="31">
        <v>55501.319999999992</v>
      </c>
      <c r="M231" s="31">
        <v>111146.87999999999</v>
      </c>
      <c r="N231" s="31">
        <v>41114.74</v>
      </c>
      <c r="O231" s="31">
        <v>41008.159999999996</v>
      </c>
      <c r="P231" s="31">
        <v>82122.899999999994</v>
      </c>
      <c r="Q231" s="1">
        <f t="shared" si="41"/>
        <v>237691.14257053458</v>
      </c>
      <c r="R231" s="1">
        <f t="shared" si="42"/>
        <v>463095</v>
      </c>
      <c r="S231" s="32">
        <f t="shared" si="43"/>
        <v>0.59407636227888672</v>
      </c>
      <c r="T231" s="1">
        <f t="shared" si="44"/>
        <v>3</v>
      </c>
      <c r="U231" s="1">
        <f t="shared" si="45"/>
        <v>1645.4587044534412</v>
      </c>
      <c r="V231" s="1">
        <f t="shared" si="46"/>
        <v>521.95753846153855</v>
      </c>
      <c r="W231" s="25">
        <f t="shared" si="51"/>
        <v>0.31721096193350717</v>
      </c>
      <c r="X231" s="6">
        <f t="shared" si="47"/>
        <v>387.79955846113728</v>
      </c>
      <c r="Y231" s="1">
        <f t="shared" si="48"/>
        <v>424.30649250425552</v>
      </c>
    </row>
    <row r="232" spans="1:25" x14ac:dyDescent="0.25">
      <c r="A232" s="26">
        <v>595</v>
      </c>
      <c r="B232" s="26">
        <v>1</v>
      </c>
      <c r="C232" s="27" t="s">
        <v>237</v>
      </c>
      <c r="D232" s="28">
        <v>0</v>
      </c>
      <c r="E232" s="29">
        <v>541797400</v>
      </c>
      <c r="F232" s="29">
        <v>1789.85</v>
      </c>
      <c r="G232" s="30">
        <v>1701</v>
      </c>
      <c r="H232" s="31">
        <v>408025.00000000012</v>
      </c>
      <c r="I232" s="29">
        <v>712725.37</v>
      </c>
      <c r="J232" s="30">
        <v>1120750.3700000001</v>
      </c>
      <c r="K232" s="29">
        <v>79036.78</v>
      </c>
      <c r="L232" s="31">
        <v>138058.99</v>
      </c>
      <c r="M232" s="31">
        <v>217095.77</v>
      </c>
      <c r="N232" s="31">
        <v>0</v>
      </c>
      <c r="O232" s="31">
        <v>0</v>
      </c>
      <c r="P232" s="31">
        <v>0</v>
      </c>
      <c r="Q232" s="1">
        <f t="shared" si="41"/>
        <v>302705.47811269102</v>
      </c>
      <c r="R232" s="1">
        <f t="shared" si="42"/>
        <v>464796</v>
      </c>
      <c r="S232" s="32">
        <f t="shared" si="43"/>
        <v>0.5962584715485536</v>
      </c>
      <c r="T232" s="1">
        <f t="shared" si="44"/>
        <v>3</v>
      </c>
      <c r="U232" s="1">
        <f t="shared" si="45"/>
        <v>658.87734861845979</v>
      </c>
      <c r="V232" s="1">
        <f t="shared" si="46"/>
        <v>239.87360376249271</v>
      </c>
      <c r="W232" s="25">
        <f t="shared" si="51"/>
        <v>0.36406412250392572</v>
      </c>
      <c r="X232" s="6">
        <f t="shared" si="47"/>
        <v>131.54831861503948</v>
      </c>
      <c r="Y232" s="1">
        <f t="shared" si="48"/>
        <v>500.86337518808284</v>
      </c>
    </row>
    <row r="233" spans="1:25" x14ac:dyDescent="0.25">
      <c r="A233" s="26">
        <v>599</v>
      </c>
      <c r="B233" s="26">
        <v>1</v>
      </c>
      <c r="C233" s="27" t="s">
        <v>238</v>
      </c>
      <c r="D233" s="28">
        <v>0</v>
      </c>
      <c r="E233" s="29">
        <v>137669400</v>
      </c>
      <c r="F233" s="29">
        <v>456.02</v>
      </c>
      <c r="G233" s="30">
        <v>455</v>
      </c>
      <c r="H233" s="31">
        <v>116759</v>
      </c>
      <c r="I233" s="29">
        <v>430465</v>
      </c>
      <c r="J233" s="30">
        <v>547224</v>
      </c>
      <c r="K233" s="29">
        <v>17642.540000000005</v>
      </c>
      <c r="L233" s="31">
        <v>30591.399999999998</v>
      </c>
      <c r="M233" s="31">
        <v>48233.94</v>
      </c>
      <c r="N233" s="31">
        <v>5530.4399999999987</v>
      </c>
      <c r="O233" s="31">
        <v>9589.5299999999988</v>
      </c>
      <c r="P233" s="31">
        <v>15119.969999999998</v>
      </c>
      <c r="Q233" s="1">
        <f t="shared" si="41"/>
        <v>301893.33801149076</v>
      </c>
      <c r="R233" s="1">
        <f t="shared" si="42"/>
        <v>465251</v>
      </c>
      <c r="S233" s="32">
        <f t="shared" si="43"/>
        <v>0.5968421633285057</v>
      </c>
      <c r="T233" s="1">
        <f t="shared" si="44"/>
        <v>3</v>
      </c>
      <c r="U233" s="1">
        <f t="shared" si="45"/>
        <v>1202.6901098901099</v>
      </c>
      <c r="V233" s="1">
        <f t="shared" si="46"/>
        <v>256.61318681318681</v>
      </c>
      <c r="W233" s="25">
        <f t="shared" si="51"/>
        <v>0.21336600733885941</v>
      </c>
      <c r="X233" s="6">
        <f t="shared" si="47"/>
        <v>312.6802324990158</v>
      </c>
      <c r="Y233" s="1">
        <f t="shared" si="48"/>
        <v>384.63899693239978</v>
      </c>
    </row>
    <row r="234" spans="1:25" x14ac:dyDescent="0.25">
      <c r="A234" s="26">
        <v>600</v>
      </c>
      <c r="B234" s="26">
        <v>1</v>
      </c>
      <c r="C234" s="27" t="s">
        <v>239</v>
      </c>
      <c r="D234" s="28">
        <v>0</v>
      </c>
      <c r="E234" s="29">
        <v>45077900</v>
      </c>
      <c r="F234" s="29">
        <v>162.76</v>
      </c>
      <c r="G234" s="30">
        <v>121</v>
      </c>
      <c r="H234" s="31">
        <v>119610.02</v>
      </c>
      <c r="I234" s="29">
        <v>26873.98</v>
      </c>
      <c r="J234" s="30">
        <v>146484</v>
      </c>
      <c r="K234" s="29">
        <v>5416.52</v>
      </c>
      <c r="L234" s="31">
        <v>7536.93</v>
      </c>
      <c r="M234" s="31">
        <v>12953.45</v>
      </c>
      <c r="N234" s="31">
        <v>971.3900000000001</v>
      </c>
      <c r="O234" s="31">
        <v>1351.6499999999999</v>
      </c>
      <c r="P234" s="31">
        <v>2323.04</v>
      </c>
      <c r="Q234" s="1">
        <f t="shared" si="41"/>
        <v>276959.32661587617</v>
      </c>
      <c r="R234" s="1">
        <f t="shared" si="42"/>
        <v>465372</v>
      </c>
      <c r="S234" s="32">
        <f t="shared" si="43"/>
        <v>0.59699738685680059</v>
      </c>
      <c r="T234" s="1">
        <f t="shared" si="44"/>
        <v>3</v>
      </c>
      <c r="U234" s="1">
        <f t="shared" si="45"/>
        <v>1210.611570247934</v>
      </c>
      <c r="V234" s="1">
        <f t="shared" si="46"/>
        <v>988.51256198347107</v>
      </c>
      <c r="W234" s="25">
        <f t="shared" si="51"/>
        <v>0.81653982687529003</v>
      </c>
      <c r="X234" s="6">
        <f t="shared" si="47"/>
        <v>59.616752333183214</v>
      </c>
      <c r="Y234" s="1">
        <f t="shared" si="48"/>
        <v>2030.6566910624831</v>
      </c>
    </row>
    <row r="235" spans="1:25" x14ac:dyDescent="0.25">
      <c r="A235" s="26">
        <v>601</v>
      </c>
      <c r="B235" s="26">
        <v>1</v>
      </c>
      <c r="C235" s="27" t="s">
        <v>240</v>
      </c>
      <c r="D235" s="28">
        <v>0</v>
      </c>
      <c r="E235" s="29">
        <v>144808800</v>
      </c>
      <c r="F235" s="29">
        <v>652.03</v>
      </c>
      <c r="G235" s="30">
        <v>646</v>
      </c>
      <c r="H235" s="31">
        <v>243466.88</v>
      </c>
      <c r="I235" s="29">
        <v>212954.12</v>
      </c>
      <c r="J235" s="30">
        <v>456421</v>
      </c>
      <c r="K235" s="29">
        <v>43530.71</v>
      </c>
      <c r="L235" s="31">
        <v>38075.18</v>
      </c>
      <c r="M235" s="31">
        <v>81605.89</v>
      </c>
      <c r="N235" s="31">
        <v>0</v>
      </c>
      <c r="O235" s="31">
        <v>0</v>
      </c>
      <c r="P235" s="31">
        <v>0</v>
      </c>
      <c r="Q235" s="1">
        <f t="shared" si="41"/>
        <v>222089.16767633392</v>
      </c>
      <c r="R235" s="1">
        <f t="shared" si="42"/>
        <v>466018</v>
      </c>
      <c r="S235" s="32">
        <f t="shared" si="43"/>
        <v>0.59782610090042487</v>
      </c>
      <c r="T235" s="1">
        <f t="shared" si="44"/>
        <v>3</v>
      </c>
      <c r="U235" s="1">
        <f t="shared" si="45"/>
        <v>706.53405572755423</v>
      </c>
      <c r="V235" s="1">
        <f t="shared" si="46"/>
        <v>376.88371517027866</v>
      </c>
      <c r="W235" s="25">
        <f t="shared" si="51"/>
        <v>0.53342611317183042</v>
      </c>
      <c r="X235" s="6">
        <f t="shared" si="47"/>
        <v>147.05882515427237</v>
      </c>
      <c r="Y235" s="1">
        <f t="shared" si="48"/>
        <v>480.44315258629541</v>
      </c>
    </row>
    <row r="236" spans="1:25" x14ac:dyDescent="0.25">
      <c r="A236" s="26">
        <v>611</v>
      </c>
      <c r="B236" s="26">
        <v>1</v>
      </c>
      <c r="C236" s="27" t="s">
        <v>241</v>
      </c>
      <c r="D236" s="28">
        <v>0</v>
      </c>
      <c r="E236" s="29">
        <v>29188570</v>
      </c>
      <c r="F236" s="29">
        <v>41.58</v>
      </c>
      <c r="G236" s="30">
        <v>36</v>
      </c>
      <c r="H236" s="31">
        <v>25963.609999999997</v>
      </c>
      <c r="I236" s="29">
        <v>20276.679999999997</v>
      </c>
      <c r="J236" s="30">
        <v>46240.289999999994</v>
      </c>
      <c r="K236" s="29">
        <v>0</v>
      </c>
      <c r="L236" s="31">
        <v>3872.48</v>
      </c>
      <c r="M236" s="31">
        <v>3872.48</v>
      </c>
      <c r="N236" s="31">
        <v>0</v>
      </c>
      <c r="O236" s="31">
        <v>449.86</v>
      </c>
      <c r="P236" s="31">
        <v>449.86</v>
      </c>
      <c r="Q236" s="1">
        <f t="shared" si="41"/>
        <v>701985.81048581051</v>
      </c>
      <c r="R236" s="1">
        <f t="shared" si="42"/>
        <v>466054</v>
      </c>
      <c r="S236" s="32">
        <f t="shared" si="43"/>
        <v>0.59787228310719032</v>
      </c>
      <c r="T236" s="1">
        <f t="shared" si="44"/>
        <v>3</v>
      </c>
      <c r="U236" s="1">
        <f t="shared" si="45"/>
        <v>1284.4524999999999</v>
      </c>
      <c r="V236" s="1">
        <f t="shared" si="46"/>
        <v>721.21138888888879</v>
      </c>
      <c r="W236" s="25">
        <f t="shared" si="51"/>
        <v>0.56149323457962741</v>
      </c>
      <c r="X236" s="6">
        <f t="shared" si="47"/>
        <v>69.467877323212463</v>
      </c>
      <c r="Y236" s="1">
        <f t="shared" si="48"/>
        <v>1848.9876896969822</v>
      </c>
    </row>
    <row r="237" spans="1:25" x14ac:dyDescent="0.25">
      <c r="A237" s="26">
        <v>621</v>
      </c>
      <c r="B237" s="26">
        <v>1</v>
      </c>
      <c r="C237" s="27" t="s">
        <v>242</v>
      </c>
      <c r="D237" s="28">
        <v>1</v>
      </c>
      <c r="E237" s="29">
        <v>8223049800</v>
      </c>
      <c r="F237" s="29">
        <v>11592.25</v>
      </c>
      <c r="G237" s="30">
        <v>9948</v>
      </c>
      <c r="H237" s="31">
        <v>3266.9400000013411</v>
      </c>
      <c r="I237" s="29">
        <v>17646397.379999999</v>
      </c>
      <c r="J237" s="30">
        <v>17649664.32</v>
      </c>
      <c r="K237" s="29">
        <v>0</v>
      </c>
      <c r="L237" s="31">
        <v>899211.7</v>
      </c>
      <c r="M237" s="31">
        <v>899211.7</v>
      </c>
      <c r="N237" s="31">
        <v>0</v>
      </c>
      <c r="O237" s="31">
        <v>67494.960000000006</v>
      </c>
      <c r="P237" s="31">
        <v>67494.960000000006</v>
      </c>
      <c r="Q237" s="1">
        <f t="shared" si="41"/>
        <v>709357.52765856497</v>
      </c>
      <c r="R237" s="1">
        <f t="shared" si="42"/>
        <v>476002</v>
      </c>
      <c r="S237" s="32">
        <f t="shared" si="43"/>
        <v>0.61063396624337263</v>
      </c>
      <c r="T237" s="1">
        <f t="shared" si="44"/>
        <v>4</v>
      </c>
      <c r="U237" s="1">
        <f t="shared" si="45"/>
        <v>1774.1922316043426</v>
      </c>
      <c r="V237" s="1">
        <f t="shared" si="46"/>
        <v>0.32840168878179948</v>
      </c>
      <c r="W237" s="25">
        <f t="shared" si="51"/>
        <v>1.850992710552209E-4</v>
      </c>
      <c r="X237" s="6">
        <f t="shared" si="47"/>
        <v>214.59674706092619</v>
      </c>
      <c r="Y237" s="1">
        <f t="shared" si="48"/>
        <v>826.75634924728456</v>
      </c>
    </row>
    <row r="238" spans="1:25" x14ac:dyDescent="0.25">
      <c r="A238" s="26">
        <v>622</v>
      </c>
      <c r="B238" s="26">
        <v>1</v>
      </c>
      <c r="C238" s="27" t="s">
        <v>243</v>
      </c>
      <c r="D238" s="28">
        <v>1</v>
      </c>
      <c r="E238" s="29">
        <v>7100019400</v>
      </c>
      <c r="F238" s="29">
        <v>12728.25</v>
      </c>
      <c r="G238" s="30">
        <v>10658</v>
      </c>
      <c r="H238" s="31">
        <v>9989.4499999992549</v>
      </c>
      <c r="I238" s="29">
        <v>10592897.370000001</v>
      </c>
      <c r="J238" s="30">
        <v>10602886.82</v>
      </c>
      <c r="K238" s="29">
        <v>0</v>
      </c>
      <c r="L238" s="31">
        <v>1566325</v>
      </c>
      <c r="M238" s="31">
        <v>1566325</v>
      </c>
      <c r="N238" s="31">
        <v>0</v>
      </c>
      <c r="O238" s="31">
        <v>158762.69999999998</v>
      </c>
      <c r="P238" s="31">
        <v>158762.69999999998</v>
      </c>
      <c r="Q238" s="1">
        <f t="shared" si="41"/>
        <v>557815.83485553786</v>
      </c>
      <c r="R238" s="1">
        <f t="shared" si="42"/>
        <v>486660</v>
      </c>
      <c r="S238" s="32">
        <f t="shared" si="43"/>
        <v>0.62430646512409549</v>
      </c>
      <c r="T238" s="1">
        <f t="shared" si="44"/>
        <v>4</v>
      </c>
      <c r="U238" s="1">
        <f t="shared" si="45"/>
        <v>994.82893788703325</v>
      </c>
      <c r="V238" s="1">
        <f t="shared" si="46"/>
        <v>0.9372724713829288</v>
      </c>
      <c r="W238" s="25">
        <f t="shared" si="51"/>
        <v>9.4214435837949037E-4</v>
      </c>
      <c r="X238" s="6">
        <f t="shared" si="47"/>
        <v>149.19532994515481</v>
      </c>
      <c r="Y238" s="1">
        <f t="shared" si="48"/>
        <v>666.7962986862517</v>
      </c>
    </row>
    <row r="239" spans="1:25" x14ac:dyDescent="0.25">
      <c r="A239" s="26">
        <v>623</v>
      </c>
      <c r="B239" s="26">
        <v>1</v>
      </c>
      <c r="C239" s="27" t="s">
        <v>244</v>
      </c>
      <c r="D239" s="28">
        <v>1</v>
      </c>
      <c r="E239" s="29">
        <v>5422616400</v>
      </c>
      <c r="F239" s="29">
        <v>7331.25</v>
      </c>
      <c r="G239" s="30">
        <v>7010</v>
      </c>
      <c r="H239" s="31">
        <v>4192.230000000447</v>
      </c>
      <c r="I239" s="29">
        <v>11542526.52</v>
      </c>
      <c r="J239" s="30">
        <v>11546718.75</v>
      </c>
      <c r="K239" s="29">
        <v>0</v>
      </c>
      <c r="L239" s="31">
        <v>682643.05</v>
      </c>
      <c r="M239" s="31">
        <v>682643.05</v>
      </c>
      <c r="N239" s="31">
        <v>0</v>
      </c>
      <c r="O239" s="31">
        <v>183919.54</v>
      </c>
      <c r="P239" s="31">
        <v>183919.54</v>
      </c>
      <c r="Q239" s="1">
        <f t="shared" si="41"/>
        <v>739657.82097186695</v>
      </c>
      <c r="R239" s="1">
        <f t="shared" si="42"/>
        <v>493670</v>
      </c>
      <c r="S239" s="32">
        <f t="shared" si="43"/>
        <v>0.63329916705258749</v>
      </c>
      <c r="T239" s="1">
        <f t="shared" si="44"/>
        <v>4</v>
      </c>
      <c r="U239" s="1">
        <f t="shared" si="45"/>
        <v>1647.1781383737518</v>
      </c>
      <c r="V239" s="1">
        <f t="shared" si="46"/>
        <v>0.59803566333815217</v>
      </c>
      <c r="W239" s="25">
        <f t="shared" si="51"/>
        <v>3.6306678033536121E-4</v>
      </c>
      <c r="X239" s="6">
        <f t="shared" si="47"/>
        <v>212.85899035749608</v>
      </c>
      <c r="Y239" s="1">
        <f t="shared" si="48"/>
        <v>773.83536190194309</v>
      </c>
    </row>
    <row r="240" spans="1:25" x14ac:dyDescent="0.25">
      <c r="A240" s="26">
        <v>624</v>
      </c>
      <c r="B240" s="26">
        <v>1</v>
      </c>
      <c r="C240" s="27" t="s">
        <v>245</v>
      </c>
      <c r="D240" s="28">
        <v>1</v>
      </c>
      <c r="E240" s="29">
        <v>6497742000</v>
      </c>
      <c r="F240" s="29">
        <v>9419.89</v>
      </c>
      <c r="G240" s="30">
        <v>8028</v>
      </c>
      <c r="H240" s="31">
        <v>16223.570000000298</v>
      </c>
      <c r="I240" s="29">
        <v>14844123.900000002</v>
      </c>
      <c r="J240" s="30">
        <v>14860347.470000003</v>
      </c>
      <c r="K240" s="29">
        <v>0</v>
      </c>
      <c r="L240" s="31">
        <v>672824.69</v>
      </c>
      <c r="M240" s="31">
        <v>672824.69</v>
      </c>
      <c r="N240" s="31">
        <v>0</v>
      </c>
      <c r="O240" s="31">
        <v>113649.06999999999</v>
      </c>
      <c r="P240" s="31">
        <v>113649.06999999999</v>
      </c>
      <c r="Q240" s="1">
        <f t="shared" si="41"/>
        <v>689789.58353016863</v>
      </c>
      <c r="R240" s="1">
        <f t="shared" si="42"/>
        <v>501698</v>
      </c>
      <c r="S240" s="32">
        <f t="shared" si="43"/>
        <v>0.6435977991612799</v>
      </c>
      <c r="T240" s="1">
        <f t="shared" si="44"/>
        <v>4</v>
      </c>
      <c r="U240" s="1">
        <f t="shared" si="45"/>
        <v>1851.0647072745394</v>
      </c>
      <c r="V240" s="1">
        <f t="shared" si="46"/>
        <v>2.0208731938216613</v>
      </c>
      <c r="W240" s="25">
        <f t="shared" si="51"/>
        <v>1.0917355756823561E-3</v>
      </c>
      <c r="X240" s="6">
        <f t="shared" si="47"/>
        <v>228.45049711115036</v>
      </c>
      <c r="Y240" s="1">
        <f t="shared" si="48"/>
        <v>810.26950288224668</v>
      </c>
    </row>
    <row r="241" spans="1:25" x14ac:dyDescent="0.25">
      <c r="A241" s="26">
        <v>625</v>
      </c>
      <c r="B241" s="26">
        <v>1</v>
      </c>
      <c r="C241" s="27" t="s">
        <v>246</v>
      </c>
      <c r="D241" s="28">
        <v>1</v>
      </c>
      <c r="E241" s="29">
        <v>19967461200</v>
      </c>
      <c r="F241" s="29">
        <v>51387.64</v>
      </c>
      <c r="G241" s="30">
        <v>37849</v>
      </c>
      <c r="H241" s="31">
        <v>6088468.0199999996</v>
      </c>
      <c r="I241" s="29">
        <v>27057587.530000001</v>
      </c>
      <c r="J241" s="30">
        <v>33146055.550000001</v>
      </c>
      <c r="K241" s="29">
        <v>365203.34000000008</v>
      </c>
      <c r="L241" s="31">
        <v>1622989.8</v>
      </c>
      <c r="M241" s="31">
        <v>1988193.1400000001</v>
      </c>
      <c r="N241" s="31">
        <v>1787504.8200000003</v>
      </c>
      <c r="O241" s="31">
        <v>7943799.3000000007</v>
      </c>
      <c r="P241" s="31">
        <v>9731304.120000001</v>
      </c>
      <c r="Q241" s="1">
        <f t="shared" si="41"/>
        <v>388565.4449202182</v>
      </c>
      <c r="R241" s="1">
        <f t="shared" si="42"/>
        <v>539547</v>
      </c>
      <c r="S241" s="32">
        <f t="shared" si="43"/>
        <v>0.69215197537975248</v>
      </c>
      <c r="T241" s="1">
        <f t="shared" si="44"/>
        <v>4</v>
      </c>
      <c r="U241" s="1">
        <f t="shared" si="45"/>
        <v>875.74455203572086</v>
      </c>
      <c r="V241" s="1">
        <f t="shared" si="46"/>
        <v>160.86205765013605</v>
      </c>
      <c r="W241" s="25">
        <f t="shared" si="51"/>
        <v>0.18368605008869598</v>
      </c>
      <c r="X241" s="6">
        <f t="shared" si="47"/>
        <v>135.50840168904398</v>
      </c>
      <c r="Y241" s="1">
        <f t="shared" si="48"/>
        <v>646.26587069141556</v>
      </c>
    </row>
    <row r="242" spans="1:25" x14ac:dyDescent="0.25">
      <c r="A242" s="26">
        <v>627</v>
      </c>
      <c r="B242" s="26">
        <v>1</v>
      </c>
      <c r="C242" s="27" t="s">
        <v>247</v>
      </c>
      <c r="D242" s="28">
        <v>0</v>
      </c>
      <c r="E242" s="29">
        <v>63070155</v>
      </c>
      <c r="F242" s="29">
        <v>212.46</v>
      </c>
      <c r="G242" s="30">
        <v>208</v>
      </c>
      <c r="H242" s="31">
        <v>73937.63</v>
      </c>
      <c r="I242" s="29">
        <v>138522.37</v>
      </c>
      <c r="J242" s="30">
        <v>212460</v>
      </c>
      <c r="K242" s="29">
        <v>9178.7200000000012</v>
      </c>
      <c r="L242" s="31">
        <v>15209.96</v>
      </c>
      <c r="M242" s="31">
        <v>24388.68</v>
      </c>
      <c r="N242" s="31">
        <v>1788.0999999999995</v>
      </c>
      <c r="O242" s="31">
        <v>2963.04</v>
      </c>
      <c r="P242" s="31">
        <v>4751.1399999999994</v>
      </c>
      <c r="Q242" s="1">
        <f t="shared" si="41"/>
        <v>296856.60830273933</v>
      </c>
      <c r="R242" s="1">
        <f t="shared" si="42"/>
        <v>539755</v>
      </c>
      <c r="S242" s="32">
        <f t="shared" si="43"/>
        <v>0.69241880590773053</v>
      </c>
      <c r="T242" s="1">
        <f t="shared" si="44"/>
        <v>4</v>
      </c>
      <c r="U242" s="1">
        <f t="shared" si="45"/>
        <v>1021.4423076923077</v>
      </c>
      <c r="V242" s="1">
        <f t="shared" si="46"/>
        <v>355.46937500000001</v>
      </c>
      <c r="W242" s="25">
        <f t="shared" si="51"/>
        <v>0.34800729549091591</v>
      </c>
      <c r="X242" s="6">
        <f t="shared" si="47"/>
        <v>219.63220163324476</v>
      </c>
      <c r="Y242" s="1">
        <f t="shared" si="48"/>
        <v>465.06946617872291</v>
      </c>
    </row>
    <row r="243" spans="1:25" x14ac:dyDescent="0.25">
      <c r="A243" s="26">
        <v>628</v>
      </c>
      <c r="B243" s="26">
        <v>1</v>
      </c>
      <c r="C243" s="27" t="s">
        <v>248</v>
      </c>
      <c r="D243" s="28">
        <v>0</v>
      </c>
      <c r="E243" s="29">
        <v>73051475</v>
      </c>
      <c r="F243" s="29">
        <v>185.21</v>
      </c>
      <c r="G243" s="30">
        <v>172</v>
      </c>
      <c r="H243" s="31">
        <v>22218.360000000015</v>
      </c>
      <c r="I243" s="29">
        <v>217302.62</v>
      </c>
      <c r="J243" s="30">
        <v>239520.98</v>
      </c>
      <c r="K243" s="29">
        <v>2844.9799999999996</v>
      </c>
      <c r="L243" s="31">
        <v>13755.86</v>
      </c>
      <c r="M243" s="31">
        <v>16600.84</v>
      </c>
      <c r="N243" s="31">
        <v>0</v>
      </c>
      <c r="O243" s="31">
        <v>0</v>
      </c>
      <c r="P243" s="31">
        <v>0</v>
      </c>
      <c r="Q243" s="1">
        <f t="shared" si="41"/>
        <v>394425.11203498731</v>
      </c>
      <c r="R243" s="1">
        <f t="shared" si="42"/>
        <v>539927</v>
      </c>
      <c r="S243" s="32">
        <f t="shared" si="43"/>
        <v>0.69263945422894313</v>
      </c>
      <c r="T243" s="1">
        <f t="shared" si="44"/>
        <v>4</v>
      </c>
      <c r="U243" s="1">
        <f t="shared" si="45"/>
        <v>1392.5638372093024</v>
      </c>
      <c r="V243" s="1">
        <f t="shared" si="46"/>
        <v>129.17651162790708</v>
      </c>
      <c r="W243" s="25">
        <f t="shared" si="51"/>
        <v>9.2761644512309588E-2</v>
      </c>
      <c r="X243" s="6">
        <f t="shared" si="47"/>
        <v>297.46506829602004</v>
      </c>
      <c r="Y243" s="1">
        <f t="shared" si="48"/>
        <v>468.14365303004359</v>
      </c>
    </row>
    <row r="244" spans="1:25" x14ac:dyDescent="0.25">
      <c r="A244" s="26">
        <v>630</v>
      </c>
      <c r="B244" s="26">
        <v>1</v>
      </c>
      <c r="C244" s="27" t="s">
        <v>249</v>
      </c>
      <c r="D244" s="28">
        <v>0</v>
      </c>
      <c r="E244" s="29">
        <v>64424400</v>
      </c>
      <c r="F244" s="29">
        <v>431.37</v>
      </c>
      <c r="G244" s="30">
        <v>383</v>
      </c>
      <c r="H244" s="31">
        <v>380702.22</v>
      </c>
      <c r="I244" s="29">
        <v>309489.78000000003</v>
      </c>
      <c r="J244" s="30">
        <v>690192</v>
      </c>
      <c r="K244" s="29">
        <v>21928.17</v>
      </c>
      <c r="L244" s="31">
        <v>10025.769999999999</v>
      </c>
      <c r="M244" s="31">
        <v>31953.939999999995</v>
      </c>
      <c r="N244" s="31">
        <v>0</v>
      </c>
      <c r="O244" s="31">
        <v>0</v>
      </c>
      <c r="P244" s="31">
        <v>0</v>
      </c>
      <c r="Q244" s="1">
        <f t="shared" si="41"/>
        <v>149348.35524028097</v>
      </c>
      <c r="R244" s="1">
        <f t="shared" si="42"/>
        <v>540310</v>
      </c>
      <c r="S244" s="32">
        <f t="shared" si="43"/>
        <v>0.69313078159536434</v>
      </c>
      <c r="T244" s="1">
        <f t="shared" si="44"/>
        <v>4</v>
      </c>
      <c r="U244" s="1">
        <f t="shared" si="45"/>
        <v>1802.0678851174935</v>
      </c>
      <c r="V244" s="1">
        <f t="shared" si="46"/>
        <v>994.00057441253261</v>
      </c>
      <c r="W244" s="25">
        <f t="shared" si="51"/>
        <v>0.55158886222964043</v>
      </c>
      <c r="X244" s="6">
        <f t="shared" si="47"/>
        <v>480.39218060238051</v>
      </c>
      <c r="Y244" s="1">
        <f t="shared" si="48"/>
        <v>375.12431673176229</v>
      </c>
    </row>
    <row r="245" spans="1:25" x14ac:dyDescent="0.25">
      <c r="A245" s="26">
        <v>635</v>
      </c>
      <c r="B245" s="26">
        <v>1</v>
      </c>
      <c r="C245" s="27" t="s">
        <v>250</v>
      </c>
      <c r="D245" s="28">
        <v>0</v>
      </c>
      <c r="E245" s="29">
        <v>29173700</v>
      </c>
      <c r="F245" s="29">
        <v>114.84</v>
      </c>
      <c r="G245" s="30">
        <v>67</v>
      </c>
      <c r="H245" s="31">
        <v>41954.460000000021</v>
      </c>
      <c r="I245" s="29">
        <v>142298.28</v>
      </c>
      <c r="J245" s="30">
        <v>184252.74000000002</v>
      </c>
      <c r="K245" s="29">
        <v>1854.79</v>
      </c>
      <c r="L245" s="31">
        <v>2122.83</v>
      </c>
      <c r="M245" s="31">
        <v>3977.62</v>
      </c>
      <c r="N245" s="31">
        <v>497.97000000000014</v>
      </c>
      <c r="O245" s="31">
        <v>569.92999999999995</v>
      </c>
      <c r="P245" s="31">
        <v>1067.9000000000001</v>
      </c>
      <c r="Q245" s="1">
        <f t="shared" si="41"/>
        <v>254037.79171020549</v>
      </c>
      <c r="R245" s="1">
        <f t="shared" si="42"/>
        <v>540377</v>
      </c>
      <c r="S245" s="32">
        <f t="shared" si="43"/>
        <v>0.69321673181351118</v>
      </c>
      <c r="T245" s="1">
        <f t="shared" si="44"/>
        <v>4</v>
      </c>
      <c r="U245" s="1">
        <f t="shared" si="45"/>
        <v>2750.0408955223884</v>
      </c>
      <c r="V245" s="1">
        <f t="shared" si="46"/>
        <v>626.18597014925399</v>
      </c>
      <c r="W245" s="25">
        <f t="shared" si="51"/>
        <v>0.22770060298696243</v>
      </c>
      <c r="X245" s="6">
        <f t="shared" si="47"/>
        <v>487.76219677312099</v>
      </c>
      <c r="Y245" s="1">
        <f t="shared" si="48"/>
        <v>563.80771484870729</v>
      </c>
    </row>
    <row r="246" spans="1:25" x14ac:dyDescent="0.25">
      <c r="A246" s="26">
        <v>640</v>
      </c>
      <c r="B246" s="26">
        <v>1</v>
      </c>
      <c r="C246" s="27" t="s">
        <v>251</v>
      </c>
      <c r="D246" s="28">
        <v>0</v>
      </c>
      <c r="E246" s="29">
        <v>84657800</v>
      </c>
      <c r="F246" s="29">
        <v>386.78</v>
      </c>
      <c r="G246" s="30">
        <v>360</v>
      </c>
      <c r="H246" s="31">
        <v>168219.02000000002</v>
      </c>
      <c r="I246" s="29">
        <v>218560.97999999998</v>
      </c>
      <c r="J246" s="30">
        <v>386780</v>
      </c>
      <c r="K246" s="29">
        <v>24029.91</v>
      </c>
      <c r="L246" s="31">
        <v>20455.8</v>
      </c>
      <c r="M246" s="31">
        <v>44485.71</v>
      </c>
      <c r="N246" s="31">
        <v>3643.9600000000005</v>
      </c>
      <c r="O246" s="31">
        <v>3101.97</v>
      </c>
      <c r="P246" s="31">
        <v>6745.93</v>
      </c>
      <c r="Q246" s="1">
        <f t="shared" si="41"/>
        <v>218878.43218367032</v>
      </c>
      <c r="R246" s="1">
        <f t="shared" si="42"/>
        <v>540737</v>
      </c>
      <c r="S246" s="32">
        <f t="shared" si="43"/>
        <v>0.6936785538811655</v>
      </c>
      <c r="T246" s="1">
        <f t="shared" si="44"/>
        <v>4</v>
      </c>
      <c r="U246" s="1">
        <f t="shared" si="45"/>
        <v>1074.3888888888889</v>
      </c>
      <c r="V246" s="1">
        <f t="shared" si="46"/>
        <v>467.27505555555558</v>
      </c>
      <c r="W246" s="25">
        <f t="shared" si="51"/>
        <v>0.43492171260147888</v>
      </c>
      <c r="X246" s="6">
        <f t="shared" si="47"/>
        <v>258.16992645686514</v>
      </c>
      <c r="Y246" s="1">
        <f t="shared" si="48"/>
        <v>416.15570939413703</v>
      </c>
    </row>
    <row r="247" spans="1:25" x14ac:dyDescent="0.25">
      <c r="A247" s="26">
        <v>656</v>
      </c>
      <c r="B247" s="26">
        <v>1</v>
      </c>
      <c r="C247" s="27" t="s">
        <v>252</v>
      </c>
      <c r="D247" s="28">
        <v>0</v>
      </c>
      <c r="E247" s="29">
        <v>2028457100</v>
      </c>
      <c r="F247" s="29">
        <v>5073.7299999999996</v>
      </c>
      <c r="G247" s="30">
        <v>3701</v>
      </c>
      <c r="H247" s="31">
        <v>312722.20000000019</v>
      </c>
      <c r="I247" s="29">
        <v>1640663.85</v>
      </c>
      <c r="J247" s="30">
        <v>1953386.0500000003</v>
      </c>
      <c r="K247" s="29">
        <v>79843.729999999981</v>
      </c>
      <c r="L247" s="31">
        <v>418891.68000000005</v>
      </c>
      <c r="M247" s="31">
        <v>498735.41000000003</v>
      </c>
      <c r="N247" s="31">
        <v>8101.2900000000009</v>
      </c>
      <c r="O247" s="31">
        <v>42502.53</v>
      </c>
      <c r="P247" s="31">
        <v>50603.82</v>
      </c>
      <c r="Q247" s="1">
        <f t="shared" si="41"/>
        <v>399796.02777443815</v>
      </c>
      <c r="R247" s="1">
        <f t="shared" si="42"/>
        <v>544438</v>
      </c>
      <c r="S247" s="32">
        <f t="shared" si="43"/>
        <v>0.69842634130446779</v>
      </c>
      <c r="T247" s="1">
        <f t="shared" si="44"/>
        <v>4</v>
      </c>
      <c r="U247" s="1">
        <f t="shared" si="45"/>
        <v>527.79952715482307</v>
      </c>
      <c r="V247" s="1">
        <f t="shared" si="46"/>
        <v>84.496676573898995</v>
      </c>
      <c r="W247" s="25">
        <f t="shared" si="51"/>
        <v>0.16009236883820285</v>
      </c>
      <c r="X247" s="6">
        <f t="shared" si="47"/>
        <v>80.882353883648804</v>
      </c>
      <c r="Y247" s="1">
        <f t="shared" si="48"/>
        <v>652.55213506035602</v>
      </c>
    </row>
    <row r="248" spans="1:25" x14ac:dyDescent="0.25">
      <c r="A248" s="26">
        <v>659</v>
      </c>
      <c r="B248" s="26">
        <v>1</v>
      </c>
      <c r="C248" s="27" t="s">
        <v>253</v>
      </c>
      <c r="D248" s="28">
        <v>0</v>
      </c>
      <c r="E248" s="29">
        <v>2076773400</v>
      </c>
      <c r="F248" s="29">
        <v>4318.63</v>
      </c>
      <c r="G248" s="30">
        <v>3655</v>
      </c>
      <c r="H248" s="31">
        <v>40694.360000000335</v>
      </c>
      <c r="I248" s="29">
        <v>6875116.540000001</v>
      </c>
      <c r="J248" s="30">
        <v>6915810.9000000013</v>
      </c>
      <c r="K248" s="29">
        <v>0</v>
      </c>
      <c r="L248" s="31">
        <v>302452.39</v>
      </c>
      <c r="M248" s="31">
        <v>302452.39</v>
      </c>
      <c r="N248" s="31">
        <v>0</v>
      </c>
      <c r="O248" s="31">
        <v>0</v>
      </c>
      <c r="P248" s="31">
        <v>0</v>
      </c>
      <c r="Q248" s="1">
        <f t="shared" ref="Q248:Q311" si="52">IF(F248=0,0,E248/F248)</f>
        <v>480887.0868770883</v>
      </c>
      <c r="R248" s="1">
        <f t="shared" ref="R248:R311" si="53">R247+G248</f>
        <v>548093</v>
      </c>
      <c r="S248" s="32">
        <f t="shared" ref="S248:S311" si="54">S247+G248/$G$53</f>
        <v>0.70311511813023642</v>
      </c>
      <c r="T248" s="1">
        <f t="shared" ref="T248:T311" si="55">MIN(5,INT(S248/0.2)+1)</f>
        <v>4</v>
      </c>
      <c r="U248" s="1">
        <f t="shared" ref="U248:U311" si="56">IF(G248=0,0,(J248)/G248)</f>
        <v>1892.1507250342001</v>
      </c>
      <c r="V248" s="1">
        <f t="shared" ref="V248:V293" si="57">H248/G248</f>
        <v>11.133887824897492</v>
      </c>
      <c r="W248" s="25">
        <f t="shared" si="51"/>
        <v>5.8842499583093462E-3</v>
      </c>
      <c r="X248" s="6">
        <f t="shared" ref="X248:X311" si="58">IF(E248=0,0,(I248)/E248)*100000</f>
        <v>331.04798722865002</v>
      </c>
      <c r="Y248" s="1">
        <f t="shared" ref="Y248:Y311" si="59">IF(X248=0,0,U248/X248)*100</f>
        <v>571.56388137992792</v>
      </c>
    </row>
    <row r="249" spans="1:25" x14ac:dyDescent="0.25">
      <c r="A249" s="26">
        <v>671</v>
      </c>
      <c r="B249" s="26">
        <v>1</v>
      </c>
      <c r="C249" s="27" t="s">
        <v>254</v>
      </c>
      <c r="D249" s="28">
        <v>0</v>
      </c>
      <c r="E249" s="29">
        <v>84722000</v>
      </c>
      <c r="F249" s="29">
        <v>358.41</v>
      </c>
      <c r="G249" s="30">
        <v>324</v>
      </c>
      <c r="H249" s="31">
        <v>133247.93</v>
      </c>
      <c r="I249" s="29">
        <v>173475.76</v>
      </c>
      <c r="J249" s="30">
        <v>306723.69</v>
      </c>
      <c r="K249" s="29">
        <v>18618.179999999997</v>
      </c>
      <c r="L249" s="31">
        <v>18366.88</v>
      </c>
      <c r="M249" s="31">
        <v>36985.06</v>
      </c>
      <c r="N249" s="31">
        <v>0</v>
      </c>
      <c r="O249" s="31">
        <v>0</v>
      </c>
      <c r="P249" s="31">
        <v>0</v>
      </c>
      <c r="Q249" s="1">
        <f t="shared" si="52"/>
        <v>236382.91342317456</v>
      </c>
      <c r="R249" s="1">
        <f t="shared" si="53"/>
        <v>548417</v>
      </c>
      <c r="S249" s="32">
        <f t="shared" si="54"/>
        <v>0.7035307579911253</v>
      </c>
      <c r="T249" s="1">
        <f t="shared" si="55"/>
        <v>4</v>
      </c>
      <c r="U249" s="1">
        <f t="shared" si="56"/>
        <v>946.6780555555556</v>
      </c>
      <c r="V249" s="1">
        <f t="shared" si="57"/>
        <v>411.25904320987649</v>
      </c>
      <c r="W249" s="25">
        <f t="shared" si="51"/>
        <v>0.43442334043386077</v>
      </c>
      <c r="X249" s="6">
        <f t="shared" si="58"/>
        <v>204.75881117065225</v>
      </c>
      <c r="Y249" s="1">
        <f t="shared" si="59"/>
        <v>462.33812852457186</v>
      </c>
    </row>
    <row r="250" spans="1:25" x14ac:dyDescent="0.25">
      <c r="A250" s="26">
        <v>676</v>
      </c>
      <c r="B250" s="26">
        <v>1</v>
      </c>
      <c r="C250" s="27" t="s">
        <v>255</v>
      </c>
      <c r="D250" s="28">
        <v>0</v>
      </c>
      <c r="E250" s="29">
        <v>33859600</v>
      </c>
      <c r="F250" s="29">
        <v>241.52</v>
      </c>
      <c r="G250" s="30">
        <v>220</v>
      </c>
      <c r="H250" s="31">
        <v>270218.77</v>
      </c>
      <c r="I250" s="29">
        <v>212821.23</v>
      </c>
      <c r="J250" s="30">
        <v>483040</v>
      </c>
      <c r="K250" s="29">
        <v>10982.52</v>
      </c>
      <c r="L250" s="31">
        <v>4585.03</v>
      </c>
      <c r="M250" s="31">
        <v>15567.55</v>
      </c>
      <c r="N250" s="31">
        <v>5686.96</v>
      </c>
      <c r="O250" s="31">
        <v>2374.21</v>
      </c>
      <c r="P250" s="31">
        <v>8061.17</v>
      </c>
      <c r="Q250" s="1">
        <f t="shared" si="52"/>
        <v>140193.77277244121</v>
      </c>
      <c r="R250" s="1">
        <f t="shared" si="53"/>
        <v>548637</v>
      </c>
      <c r="S250" s="32">
        <f t="shared" si="54"/>
        <v>0.70381298258802516</v>
      </c>
      <c r="T250" s="1">
        <f t="shared" si="55"/>
        <v>4</v>
      </c>
      <c r="U250" s="1">
        <f t="shared" si="56"/>
        <v>2195.6363636363635</v>
      </c>
      <c r="V250" s="1">
        <f t="shared" si="57"/>
        <v>1228.2671363636364</v>
      </c>
      <c r="W250" s="25">
        <f t="shared" si="51"/>
        <v>0.5594128229546208</v>
      </c>
      <c r="X250" s="6">
        <f t="shared" si="58"/>
        <v>628.54029580975555</v>
      </c>
      <c r="Y250" s="1">
        <f t="shared" si="59"/>
        <v>349.32308688462058</v>
      </c>
    </row>
    <row r="251" spans="1:25" x14ac:dyDescent="0.25">
      <c r="A251" s="26">
        <v>682</v>
      </c>
      <c r="B251" s="26">
        <v>1</v>
      </c>
      <c r="C251" s="27" t="s">
        <v>256</v>
      </c>
      <c r="D251" s="28">
        <v>0</v>
      </c>
      <c r="E251" s="29">
        <v>290775200</v>
      </c>
      <c r="F251" s="29">
        <v>1447.76</v>
      </c>
      <c r="G251" s="30">
        <v>1249</v>
      </c>
      <c r="H251" s="31">
        <v>585821.41</v>
      </c>
      <c r="I251" s="29">
        <v>427610.58999999997</v>
      </c>
      <c r="J251" s="30">
        <v>1013432</v>
      </c>
      <c r="K251" s="29">
        <v>89086.699999999983</v>
      </c>
      <c r="L251" s="31">
        <v>65027.350000000006</v>
      </c>
      <c r="M251" s="31">
        <v>154114.04999999999</v>
      </c>
      <c r="N251" s="31">
        <v>0</v>
      </c>
      <c r="O251" s="31">
        <v>0</v>
      </c>
      <c r="P251" s="31">
        <v>0</v>
      </c>
      <c r="Q251" s="1">
        <f t="shared" si="52"/>
        <v>200844.89141846716</v>
      </c>
      <c r="R251" s="1">
        <f t="shared" si="53"/>
        <v>549886</v>
      </c>
      <c r="S251" s="32">
        <f t="shared" si="54"/>
        <v>0.7054152485949704</v>
      </c>
      <c r="T251" s="1">
        <f t="shared" si="55"/>
        <v>4</v>
      </c>
      <c r="U251" s="1">
        <f t="shared" si="56"/>
        <v>811.39471577261804</v>
      </c>
      <c r="V251" s="1">
        <f t="shared" si="57"/>
        <v>469.03235388310651</v>
      </c>
      <c r="W251" s="25">
        <f t="shared" si="51"/>
        <v>0.5780569490602232</v>
      </c>
      <c r="X251" s="6">
        <f t="shared" si="58"/>
        <v>147.05882413630871</v>
      </c>
      <c r="Y251" s="1">
        <f t="shared" si="59"/>
        <v>551.74840444837014</v>
      </c>
    </row>
    <row r="252" spans="1:25" x14ac:dyDescent="0.25">
      <c r="A252" s="26">
        <v>690</v>
      </c>
      <c r="B252" s="26">
        <v>1</v>
      </c>
      <c r="C252" s="27" t="s">
        <v>257</v>
      </c>
      <c r="D252" s="28">
        <v>0</v>
      </c>
      <c r="E252" s="29">
        <v>261195600</v>
      </c>
      <c r="F252" s="29">
        <v>1170.33</v>
      </c>
      <c r="G252" s="30">
        <v>1027</v>
      </c>
      <c r="H252" s="31">
        <v>372966.06999999995</v>
      </c>
      <c r="I252" s="29">
        <v>329243.63</v>
      </c>
      <c r="J252" s="30">
        <v>702209.7</v>
      </c>
      <c r="K252" s="29">
        <v>69683.800000000017</v>
      </c>
      <c r="L252" s="31">
        <v>61514.84</v>
      </c>
      <c r="M252" s="31">
        <v>131198.64000000001</v>
      </c>
      <c r="N252" s="31">
        <v>440.68000000000006</v>
      </c>
      <c r="O252" s="31">
        <v>389.02</v>
      </c>
      <c r="P252" s="31">
        <v>829.7</v>
      </c>
      <c r="Q252" s="1">
        <f t="shared" si="52"/>
        <v>223181.15403347774</v>
      </c>
      <c r="R252" s="1">
        <f t="shared" si="53"/>
        <v>550913</v>
      </c>
      <c r="S252" s="32">
        <f t="shared" si="54"/>
        <v>0.70673272432686218</v>
      </c>
      <c r="T252" s="1">
        <f t="shared" si="55"/>
        <v>4</v>
      </c>
      <c r="U252" s="1">
        <f t="shared" si="56"/>
        <v>683.74849074975657</v>
      </c>
      <c r="V252" s="1">
        <f t="shared" si="57"/>
        <v>363.16073028237582</v>
      </c>
      <c r="W252" s="25">
        <f t="shared" si="51"/>
        <v>0.53113203933241016</v>
      </c>
      <c r="X252" s="6">
        <f t="shared" si="58"/>
        <v>126.05251773000772</v>
      </c>
      <c r="Y252" s="1">
        <f t="shared" si="59"/>
        <v>542.43144291197711</v>
      </c>
    </row>
    <row r="253" spans="1:25" x14ac:dyDescent="0.25">
      <c r="A253" s="26">
        <v>695</v>
      </c>
      <c r="B253" s="26">
        <v>1</v>
      </c>
      <c r="C253" s="27" t="s">
        <v>258</v>
      </c>
      <c r="D253" s="28">
        <v>0</v>
      </c>
      <c r="E253" s="29">
        <v>189117460</v>
      </c>
      <c r="F253" s="29">
        <v>882.6</v>
      </c>
      <c r="G253" s="30">
        <v>703</v>
      </c>
      <c r="H253" s="31">
        <v>371286.22000000003</v>
      </c>
      <c r="I253" s="29">
        <v>399541.32</v>
      </c>
      <c r="J253" s="30">
        <v>770827.54</v>
      </c>
      <c r="K253" s="29">
        <v>42266.03</v>
      </c>
      <c r="L253" s="31">
        <v>34602.770000000004</v>
      </c>
      <c r="M253" s="31">
        <v>76868.800000000003</v>
      </c>
      <c r="N253" s="31">
        <v>0</v>
      </c>
      <c r="O253" s="31">
        <v>0</v>
      </c>
      <c r="P253" s="31">
        <v>0</v>
      </c>
      <c r="Q253" s="1">
        <f t="shared" si="52"/>
        <v>214273.12485837299</v>
      </c>
      <c r="R253" s="1">
        <f t="shared" si="53"/>
        <v>551616</v>
      </c>
      <c r="S253" s="32">
        <f t="shared" si="54"/>
        <v>0.70763456019786497</v>
      </c>
      <c r="T253" s="1">
        <f t="shared" si="55"/>
        <v>4</v>
      </c>
      <c r="U253" s="1">
        <f t="shared" si="56"/>
        <v>1096.482987197724</v>
      </c>
      <c r="V253" s="1">
        <f t="shared" si="57"/>
        <v>528.14540540540543</v>
      </c>
      <c r="W253" s="25">
        <f t="shared" si="51"/>
        <v>0.48167222982199109</v>
      </c>
      <c r="X253" s="6">
        <f t="shared" si="58"/>
        <v>211.26622576254991</v>
      </c>
      <c r="Y253" s="1">
        <f t="shared" si="59"/>
        <v>519.00533710016794</v>
      </c>
    </row>
    <row r="254" spans="1:25" x14ac:dyDescent="0.25">
      <c r="A254" s="26">
        <v>696</v>
      </c>
      <c r="B254" s="26">
        <v>1</v>
      </c>
      <c r="C254" s="27" t="s">
        <v>259</v>
      </c>
      <c r="D254" s="28">
        <v>0</v>
      </c>
      <c r="E254" s="29">
        <v>413583080</v>
      </c>
      <c r="F254" s="29">
        <v>542.63</v>
      </c>
      <c r="G254" s="30">
        <v>521</v>
      </c>
      <c r="H254" s="31">
        <v>0</v>
      </c>
      <c r="I254" s="29">
        <v>423623.65</v>
      </c>
      <c r="J254" s="30">
        <v>423623.65</v>
      </c>
      <c r="K254" s="29">
        <v>0</v>
      </c>
      <c r="L254" s="31">
        <v>60406.939999999995</v>
      </c>
      <c r="M254" s="31">
        <v>60406.939999999995</v>
      </c>
      <c r="N254" s="31">
        <v>0</v>
      </c>
      <c r="O254" s="31">
        <v>0</v>
      </c>
      <c r="P254" s="31">
        <v>0</v>
      </c>
      <c r="Q254" s="1">
        <f t="shared" si="52"/>
        <v>762182.48161730834</v>
      </c>
      <c r="R254" s="1">
        <f t="shared" si="53"/>
        <v>552137</v>
      </c>
      <c r="S254" s="32">
        <f t="shared" si="54"/>
        <v>0.70830291935688694</v>
      </c>
      <c r="T254" s="1">
        <f t="shared" si="55"/>
        <v>4</v>
      </c>
      <c r="U254" s="1">
        <f t="shared" si="56"/>
        <v>813.09721689059506</v>
      </c>
      <c r="V254" s="1">
        <f t="shared" si="57"/>
        <v>0</v>
      </c>
      <c r="W254" s="25">
        <f t="shared" si="51"/>
        <v>0</v>
      </c>
      <c r="X254" s="6">
        <f t="shared" si="58"/>
        <v>102.42770328031796</v>
      </c>
      <c r="Y254" s="1">
        <f t="shared" si="59"/>
        <v>793.82548944337805</v>
      </c>
    </row>
    <row r="255" spans="1:25" x14ac:dyDescent="0.25">
      <c r="A255" s="26">
        <v>698</v>
      </c>
      <c r="B255" s="26">
        <v>1</v>
      </c>
      <c r="C255" s="27" t="s">
        <v>260</v>
      </c>
      <c r="D255" s="28">
        <v>0</v>
      </c>
      <c r="E255" s="29">
        <v>124331135</v>
      </c>
      <c r="F255" s="29">
        <v>262.43</v>
      </c>
      <c r="G255" s="30">
        <v>329</v>
      </c>
      <c r="H255" s="31">
        <v>0</v>
      </c>
      <c r="I255" s="29">
        <v>0</v>
      </c>
      <c r="J255" s="30">
        <v>0</v>
      </c>
      <c r="K255" s="29">
        <v>214.97000000000116</v>
      </c>
      <c r="L255" s="31">
        <v>45646.07</v>
      </c>
      <c r="M255" s="31">
        <v>45861.04</v>
      </c>
      <c r="N255" s="31">
        <v>21.4399999999996</v>
      </c>
      <c r="O255" s="31">
        <v>4551.93</v>
      </c>
      <c r="P255" s="31">
        <v>4573.37</v>
      </c>
      <c r="Q255" s="1">
        <f t="shared" si="52"/>
        <v>473768.75738292118</v>
      </c>
      <c r="R255" s="1">
        <f t="shared" si="53"/>
        <v>552466</v>
      </c>
      <c r="S255" s="32">
        <f t="shared" si="54"/>
        <v>0.70872497341315999</v>
      </c>
      <c r="T255" s="1">
        <f t="shared" si="55"/>
        <v>4</v>
      </c>
      <c r="U255" s="1">
        <f t="shared" si="56"/>
        <v>0</v>
      </c>
      <c r="V255" s="1">
        <f t="shared" si="57"/>
        <v>0</v>
      </c>
      <c r="W255" s="33" t="s">
        <v>60</v>
      </c>
      <c r="X255" s="6">
        <f t="shared" si="58"/>
        <v>0</v>
      </c>
      <c r="Y255" s="1">
        <f t="shared" si="59"/>
        <v>0</v>
      </c>
    </row>
    <row r="256" spans="1:25" x14ac:dyDescent="0.25">
      <c r="A256" s="26">
        <v>700</v>
      </c>
      <c r="B256" s="26">
        <v>1</v>
      </c>
      <c r="C256" s="27" t="s">
        <v>261</v>
      </c>
      <c r="D256" s="28">
        <v>0</v>
      </c>
      <c r="E256" s="29">
        <v>975129025</v>
      </c>
      <c r="F256" s="29">
        <v>2086.21</v>
      </c>
      <c r="G256" s="30">
        <v>2080</v>
      </c>
      <c r="H256" s="31">
        <v>37.619999999999891</v>
      </c>
      <c r="I256" s="29">
        <v>2048.59</v>
      </c>
      <c r="J256" s="30">
        <v>2086.21</v>
      </c>
      <c r="K256" s="29">
        <v>7650.4000000000233</v>
      </c>
      <c r="L256" s="31">
        <v>416605.23</v>
      </c>
      <c r="M256" s="31">
        <v>424255.63</v>
      </c>
      <c r="N256" s="31">
        <v>0</v>
      </c>
      <c r="O256" s="31">
        <v>0</v>
      </c>
      <c r="P256" s="31">
        <v>0</v>
      </c>
      <c r="Q256" s="1">
        <f t="shared" si="52"/>
        <v>467416.5232646761</v>
      </c>
      <c r="R256" s="1">
        <f t="shared" si="53"/>
        <v>554546</v>
      </c>
      <c r="S256" s="32">
        <f t="shared" si="54"/>
        <v>0.71139327869294078</v>
      </c>
      <c r="T256" s="1">
        <f t="shared" si="55"/>
        <v>4</v>
      </c>
      <c r="U256" s="1">
        <f t="shared" si="56"/>
        <v>1.0029855769230769</v>
      </c>
      <c r="V256" s="1">
        <f t="shared" si="57"/>
        <v>1.8086538461538407E-2</v>
      </c>
      <c r="W256" s="25">
        <f t="shared" ref="W256:W281" si="60">V256/U256</f>
        <v>1.8032700447222421E-2</v>
      </c>
      <c r="X256" s="6">
        <f t="shared" si="58"/>
        <v>0.21008399375662107</v>
      </c>
      <c r="Y256" s="1">
        <f t="shared" si="59"/>
        <v>477.42122519101554</v>
      </c>
    </row>
    <row r="257" spans="1:25" x14ac:dyDescent="0.25">
      <c r="A257" s="26">
        <v>701</v>
      </c>
      <c r="B257" s="26">
        <v>1</v>
      </c>
      <c r="C257" s="27" t="s">
        <v>262</v>
      </c>
      <c r="D257" s="28">
        <v>0</v>
      </c>
      <c r="E257" s="29">
        <v>849137127</v>
      </c>
      <c r="F257" s="29">
        <v>2574.2800000000002</v>
      </c>
      <c r="G257" s="30">
        <v>2285</v>
      </c>
      <c r="H257" s="31">
        <v>553264.93999999994</v>
      </c>
      <c r="I257" s="29">
        <v>1248731.06</v>
      </c>
      <c r="J257" s="30">
        <v>1801996</v>
      </c>
      <c r="K257" s="29">
        <v>87341.06</v>
      </c>
      <c r="L257" s="31">
        <v>197130.69</v>
      </c>
      <c r="M257" s="31">
        <v>284471.75</v>
      </c>
      <c r="N257" s="31">
        <v>832.40999999999985</v>
      </c>
      <c r="O257" s="31">
        <v>1878.77</v>
      </c>
      <c r="P257" s="31">
        <v>2711.18</v>
      </c>
      <c r="Q257" s="1">
        <f t="shared" si="52"/>
        <v>329854.22215143649</v>
      </c>
      <c r="R257" s="1">
        <f t="shared" si="53"/>
        <v>556831</v>
      </c>
      <c r="S257" s="32">
        <f t="shared" si="54"/>
        <v>0.71432456598346916</v>
      </c>
      <c r="T257" s="1">
        <f t="shared" si="55"/>
        <v>4</v>
      </c>
      <c r="U257" s="1">
        <f t="shared" si="56"/>
        <v>788.61969365426694</v>
      </c>
      <c r="V257" s="1">
        <f t="shared" si="57"/>
        <v>242.12907658643323</v>
      </c>
      <c r="W257" s="25">
        <f t="shared" si="60"/>
        <v>0.30702895011975606</v>
      </c>
      <c r="X257" s="6">
        <f t="shared" si="58"/>
        <v>147.05882245565741</v>
      </c>
      <c r="Y257" s="1">
        <f t="shared" si="59"/>
        <v>536.26139560042998</v>
      </c>
    </row>
    <row r="258" spans="1:25" x14ac:dyDescent="0.25">
      <c r="A258" s="26">
        <v>704</v>
      </c>
      <c r="B258" s="26">
        <v>1</v>
      </c>
      <c r="C258" s="27" t="s">
        <v>263</v>
      </c>
      <c r="D258" s="28">
        <v>0</v>
      </c>
      <c r="E258" s="29">
        <v>904913550</v>
      </c>
      <c r="F258" s="29">
        <v>2038.94</v>
      </c>
      <c r="G258" s="30">
        <v>1698</v>
      </c>
      <c r="H258" s="31">
        <v>137.86000000000013</v>
      </c>
      <c r="I258" s="29">
        <v>1901.08</v>
      </c>
      <c r="J258" s="30">
        <v>2038.94</v>
      </c>
      <c r="K258" s="29">
        <v>24657.390000000014</v>
      </c>
      <c r="L258" s="31">
        <v>340020.77999999997</v>
      </c>
      <c r="M258" s="31">
        <v>364678.17</v>
      </c>
      <c r="N258" s="31">
        <v>1962.4700000000012</v>
      </c>
      <c r="O258" s="31">
        <v>27062.03</v>
      </c>
      <c r="P258" s="31">
        <v>29024.5</v>
      </c>
      <c r="Q258" s="1">
        <f t="shared" si="52"/>
        <v>443815.68363953818</v>
      </c>
      <c r="R258" s="1">
        <f t="shared" si="53"/>
        <v>558529</v>
      </c>
      <c r="S258" s="32">
        <f t="shared" si="54"/>
        <v>0.7165028267359056</v>
      </c>
      <c r="T258" s="1">
        <f t="shared" si="55"/>
        <v>4</v>
      </c>
      <c r="U258" s="1">
        <f t="shared" si="56"/>
        <v>1.200789163722026</v>
      </c>
      <c r="V258" s="1">
        <f t="shared" si="57"/>
        <v>8.1189634864546598E-2</v>
      </c>
      <c r="W258" s="25">
        <f t="shared" si="60"/>
        <v>6.7613563910659508E-2</v>
      </c>
      <c r="X258" s="6">
        <f t="shared" si="58"/>
        <v>0.21008415665783761</v>
      </c>
      <c r="Y258" s="1">
        <f t="shared" si="59"/>
        <v>571.57530716499559</v>
      </c>
    </row>
    <row r="259" spans="1:25" x14ac:dyDescent="0.25">
      <c r="A259" s="26">
        <v>706</v>
      </c>
      <c r="B259" s="26">
        <v>1</v>
      </c>
      <c r="C259" s="27" t="s">
        <v>264</v>
      </c>
      <c r="D259" s="28">
        <v>0</v>
      </c>
      <c r="E259" s="29">
        <v>492382061</v>
      </c>
      <c r="F259" s="29">
        <v>1536.8</v>
      </c>
      <c r="G259" s="30">
        <v>1565</v>
      </c>
      <c r="H259" s="31">
        <v>351668.72000000009</v>
      </c>
      <c r="I259" s="29">
        <v>877771.27999999991</v>
      </c>
      <c r="J259" s="30">
        <v>1229440</v>
      </c>
      <c r="K259" s="29">
        <v>63503.200000000012</v>
      </c>
      <c r="L259" s="31">
        <v>130754.06</v>
      </c>
      <c r="M259" s="31">
        <v>194257.26</v>
      </c>
      <c r="N259" s="31">
        <v>1462.0900000000001</v>
      </c>
      <c r="O259" s="31">
        <v>3010.46</v>
      </c>
      <c r="P259" s="31">
        <v>4472.55</v>
      </c>
      <c r="Q259" s="1">
        <f t="shared" si="52"/>
        <v>320394.36556481</v>
      </c>
      <c r="R259" s="1">
        <f t="shared" si="53"/>
        <v>560094</v>
      </c>
      <c r="S259" s="32">
        <f t="shared" si="54"/>
        <v>0.71851046989112533</v>
      </c>
      <c r="T259" s="1">
        <f t="shared" si="55"/>
        <v>4</v>
      </c>
      <c r="U259" s="1">
        <f t="shared" si="56"/>
        <v>785.58466453674123</v>
      </c>
      <c r="V259" s="1">
        <f t="shared" si="57"/>
        <v>224.70844728434511</v>
      </c>
      <c r="W259" s="25">
        <f t="shared" si="60"/>
        <v>0.28603975793857372</v>
      </c>
      <c r="X259" s="6">
        <f t="shared" si="58"/>
        <v>178.27036147850237</v>
      </c>
      <c r="Y259" s="1">
        <f t="shared" si="59"/>
        <v>440.67037168793473</v>
      </c>
    </row>
    <row r="260" spans="1:25" x14ac:dyDescent="0.25">
      <c r="A260" s="26">
        <v>707</v>
      </c>
      <c r="B260" s="26">
        <v>1</v>
      </c>
      <c r="C260" s="27" t="s">
        <v>265</v>
      </c>
      <c r="D260" s="28">
        <v>0</v>
      </c>
      <c r="E260" s="29">
        <v>418700</v>
      </c>
      <c r="F260" s="29">
        <v>123.2</v>
      </c>
      <c r="G260" s="30">
        <v>125</v>
      </c>
      <c r="H260" s="31">
        <v>69958.7</v>
      </c>
      <c r="I260" s="29">
        <v>503.08000000000004</v>
      </c>
      <c r="J260" s="30">
        <v>70461.78</v>
      </c>
      <c r="K260" s="29">
        <v>16206.56</v>
      </c>
      <c r="L260" s="31">
        <v>116.53999999999999</v>
      </c>
      <c r="M260" s="31">
        <v>16323.1</v>
      </c>
      <c r="N260" s="31">
        <v>10125.209999999999</v>
      </c>
      <c r="O260" s="31">
        <v>72.81</v>
      </c>
      <c r="P260" s="31">
        <v>10198.019999999999</v>
      </c>
      <c r="Q260" s="1">
        <f t="shared" si="52"/>
        <v>3398.5389610389611</v>
      </c>
      <c r="R260" s="1">
        <f t="shared" si="53"/>
        <v>560219</v>
      </c>
      <c r="S260" s="32">
        <f t="shared" si="54"/>
        <v>0.71867082477572752</v>
      </c>
      <c r="T260" s="1">
        <f t="shared" si="55"/>
        <v>4</v>
      </c>
      <c r="U260" s="1">
        <f t="shared" si="56"/>
        <v>563.69424000000004</v>
      </c>
      <c r="V260" s="1">
        <f t="shared" si="57"/>
        <v>559.66959999999995</v>
      </c>
      <c r="W260" s="25">
        <f t="shared" si="60"/>
        <v>0.9928602428153247</v>
      </c>
      <c r="X260" s="6">
        <f t="shared" si="58"/>
        <v>120.15285407212804</v>
      </c>
      <c r="Y260" s="1">
        <f t="shared" si="59"/>
        <v>469.14760731493993</v>
      </c>
    </row>
    <row r="261" spans="1:25" x14ac:dyDescent="0.25">
      <c r="A261" s="26">
        <v>709</v>
      </c>
      <c r="B261" s="26">
        <v>1</v>
      </c>
      <c r="C261" s="27" t="s">
        <v>266</v>
      </c>
      <c r="D261" s="28">
        <v>0</v>
      </c>
      <c r="E261" s="29">
        <v>6103425115</v>
      </c>
      <c r="F261" s="29">
        <v>11927.24</v>
      </c>
      <c r="G261" s="30">
        <v>8633</v>
      </c>
      <c r="H261" s="31">
        <v>0</v>
      </c>
      <c r="I261" s="29">
        <v>4360598.9400000004</v>
      </c>
      <c r="J261" s="30">
        <v>4360598.9400000004</v>
      </c>
      <c r="K261" s="29">
        <v>0</v>
      </c>
      <c r="L261" s="31">
        <v>459452.14</v>
      </c>
      <c r="M261" s="31">
        <v>459452.14</v>
      </c>
      <c r="N261" s="31">
        <v>0</v>
      </c>
      <c r="O261" s="31">
        <v>459452.14</v>
      </c>
      <c r="P261" s="31">
        <v>459452.14</v>
      </c>
      <c r="Q261" s="1">
        <f t="shared" si="52"/>
        <v>511721.49759709707</v>
      </c>
      <c r="R261" s="1">
        <f t="shared" si="53"/>
        <v>568852</v>
      </c>
      <c r="S261" s="32">
        <f t="shared" si="54"/>
        <v>0.72974557452589461</v>
      </c>
      <c r="T261" s="1">
        <f t="shared" si="55"/>
        <v>4</v>
      </c>
      <c r="U261" s="1">
        <f t="shared" si="56"/>
        <v>505.10818255531109</v>
      </c>
      <c r="V261" s="1">
        <f t="shared" si="57"/>
        <v>0</v>
      </c>
      <c r="W261" s="25">
        <f t="shared" si="60"/>
        <v>0</v>
      </c>
      <c r="X261" s="6">
        <f t="shared" si="58"/>
        <v>71.445112503850225</v>
      </c>
      <c r="Y261" s="1">
        <f t="shared" si="59"/>
        <v>706.98773485462766</v>
      </c>
    </row>
    <row r="262" spans="1:25" x14ac:dyDescent="0.25">
      <c r="A262" s="26">
        <v>712</v>
      </c>
      <c r="B262" s="26">
        <v>1</v>
      </c>
      <c r="C262" s="27" t="s">
        <v>267</v>
      </c>
      <c r="D262" s="28">
        <v>0</v>
      </c>
      <c r="E262" s="29">
        <v>251950165</v>
      </c>
      <c r="F262" s="29">
        <v>668.97</v>
      </c>
      <c r="G262" s="30">
        <v>486</v>
      </c>
      <c r="H262" s="31">
        <v>78623.25</v>
      </c>
      <c r="I262" s="29">
        <v>297973.40999999997</v>
      </c>
      <c r="J262" s="30">
        <v>376596.66</v>
      </c>
      <c r="K262" s="29">
        <v>12699.269999999997</v>
      </c>
      <c r="L262" s="31">
        <v>48128.840000000004</v>
      </c>
      <c r="M262" s="31">
        <v>60828.11</v>
      </c>
      <c r="N262" s="31">
        <v>3126.7899999999991</v>
      </c>
      <c r="O262" s="31">
        <v>11850.19</v>
      </c>
      <c r="P262" s="31">
        <v>14976.98</v>
      </c>
      <c r="Q262" s="1">
        <f t="shared" si="52"/>
        <v>376624.01154012885</v>
      </c>
      <c r="R262" s="1">
        <f t="shared" si="53"/>
        <v>569338</v>
      </c>
      <c r="S262" s="32">
        <f t="shared" si="54"/>
        <v>0.73036903431722799</v>
      </c>
      <c r="T262" s="1">
        <f t="shared" si="55"/>
        <v>4</v>
      </c>
      <c r="U262" s="1">
        <f t="shared" si="56"/>
        <v>774.8902469135802</v>
      </c>
      <c r="V262" s="1">
        <f t="shared" si="57"/>
        <v>161.77623456790124</v>
      </c>
      <c r="W262" s="25">
        <f t="shared" si="60"/>
        <v>0.2087730942701404</v>
      </c>
      <c r="X262" s="6">
        <f t="shared" si="58"/>
        <v>118.26680486595434</v>
      </c>
      <c r="Y262" s="1">
        <f t="shared" si="59"/>
        <v>655.20519286189756</v>
      </c>
    </row>
    <row r="263" spans="1:25" x14ac:dyDescent="0.25">
      <c r="A263" s="26">
        <v>716</v>
      </c>
      <c r="B263" s="26">
        <v>1</v>
      </c>
      <c r="C263" s="27" t="s">
        <v>268</v>
      </c>
      <c r="D263" s="28">
        <v>1</v>
      </c>
      <c r="E263" s="29">
        <v>683146800</v>
      </c>
      <c r="F263" s="29">
        <v>1901.67</v>
      </c>
      <c r="G263" s="30">
        <v>1671</v>
      </c>
      <c r="H263" s="31">
        <v>150097.06000000006</v>
      </c>
      <c r="I263" s="29">
        <v>461784.28</v>
      </c>
      <c r="J263" s="30">
        <v>611881.34000000008</v>
      </c>
      <c r="K263" s="29">
        <v>76284.87</v>
      </c>
      <c r="L263" s="31">
        <v>234695.81</v>
      </c>
      <c r="M263" s="31">
        <v>310980.68</v>
      </c>
      <c r="N263" s="31">
        <v>1937.8400000000001</v>
      </c>
      <c r="O263" s="31">
        <v>5961.92</v>
      </c>
      <c r="P263" s="31">
        <v>7899.76</v>
      </c>
      <c r="Q263" s="1">
        <f t="shared" si="52"/>
        <v>359235.19853602361</v>
      </c>
      <c r="R263" s="1">
        <f t="shared" si="53"/>
        <v>571009</v>
      </c>
      <c r="S263" s="32">
        <f t="shared" si="54"/>
        <v>0.73251265841459035</v>
      </c>
      <c r="T263" s="1">
        <f t="shared" si="55"/>
        <v>4</v>
      </c>
      <c r="U263" s="1">
        <f t="shared" si="56"/>
        <v>366.17674446439264</v>
      </c>
      <c r="V263" s="1">
        <f t="shared" si="57"/>
        <v>89.824691801316604</v>
      </c>
      <c r="W263" s="25">
        <f t="shared" si="60"/>
        <v>0.24530419574488088</v>
      </c>
      <c r="X263" s="6">
        <f t="shared" si="58"/>
        <v>67.596639550972057</v>
      </c>
      <c r="Y263" s="1">
        <f t="shared" si="59"/>
        <v>541.70850340610889</v>
      </c>
    </row>
    <row r="264" spans="1:25" x14ac:dyDescent="0.25">
      <c r="A264" s="26">
        <v>717</v>
      </c>
      <c r="B264" s="26">
        <v>1</v>
      </c>
      <c r="C264" s="27" t="s">
        <v>269</v>
      </c>
      <c r="D264" s="28">
        <v>1</v>
      </c>
      <c r="E264" s="29">
        <v>857271100</v>
      </c>
      <c r="F264" s="29">
        <v>2127.7399999999998</v>
      </c>
      <c r="G264" s="30">
        <v>1746</v>
      </c>
      <c r="H264" s="31">
        <v>180042.67999999993</v>
      </c>
      <c r="I264" s="29">
        <v>992363.34000000008</v>
      </c>
      <c r="J264" s="30">
        <v>1172406.02</v>
      </c>
      <c r="K264" s="29">
        <v>43926.489999999991</v>
      </c>
      <c r="L264" s="31">
        <v>242115.03000000003</v>
      </c>
      <c r="M264" s="31">
        <v>286041.52</v>
      </c>
      <c r="N264" s="31">
        <v>4477.9399999999987</v>
      </c>
      <c r="O264" s="31">
        <v>24681.58</v>
      </c>
      <c r="P264" s="31">
        <v>29159.52</v>
      </c>
      <c r="Q264" s="1">
        <f t="shared" si="52"/>
        <v>402902.18729732023</v>
      </c>
      <c r="R264" s="1">
        <f t="shared" si="53"/>
        <v>572755</v>
      </c>
      <c r="S264" s="32">
        <f t="shared" si="54"/>
        <v>0.73475249544271404</v>
      </c>
      <c r="T264" s="1">
        <f t="shared" si="55"/>
        <v>4</v>
      </c>
      <c r="U264" s="1">
        <f t="shared" si="56"/>
        <v>671.48111111111109</v>
      </c>
      <c r="V264" s="1">
        <f t="shared" si="57"/>
        <v>103.11722794959904</v>
      </c>
      <c r="W264" s="25">
        <f t="shared" si="60"/>
        <v>0.1535668334422233</v>
      </c>
      <c r="X264" s="6">
        <f t="shared" si="58"/>
        <v>115.7584036135127</v>
      </c>
      <c r="Y264" s="1">
        <f t="shared" si="59"/>
        <v>580.07115695290031</v>
      </c>
    </row>
    <row r="265" spans="1:25" x14ac:dyDescent="0.25">
      <c r="A265" s="26">
        <v>719</v>
      </c>
      <c r="B265" s="26">
        <v>1</v>
      </c>
      <c r="C265" s="27" t="s">
        <v>270</v>
      </c>
      <c r="D265" s="28">
        <v>1</v>
      </c>
      <c r="E265" s="29">
        <v>4305849300</v>
      </c>
      <c r="F265" s="29">
        <v>8106.85</v>
      </c>
      <c r="G265" s="30">
        <v>6954</v>
      </c>
      <c r="H265" s="31">
        <v>25626.029999999329</v>
      </c>
      <c r="I265" s="29">
        <v>8496456.8300000001</v>
      </c>
      <c r="J265" s="30">
        <v>8522082.8599999994</v>
      </c>
      <c r="K265" s="29">
        <v>0</v>
      </c>
      <c r="L265" s="31">
        <v>897185.28000000003</v>
      </c>
      <c r="M265" s="31">
        <v>897185.28000000003</v>
      </c>
      <c r="N265" s="31">
        <v>0</v>
      </c>
      <c r="O265" s="31">
        <v>21457.95</v>
      </c>
      <c r="P265" s="31">
        <v>21457.95</v>
      </c>
      <c r="Q265" s="1">
        <f t="shared" si="52"/>
        <v>531137.16178293666</v>
      </c>
      <c r="R265" s="1">
        <f t="shared" si="53"/>
        <v>579709</v>
      </c>
      <c r="S265" s="32">
        <f t="shared" si="54"/>
        <v>0.74367335838290427</v>
      </c>
      <c r="T265" s="1">
        <f t="shared" si="55"/>
        <v>4</v>
      </c>
      <c r="U265" s="1">
        <f t="shared" si="56"/>
        <v>1225.4936525740579</v>
      </c>
      <c r="V265" s="1">
        <f t="shared" si="57"/>
        <v>3.68507765314917</v>
      </c>
      <c r="W265" s="25">
        <f t="shared" si="60"/>
        <v>3.0070148836829464E-3</v>
      </c>
      <c r="X265" s="6">
        <f t="shared" si="58"/>
        <v>197.32359955096433</v>
      </c>
      <c r="Y265" s="1">
        <f t="shared" si="59"/>
        <v>621.05782347515913</v>
      </c>
    </row>
    <row r="266" spans="1:25" x14ac:dyDescent="0.25">
      <c r="A266" s="26">
        <v>720</v>
      </c>
      <c r="B266" s="26">
        <v>1</v>
      </c>
      <c r="C266" s="27" t="s">
        <v>271</v>
      </c>
      <c r="D266" s="28">
        <v>1</v>
      </c>
      <c r="E266" s="29">
        <v>3967623600</v>
      </c>
      <c r="F266" s="29">
        <v>9239.49</v>
      </c>
      <c r="G266" s="30">
        <v>7812</v>
      </c>
      <c r="H266" s="31">
        <v>478971.44000000041</v>
      </c>
      <c r="I266" s="29">
        <v>4415648.3899999997</v>
      </c>
      <c r="J266" s="30">
        <v>4894619.83</v>
      </c>
      <c r="K266" s="29">
        <v>127438.29000000004</v>
      </c>
      <c r="L266" s="31">
        <v>1174856.46</v>
      </c>
      <c r="M266" s="31">
        <v>1302294.75</v>
      </c>
      <c r="N266" s="31">
        <v>15607.279999999999</v>
      </c>
      <c r="O266" s="31">
        <v>143883.85</v>
      </c>
      <c r="P266" s="31">
        <v>159491.13</v>
      </c>
      <c r="Q266" s="1">
        <f t="shared" si="52"/>
        <v>429420.19527051819</v>
      </c>
      <c r="R266" s="1">
        <f t="shared" si="53"/>
        <v>587521</v>
      </c>
      <c r="S266" s="32">
        <f t="shared" si="54"/>
        <v>0.75369489725100403</v>
      </c>
      <c r="T266" s="1">
        <f t="shared" si="55"/>
        <v>4</v>
      </c>
      <c r="U266" s="1">
        <f t="shared" si="56"/>
        <v>626.55143753200207</v>
      </c>
      <c r="V266" s="1">
        <f t="shared" si="57"/>
        <v>61.312268305171585</v>
      </c>
      <c r="W266" s="25">
        <f t="shared" si="60"/>
        <v>9.7856719548329127E-2</v>
      </c>
      <c r="X266" s="6">
        <f t="shared" si="58"/>
        <v>111.29201847675267</v>
      </c>
      <c r="Y266" s="1">
        <f t="shared" si="59"/>
        <v>562.97966925892342</v>
      </c>
    </row>
    <row r="267" spans="1:25" x14ac:dyDescent="0.25">
      <c r="A267" s="26">
        <v>721</v>
      </c>
      <c r="B267" s="26">
        <v>1</v>
      </c>
      <c r="C267" s="27" t="s">
        <v>272</v>
      </c>
      <c r="D267" s="28">
        <v>1</v>
      </c>
      <c r="E267" s="29">
        <v>1689048600</v>
      </c>
      <c r="F267" s="29">
        <v>4043.9</v>
      </c>
      <c r="G267" s="30">
        <v>3892</v>
      </c>
      <c r="H267" s="31">
        <v>346835.02</v>
      </c>
      <c r="I267" s="29">
        <v>2714397.28</v>
      </c>
      <c r="J267" s="30">
        <v>3061232.3</v>
      </c>
      <c r="K267" s="29">
        <v>75022.510000000009</v>
      </c>
      <c r="L267" s="31">
        <v>537281.47</v>
      </c>
      <c r="M267" s="31">
        <v>612303.98</v>
      </c>
      <c r="N267" s="31">
        <v>748.36999999999989</v>
      </c>
      <c r="O267" s="31">
        <v>5359.51</v>
      </c>
      <c r="P267" s="31">
        <v>6107.88</v>
      </c>
      <c r="Q267" s="1">
        <f t="shared" si="52"/>
        <v>417678.13249585795</v>
      </c>
      <c r="R267" s="1">
        <f t="shared" si="53"/>
        <v>591413</v>
      </c>
      <c r="S267" s="32">
        <f t="shared" si="54"/>
        <v>0.75868770693797849</v>
      </c>
      <c r="T267" s="1">
        <f t="shared" si="55"/>
        <v>4</v>
      </c>
      <c r="U267" s="1">
        <f t="shared" si="56"/>
        <v>786.54478417266182</v>
      </c>
      <c r="V267" s="1">
        <f t="shared" si="57"/>
        <v>89.114856115107912</v>
      </c>
      <c r="W267" s="25">
        <f t="shared" si="60"/>
        <v>0.11329915080276659</v>
      </c>
      <c r="X267" s="6">
        <f t="shared" si="58"/>
        <v>160.70569431809125</v>
      </c>
      <c r="Y267" s="1">
        <f t="shared" si="59"/>
        <v>489.43180732340579</v>
      </c>
    </row>
    <row r="268" spans="1:25" x14ac:dyDescent="0.25">
      <c r="A268" s="26">
        <v>726</v>
      </c>
      <c r="B268" s="26">
        <v>1</v>
      </c>
      <c r="C268" s="27" t="s">
        <v>273</v>
      </c>
      <c r="D268" s="28">
        <v>0</v>
      </c>
      <c r="E268" s="29">
        <v>1402338325</v>
      </c>
      <c r="F268" s="29">
        <v>3215.95</v>
      </c>
      <c r="G268" s="30">
        <v>2793</v>
      </c>
      <c r="H268" s="31">
        <v>188902.77000000002</v>
      </c>
      <c r="I268" s="29">
        <v>2260429.0699999998</v>
      </c>
      <c r="J268" s="30">
        <v>2449331.84</v>
      </c>
      <c r="K268" s="29">
        <v>28327.570000000007</v>
      </c>
      <c r="L268" s="31">
        <v>309253.67000000004</v>
      </c>
      <c r="M268" s="31">
        <v>337581.24000000005</v>
      </c>
      <c r="N268" s="31">
        <v>0</v>
      </c>
      <c r="O268" s="31">
        <v>0</v>
      </c>
      <c r="P268" s="31">
        <v>0</v>
      </c>
      <c r="Q268" s="1">
        <f t="shared" si="52"/>
        <v>436057.25368864567</v>
      </c>
      <c r="R268" s="1">
        <f t="shared" si="53"/>
        <v>594206</v>
      </c>
      <c r="S268" s="32">
        <f t="shared" si="54"/>
        <v>0.76227067647953028</v>
      </c>
      <c r="T268" s="1">
        <f t="shared" si="55"/>
        <v>4</v>
      </c>
      <c r="U268" s="1">
        <f t="shared" si="56"/>
        <v>876.95375581811663</v>
      </c>
      <c r="V268" s="1">
        <f t="shared" si="57"/>
        <v>67.634360902255651</v>
      </c>
      <c r="W268" s="25">
        <f t="shared" si="60"/>
        <v>7.7124204615737185E-2</v>
      </c>
      <c r="X268" s="6">
        <f t="shared" si="58"/>
        <v>161.18999457566701</v>
      </c>
      <c r="Y268" s="1">
        <f t="shared" si="59"/>
        <v>544.04974584601189</v>
      </c>
    </row>
    <row r="269" spans="1:25" x14ac:dyDescent="0.25">
      <c r="A269" s="26">
        <v>727</v>
      </c>
      <c r="B269" s="26">
        <v>1</v>
      </c>
      <c r="C269" s="27" t="s">
        <v>274</v>
      </c>
      <c r="D269" s="28">
        <v>0</v>
      </c>
      <c r="E269" s="29">
        <v>1282388525</v>
      </c>
      <c r="F269" s="29">
        <v>4204.32</v>
      </c>
      <c r="G269" s="30">
        <v>3370</v>
      </c>
      <c r="H269" s="31">
        <v>747124.1399999999</v>
      </c>
      <c r="I269" s="29">
        <v>1332795.01</v>
      </c>
      <c r="J269" s="30">
        <v>2079919.15</v>
      </c>
      <c r="K269" s="29">
        <v>157440.87</v>
      </c>
      <c r="L269" s="31">
        <v>280858.81</v>
      </c>
      <c r="M269" s="31">
        <v>438299.68</v>
      </c>
      <c r="N269" s="31">
        <v>11224.86</v>
      </c>
      <c r="O269" s="31">
        <v>20024.03</v>
      </c>
      <c r="P269" s="31">
        <v>31248.89</v>
      </c>
      <c r="Q269" s="1">
        <f t="shared" si="52"/>
        <v>305016.86955322145</v>
      </c>
      <c r="R269" s="1">
        <f t="shared" si="53"/>
        <v>597576</v>
      </c>
      <c r="S269" s="32">
        <f t="shared" si="54"/>
        <v>0.76659384416840592</v>
      </c>
      <c r="T269" s="1">
        <f t="shared" si="55"/>
        <v>4</v>
      </c>
      <c r="U269" s="1">
        <f t="shared" si="56"/>
        <v>617.18669139465874</v>
      </c>
      <c r="V269" s="1">
        <f t="shared" si="57"/>
        <v>221.69855786350146</v>
      </c>
      <c r="W269" s="25">
        <f t="shared" si="60"/>
        <v>0.35920826057108995</v>
      </c>
      <c r="X269" s="6">
        <f t="shared" si="58"/>
        <v>103.93067186873026</v>
      </c>
      <c r="Y269" s="1">
        <f t="shared" si="59"/>
        <v>593.84460842723797</v>
      </c>
    </row>
    <row r="270" spans="1:25" x14ac:dyDescent="0.25">
      <c r="A270" s="26">
        <v>728</v>
      </c>
      <c r="B270" s="26">
        <v>1</v>
      </c>
      <c r="C270" s="27" t="s">
        <v>275</v>
      </c>
      <c r="D270" s="28">
        <v>0</v>
      </c>
      <c r="E270" s="29">
        <v>5986152027</v>
      </c>
      <c r="F270" s="29">
        <v>15319.8</v>
      </c>
      <c r="G270" s="30">
        <v>12492</v>
      </c>
      <c r="H270" s="31">
        <v>1914686.0899999999</v>
      </c>
      <c r="I270" s="29">
        <v>8775623.5499999989</v>
      </c>
      <c r="J270" s="30">
        <v>10690309.639999999</v>
      </c>
      <c r="K270" s="29">
        <v>272415.3600000001</v>
      </c>
      <c r="L270" s="31">
        <v>1248567.4000000001</v>
      </c>
      <c r="M270" s="31">
        <v>1520982.7600000002</v>
      </c>
      <c r="N270" s="31">
        <v>13728.470000000001</v>
      </c>
      <c r="O270" s="31">
        <v>62921.990000000005</v>
      </c>
      <c r="P270" s="31">
        <v>76650.460000000006</v>
      </c>
      <c r="Q270" s="1">
        <f t="shared" si="52"/>
        <v>390746.09505346027</v>
      </c>
      <c r="R270" s="1">
        <f t="shared" si="53"/>
        <v>610068</v>
      </c>
      <c r="S270" s="32">
        <f t="shared" si="54"/>
        <v>0.78261906991601249</v>
      </c>
      <c r="T270" s="1">
        <f t="shared" si="55"/>
        <v>4</v>
      </c>
      <c r="U270" s="1">
        <f t="shared" si="56"/>
        <v>855.7724655779698</v>
      </c>
      <c r="V270" s="1">
        <f t="shared" si="57"/>
        <v>153.27298190842137</v>
      </c>
      <c r="W270" s="25">
        <f t="shared" si="60"/>
        <v>0.17910482993269033</v>
      </c>
      <c r="X270" s="6">
        <f t="shared" si="58"/>
        <v>146.59874173623288</v>
      </c>
      <c r="Y270" s="1">
        <f t="shared" si="59"/>
        <v>583.75157620228049</v>
      </c>
    </row>
    <row r="271" spans="1:25" x14ac:dyDescent="0.25">
      <c r="A271" s="26">
        <v>738</v>
      </c>
      <c r="B271" s="26">
        <v>1</v>
      </c>
      <c r="C271" s="27" t="s">
        <v>276</v>
      </c>
      <c r="D271" s="28">
        <v>0</v>
      </c>
      <c r="E271" s="29">
        <v>300747900</v>
      </c>
      <c r="F271" s="29">
        <v>863.01</v>
      </c>
      <c r="G271" s="30">
        <v>994</v>
      </c>
      <c r="H271" s="31">
        <v>115593.34000000003</v>
      </c>
      <c r="I271" s="29">
        <v>315911.65999999997</v>
      </c>
      <c r="J271" s="30">
        <v>431505</v>
      </c>
      <c r="K271" s="29">
        <v>37007.429999999993</v>
      </c>
      <c r="L271" s="31">
        <v>101139.72</v>
      </c>
      <c r="M271" s="31">
        <v>138147.15</v>
      </c>
      <c r="N271" s="31">
        <v>0</v>
      </c>
      <c r="O271" s="31">
        <v>0</v>
      </c>
      <c r="P271" s="31">
        <v>0</v>
      </c>
      <c r="Q271" s="1">
        <f t="shared" si="52"/>
        <v>348487.15542114229</v>
      </c>
      <c r="R271" s="1">
        <f t="shared" si="53"/>
        <v>611062</v>
      </c>
      <c r="S271" s="32">
        <f t="shared" si="54"/>
        <v>0.78389421195836928</v>
      </c>
      <c r="T271" s="1">
        <f t="shared" si="55"/>
        <v>4</v>
      </c>
      <c r="U271" s="1">
        <f t="shared" si="56"/>
        <v>434.10965794768612</v>
      </c>
      <c r="V271" s="1">
        <f t="shared" si="57"/>
        <v>116.29108651911471</v>
      </c>
      <c r="W271" s="25">
        <f t="shared" si="60"/>
        <v>0.2678841264875263</v>
      </c>
      <c r="X271" s="6">
        <f t="shared" si="58"/>
        <v>105.04201691848886</v>
      </c>
      <c r="Y271" s="1">
        <f t="shared" si="59"/>
        <v>413.27239392646959</v>
      </c>
    </row>
    <row r="272" spans="1:25" x14ac:dyDescent="0.25">
      <c r="A272" s="26">
        <v>739</v>
      </c>
      <c r="B272" s="26">
        <v>1</v>
      </c>
      <c r="C272" s="27" t="s">
        <v>277</v>
      </c>
      <c r="D272" s="28">
        <v>0</v>
      </c>
      <c r="E272" s="29">
        <v>329958200</v>
      </c>
      <c r="F272" s="29">
        <v>850.31</v>
      </c>
      <c r="G272" s="30">
        <v>658</v>
      </c>
      <c r="H272" s="31">
        <v>109984.34999999998</v>
      </c>
      <c r="I272" s="29">
        <v>644827.33000000007</v>
      </c>
      <c r="J272" s="30">
        <v>754811.68</v>
      </c>
      <c r="K272" s="29">
        <v>13594.120000000003</v>
      </c>
      <c r="L272" s="31">
        <v>59974.99</v>
      </c>
      <c r="M272" s="31">
        <v>73569.11</v>
      </c>
      <c r="N272" s="31">
        <v>1468.21</v>
      </c>
      <c r="O272" s="31">
        <v>6477.5</v>
      </c>
      <c r="P272" s="31">
        <v>7945.71</v>
      </c>
      <c r="Q272" s="1">
        <f t="shared" si="52"/>
        <v>388044.59550046455</v>
      </c>
      <c r="R272" s="1">
        <f t="shared" si="53"/>
        <v>611720</v>
      </c>
      <c r="S272" s="32">
        <f t="shared" si="54"/>
        <v>0.78473832007091526</v>
      </c>
      <c r="T272" s="1">
        <f t="shared" si="55"/>
        <v>4</v>
      </c>
      <c r="U272" s="1">
        <f t="shared" si="56"/>
        <v>1147.1302127659576</v>
      </c>
      <c r="V272" s="1">
        <f t="shared" si="57"/>
        <v>167.14946808510635</v>
      </c>
      <c r="W272" s="25">
        <f t="shared" si="60"/>
        <v>0.14571098051900835</v>
      </c>
      <c r="X272" s="6">
        <f t="shared" si="58"/>
        <v>195.42697529565865</v>
      </c>
      <c r="Y272" s="1">
        <f t="shared" si="59"/>
        <v>586.98662814101328</v>
      </c>
    </row>
    <row r="273" spans="1:25" x14ac:dyDescent="0.25">
      <c r="A273" s="26">
        <v>740</v>
      </c>
      <c r="B273" s="26">
        <v>1</v>
      </c>
      <c r="C273" s="27" t="s">
        <v>278</v>
      </c>
      <c r="D273" s="28">
        <v>0</v>
      </c>
      <c r="E273" s="29">
        <v>490268400</v>
      </c>
      <c r="F273" s="29">
        <v>1599.18</v>
      </c>
      <c r="G273" s="30">
        <v>1350</v>
      </c>
      <c r="H273" s="31">
        <v>398443.05999999994</v>
      </c>
      <c r="I273" s="29">
        <v>720982.94000000006</v>
      </c>
      <c r="J273" s="30">
        <v>1119426</v>
      </c>
      <c r="K273" s="29">
        <v>60531.179999999993</v>
      </c>
      <c r="L273" s="31">
        <v>109531.19</v>
      </c>
      <c r="M273" s="31">
        <v>170062.37</v>
      </c>
      <c r="N273" s="31">
        <v>0</v>
      </c>
      <c r="O273" s="31">
        <v>0</v>
      </c>
      <c r="P273" s="31">
        <v>0</v>
      </c>
      <c r="Q273" s="1">
        <f t="shared" si="52"/>
        <v>306574.86962068058</v>
      </c>
      <c r="R273" s="1">
        <f t="shared" si="53"/>
        <v>613070</v>
      </c>
      <c r="S273" s="32">
        <f t="shared" si="54"/>
        <v>0.78647015282461918</v>
      </c>
      <c r="T273" s="1">
        <f t="shared" si="55"/>
        <v>4</v>
      </c>
      <c r="U273" s="1">
        <f t="shared" si="56"/>
        <v>829.20444444444445</v>
      </c>
      <c r="V273" s="1">
        <f t="shared" si="57"/>
        <v>295.14300740740737</v>
      </c>
      <c r="W273" s="25">
        <f t="shared" si="60"/>
        <v>0.35593514890667177</v>
      </c>
      <c r="X273" s="6">
        <f t="shared" si="58"/>
        <v>147.05882328944719</v>
      </c>
      <c r="Y273" s="1">
        <f t="shared" si="59"/>
        <v>563.8590231423043</v>
      </c>
    </row>
    <row r="274" spans="1:25" x14ac:dyDescent="0.25">
      <c r="A274" s="26">
        <v>741</v>
      </c>
      <c r="B274" s="26">
        <v>1</v>
      </c>
      <c r="C274" s="27" t="s">
        <v>279</v>
      </c>
      <c r="D274" s="28">
        <v>0</v>
      </c>
      <c r="E274" s="29">
        <v>423270450</v>
      </c>
      <c r="F274" s="29">
        <v>1142.77</v>
      </c>
      <c r="G274" s="30">
        <v>1005</v>
      </c>
      <c r="H274" s="31">
        <v>105373.87</v>
      </c>
      <c r="I274" s="29">
        <v>369561.33999999997</v>
      </c>
      <c r="J274" s="30">
        <v>474935.20999999996</v>
      </c>
      <c r="K274" s="29">
        <v>30266.639999999999</v>
      </c>
      <c r="L274" s="31">
        <v>106149.45</v>
      </c>
      <c r="M274" s="31">
        <v>136416.09</v>
      </c>
      <c r="N274" s="31">
        <v>0</v>
      </c>
      <c r="O274" s="31">
        <v>0</v>
      </c>
      <c r="P274" s="31">
        <v>0</v>
      </c>
      <c r="Q274" s="1">
        <f t="shared" si="52"/>
        <v>370389.88597880589</v>
      </c>
      <c r="R274" s="1">
        <f t="shared" si="53"/>
        <v>614075</v>
      </c>
      <c r="S274" s="32">
        <f t="shared" si="54"/>
        <v>0.78775940609682094</v>
      </c>
      <c r="T274" s="1">
        <f t="shared" si="55"/>
        <v>4</v>
      </c>
      <c r="U274" s="1">
        <f t="shared" si="56"/>
        <v>472.57234825870643</v>
      </c>
      <c r="V274" s="1">
        <f t="shared" si="57"/>
        <v>104.84962189054725</v>
      </c>
      <c r="W274" s="25">
        <f t="shared" si="60"/>
        <v>0.22186998938234123</v>
      </c>
      <c r="X274" s="6">
        <f t="shared" si="58"/>
        <v>87.31092378407233</v>
      </c>
      <c r="Y274" s="1">
        <f t="shared" si="59"/>
        <v>541.25226005788215</v>
      </c>
    </row>
    <row r="275" spans="1:25" x14ac:dyDescent="0.25">
      <c r="A275" s="26">
        <v>742</v>
      </c>
      <c r="B275" s="26">
        <v>1</v>
      </c>
      <c r="C275" s="27" t="s">
        <v>280</v>
      </c>
      <c r="D275" s="28">
        <v>0</v>
      </c>
      <c r="E275" s="29">
        <v>6209169825</v>
      </c>
      <c r="F275" s="29">
        <v>10600.24</v>
      </c>
      <c r="G275" s="30">
        <v>9210</v>
      </c>
      <c r="H275" s="31">
        <v>30021.790000000037</v>
      </c>
      <c r="I275" s="29">
        <v>5853111.4100000001</v>
      </c>
      <c r="J275" s="30">
        <v>5883133.2000000002</v>
      </c>
      <c r="K275" s="29">
        <v>0</v>
      </c>
      <c r="L275" s="31">
        <v>1188922.92</v>
      </c>
      <c r="M275" s="31">
        <v>1188922.92</v>
      </c>
      <c r="N275" s="31">
        <v>0</v>
      </c>
      <c r="O275" s="31">
        <v>0</v>
      </c>
      <c r="P275" s="31">
        <v>0</v>
      </c>
      <c r="Q275" s="1">
        <f t="shared" si="52"/>
        <v>585757.47577413346</v>
      </c>
      <c r="R275" s="1">
        <f t="shared" si="53"/>
        <v>623285</v>
      </c>
      <c r="S275" s="32">
        <f t="shared" si="54"/>
        <v>0.79957435399431187</v>
      </c>
      <c r="T275" s="1">
        <f t="shared" si="55"/>
        <v>4</v>
      </c>
      <c r="U275" s="1">
        <f t="shared" si="56"/>
        <v>638.77667752442994</v>
      </c>
      <c r="V275" s="1">
        <f t="shared" si="57"/>
        <v>3.2596948968512525</v>
      </c>
      <c r="W275" s="25">
        <f t="shared" si="60"/>
        <v>5.1030274140316991E-3</v>
      </c>
      <c r="X275" s="6">
        <f t="shared" si="58"/>
        <v>94.265603534205155</v>
      </c>
      <c r="Y275" s="1">
        <f t="shared" si="59"/>
        <v>677.63495227890189</v>
      </c>
    </row>
    <row r="276" spans="1:25" x14ac:dyDescent="0.25">
      <c r="A276" s="26">
        <v>743</v>
      </c>
      <c r="B276" s="26">
        <v>1</v>
      </c>
      <c r="C276" s="27" t="s">
        <v>281</v>
      </c>
      <c r="D276" s="28">
        <v>0</v>
      </c>
      <c r="E276" s="29">
        <v>482334350</v>
      </c>
      <c r="F276" s="29">
        <v>1165.01</v>
      </c>
      <c r="G276" s="30">
        <v>936</v>
      </c>
      <c r="H276" s="31">
        <v>106191.77000000002</v>
      </c>
      <c r="I276" s="29">
        <v>1131782.81</v>
      </c>
      <c r="J276" s="30">
        <v>1237974.58</v>
      </c>
      <c r="K276" s="29">
        <v>13145.61</v>
      </c>
      <c r="L276" s="31">
        <v>87807.040000000008</v>
      </c>
      <c r="M276" s="31">
        <v>100952.65000000001</v>
      </c>
      <c r="N276" s="31">
        <v>0</v>
      </c>
      <c r="O276" s="31">
        <v>0</v>
      </c>
      <c r="P276" s="31">
        <v>0</v>
      </c>
      <c r="Q276" s="1">
        <f t="shared" si="52"/>
        <v>414017.34749057947</v>
      </c>
      <c r="R276" s="1">
        <f t="shared" si="53"/>
        <v>624221</v>
      </c>
      <c r="S276" s="32">
        <f t="shared" si="54"/>
        <v>0.80077509137021319</v>
      </c>
      <c r="T276" s="1">
        <f t="shared" si="55"/>
        <v>5</v>
      </c>
      <c r="U276" s="1">
        <f t="shared" si="56"/>
        <v>1322.6224145299145</v>
      </c>
      <c r="V276" s="1">
        <f t="shared" si="57"/>
        <v>113.45274572649575</v>
      </c>
      <c r="W276" s="25">
        <f t="shared" si="60"/>
        <v>8.5778635293141503E-2</v>
      </c>
      <c r="X276" s="6">
        <f t="shared" si="58"/>
        <v>234.64694355689164</v>
      </c>
      <c r="Y276" s="1">
        <f t="shared" si="59"/>
        <v>563.66488072717482</v>
      </c>
    </row>
    <row r="277" spans="1:25" x14ac:dyDescent="0.25">
      <c r="A277" s="26">
        <v>745</v>
      </c>
      <c r="B277" s="26">
        <v>1</v>
      </c>
      <c r="C277" s="27" t="s">
        <v>282</v>
      </c>
      <c r="D277" s="28">
        <v>0</v>
      </c>
      <c r="E277" s="29">
        <v>612780300</v>
      </c>
      <c r="F277" s="29">
        <v>1831.41</v>
      </c>
      <c r="G277" s="30">
        <v>1650</v>
      </c>
      <c r="H277" s="31">
        <v>220342.86</v>
      </c>
      <c r="I277" s="29">
        <v>521378.19000000006</v>
      </c>
      <c r="J277" s="30">
        <v>741721.05</v>
      </c>
      <c r="K277" s="29">
        <v>67827.179999999993</v>
      </c>
      <c r="L277" s="31">
        <v>160493.56</v>
      </c>
      <c r="M277" s="31">
        <v>228320.74</v>
      </c>
      <c r="N277" s="31">
        <v>2443.3999999999996</v>
      </c>
      <c r="O277" s="31">
        <v>5781.6</v>
      </c>
      <c r="P277" s="31">
        <v>8225</v>
      </c>
      <c r="Q277" s="1">
        <f t="shared" si="52"/>
        <v>334594.82038429403</v>
      </c>
      <c r="R277" s="1">
        <f t="shared" si="53"/>
        <v>625871</v>
      </c>
      <c r="S277" s="32">
        <f t="shared" si="54"/>
        <v>0.80289177584696236</v>
      </c>
      <c r="T277" s="1">
        <f t="shared" si="55"/>
        <v>5</v>
      </c>
      <c r="U277" s="1">
        <f t="shared" si="56"/>
        <v>449.52790909090913</v>
      </c>
      <c r="V277" s="1">
        <f t="shared" si="57"/>
        <v>133.54112727272727</v>
      </c>
      <c r="W277" s="25">
        <f t="shared" si="60"/>
        <v>0.29706971374211366</v>
      </c>
      <c r="X277" s="6">
        <f t="shared" si="58"/>
        <v>85.084032564362801</v>
      </c>
      <c r="Y277" s="1">
        <f t="shared" si="59"/>
        <v>528.33404287797305</v>
      </c>
    </row>
    <row r="278" spans="1:25" x14ac:dyDescent="0.25">
      <c r="A278" s="26">
        <v>748</v>
      </c>
      <c r="B278" s="26">
        <v>1</v>
      </c>
      <c r="C278" s="27" t="s">
        <v>283</v>
      </c>
      <c r="D278" s="28">
        <v>0</v>
      </c>
      <c r="E278" s="29">
        <v>1307117500</v>
      </c>
      <c r="F278" s="29">
        <v>4161.1400000000003</v>
      </c>
      <c r="G278" s="30">
        <v>3715</v>
      </c>
      <c r="H278" s="31">
        <v>990566.33999999985</v>
      </c>
      <c r="I278" s="29">
        <v>1922231.6600000001</v>
      </c>
      <c r="J278" s="30">
        <v>2912798</v>
      </c>
      <c r="K278" s="29">
        <v>156014.87</v>
      </c>
      <c r="L278" s="31">
        <v>302752.8</v>
      </c>
      <c r="M278" s="31">
        <v>458767.67</v>
      </c>
      <c r="N278" s="31">
        <v>0</v>
      </c>
      <c r="O278" s="31">
        <v>0</v>
      </c>
      <c r="P278" s="31">
        <v>0</v>
      </c>
      <c r="Q278" s="1">
        <f t="shared" si="52"/>
        <v>314124.85520794778</v>
      </c>
      <c r="R278" s="1">
        <f t="shared" si="53"/>
        <v>629586</v>
      </c>
      <c r="S278" s="32">
        <f t="shared" si="54"/>
        <v>0.80765752301734006</v>
      </c>
      <c r="T278" s="1">
        <f t="shared" si="55"/>
        <v>5</v>
      </c>
      <c r="U278" s="1">
        <f t="shared" si="56"/>
        <v>784.06406460296103</v>
      </c>
      <c r="V278" s="1">
        <f t="shared" si="57"/>
        <v>266.63966083445484</v>
      </c>
      <c r="W278" s="25">
        <f t="shared" si="60"/>
        <v>0.34007381905645351</v>
      </c>
      <c r="X278" s="6">
        <f t="shared" si="58"/>
        <v>147.05882676959035</v>
      </c>
      <c r="Y278" s="1">
        <f t="shared" si="59"/>
        <v>533.16355218270667</v>
      </c>
    </row>
    <row r="279" spans="1:25" x14ac:dyDescent="0.25">
      <c r="A279" s="26">
        <v>750</v>
      </c>
      <c r="B279" s="26">
        <v>1</v>
      </c>
      <c r="C279" s="27" t="s">
        <v>284</v>
      </c>
      <c r="D279" s="28">
        <v>0</v>
      </c>
      <c r="E279" s="29">
        <v>1021144700</v>
      </c>
      <c r="F279" s="29">
        <v>2288.75</v>
      </c>
      <c r="G279" s="30">
        <v>2023</v>
      </c>
      <c r="H279" s="31">
        <v>52938.469999999972</v>
      </c>
      <c r="I279" s="29">
        <v>791472.96</v>
      </c>
      <c r="J279" s="30">
        <v>844411.42999999993</v>
      </c>
      <c r="K279" s="29">
        <v>18031.25</v>
      </c>
      <c r="L279" s="31">
        <v>269581.68</v>
      </c>
      <c r="M279" s="31">
        <v>287612.93</v>
      </c>
      <c r="N279" s="31">
        <v>815.10000000000036</v>
      </c>
      <c r="O279" s="31">
        <v>12186.380000000001</v>
      </c>
      <c r="P279" s="31">
        <v>13001.480000000001</v>
      </c>
      <c r="Q279" s="1">
        <f t="shared" si="52"/>
        <v>446158.25232113601</v>
      </c>
      <c r="R279" s="1">
        <f t="shared" si="53"/>
        <v>631609</v>
      </c>
      <c r="S279" s="32">
        <f t="shared" si="54"/>
        <v>0.81025270646974223</v>
      </c>
      <c r="T279" s="1">
        <f t="shared" si="55"/>
        <v>5</v>
      </c>
      <c r="U279" s="1">
        <f t="shared" si="56"/>
        <v>417.40555116164109</v>
      </c>
      <c r="V279" s="1">
        <f t="shared" si="57"/>
        <v>26.16829955511615</v>
      </c>
      <c r="W279" s="25">
        <f t="shared" si="60"/>
        <v>6.2692744459889621E-2</v>
      </c>
      <c r="X279" s="6">
        <f t="shared" si="58"/>
        <v>77.508404048907082</v>
      </c>
      <c r="Y279" s="1">
        <f t="shared" si="59"/>
        <v>538.5294101762978</v>
      </c>
    </row>
    <row r="280" spans="1:25" x14ac:dyDescent="0.25">
      <c r="A280" s="26">
        <v>756</v>
      </c>
      <c r="B280" s="26">
        <v>1</v>
      </c>
      <c r="C280" s="27" t="s">
        <v>285</v>
      </c>
      <c r="D280" s="28">
        <v>0</v>
      </c>
      <c r="E280" s="29">
        <v>218126525</v>
      </c>
      <c r="F280" s="29">
        <v>808.67</v>
      </c>
      <c r="G280" s="30">
        <v>683</v>
      </c>
      <c r="H280" s="31">
        <v>245317.76000000001</v>
      </c>
      <c r="I280" s="29">
        <v>344235.02</v>
      </c>
      <c r="J280" s="30">
        <v>589552.78</v>
      </c>
      <c r="K280" s="29">
        <v>35775.160000000003</v>
      </c>
      <c r="L280" s="31">
        <v>46783.53</v>
      </c>
      <c r="M280" s="31">
        <v>82558.69</v>
      </c>
      <c r="N280" s="31">
        <v>0</v>
      </c>
      <c r="O280" s="31">
        <v>0</v>
      </c>
      <c r="P280" s="31">
        <v>0</v>
      </c>
      <c r="Q280" s="1">
        <f t="shared" si="52"/>
        <v>269734.90422545664</v>
      </c>
      <c r="R280" s="1">
        <f t="shared" si="53"/>
        <v>632292</v>
      </c>
      <c r="S280" s="32">
        <f t="shared" si="54"/>
        <v>0.8111288855592087</v>
      </c>
      <c r="T280" s="1">
        <f t="shared" si="55"/>
        <v>5</v>
      </c>
      <c r="U280" s="1">
        <f t="shared" si="56"/>
        <v>863.18122986822846</v>
      </c>
      <c r="V280" s="1">
        <f t="shared" si="57"/>
        <v>359.17680819912152</v>
      </c>
      <c r="W280" s="25">
        <f t="shared" si="60"/>
        <v>0.41610822359280536</v>
      </c>
      <c r="X280" s="6">
        <f t="shared" si="58"/>
        <v>157.81437860434443</v>
      </c>
      <c r="Y280" s="1">
        <f t="shared" si="59"/>
        <v>546.95981285222774</v>
      </c>
    </row>
    <row r="281" spans="1:25" x14ac:dyDescent="0.25">
      <c r="A281" s="26">
        <v>761</v>
      </c>
      <c r="B281" s="26">
        <v>1</v>
      </c>
      <c r="C281" s="27" t="s">
        <v>286</v>
      </c>
      <c r="D281" s="28">
        <v>0</v>
      </c>
      <c r="E281" s="29">
        <v>1943695975</v>
      </c>
      <c r="F281" s="29">
        <v>5586.74</v>
      </c>
      <c r="G281" s="30">
        <v>4740</v>
      </c>
      <c r="H281" s="31">
        <v>1038871.6299999999</v>
      </c>
      <c r="I281" s="29">
        <v>2821789.1799999997</v>
      </c>
      <c r="J281" s="30">
        <v>3860660.8099999996</v>
      </c>
      <c r="K281" s="29">
        <v>156975.93</v>
      </c>
      <c r="L281" s="31">
        <v>426378.93</v>
      </c>
      <c r="M281" s="31">
        <v>583354.86</v>
      </c>
      <c r="N281" s="31">
        <v>49760.97</v>
      </c>
      <c r="O281" s="31">
        <v>135161.04</v>
      </c>
      <c r="P281" s="31">
        <v>184922.01</v>
      </c>
      <c r="Q281" s="1">
        <f t="shared" si="52"/>
        <v>347912.37376359024</v>
      </c>
      <c r="R281" s="1">
        <f t="shared" si="53"/>
        <v>637032</v>
      </c>
      <c r="S281" s="32">
        <f t="shared" si="54"/>
        <v>0.81720954278332458</v>
      </c>
      <c r="T281" s="1">
        <f t="shared" si="55"/>
        <v>5</v>
      </c>
      <c r="U281" s="1">
        <f t="shared" si="56"/>
        <v>814.48540295358646</v>
      </c>
      <c r="V281" s="1">
        <f t="shared" si="57"/>
        <v>219.17122995780588</v>
      </c>
      <c r="W281" s="25">
        <f t="shared" si="60"/>
        <v>0.2690916610205909</v>
      </c>
      <c r="X281" s="6">
        <f t="shared" si="58"/>
        <v>145.17646876333114</v>
      </c>
      <c r="Y281" s="1">
        <f t="shared" si="59"/>
        <v>561.03128137203328</v>
      </c>
    </row>
    <row r="282" spans="1:25" x14ac:dyDescent="0.25">
      <c r="A282" s="26">
        <v>763</v>
      </c>
      <c r="B282" s="26">
        <v>1</v>
      </c>
      <c r="C282" s="27" t="s">
        <v>287</v>
      </c>
      <c r="D282" s="28">
        <v>0</v>
      </c>
      <c r="E282" s="29">
        <v>212432900</v>
      </c>
      <c r="F282" s="29">
        <v>711.49</v>
      </c>
      <c r="G282" s="30">
        <v>835</v>
      </c>
      <c r="H282" s="31">
        <v>0</v>
      </c>
      <c r="I282" s="29">
        <v>0</v>
      </c>
      <c r="J282" s="30">
        <v>0</v>
      </c>
      <c r="K282" s="29">
        <v>44745.440000000002</v>
      </c>
      <c r="L282" s="31">
        <v>75298.459999999992</v>
      </c>
      <c r="M282" s="31">
        <v>120043.9</v>
      </c>
      <c r="N282" s="31">
        <v>5726.6099999999988</v>
      </c>
      <c r="O282" s="31">
        <v>9636.85</v>
      </c>
      <c r="P282" s="31">
        <v>15363.46</v>
      </c>
      <c r="Q282" s="1">
        <f t="shared" si="52"/>
        <v>298574.68130261847</v>
      </c>
      <c r="R282" s="1">
        <f t="shared" si="53"/>
        <v>637867</v>
      </c>
      <c r="S282" s="32">
        <f t="shared" si="54"/>
        <v>0.81828071341246733</v>
      </c>
      <c r="T282" s="1">
        <f t="shared" si="55"/>
        <v>5</v>
      </c>
      <c r="U282" s="1">
        <f t="shared" si="56"/>
        <v>0</v>
      </c>
      <c r="V282" s="1">
        <f t="shared" si="57"/>
        <v>0</v>
      </c>
      <c r="W282" s="33" t="s">
        <v>60</v>
      </c>
      <c r="X282" s="6">
        <f t="shared" si="58"/>
        <v>0</v>
      </c>
      <c r="Y282" s="1">
        <f t="shared" si="59"/>
        <v>0</v>
      </c>
    </row>
    <row r="283" spans="1:25" x14ac:dyDescent="0.25">
      <c r="A283" s="26">
        <v>768</v>
      </c>
      <c r="B283" s="26">
        <v>1</v>
      </c>
      <c r="C283" s="27" t="s">
        <v>288</v>
      </c>
      <c r="D283" s="28">
        <v>0</v>
      </c>
      <c r="E283" s="29">
        <v>47975380</v>
      </c>
      <c r="F283" s="29">
        <v>251.83</v>
      </c>
      <c r="G283" s="30">
        <v>290</v>
      </c>
      <c r="H283" s="31">
        <v>139119.45000000001</v>
      </c>
      <c r="I283" s="29">
        <v>150573.19</v>
      </c>
      <c r="J283" s="30">
        <v>289692.64</v>
      </c>
      <c r="K283" s="29">
        <v>19564.700000000004</v>
      </c>
      <c r="L283" s="31">
        <v>13055.35</v>
      </c>
      <c r="M283" s="31">
        <v>32620.050000000003</v>
      </c>
      <c r="N283" s="31">
        <v>1903.27</v>
      </c>
      <c r="O283" s="31">
        <v>1270.04</v>
      </c>
      <c r="P283" s="31">
        <v>3173.31</v>
      </c>
      <c r="Q283" s="1">
        <f t="shared" si="52"/>
        <v>190507.00869634276</v>
      </c>
      <c r="R283" s="1">
        <f t="shared" si="53"/>
        <v>638157</v>
      </c>
      <c r="S283" s="32">
        <f t="shared" si="54"/>
        <v>0.81865273674474448</v>
      </c>
      <c r="T283" s="1">
        <f t="shared" si="55"/>
        <v>5</v>
      </c>
      <c r="U283" s="1">
        <f t="shared" si="56"/>
        <v>998.94013793103454</v>
      </c>
      <c r="V283" s="1">
        <f t="shared" si="57"/>
        <v>479.72224137931039</v>
      </c>
      <c r="W283" s="25">
        <f t="shared" ref="W283:W293" si="61">V283/U283</f>
        <v>0.48023122023396936</v>
      </c>
      <c r="X283" s="6">
        <f t="shared" si="58"/>
        <v>313.85512735907457</v>
      </c>
      <c r="Y283" s="1">
        <f t="shared" si="59"/>
        <v>318.28064952661094</v>
      </c>
    </row>
    <row r="284" spans="1:25" x14ac:dyDescent="0.25">
      <c r="A284" s="26">
        <v>769</v>
      </c>
      <c r="B284" s="26">
        <v>1</v>
      </c>
      <c r="C284" s="27" t="s">
        <v>289</v>
      </c>
      <c r="D284" s="28">
        <v>0</v>
      </c>
      <c r="E284" s="29">
        <v>308412975</v>
      </c>
      <c r="F284" s="29">
        <v>1021.11</v>
      </c>
      <c r="G284" s="30">
        <v>999</v>
      </c>
      <c r="H284" s="31">
        <v>261228.51</v>
      </c>
      <c r="I284" s="29">
        <v>649856.89000000013</v>
      </c>
      <c r="J284" s="30">
        <v>911085.40000000014</v>
      </c>
      <c r="K284" s="29">
        <v>43262.789999999994</v>
      </c>
      <c r="L284" s="31">
        <v>75113.45</v>
      </c>
      <c r="M284" s="31">
        <v>118376.23999999999</v>
      </c>
      <c r="N284" s="31">
        <v>0</v>
      </c>
      <c r="O284" s="31">
        <v>0</v>
      </c>
      <c r="P284" s="31">
        <v>0</v>
      </c>
      <c r="Q284" s="1">
        <f t="shared" si="52"/>
        <v>302036.97446896025</v>
      </c>
      <c r="R284" s="1">
        <f t="shared" si="53"/>
        <v>639156</v>
      </c>
      <c r="S284" s="32">
        <f t="shared" si="54"/>
        <v>0.81993429298248532</v>
      </c>
      <c r="T284" s="1">
        <f t="shared" si="55"/>
        <v>5</v>
      </c>
      <c r="U284" s="1">
        <f t="shared" si="56"/>
        <v>911.99739739739755</v>
      </c>
      <c r="V284" s="1">
        <f t="shared" si="57"/>
        <v>261.49</v>
      </c>
      <c r="W284" s="25">
        <f t="shared" si="61"/>
        <v>0.28672230945639121</v>
      </c>
      <c r="X284" s="6">
        <f t="shared" si="58"/>
        <v>210.70997094074923</v>
      </c>
      <c r="Y284" s="1">
        <f t="shared" si="59"/>
        <v>432.82118702102019</v>
      </c>
    </row>
    <row r="285" spans="1:25" x14ac:dyDescent="0.25">
      <c r="A285" s="26">
        <v>771</v>
      </c>
      <c r="B285" s="26">
        <v>1</v>
      </c>
      <c r="C285" s="27" t="s">
        <v>290</v>
      </c>
      <c r="D285" s="28">
        <v>0</v>
      </c>
      <c r="E285" s="29">
        <v>52142470</v>
      </c>
      <c r="F285" s="29">
        <v>210.65</v>
      </c>
      <c r="G285" s="30">
        <v>150</v>
      </c>
      <c r="H285" s="31">
        <v>139830.83000000002</v>
      </c>
      <c r="I285" s="29">
        <v>386794.17</v>
      </c>
      <c r="J285" s="30">
        <v>526625</v>
      </c>
      <c r="K285" s="29">
        <v>3861.38</v>
      </c>
      <c r="L285" s="31">
        <v>4183.5599999999995</v>
      </c>
      <c r="M285" s="31">
        <v>8044.94</v>
      </c>
      <c r="N285" s="31">
        <v>0</v>
      </c>
      <c r="O285" s="31">
        <v>0</v>
      </c>
      <c r="P285" s="31">
        <v>0</v>
      </c>
      <c r="Q285" s="1">
        <f t="shared" si="52"/>
        <v>247531.30785663423</v>
      </c>
      <c r="R285" s="1">
        <f t="shared" si="53"/>
        <v>639306</v>
      </c>
      <c r="S285" s="32">
        <f t="shared" si="54"/>
        <v>0.82012671884400801</v>
      </c>
      <c r="T285" s="1">
        <f t="shared" si="55"/>
        <v>5</v>
      </c>
      <c r="U285" s="1">
        <f t="shared" si="56"/>
        <v>3510.8333333333335</v>
      </c>
      <c r="V285" s="1">
        <f t="shared" si="57"/>
        <v>932.20553333333339</v>
      </c>
      <c r="W285" s="25">
        <f t="shared" si="61"/>
        <v>0.26552258248279137</v>
      </c>
      <c r="X285" s="6">
        <f t="shared" si="58"/>
        <v>741.8025459860263</v>
      </c>
      <c r="Y285" s="1">
        <f t="shared" si="59"/>
        <v>473.2840770540397</v>
      </c>
    </row>
    <row r="286" spans="1:25" x14ac:dyDescent="0.25">
      <c r="A286" s="26">
        <v>775</v>
      </c>
      <c r="B286" s="26">
        <v>1</v>
      </c>
      <c r="C286" s="27" t="s">
        <v>291</v>
      </c>
      <c r="D286" s="28">
        <v>0</v>
      </c>
      <c r="E286" s="29">
        <v>126069895</v>
      </c>
      <c r="F286" s="29">
        <v>482.93</v>
      </c>
      <c r="G286" s="30">
        <v>585</v>
      </c>
      <c r="H286" s="31">
        <v>154254.54999999999</v>
      </c>
      <c r="I286" s="29">
        <v>232089.45</v>
      </c>
      <c r="J286" s="30">
        <v>386344</v>
      </c>
      <c r="K286" s="29">
        <v>33525.350000000006</v>
      </c>
      <c r="L286" s="31">
        <v>40716.22</v>
      </c>
      <c r="M286" s="31">
        <v>74241.570000000007</v>
      </c>
      <c r="N286" s="31">
        <v>0</v>
      </c>
      <c r="O286" s="31">
        <v>0</v>
      </c>
      <c r="P286" s="31">
        <v>0</v>
      </c>
      <c r="Q286" s="1">
        <f t="shared" si="52"/>
        <v>261052.10900130455</v>
      </c>
      <c r="R286" s="1">
        <f t="shared" si="53"/>
        <v>639891</v>
      </c>
      <c r="S286" s="32">
        <f t="shared" si="54"/>
        <v>0.82087717970394636</v>
      </c>
      <c r="T286" s="1">
        <f t="shared" si="55"/>
        <v>5</v>
      </c>
      <c r="U286" s="1">
        <f t="shared" si="56"/>
        <v>660.41709401709397</v>
      </c>
      <c r="V286" s="1">
        <f t="shared" si="57"/>
        <v>263.68299145299142</v>
      </c>
      <c r="W286" s="25">
        <f t="shared" si="61"/>
        <v>0.39926736276478991</v>
      </c>
      <c r="X286" s="6">
        <f t="shared" si="58"/>
        <v>184.09585412917176</v>
      </c>
      <c r="Y286" s="1">
        <f t="shared" si="59"/>
        <v>358.73545177921773</v>
      </c>
    </row>
    <row r="287" spans="1:25" x14ac:dyDescent="0.25">
      <c r="A287" s="26">
        <v>777</v>
      </c>
      <c r="B287" s="26">
        <v>1</v>
      </c>
      <c r="C287" s="27" t="s">
        <v>292</v>
      </c>
      <c r="D287" s="28">
        <v>0</v>
      </c>
      <c r="E287" s="29">
        <v>300949780</v>
      </c>
      <c r="F287" s="29">
        <v>1068.8900000000001</v>
      </c>
      <c r="G287" s="30">
        <v>888</v>
      </c>
      <c r="H287" s="31">
        <v>283817.65999999997</v>
      </c>
      <c r="I287" s="29">
        <v>410960.84</v>
      </c>
      <c r="J287" s="30">
        <v>694778.5</v>
      </c>
      <c r="K287" s="29">
        <v>46299.349999999991</v>
      </c>
      <c r="L287" s="31">
        <v>67040.3</v>
      </c>
      <c r="M287" s="31">
        <v>113339.65</v>
      </c>
      <c r="N287" s="31">
        <v>0</v>
      </c>
      <c r="O287" s="31">
        <v>0</v>
      </c>
      <c r="P287" s="31">
        <v>0</v>
      </c>
      <c r="Q287" s="1">
        <f t="shared" si="52"/>
        <v>281553.55555763451</v>
      </c>
      <c r="R287" s="1">
        <f t="shared" si="53"/>
        <v>640779</v>
      </c>
      <c r="S287" s="32">
        <f t="shared" si="54"/>
        <v>0.82201634080416042</v>
      </c>
      <c r="T287" s="1">
        <f t="shared" si="55"/>
        <v>5</v>
      </c>
      <c r="U287" s="1">
        <f t="shared" si="56"/>
        <v>782.40822072072069</v>
      </c>
      <c r="V287" s="1">
        <f t="shared" si="57"/>
        <v>319.61448198198195</v>
      </c>
      <c r="W287" s="25">
        <f t="shared" si="61"/>
        <v>0.40850092511498265</v>
      </c>
      <c r="X287" s="6">
        <f t="shared" si="58"/>
        <v>136.55462383125851</v>
      </c>
      <c r="Y287" s="1">
        <f t="shared" si="59"/>
        <v>572.96355024019397</v>
      </c>
    </row>
    <row r="288" spans="1:25" x14ac:dyDescent="0.25">
      <c r="A288" s="26">
        <v>786</v>
      </c>
      <c r="B288" s="26">
        <v>1</v>
      </c>
      <c r="C288" s="27" t="s">
        <v>293</v>
      </c>
      <c r="D288" s="28">
        <v>0</v>
      </c>
      <c r="E288" s="29">
        <v>64345540</v>
      </c>
      <c r="F288" s="29">
        <v>318.60000000000002</v>
      </c>
      <c r="G288" s="30">
        <v>400</v>
      </c>
      <c r="H288" s="31">
        <v>133325.20000000001</v>
      </c>
      <c r="I288" s="29">
        <v>109263.21</v>
      </c>
      <c r="J288" s="30">
        <v>242588.41000000003</v>
      </c>
      <c r="K288" s="29">
        <v>30613.24</v>
      </c>
      <c r="L288" s="31">
        <v>22561.780000000002</v>
      </c>
      <c r="M288" s="31">
        <v>53175.020000000004</v>
      </c>
      <c r="N288" s="31">
        <v>0</v>
      </c>
      <c r="O288" s="31">
        <v>0</v>
      </c>
      <c r="P288" s="31">
        <v>0</v>
      </c>
      <c r="Q288" s="1">
        <f t="shared" si="52"/>
        <v>201963.40238543626</v>
      </c>
      <c r="R288" s="1">
        <f t="shared" si="53"/>
        <v>641179</v>
      </c>
      <c r="S288" s="32">
        <f t="shared" si="54"/>
        <v>0.8225294764348875</v>
      </c>
      <c r="T288" s="1">
        <f t="shared" si="55"/>
        <v>5</v>
      </c>
      <c r="U288" s="1">
        <f t="shared" si="56"/>
        <v>606.47102500000005</v>
      </c>
      <c r="V288" s="1">
        <f t="shared" si="57"/>
        <v>333.31300000000005</v>
      </c>
      <c r="W288" s="25">
        <f t="shared" si="61"/>
        <v>0.54959426956959734</v>
      </c>
      <c r="X288" s="6">
        <f t="shared" si="58"/>
        <v>169.80696719617242</v>
      </c>
      <c r="Y288" s="1">
        <f t="shared" si="59"/>
        <v>357.15320461460453</v>
      </c>
    </row>
    <row r="289" spans="1:25" x14ac:dyDescent="0.25">
      <c r="A289" s="26">
        <v>787</v>
      </c>
      <c r="B289" s="26">
        <v>1</v>
      </c>
      <c r="C289" s="27" t="s">
        <v>294</v>
      </c>
      <c r="D289" s="28">
        <v>0</v>
      </c>
      <c r="E289" s="29">
        <v>100722150</v>
      </c>
      <c r="F289" s="29">
        <v>288.22000000000003</v>
      </c>
      <c r="G289" s="30">
        <v>432</v>
      </c>
      <c r="H289" s="31">
        <v>9667.7700000000041</v>
      </c>
      <c r="I289" s="29">
        <v>26699.83</v>
      </c>
      <c r="J289" s="30">
        <v>36367.600000000006</v>
      </c>
      <c r="K289" s="29">
        <v>17908.519999999997</v>
      </c>
      <c r="L289" s="31">
        <v>49458.63</v>
      </c>
      <c r="M289" s="31">
        <v>67367.149999999994</v>
      </c>
      <c r="N289" s="31">
        <v>0</v>
      </c>
      <c r="O289" s="31">
        <v>0</v>
      </c>
      <c r="P289" s="31">
        <v>0</v>
      </c>
      <c r="Q289" s="1">
        <f t="shared" si="52"/>
        <v>349462.73679827905</v>
      </c>
      <c r="R289" s="1">
        <f t="shared" si="53"/>
        <v>641611</v>
      </c>
      <c r="S289" s="32">
        <f t="shared" si="54"/>
        <v>0.82308366291607271</v>
      </c>
      <c r="T289" s="1">
        <f t="shared" si="55"/>
        <v>5</v>
      </c>
      <c r="U289" s="1">
        <f t="shared" si="56"/>
        <v>84.184259259259278</v>
      </c>
      <c r="V289" s="1">
        <f t="shared" si="57"/>
        <v>22.379097222222232</v>
      </c>
      <c r="W289" s="25">
        <f t="shared" si="61"/>
        <v>0.2658346990178071</v>
      </c>
      <c r="X289" s="6">
        <f t="shared" si="58"/>
        <v>26.508399592343892</v>
      </c>
      <c r="Y289" s="1">
        <f t="shared" si="59"/>
        <v>317.57578938704853</v>
      </c>
    </row>
    <row r="290" spans="1:25" x14ac:dyDescent="0.25">
      <c r="A290" s="26">
        <v>801</v>
      </c>
      <c r="B290" s="26">
        <v>1</v>
      </c>
      <c r="C290" s="27" t="s">
        <v>295</v>
      </c>
      <c r="D290" s="28">
        <v>0</v>
      </c>
      <c r="E290" s="29">
        <v>20794725</v>
      </c>
      <c r="F290" s="29">
        <v>127.34</v>
      </c>
      <c r="G290" s="30">
        <v>116</v>
      </c>
      <c r="H290" s="31">
        <v>89683.5</v>
      </c>
      <c r="I290" s="29">
        <v>78218.110000000015</v>
      </c>
      <c r="J290" s="30">
        <v>167901.61000000002</v>
      </c>
      <c r="K290" s="29">
        <v>6535.3099999999995</v>
      </c>
      <c r="L290" s="31">
        <v>3412.94</v>
      </c>
      <c r="M290" s="31">
        <v>9948.25</v>
      </c>
      <c r="N290" s="31">
        <v>0</v>
      </c>
      <c r="O290" s="31">
        <v>0</v>
      </c>
      <c r="P290" s="31">
        <v>0</v>
      </c>
      <c r="Q290" s="1">
        <f t="shared" si="52"/>
        <v>163300.80885817495</v>
      </c>
      <c r="R290" s="1">
        <f t="shared" si="53"/>
        <v>641727</v>
      </c>
      <c r="S290" s="32">
        <f t="shared" si="54"/>
        <v>0.82323247224898355</v>
      </c>
      <c r="T290" s="1">
        <f t="shared" si="55"/>
        <v>5</v>
      </c>
      <c r="U290" s="1">
        <f t="shared" si="56"/>
        <v>1447.4276724137933</v>
      </c>
      <c r="V290" s="1">
        <f t="shared" si="57"/>
        <v>773.13362068965512</v>
      </c>
      <c r="W290" s="25">
        <f t="shared" si="61"/>
        <v>0.53414318064013788</v>
      </c>
      <c r="X290" s="6">
        <f t="shared" si="58"/>
        <v>376.14399805719972</v>
      </c>
      <c r="Y290" s="1">
        <f t="shared" si="59"/>
        <v>384.80679736744992</v>
      </c>
    </row>
    <row r="291" spans="1:25" x14ac:dyDescent="0.25">
      <c r="A291" s="26">
        <v>803</v>
      </c>
      <c r="B291" s="26">
        <v>1</v>
      </c>
      <c r="C291" s="27" t="s">
        <v>296</v>
      </c>
      <c r="D291" s="28">
        <v>0</v>
      </c>
      <c r="E291" s="29">
        <v>92609935</v>
      </c>
      <c r="F291" s="29">
        <v>394.5</v>
      </c>
      <c r="G291" s="30">
        <v>361</v>
      </c>
      <c r="H291" s="31">
        <v>182189.11</v>
      </c>
      <c r="I291" s="29">
        <v>417450.89</v>
      </c>
      <c r="J291" s="30">
        <v>599640</v>
      </c>
      <c r="K291" s="29">
        <v>17232.93</v>
      </c>
      <c r="L291" s="31">
        <v>16769</v>
      </c>
      <c r="M291" s="31">
        <v>34001.93</v>
      </c>
      <c r="N291" s="31">
        <v>962.95</v>
      </c>
      <c r="O291" s="31">
        <v>937.03</v>
      </c>
      <c r="P291" s="31">
        <v>1899.98</v>
      </c>
      <c r="Q291" s="1">
        <f t="shared" si="52"/>
        <v>234752.68694550064</v>
      </c>
      <c r="R291" s="1">
        <f t="shared" si="53"/>
        <v>642088</v>
      </c>
      <c r="S291" s="32">
        <f t="shared" si="54"/>
        <v>0.82369557715571473</v>
      </c>
      <c r="T291" s="1">
        <f t="shared" si="55"/>
        <v>5</v>
      </c>
      <c r="U291" s="1">
        <f t="shared" si="56"/>
        <v>1661.0526315789473</v>
      </c>
      <c r="V291" s="1">
        <f t="shared" si="57"/>
        <v>504.67897506925203</v>
      </c>
      <c r="W291" s="25">
        <f t="shared" si="61"/>
        <v>0.3038308151557601</v>
      </c>
      <c r="X291" s="6">
        <f t="shared" si="58"/>
        <v>450.76253427885462</v>
      </c>
      <c r="Y291" s="1">
        <f t="shared" si="59"/>
        <v>368.49837891615289</v>
      </c>
    </row>
    <row r="292" spans="1:25" x14ac:dyDescent="0.25">
      <c r="A292" s="26">
        <v>811</v>
      </c>
      <c r="B292" s="26">
        <v>1</v>
      </c>
      <c r="C292" s="27" t="s">
        <v>297</v>
      </c>
      <c r="D292" s="28">
        <v>0</v>
      </c>
      <c r="E292" s="29">
        <v>432118700</v>
      </c>
      <c r="F292" s="29">
        <v>754.51</v>
      </c>
      <c r="G292" s="30">
        <v>595</v>
      </c>
      <c r="H292" s="31">
        <v>0</v>
      </c>
      <c r="I292" s="29">
        <v>746210.39</v>
      </c>
      <c r="J292" s="30">
        <v>746210.39</v>
      </c>
      <c r="K292" s="29">
        <v>0</v>
      </c>
      <c r="L292" s="31">
        <v>64974.01</v>
      </c>
      <c r="M292" s="31">
        <v>64974.01</v>
      </c>
      <c r="N292" s="31">
        <v>0</v>
      </c>
      <c r="O292" s="31">
        <v>0</v>
      </c>
      <c r="P292" s="31">
        <v>0</v>
      </c>
      <c r="Q292" s="1">
        <f t="shared" si="52"/>
        <v>572714.34440895414</v>
      </c>
      <c r="R292" s="1">
        <f t="shared" si="53"/>
        <v>642683</v>
      </c>
      <c r="S292" s="32">
        <f t="shared" si="54"/>
        <v>0.8244588664064213</v>
      </c>
      <c r="T292" s="1">
        <f t="shared" si="55"/>
        <v>5</v>
      </c>
      <c r="U292" s="1">
        <f t="shared" si="56"/>
        <v>1254.1351092436976</v>
      </c>
      <c r="V292" s="1">
        <f t="shared" si="57"/>
        <v>0</v>
      </c>
      <c r="W292" s="25">
        <f t="shared" si="61"/>
        <v>0</v>
      </c>
      <c r="X292" s="6">
        <f t="shared" si="58"/>
        <v>172.68643777739774</v>
      </c>
      <c r="Y292" s="1">
        <f t="shared" si="59"/>
        <v>726.24991596638665</v>
      </c>
    </row>
    <row r="293" spans="1:25" x14ac:dyDescent="0.25">
      <c r="A293" s="26">
        <v>813</v>
      </c>
      <c r="B293" s="26">
        <v>1</v>
      </c>
      <c r="C293" s="27" t="s">
        <v>298</v>
      </c>
      <c r="D293" s="28">
        <v>0</v>
      </c>
      <c r="E293" s="29">
        <v>714817350</v>
      </c>
      <c r="F293" s="29">
        <v>1376.94</v>
      </c>
      <c r="G293" s="30">
        <v>1217</v>
      </c>
      <c r="H293" s="31">
        <v>0</v>
      </c>
      <c r="I293" s="29">
        <v>1181414.52</v>
      </c>
      <c r="J293" s="30">
        <v>1181414.52</v>
      </c>
      <c r="K293" s="29">
        <v>0</v>
      </c>
      <c r="L293" s="31">
        <v>142583.57</v>
      </c>
      <c r="M293" s="31">
        <v>142583.57</v>
      </c>
      <c r="N293" s="31">
        <v>0</v>
      </c>
      <c r="O293" s="31">
        <v>2497.5100000000002</v>
      </c>
      <c r="P293" s="31">
        <v>2497.5100000000002</v>
      </c>
      <c r="Q293" s="1">
        <f t="shared" si="52"/>
        <v>519134.71175214602</v>
      </c>
      <c r="R293" s="1">
        <f t="shared" si="53"/>
        <v>643900</v>
      </c>
      <c r="S293" s="32">
        <f t="shared" si="54"/>
        <v>0.8260200815629084</v>
      </c>
      <c r="T293" s="1">
        <f t="shared" si="55"/>
        <v>5</v>
      </c>
      <c r="U293" s="1">
        <f t="shared" si="56"/>
        <v>970.75967132292521</v>
      </c>
      <c r="V293" s="1">
        <f t="shared" si="57"/>
        <v>0</v>
      </c>
      <c r="W293" s="25">
        <f t="shared" si="61"/>
        <v>0</v>
      </c>
      <c r="X293" s="6">
        <f t="shared" si="58"/>
        <v>165.2750202551743</v>
      </c>
      <c r="Y293" s="1">
        <f t="shared" si="59"/>
        <v>587.36018898931798</v>
      </c>
    </row>
    <row r="294" spans="1:25" x14ac:dyDescent="0.25">
      <c r="A294" s="26">
        <v>815</v>
      </c>
      <c r="B294" s="26">
        <v>2</v>
      </c>
      <c r="C294" s="27" t="s">
        <v>299</v>
      </c>
      <c r="D294" s="28">
        <v>0</v>
      </c>
      <c r="E294" s="29">
        <v>36422800</v>
      </c>
      <c r="F294" s="29">
        <v>29.57</v>
      </c>
      <c r="G294" s="30">
        <v>0</v>
      </c>
      <c r="H294" s="31">
        <v>0</v>
      </c>
      <c r="I294" s="29">
        <v>0</v>
      </c>
      <c r="J294" s="30">
        <v>0</v>
      </c>
      <c r="K294" s="29">
        <v>0</v>
      </c>
      <c r="L294" s="31">
        <v>2650.65</v>
      </c>
      <c r="M294" s="31">
        <v>2650.65</v>
      </c>
      <c r="N294" s="31">
        <v>0</v>
      </c>
      <c r="O294" s="31">
        <v>0</v>
      </c>
      <c r="P294" s="31">
        <v>0</v>
      </c>
      <c r="Q294" s="1">
        <f t="shared" si="52"/>
        <v>1231748.3936422048</v>
      </c>
      <c r="R294" s="1">
        <f t="shared" si="53"/>
        <v>643900</v>
      </c>
      <c r="S294" s="32">
        <f t="shared" si="54"/>
        <v>0.8260200815629084</v>
      </c>
      <c r="T294" s="1">
        <f t="shared" si="55"/>
        <v>5</v>
      </c>
      <c r="U294" s="1">
        <f t="shared" si="56"/>
        <v>0</v>
      </c>
      <c r="V294" s="33" t="s">
        <v>60</v>
      </c>
      <c r="W294" s="33" t="s">
        <v>60</v>
      </c>
      <c r="X294" s="6">
        <f t="shared" si="58"/>
        <v>0</v>
      </c>
      <c r="Y294" s="1">
        <f t="shared" si="59"/>
        <v>0</v>
      </c>
    </row>
    <row r="295" spans="1:25" x14ac:dyDescent="0.25">
      <c r="A295" s="26">
        <v>818</v>
      </c>
      <c r="B295" s="26">
        <v>1</v>
      </c>
      <c r="C295" s="27" t="s">
        <v>300</v>
      </c>
      <c r="D295" s="28">
        <v>0</v>
      </c>
      <c r="E295" s="29">
        <v>70261255</v>
      </c>
      <c r="F295" s="29">
        <v>285.95</v>
      </c>
      <c r="G295" s="30">
        <v>481</v>
      </c>
      <c r="H295" s="31">
        <v>0</v>
      </c>
      <c r="I295" s="29">
        <v>0</v>
      </c>
      <c r="J295" s="30">
        <v>0</v>
      </c>
      <c r="K295" s="29">
        <v>28375.450000000004</v>
      </c>
      <c r="L295" s="31">
        <v>30275.870000000003</v>
      </c>
      <c r="M295" s="31">
        <v>58651.320000000007</v>
      </c>
      <c r="N295" s="31">
        <v>8796.77</v>
      </c>
      <c r="O295" s="31">
        <v>9385.93</v>
      </c>
      <c r="P295" s="31">
        <v>18182.7</v>
      </c>
      <c r="Q295" s="1">
        <f t="shared" si="52"/>
        <v>245711.68036369997</v>
      </c>
      <c r="R295" s="1">
        <f t="shared" si="53"/>
        <v>644381</v>
      </c>
      <c r="S295" s="32">
        <f t="shared" si="54"/>
        <v>0.82663712715885773</v>
      </c>
      <c r="T295" s="1">
        <f t="shared" si="55"/>
        <v>5</v>
      </c>
      <c r="U295" s="1">
        <f t="shared" si="56"/>
        <v>0</v>
      </c>
      <c r="V295" s="1">
        <f t="shared" ref="V295:V358" si="62">H295/G295</f>
        <v>0</v>
      </c>
      <c r="W295" s="33" t="s">
        <v>60</v>
      </c>
      <c r="X295" s="6">
        <f t="shared" si="58"/>
        <v>0</v>
      </c>
      <c r="Y295" s="1">
        <f t="shared" si="59"/>
        <v>0</v>
      </c>
    </row>
    <row r="296" spans="1:25" x14ac:dyDescent="0.25">
      <c r="A296" s="26">
        <v>820</v>
      </c>
      <c r="B296" s="26">
        <v>1</v>
      </c>
      <c r="C296" s="27" t="s">
        <v>301</v>
      </c>
      <c r="D296" s="28">
        <v>0</v>
      </c>
      <c r="E296" s="29">
        <v>115464900</v>
      </c>
      <c r="F296" s="29">
        <v>595.84</v>
      </c>
      <c r="G296" s="30">
        <v>500</v>
      </c>
      <c r="H296" s="31">
        <v>264105.89</v>
      </c>
      <c r="I296" s="29">
        <v>212566.11000000002</v>
      </c>
      <c r="J296" s="30">
        <v>476672</v>
      </c>
      <c r="K296" s="29">
        <v>35334.800000000003</v>
      </c>
      <c r="L296" s="31">
        <v>24262.920000000002</v>
      </c>
      <c r="M296" s="31">
        <v>59597.72</v>
      </c>
      <c r="N296" s="31">
        <v>4801.68</v>
      </c>
      <c r="O296" s="31">
        <v>3297.1099999999997</v>
      </c>
      <c r="P296" s="31">
        <v>8098.79</v>
      </c>
      <c r="Q296" s="1">
        <f t="shared" si="52"/>
        <v>193785.07653061225</v>
      </c>
      <c r="R296" s="1">
        <f t="shared" si="53"/>
        <v>644881</v>
      </c>
      <c r="S296" s="32">
        <f t="shared" si="54"/>
        <v>0.82727854669726653</v>
      </c>
      <c r="T296" s="1">
        <f t="shared" si="55"/>
        <v>5</v>
      </c>
      <c r="U296" s="1">
        <f t="shared" si="56"/>
        <v>953.34400000000005</v>
      </c>
      <c r="V296" s="1">
        <f t="shared" si="62"/>
        <v>528.21177999999998</v>
      </c>
      <c r="W296" s="25">
        <f>V296/U296</f>
        <v>0.55406210140306122</v>
      </c>
      <c r="X296" s="6">
        <f t="shared" si="58"/>
        <v>184.09586809497952</v>
      </c>
      <c r="Y296" s="1">
        <f t="shared" si="59"/>
        <v>517.85192675163512</v>
      </c>
    </row>
    <row r="297" spans="1:25" x14ac:dyDescent="0.25">
      <c r="A297" s="26">
        <v>821</v>
      </c>
      <c r="B297" s="26">
        <v>1</v>
      </c>
      <c r="C297" s="27" t="s">
        <v>302</v>
      </c>
      <c r="D297" s="28">
        <v>0</v>
      </c>
      <c r="E297" s="29">
        <v>174914230</v>
      </c>
      <c r="F297" s="29">
        <v>884.35</v>
      </c>
      <c r="G297" s="30">
        <v>862</v>
      </c>
      <c r="H297" s="31">
        <v>0</v>
      </c>
      <c r="I297" s="29">
        <v>0</v>
      </c>
      <c r="J297" s="30">
        <v>0</v>
      </c>
      <c r="K297" s="29">
        <v>79807.219999999987</v>
      </c>
      <c r="L297" s="31">
        <v>56737.210000000006</v>
      </c>
      <c r="M297" s="31">
        <v>136544.43</v>
      </c>
      <c r="N297" s="31">
        <v>29218.670000000002</v>
      </c>
      <c r="O297" s="31">
        <v>20772.38</v>
      </c>
      <c r="P297" s="31">
        <v>49991.05</v>
      </c>
      <c r="Q297" s="1">
        <f t="shared" si="52"/>
        <v>197788.46610504889</v>
      </c>
      <c r="R297" s="1">
        <f t="shared" si="53"/>
        <v>645743</v>
      </c>
      <c r="S297" s="32">
        <f t="shared" si="54"/>
        <v>0.82838435398148336</v>
      </c>
      <c r="T297" s="1">
        <f t="shared" si="55"/>
        <v>5</v>
      </c>
      <c r="U297" s="1">
        <f t="shared" si="56"/>
        <v>0</v>
      </c>
      <c r="V297" s="1">
        <f t="shared" si="62"/>
        <v>0</v>
      </c>
      <c r="W297" s="33" t="s">
        <v>60</v>
      </c>
      <c r="X297" s="6">
        <f t="shared" si="58"/>
        <v>0</v>
      </c>
      <c r="Y297" s="1">
        <f t="shared" si="59"/>
        <v>0</v>
      </c>
    </row>
    <row r="298" spans="1:25" x14ac:dyDescent="0.25">
      <c r="A298" s="26">
        <v>829</v>
      </c>
      <c r="B298" s="26">
        <v>1</v>
      </c>
      <c r="C298" s="27" t="s">
        <v>303</v>
      </c>
      <c r="D298" s="28">
        <v>0</v>
      </c>
      <c r="E298" s="29">
        <v>697497550</v>
      </c>
      <c r="F298" s="29">
        <v>2187.81</v>
      </c>
      <c r="G298" s="30">
        <v>1850</v>
      </c>
      <c r="H298" s="31">
        <v>505735.31999999995</v>
      </c>
      <c r="I298" s="29">
        <v>1025731.68</v>
      </c>
      <c r="J298" s="30">
        <v>1531467</v>
      </c>
      <c r="K298" s="29">
        <v>74875.66</v>
      </c>
      <c r="L298" s="31">
        <v>151862.69999999998</v>
      </c>
      <c r="M298" s="31">
        <v>226738.36</v>
      </c>
      <c r="N298" s="31">
        <v>3876.05</v>
      </c>
      <c r="O298" s="31">
        <v>7861.4000000000005</v>
      </c>
      <c r="P298" s="31">
        <v>11737.45</v>
      </c>
      <c r="Q298" s="1">
        <f t="shared" si="52"/>
        <v>318810.84280627663</v>
      </c>
      <c r="R298" s="1">
        <f t="shared" si="53"/>
        <v>647593</v>
      </c>
      <c r="S298" s="32">
        <f t="shared" si="54"/>
        <v>0.83075760627359607</v>
      </c>
      <c r="T298" s="1">
        <f t="shared" si="55"/>
        <v>5</v>
      </c>
      <c r="U298" s="1">
        <f t="shared" si="56"/>
        <v>827.82</v>
      </c>
      <c r="V298" s="1">
        <f t="shared" si="62"/>
        <v>273.37044324324319</v>
      </c>
      <c r="W298" s="25">
        <f t="shared" ref="W298:W319" si="63">V298/U298</f>
        <v>0.33022932913343861</v>
      </c>
      <c r="X298" s="6">
        <f t="shared" si="58"/>
        <v>147.05882192704476</v>
      </c>
      <c r="Y298" s="1">
        <f t="shared" si="59"/>
        <v>562.91760613360418</v>
      </c>
    </row>
    <row r="299" spans="1:25" x14ac:dyDescent="0.25">
      <c r="A299" s="26">
        <v>831</v>
      </c>
      <c r="B299" s="26">
        <v>1</v>
      </c>
      <c r="C299" s="27" t="s">
        <v>304</v>
      </c>
      <c r="D299" s="28">
        <v>1</v>
      </c>
      <c r="E299" s="29">
        <v>4505366200</v>
      </c>
      <c r="F299" s="29">
        <v>8485.06</v>
      </c>
      <c r="G299" s="30">
        <v>6875</v>
      </c>
      <c r="H299" s="31">
        <v>0</v>
      </c>
      <c r="I299" s="29">
        <v>6151668.5</v>
      </c>
      <c r="J299" s="30">
        <v>6151668.5</v>
      </c>
      <c r="K299" s="29">
        <v>0</v>
      </c>
      <c r="L299" s="31">
        <v>1032460.55</v>
      </c>
      <c r="M299" s="31">
        <v>1032460.55</v>
      </c>
      <c r="N299" s="31">
        <v>0</v>
      </c>
      <c r="O299" s="31">
        <v>151671.20000000001</v>
      </c>
      <c r="P299" s="31">
        <v>151671.20000000001</v>
      </c>
      <c r="Q299" s="1">
        <f t="shared" si="52"/>
        <v>530976.35137524072</v>
      </c>
      <c r="R299" s="1">
        <f t="shared" si="53"/>
        <v>654468</v>
      </c>
      <c r="S299" s="32">
        <f t="shared" si="54"/>
        <v>0.83957712492671766</v>
      </c>
      <c r="T299" s="1">
        <f t="shared" si="55"/>
        <v>5</v>
      </c>
      <c r="U299" s="1">
        <f t="shared" si="56"/>
        <v>894.78814545454543</v>
      </c>
      <c r="V299" s="1">
        <f t="shared" si="62"/>
        <v>0</v>
      </c>
      <c r="W299" s="25">
        <f t="shared" si="63"/>
        <v>0</v>
      </c>
      <c r="X299" s="6">
        <f t="shared" si="58"/>
        <v>136.54092091337657</v>
      </c>
      <c r="Y299" s="1">
        <f t="shared" si="59"/>
        <v>655.32599272727282</v>
      </c>
    </row>
    <row r="300" spans="1:25" x14ac:dyDescent="0.25">
      <c r="A300" s="26">
        <v>832</v>
      </c>
      <c r="B300" s="26">
        <v>1</v>
      </c>
      <c r="C300" s="27" t="s">
        <v>305</v>
      </c>
      <c r="D300" s="28">
        <v>1</v>
      </c>
      <c r="E300" s="29">
        <v>1996489800</v>
      </c>
      <c r="F300" s="29">
        <v>2925.99</v>
      </c>
      <c r="G300" s="30">
        <v>3287</v>
      </c>
      <c r="H300" s="31">
        <v>17148.930000000168</v>
      </c>
      <c r="I300" s="29">
        <v>3202025.27</v>
      </c>
      <c r="J300" s="30">
        <v>3219174.2</v>
      </c>
      <c r="K300" s="29">
        <v>0</v>
      </c>
      <c r="L300" s="31">
        <v>486625.37</v>
      </c>
      <c r="M300" s="31">
        <v>486625.37</v>
      </c>
      <c r="N300" s="31">
        <v>0</v>
      </c>
      <c r="O300" s="31">
        <v>21140.399999999998</v>
      </c>
      <c r="P300" s="31">
        <v>21140.399999999998</v>
      </c>
      <c r="Q300" s="1">
        <f t="shared" si="52"/>
        <v>682329.67303374247</v>
      </c>
      <c r="R300" s="1">
        <f t="shared" si="53"/>
        <v>657755</v>
      </c>
      <c r="S300" s="32">
        <f t="shared" si="54"/>
        <v>0.84379381697221734</v>
      </c>
      <c r="T300" s="1">
        <f t="shared" si="55"/>
        <v>5</v>
      </c>
      <c r="U300" s="1">
        <f t="shared" si="56"/>
        <v>979.36543961058726</v>
      </c>
      <c r="V300" s="1">
        <f t="shared" si="62"/>
        <v>5.217198052935859</v>
      </c>
      <c r="W300" s="25">
        <f t="shared" si="63"/>
        <v>5.3271208498130258E-3</v>
      </c>
      <c r="X300" s="6">
        <f t="shared" si="58"/>
        <v>160.38275126674827</v>
      </c>
      <c r="Y300" s="1">
        <f t="shared" si="59"/>
        <v>610.64262327169376</v>
      </c>
    </row>
    <row r="301" spans="1:25" x14ac:dyDescent="0.25">
      <c r="A301" s="26">
        <v>833</v>
      </c>
      <c r="B301" s="26">
        <v>1</v>
      </c>
      <c r="C301" s="27" t="s">
        <v>306</v>
      </c>
      <c r="D301" s="28">
        <v>1</v>
      </c>
      <c r="E301" s="29">
        <v>8208261700</v>
      </c>
      <c r="F301" s="29">
        <v>21016</v>
      </c>
      <c r="G301" s="30">
        <v>17314</v>
      </c>
      <c r="H301" s="31">
        <v>2640226.8599999994</v>
      </c>
      <c r="I301" s="29">
        <v>16892884.18</v>
      </c>
      <c r="J301" s="30">
        <v>19533111.039999999</v>
      </c>
      <c r="K301" s="29">
        <v>417512.85000000009</v>
      </c>
      <c r="L301" s="31">
        <v>1908845.98</v>
      </c>
      <c r="M301" s="31">
        <v>2326358.83</v>
      </c>
      <c r="N301" s="31">
        <v>30344.959999999992</v>
      </c>
      <c r="O301" s="31">
        <v>138735.5</v>
      </c>
      <c r="P301" s="31">
        <v>169080.46</v>
      </c>
      <c r="Q301" s="1">
        <f t="shared" si="52"/>
        <v>390572.02607537113</v>
      </c>
      <c r="R301" s="1">
        <f t="shared" si="53"/>
        <v>675069</v>
      </c>
      <c r="S301" s="32">
        <f t="shared" si="54"/>
        <v>0.86600489274823877</v>
      </c>
      <c r="T301" s="1">
        <f t="shared" si="55"/>
        <v>5</v>
      </c>
      <c r="U301" s="1">
        <f t="shared" si="56"/>
        <v>1128.1685942012243</v>
      </c>
      <c r="V301" s="1">
        <f t="shared" si="62"/>
        <v>152.49086635092985</v>
      </c>
      <c r="W301" s="25">
        <f t="shared" si="63"/>
        <v>0.13516673583605449</v>
      </c>
      <c r="X301" s="6">
        <f t="shared" si="58"/>
        <v>205.80343070689378</v>
      </c>
      <c r="Y301" s="1">
        <f t="shared" si="59"/>
        <v>548.17773947022647</v>
      </c>
    </row>
    <row r="302" spans="1:25" x14ac:dyDescent="0.25">
      <c r="A302" s="26">
        <v>834</v>
      </c>
      <c r="B302" s="26">
        <v>1</v>
      </c>
      <c r="C302" s="27" t="s">
        <v>307</v>
      </c>
      <c r="D302" s="28">
        <v>1</v>
      </c>
      <c r="E302" s="29">
        <v>7641521000</v>
      </c>
      <c r="F302" s="29">
        <v>10793.4</v>
      </c>
      <c r="G302" s="30">
        <v>8427</v>
      </c>
      <c r="H302" s="31">
        <v>53988.990000000224</v>
      </c>
      <c r="I302" s="29">
        <v>10676917.219999999</v>
      </c>
      <c r="J302" s="30">
        <v>10730906.209999999</v>
      </c>
      <c r="K302" s="29">
        <v>0</v>
      </c>
      <c r="L302" s="31">
        <v>1065863.3799999999</v>
      </c>
      <c r="M302" s="31">
        <v>1065863.3799999999</v>
      </c>
      <c r="N302" s="31">
        <v>0</v>
      </c>
      <c r="O302" s="31">
        <v>28557.61</v>
      </c>
      <c r="P302" s="31">
        <v>28557.61</v>
      </c>
      <c r="Q302" s="1">
        <f t="shared" si="52"/>
        <v>707980.89573257731</v>
      </c>
      <c r="R302" s="1">
        <f t="shared" si="53"/>
        <v>683496</v>
      </c>
      <c r="S302" s="32">
        <f t="shared" si="54"/>
        <v>0.87681537764858142</v>
      </c>
      <c r="T302" s="1">
        <f t="shared" si="55"/>
        <v>5</v>
      </c>
      <c r="U302" s="1">
        <f t="shared" si="56"/>
        <v>1273.3957766702265</v>
      </c>
      <c r="V302" s="1">
        <f t="shared" si="62"/>
        <v>6.4066678533286128</v>
      </c>
      <c r="W302" s="25">
        <f t="shared" si="63"/>
        <v>5.0311678197027341E-3</v>
      </c>
      <c r="X302" s="6">
        <f t="shared" si="58"/>
        <v>139.7224089287983</v>
      </c>
      <c r="Y302" s="1">
        <f t="shared" si="59"/>
        <v>911.37548116504445</v>
      </c>
    </row>
    <row r="303" spans="1:25" x14ac:dyDescent="0.25">
      <c r="A303" s="26">
        <v>836</v>
      </c>
      <c r="B303" s="26">
        <v>1</v>
      </c>
      <c r="C303" s="27" t="s">
        <v>308</v>
      </c>
      <c r="D303" s="28">
        <v>0</v>
      </c>
      <c r="E303" s="29">
        <v>36903545</v>
      </c>
      <c r="F303" s="29">
        <v>249.2</v>
      </c>
      <c r="G303" s="30">
        <v>212</v>
      </c>
      <c r="H303" s="31">
        <v>187308.64</v>
      </c>
      <c r="I303" s="29">
        <v>135824.02000000002</v>
      </c>
      <c r="J303" s="30">
        <v>323132.66000000003</v>
      </c>
      <c r="K303" s="29">
        <v>14243.59</v>
      </c>
      <c r="L303" s="31">
        <v>6432.53</v>
      </c>
      <c r="M303" s="31">
        <v>20676.12</v>
      </c>
      <c r="N303" s="31">
        <v>0</v>
      </c>
      <c r="O303" s="31">
        <v>0</v>
      </c>
      <c r="P303" s="31">
        <v>0</v>
      </c>
      <c r="Q303" s="1">
        <f t="shared" si="52"/>
        <v>148088.0617977528</v>
      </c>
      <c r="R303" s="1">
        <f t="shared" si="53"/>
        <v>683708</v>
      </c>
      <c r="S303" s="32">
        <f t="shared" si="54"/>
        <v>0.87708733953286677</v>
      </c>
      <c r="T303" s="1">
        <f t="shared" si="55"/>
        <v>5</v>
      </c>
      <c r="U303" s="1">
        <f t="shared" si="56"/>
        <v>1524.2106603773586</v>
      </c>
      <c r="V303" s="1">
        <f t="shared" si="62"/>
        <v>883.53132075471706</v>
      </c>
      <c r="W303" s="25">
        <f t="shared" si="63"/>
        <v>0.5796648348699881</v>
      </c>
      <c r="X303" s="6">
        <f t="shared" si="58"/>
        <v>368.05141619863355</v>
      </c>
      <c r="Y303" s="1">
        <f t="shared" si="59"/>
        <v>414.12981808899161</v>
      </c>
    </row>
    <row r="304" spans="1:25" x14ac:dyDescent="0.25">
      <c r="A304" s="26">
        <v>837</v>
      </c>
      <c r="B304" s="26">
        <v>1</v>
      </c>
      <c r="C304" s="27" t="s">
        <v>309</v>
      </c>
      <c r="D304" s="28">
        <v>0</v>
      </c>
      <c r="E304" s="29">
        <v>151260600</v>
      </c>
      <c r="F304" s="29">
        <v>616.88</v>
      </c>
      <c r="G304" s="30">
        <v>528</v>
      </c>
      <c r="H304" s="31">
        <v>209373.94</v>
      </c>
      <c r="I304" s="29">
        <v>222442.06</v>
      </c>
      <c r="J304" s="30">
        <v>431816</v>
      </c>
      <c r="K304" s="29">
        <v>31839.800000000003</v>
      </c>
      <c r="L304" s="31">
        <v>33827.08</v>
      </c>
      <c r="M304" s="31">
        <v>65666.880000000005</v>
      </c>
      <c r="N304" s="31">
        <v>11757.840000000002</v>
      </c>
      <c r="O304" s="31">
        <v>12491.710000000001</v>
      </c>
      <c r="P304" s="31">
        <v>24249.550000000003</v>
      </c>
      <c r="Q304" s="1">
        <f t="shared" si="52"/>
        <v>245202.63260277527</v>
      </c>
      <c r="R304" s="1">
        <f t="shared" si="53"/>
        <v>684236</v>
      </c>
      <c r="S304" s="32">
        <f t="shared" si="54"/>
        <v>0.8777646785654265</v>
      </c>
      <c r="T304" s="1">
        <f t="shared" si="55"/>
        <v>5</v>
      </c>
      <c r="U304" s="1">
        <f t="shared" si="56"/>
        <v>817.83333333333337</v>
      </c>
      <c r="V304" s="1">
        <f t="shared" si="62"/>
        <v>396.54155303030302</v>
      </c>
      <c r="W304" s="25">
        <f t="shared" si="63"/>
        <v>0.48486841617726067</v>
      </c>
      <c r="X304" s="6">
        <f t="shared" si="58"/>
        <v>147.05882430718904</v>
      </c>
      <c r="Y304" s="1">
        <f t="shared" si="59"/>
        <v>556.12666372537637</v>
      </c>
    </row>
    <row r="305" spans="1:25" x14ac:dyDescent="0.25">
      <c r="A305" s="26">
        <v>840</v>
      </c>
      <c r="B305" s="26">
        <v>1</v>
      </c>
      <c r="C305" s="27" t="s">
        <v>310</v>
      </c>
      <c r="D305" s="28">
        <v>0</v>
      </c>
      <c r="E305" s="29">
        <v>256346020</v>
      </c>
      <c r="F305" s="29">
        <v>1219.27</v>
      </c>
      <c r="G305" s="30">
        <v>1037</v>
      </c>
      <c r="H305" s="31">
        <v>522166.54000000004</v>
      </c>
      <c r="I305" s="29">
        <v>537622.93999999994</v>
      </c>
      <c r="J305" s="30">
        <v>1059789.48</v>
      </c>
      <c r="K305" s="29">
        <v>67929.84</v>
      </c>
      <c r="L305" s="31">
        <v>53741.11</v>
      </c>
      <c r="M305" s="31">
        <v>121670.95</v>
      </c>
      <c r="N305" s="31">
        <v>573.27</v>
      </c>
      <c r="O305" s="31">
        <v>453.53</v>
      </c>
      <c r="P305" s="31">
        <v>1026.8</v>
      </c>
      <c r="Q305" s="1">
        <f t="shared" si="52"/>
        <v>210245.4911545433</v>
      </c>
      <c r="R305" s="1">
        <f t="shared" si="53"/>
        <v>685273</v>
      </c>
      <c r="S305" s="32">
        <f t="shared" si="54"/>
        <v>0.87909498268808639</v>
      </c>
      <c r="T305" s="1">
        <f t="shared" si="55"/>
        <v>5</v>
      </c>
      <c r="U305" s="1">
        <f t="shared" si="56"/>
        <v>1021.9763548698168</v>
      </c>
      <c r="V305" s="1">
        <f t="shared" si="62"/>
        <v>503.53571841851499</v>
      </c>
      <c r="W305" s="25">
        <f t="shared" si="63"/>
        <v>0.49270779702399015</v>
      </c>
      <c r="X305" s="6">
        <f t="shared" si="58"/>
        <v>209.72548744856655</v>
      </c>
      <c r="Y305" s="1">
        <f t="shared" si="59"/>
        <v>487.29239698176787</v>
      </c>
    </row>
    <row r="306" spans="1:25" x14ac:dyDescent="0.25">
      <c r="A306" s="26">
        <v>846</v>
      </c>
      <c r="B306" s="26">
        <v>1</v>
      </c>
      <c r="C306" s="27" t="s">
        <v>311</v>
      </c>
      <c r="D306" s="28">
        <v>0</v>
      </c>
      <c r="E306" s="29">
        <v>201888470</v>
      </c>
      <c r="F306" s="29">
        <v>866.57</v>
      </c>
      <c r="G306" s="30">
        <v>703</v>
      </c>
      <c r="H306" s="31">
        <v>309704.19</v>
      </c>
      <c r="I306" s="29">
        <v>296894.81</v>
      </c>
      <c r="J306" s="30">
        <v>606599</v>
      </c>
      <c r="K306" s="29">
        <v>44604.929999999993</v>
      </c>
      <c r="L306" s="31">
        <v>42760.06</v>
      </c>
      <c r="M306" s="31">
        <v>87364.989999999991</v>
      </c>
      <c r="N306" s="31">
        <v>0</v>
      </c>
      <c r="O306" s="31">
        <v>0</v>
      </c>
      <c r="P306" s="31">
        <v>0</v>
      </c>
      <c r="Q306" s="1">
        <f t="shared" si="52"/>
        <v>232974.22020148399</v>
      </c>
      <c r="R306" s="1">
        <f t="shared" si="53"/>
        <v>685976</v>
      </c>
      <c r="S306" s="32">
        <f t="shared" si="54"/>
        <v>0.87999681855908918</v>
      </c>
      <c r="T306" s="1">
        <f t="shared" si="55"/>
        <v>5</v>
      </c>
      <c r="U306" s="1">
        <f t="shared" si="56"/>
        <v>862.87197724039834</v>
      </c>
      <c r="V306" s="1">
        <f t="shared" si="62"/>
        <v>440.54650071123757</v>
      </c>
      <c r="W306" s="25">
        <f t="shared" si="63"/>
        <v>0.51055835898179847</v>
      </c>
      <c r="X306" s="6">
        <f t="shared" si="58"/>
        <v>147.05882411214469</v>
      </c>
      <c r="Y306" s="1">
        <f t="shared" si="59"/>
        <v>586.75294219841317</v>
      </c>
    </row>
    <row r="307" spans="1:25" x14ac:dyDescent="0.25">
      <c r="A307" s="26">
        <v>850</v>
      </c>
      <c r="B307" s="26">
        <v>1</v>
      </c>
      <c r="C307" s="27" t="s">
        <v>312</v>
      </c>
      <c r="D307" s="28">
        <v>0</v>
      </c>
      <c r="E307" s="29">
        <v>43820170</v>
      </c>
      <c r="F307" s="29">
        <v>182.51</v>
      </c>
      <c r="G307" s="30">
        <v>228</v>
      </c>
      <c r="H307" s="31">
        <v>120127.15000000002</v>
      </c>
      <c r="I307" s="29">
        <v>290520.34999999998</v>
      </c>
      <c r="J307" s="30">
        <v>410647.5</v>
      </c>
      <c r="K307" s="29">
        <v>9590.25</v>
      </c>
      <c r="L307" s="31">
        <v>9760.7799999999988</v>
      </c>
      <c r="M307" s="31">
        <v>19351.03</v>
      </c>
      <c r="N307" s="31">
        <v>0</v>
      </c>
      <c r="O307" s="31">
        <v>0</v>
      </c>
      <c r="P307" s="31">
        <v>0</v>
      </c>
      <c r="Q307" s="1">
        <f t="shared" si="52"/>
        <v>240097.36452797108</v>
      </c>
      <c r="R307" s="1">
        <f t="shared" si="53"/>
        <v>686204</v>
      </c>
      <c r="S307" s="32">
        <f t="shared" si="54"/>
        <v>0.88028930586860366</v>
      </c>
      <c r="T307" s="1">
        <f t="shared" si="55"/>
        <v>5</v>
      </c>
      <c r="U307" s="1">
        <f t="shared" si="56"/>
        <v>1801.0855263157894</v>
      </c>
      <c r="V307" s="1">
        <f t="shared" si="62"/>
        <v>526.87346491228084</v>
      </c>
      <c r="W307" s="25">
        <f t="shared" si="63"/>
        <v>0.29253106374688764</v>
      </c>
      <c r="X307" s="6">
        <f t="shared" si="58"/>
        <v>662.98316505846503</v>
      </c>
      <c r="Y307" s="1">
        <f t="shared" si="59"/>
        <v>271.66384023596754</v>
      </c>
    </row>
    <row r="308" spans="1:25" x14ac:dyDescent="0.25">
      <c r="A308" s="26">
        <v>852</v>
      </c>
      <c r="B308" s="26">
        <v>1</v>
      </c>
      <c r="C308" s="27" t="s">
        <v>313</v>
      </c>
      <c r="D308" s="28">
        <v>0</v>
      </c>
      <c r="E308" s="29">
        <v>30759440</v>
      </c>
      <c r="F308" s="29">
        <v>132.72999999999999</v>
      </c>
      <c r="G308" s="30">
        <v>122</v>
      </c>
      <c r="H308" s="31">
        <v>197682.63</v>
      </c>
      <c r="I308" s="29">
        <v>260235.87</v>
      </c>
      <c r="J308" s="30">
        <v>457918.5</v>
      </c>
      <c r="K308" s="29">
        <v>3410.62</v>
      </c>
      <c r="L308" s="31">
        <v>3235.92</v>
      </c>
      <c r="M308" s="31">
        <v>6646.54</v>
      </c>
      <c r="N308" s="31">
        <v>0</v>
      </c>
      <c r="O308" s="31">
        <v>0</v>
      </c>
      <c r="P308" s="31">
        <v>0</v>
      </c>
      <c r="Q308" s="1">
        <f t="shared" si="52"/>
        <v>231744.44360732316</v>
      </c>
      <c r="R308" s="1">
        <f t="shared" si="53"/>
        <v>686326</v>
      </c>
      <c r="S308" s="32">
        <f t="shared" si="54"/>
        <v>0.8804458122359754</v>
      </c>
      <c r="T308" s="1">
        <f t="shared" si="55"/>
        <v>5</v>
      </c>
      <c r="U308" s="1">
        <f t="shared" si="56"/>
        <v>3753.4303278688526</v>
      </c>
      <c r="V308" s="1">
        <f t="shared" si="62"/>
        <v>1620.3494262295083</v>
      </c>
      <c r="W308" s="25">
        <f t="shared" si="63"/>
        <v>0.43169828255464671</v>
      </c>
      <c r="X308" s="6">
        <f t="shared" si="58"/>
        <v>846.03578608713292</v>
      </c>
      <c r="Y308" s="1">
        <f t="shared" si="59"/>
        <v>443.64912094655631</v>
      </c>
    </row>
    <row r="309" spans="1:25" x14ac:dyDescent="0.25">
      <c r="A309" s="26">
        <v>857</v>
      </c>
      <c r="B309" s="26">
        <v>1</v>
      </c>
      <c r="C309" s="27" t="s">
        <v>314</v>
      </c>
      <c r="D309" s="28">
        <v>0</v>
      </c>
      <c r="E309" s="29">
        <v>229007800</v>
      </c>
      <c r="F309" s="29">
        <v>673.26</v>
      </c>
      <c r="G309" s="30">
        <v>772</v>
      </c>
      <c r="H309" s="31">
        <v>134505.82000000007</v>
      </c>
      <c r="I309" s="29">
        <v>415311.95999999996</v>
      </c>
      <c r="J309" s="30">
        <v>549817.78</v>
      </c>
      <c r="K309" s="29">
        <v>28188.97</v>
      </c>
      <c r="L309" s="31">
        <v>70579.649999999994</v>
      </c>
      <c r="M309" s="31">
        <v>98768.62</v>
      </c>
      <c r="N309" s="31">
        <v>2125.9699999999993</v>
      </c>
      <c r="O309" s="31">
        <v>5323.01</v>
      </c>
      <c r="P309" s="31">
        <v>7448.98</v>
      </c>
      <c r="Q309" s="1">
        <f t="shared" si="52"/>
        <v>340147.63984196301</v>
      </c>
      <c r="R309" s="1">
        <f t="shared" si="53"/>
        <v>687098</v>
      </c>
      <c r="S309" s="32">
        <f t="shared" si="54"/>
        <v>0.88143616400327862</v>
      </c>
      <c r="T309" s="1">
        <f t="shared" si="55"/>
        <v>5</v>
      </c>
      <c r="U309" s="1">
        <f t="shared" si="56"/>
        <v>712.19919689119172</v>
      </c>
      <c r="V309" s="1">
        <f t="shared" si="62"/>
        <v>174.23033678756485</v>
      </c>
      <c r="W309" s="25">
        <f t="shared" si="63"/>
        <v>0.24463708685448488</v>
      </c>
      <c r="X309" s="6">
        <f t="shared" si="58"/>
        <v>181.35275741699627</v>
      </c>
      <c r="Y309" s="1">
        <f t="shared" si="59"/>
        <v>392.71484317913371</v>
      </c>
    </row>
    <row r="310" spans="1:25" x14ac:dyDescent="0.25">
      <c r="A310" s="26">
        <v>858</v>
      </c>
      <c r="B310" s="26">
        <v>1</v>
      </c>
      <c r="C310" s="27" t="s">
        <v>315</v>
      </c>
      <c r="D310" s="28">
        <v>0</v>
      </c>
      <c r="E310" s="29">
        <v>350326425</v>
      </c>
      <c r="F310" s="29">
        <v>1183.02</v>
      </c>
      <c r="G310" s="30">
        <v>978</v>
      </c>
      <c r="H310" s="31">
        <v>134112.04</v>
      </c>
      <c r="I310" s="29">
        <v>220793.96</v>
      </c>
      <c r="J310" s="30">
        <v>354906</v>
      </c>
      <c r="K310" s="29">
        <v>51919.729999999996</v>
      </c>
      <c r="L310" s="31">
        <v>85477.52</v>
      </c>
      <c r="M310" s="31">
        <v>137397.25</v>
      </c>
      <c r="N310" s="31">
        <v>4110.380000000001</v>
      </c>
      <c r="O310" s="31">
        <v>6767.09</v>
      </c>
      <c r="P310" s="31">
        <v>10877.470000000001</v>
      </c>
      <c r="Q310" s="1">
        <f t="shared" si="52"/>
        <v>296128.91159912763</v>
      </c>
      <c r="R310" s="1">
        <f t="shared" si="53"/>
        <v>688076</v>
      </c>
      <c r="S310" s="32">
        <f t="shared" si="54"/>
        <v>0.88269078062040629</v>
      </c>
      <c r="T310" s="1">
        <f t="shared" si="55"/>
        <v>5</v>
      </c>
      <c r="U310" s="1">
        <f t="shared" si="56"/>
        <v>362.88957055214723</v>
      </c>
      <c r="V310" s="1">
        <f t="shared" si="62"/>
        <v>137.12887525562374</v>
      </c>
      <c r="W310" s="25">
        <f t="shared" si="63"/>
        <v>0.37788045285230459</v>
      </c>
      <c r="X310" s="6">
        <f t="shared" si="58"/>
        <v>63.025208560844362</v>
      </c>
      <c r="Y310" s="1">
        <f t="shared" si="59"/>
        <v>575.78479919160384</v>
      </c>
    </row>
    <row r="311" spans="1:25" x14ac:dyDescent="0.25">
      <c r="A311" s="26">
        <v>861</v>
      </c>
      <c r="B311" s="26">
        <v>1</v>
      </c>
      <c r="C311" s="27" t="s">
        <v>316</v>
      </c>
      <c r="D311" s="28">
        <v>0</v>
      </c>
      <c r="E311" s="29">
        <v>2360041475</v>
      </c>
      <c r="F311" s="29">
        <v>3699.23</v>
      </c>
      <c r="G311" s="30">
        <v>3735</v>
      </c>
      <c r="H311" s="31">
        <v>0</v>
      </c>
      <c r="I311" s="29">
        <v>5733806.5</v>
      </c>
      <c r="J311" s="30">
        <v>5733806.5</v>
      </c>
      <c r="K311" s="29">
        <v>0</v>
      </c>
      <c r="L311" s="31">
        <v>386570.4</v>
      </c>
      <c r="M311" s="31">
        <v>386570.4</v>
      </c>
      <c r="N311" s="31">
        <v>0</v>
      </c>
      <c r="O311" s="31">
        <v>89686.53</v>
      </c>
      <c r="P311" s="31">
        <v>89686.53</v>
      </c>
      <c r="Q311" s="1">
        <f t="shared" si="52"/>
        <v>637981.81648613361</v>
      </c>
      <c r="R311" s="1">
        <f t="shared" si="53"/>
        <v>691811</v>
      </c>
      <c r="S311" s="32">
        <f t="shared" si="54"/>
        <v>0.88748218457232031</v>
      </c>
      <c r="T311" s="1">
        <f t="shared" si="55"/>
        <v>5</v>
      </c>
      <c r="U311" s="1">
        <f t="shared" si="56"/>
        <v>1535.155689424364</v>
      </c>
      <c r="V311" s="1">
        <f t="shared" si="62"/>
        <v>0</v>
      </c>
      <c r="W311" s="25">
        <f t="shared" si="63"/>
        <v>0</v>
      </c>
      <c r="X311" s="6">
        <f t="shared" si="58"/>
        <v>242.95363283816869</v>
      </c>
      <c r="Y311" s="1">
        <f t="shared" si="59"/>
        <v>631.8718808567603</v>
      </c>
    </row>
    <row r="312" spans="1:25" x14ac:dyDescent="0.25">
      <c r="A312" s="26">
        <v>876</v>
      </c>
      <c r="B312" s="26">
        <v>1</v>
      </c>
      <c r="C312" s="27" t="s">
        <v>317</v>
      </c>
      <c r="D312" s="28">
        <v>0</v>
      </c>
      <c r="E312" s="29">
        <v>931591550</v>
      </c>
      <c r="F312" s="29">
        <v>1734.03</v>
      </c>
      <c r="G312" s="30">
        <v>1655</v>
      </c>
      <c r="H312" s="31">
        <v>56685.560000000056</v>
      </c>
      <c r="I312" s="29">
        <v>1169343.01</v>
      </c>
      <c r="J312" s="30">
        <v>1226028.57</v>
      </c>
      <c r="K312" s="29">
        <v>0</v>
      </c>
      <c r="L312" s="31">
        <v>207686.88</v>
      </c>
      <c r="M312" s="31">
        <v>207686.88</v>
      </c>
      <c r="N312" s="31">
        <v>0</v>
      </c>
      <c r="O312" s="31">
        <v>18832.009999999998</v>
      </c>
      <c r="P312" s="31">
        <v>18832.009999999998</v>
      </c>
      <c r="Q312" s="1">
        <f t="shared" ref="Q312:Q375" si="64">IF(F312=0,0,E312/F312)</f>
        <v>537240.7340126757</v>
      </c>
      <c r="R312" s="1">
        <f t="shared" ref="R312:R375" si="65">R311+G312</f>
        <v>693466</v>
      </c>
      <c r="S312" s="32">
        <f t="shared" ref="S312:S375" si="66">S311+G312/$G$53</f>
        <v>0.88960528324445354</v>
      </c>
      <c r="T312" s="1">
        <f t="shared" ref="T312:T375" si="67">MIN(5,INT(S312/0.2)+1)</f>
        <v>5</v>
      </c>
      <c r="U312" s="1">
        <f t="shared" ref="U312:U375" si="68">IF(G312=0,0,(J312)/G312)</f>
        <v>740.80276132930521</v>
      </c>
      <c r="V312" s="1">
        <f t="shared" si="62"/>
        <v>34.251093655589159</v>
      </c>
      <c r="W312" s="25">
        <f t="shared" si="63"/>
        <v>4.6235105271649625E-2</v>
      </c>
      <c r="X312" s="6">
        <f t="shared" ref="X312:X375" si="69">IF(E312=0,0,(I312)/E312)*100000</f>
        <v>125.5209979094379</v>
      </c>
      <c r="Y312" s="1">
        <f t="shared" ref="Y312:Y375" si="70">IF(X312=0,0,U312/X312)*100</f>
        <v>590.18233894522314</v>
      </c>
    </row>
    <row r="313" spans="1:25" x14ac:dyDescent="0.25">
      <c r="A313" s="26">
        <v>877</v>
      </c>
      <c r="B313" s="26">
        <v>1</v>
      </c>
      <c r="C313" s="27" t="s">
        <v>318</v>
      </c>
      <c r="D313" s="28">
        <v>0</v>
      </c>
      <c r="E313" s="29">
        <v>2564340650</v>
      </c>
      <c r="F313" s="29">
        <v>6916.02</v>
      </c>
      <c r="G313" s="30">
        <v>5800</v>
      </c>
      <c r="H313" s="31">
        <v>749072.10000000009</v>
      </c>
      <c r="I313" s="29">
        <v>2639708.5399999996</v>
      </c>
      <c r="J313" s="30">
        <v>3388780.6399999997</v>
      </c>
      <c r="K313" s="29">
        <v>168449.54999999993</v>
      </c>
      <c r="L313" s="31">
        <v>593611.35</v>
      </c>
      <c r="M313" s="31">
        <v>762060.89999999991</v>
      </c>
      <c r="N313" s="31">
        <v>15849.380000000005</v>
      </c>
      <c r="O313" s="31">
        <v>55852.770000000004</v>
      </c>
      <c r="P313" s="31">
        <v>71702.150000000009</v>
      </c>
      <c r="Q313" s="1">
        <f t="shared" si="64"/>
        <v>370782.71173304878</v>
      </c>
      <c r="R313" s="1">
        <f t="shared" si="65"/>
        <v>699266</v>
      </c>
      <c r="S313" s="32">
        <f t="shared" si="66"/>
        <v>0.89704574988999608</v>
      </c>
      <c r="T313" s="1">
        <f t="shared" si="67"/>
        <v>5</v>
      </c>
      <c r="U313" s="1">
        <f t="shared" si="68"/>
        <v>584.27252413793099</v>
      </c>
      <c r="V313" s="1">
        <f t="shared" si="62"/>
        <v>129.15036206896553</v>
      </c>
      <c r="W313" s="25">
        <f t="shared" si="63"/>
        <v>0.22104472952843598</v>
      </c>
      <c r="X313" s="6">
        <f t="shared" si="69"/>
        <v>102.93907480661744</v>
      </c>
      <c r="Y313" s="1">
        <f t="shared" si="70"/>
        <v>567.5906114714478</v>
      </c>
    </row>
    <row r="314" spans="1:25" x14ac:dyDescent="0.25">
      <c r="A314" s="26">
        <v>879</v>
      </c>
      <c r="B314" s="26">
        <v>1</v>
      </c>
      <c r="C314" s="27" t="s">
        <v>319</v>
      </c>
      <c r="D314" s="28">
        <v>0</v>
      </c>
      <c r="E314" s="29">
        <v>1163075975</v>
      </c>
      <c r="F314" s="29">
        <v>2531.15</v>
      </c>
      <c r="G314" s="30">
        <v>2315</v>
      </c>
      <c r="H314" s="31">
        <v>40009.419999999925</v>
      </c>
      <c r="I314" s="29">
        <v>1135083.52</v>
      </c>
      <c r="J314" s="30">
        <v>1175092.94</v>
      </c>
      <c r="K314" s="29">
        <v>9945.0200000000186</v>
      </c>
      <c r="L314" s="31">
        <v>277040.03999999998</v>
      </c>
      <c r="M314" s="31">
        <v>286985.06</v>
      </c>
      <c r="N314" s="31">
        <v>0</v>
      </c>
      <c r="O314" s="31">
        <v>0</v>
      </c>
      <c r="P314" s="31">
        <v>0</v>
      </c>
      <c r="Q314" s="1">
        <f t="shared" si="64"/>
        <v>459504.95822057169</v>
      </c>
      <c r="R314" s="1">
        <f t="shared" si="65"/>
        <v>701581</v>
      </c>
      <c r="S314" s="32">
        <f t="shared" si="66"/>
        <v>0.900015522352829</v>
      </c>
      <c r="T314" s="1">
        <f t="shared" si="67"/>
        <v>5</v>
      </c>
      <c r="U314" s="1">
        <f t="shared" si="68"/>
        <v>507.59954211663063</v>
      </c>
      <c r="V314" s="1">
        <f t="shared" si="62"/>
        <v>17.282686825053965</v>
      </c>
      <c r="W314" s="25">
        <f t="shared" si="63"/>
        <v>3.4047877098129731E-2</v>
      </c>
      <c r="X314" s="6">
        <f t="shared" si="69"/>
        <v>97.593239341049923</v>
      </c>
      <c r="Y314" s="1">
        <f t="shared" si="70"/>
        <v>520.11752611548252</v>
      </c>
    </row>
    <row r="315" spans="1:25" x14ac:dyDescent="0.25">
      <c r="A315" s="26">
        <v>881</v>
      </c>
      <c r="B315" s="26">
        <v>1</v>
      </c>
      <c r="C315" s="27" t="s">
        <v>320</v>
      </c>
      <c r="D315" s="28">
        <v>0</v>
      </c>
      <c r="E315" s="29">
        <v>404152700</v>
      </c>
      <c r="F315" s="29">
        <v>954.53</v>
      </c>
      <c r="G315" s="30">
        <v>916</v>
      </c>
      <c r="H315" s="31">
        <v>73764.460000000079</v>
      </c>
      <c r="I315" s="29">
        <v>593824.28</v>
      </c>
      <c r="J315" s="30">
        <v>667588.74000000011</v>
      </c>
      <c r="K315" s="29">
        <v>13133.600000000006</v>
      </c>
      <c r="L315" s="31">
        <v>105729.09</v>
      </c>
      <c r="M315" s="31">
        <v>118862.69</v>
      </c>
      <c r="N315" s="31">
        <v>0</v>
      </c>
      <c r="O315" s="31">
        <v>0</v>
      </c>
      <c r="P315" s="31">
        <v>0</v>
      </c>
      <c r="Q315" s="1">
        <f t="shared" si="64"/>
        <v>423404.92179397191</v>
      </c>
      <c r="R315" s="1">
        <f t="shared" si="65"/>
        <v>702497</v>
      </c>
      <c r="S315" s="32">
        <f t="shared" si="66"/>
        <v>0.901190602947194</v>
      </c>
      <c r="T315" s="1">
        <f t="shared" si="67"/>
        <v>5</v>
      </c>
      <c r="U315" s="1">
        <f t="shared" si="68"/>
        <v>728.80866812227089</v>
      </c>
      <c r="V315" s="1">
        <f t="shared" si="62"/>
        <v>80.528886462882184</v>
      </c>
      <c r="W315" s="25">
        <f t="shared" si="63"/>
        <v>0.11049386483061423</v>
      </c>
      <c r="X315" s="6">
        <f t="shared" si="69"/>
        <v>146.93067249086795</v>
      </c>
      <c r="Y315" s="1">
        <f t="shared" si="70"/>
        <v>496.02214144059531</v>
      </c>
    </row>
    <row r="316" spans="1:25" x14ac:dyDescent="0.25">
      <c r="A316" s="26">
        <v>882</v>
      </c>
      <c r="B316" s="26">
        <v>1</v>
      </c>
      <c r="C316" s="27" t="s">
        <v>321</v>
      </c>
      <c r="D316" s="28">
        <v>0</v>
      </c>
      <c r="E316" s="29">
        <v>1831674225</v>
      </c>
      <c r="F316" s="29">
        <v>4625.01</v>
      </c>
      <c r="G316" s="30">
        <v>3980</v>
      </c>
      <c r="H316" s="31">
        <v>543868.43999999994</v>
      </c>
      <c r="I316" s="29">
        <v>3528591.62</v>
      </c>
      <c r="J316" s="30">
        <v>4072460.06</v>
      </c>
      <c r="K316" s="29">
        <v>76121.37</v>
      </c>
      <c r="L316" s="31">
        <v>377009.31</v>
      </c>
      <c r="M316" s="31">
        <v>453130.68</v>
      </c>
      <c r="N316" s="31">
        <v>4767.68</v>
      </c>
      <c r="O316" s="31">
        <v>23613.07</v>
      </c>
      <c r="P316" s="31">
        <v>28380.75</v>
      </c>
      <c r="Q316" s="1">
        <f t="shared" si="64"/>
        <v>396036.81397445628</v>
      </c>
      <c r="R316" s="1">
        <f t="shared" si="65"/>
        <v>706477</v>
      </c>
      <c r="S316" s="32">
        <f t="shared" si="66"/>
        <v>0.90629630247292836</v>
      </c>
      <c r="T316" s="1">
        <f t="shared" si="67"/>
        <v>5</v>
      </c>
      <c r="U316" s="1">
        <f t="shared" si="68"/>
        <v>1023.2311708542713</v>
      </c>
      <c r="V316" s="1">
        <f t="shared" si="62"/>
        <v>136.65036180904522</v>
      </c>
      <c r="W316" s="25">
        <f t="shared" si="63"/>
        <v>0.13354788800556094</v>
      </c>
      <c r="X316" s="6">
        <f t="shared" si="69"/>
        <v>192.64296957609918</v>
      </c>
      <c r="Y316" s="1">
        <f t="shared" si="70"/>
        <v>531.1541724599856</v>
      </c>
    </row>
    <row r="317" spans="1:25" x14ac:dyDescent="0.25">
      <c r="A317" s="26">
        <v>883</v>
      </c>
      <c r="B317" s="26">
        <v>1</v>
      </c>
      <c r="C317" s="27" t="s">
        <v>322</v>
      </c>
      <c r="D317" s="28">
        <v>0</v>
      </c>
      <c r="E317" s="29">
        <v>909774100</v>
      </c>
      <c r="F317" s="29">
        <v>1939.95</v>
      </c>
      <c r="G317" s="30">
        <v>1595</v>
      </c>
      <c r="H317" s="31">
        <v>11320.650000000023</v>
      </c>
      <c r="I317" s="29">
        <v>754959.6</v>
      </c>
      <c r="J317" s="30">
        <v>766280.25</v>
      </c>
      <c r="K317" s="29">
        <v>3140.6499999999942</v>
      </c>
      <c r="L317" s="31">
        <v>209445.91999999998</v>
      </c>
      <c r="M317" s="31">
        <v>212586.56999999998</v>
      </c>
      <c r="N317" s="31">
        <v>706.27999999999884</v>
      </c>
      <c r="O317" s="31">
        <v>47100.79</v>
      </c>
      <c r="P317" s="31">
        <v>47807.07</v>
      </c>
      <c r="Q317" s="1">
        <f t="shared" si="64"/>
        <v>468967.80844867136</v>
      </c>
      <c r="R317" s="1">
        <f t="shared" si="65"/>
        <v>708072</v>
      </c>
      <c r="S317" s="32">
        <f t="shared" si="66"/>
        <v>0.90834243080045263</v>
      </c>
      <c r="T317" s="1">
        <f t="shared" si="67"/>
        <v>5</v>
      </c>
      <c r="U317" s="1">
        <f t="shared" si="68"/>
        <v>480.42648902821315</v>
      </c>
      <c r="V317" s="1">
        <f t="shared" si="62"/>
        <v>7.0975862068965663</v>
      </c>
      <c r="W317" s="25">
        <f t="shared" si="63"/>
        <v>1.4773511388294327E-2</v>
      </c>
      <c r="X317" s="6">
        <f t="shared" si="69"/>
        <v>82.983193300402817</v>
      </c>
      <c r="Y317" s="1">
        <f t="shared" si="70"/>
        <v>578.94432585770483</v>
      </c>
    </row>
    <row r="318" spans="1:25" x14ac:dyDescent="0.25">
      <c r="A318" s="26">
        <v>885</v>
      </c>
      <c r="B318" s="26">
        <v>1</v>
      </c>
      <c r="C318" s="27" t="s">
        <v>323</v>
      </c>
      <c r="D318" s="28">
        <v>0</v>
      </c>
      <c r="E318" s="29">
        <v>1660662725</v>
      </c>
      <c r="F318" s="29">
        <v>6110.56</v>
      </c>
      <c r="G318" s="30">
        <v>5618</v>
      </c>
      <c r="H318" s="31">
        <v>1822132.0500000003</v>
      </c>
      <c r="I318" s="29">
        <v>2424707.15</v>
      </c>
      <c r="J318" s="30">
        <v>4246839.2</v>
      </c>
      <c r="K318" s="29">
        <v>296696.70000000007</v>
      </c>
      <c r="L318" s="31">
        <v>394813.65</v>
      </c>
      <c r="M318" s="31">
        <v>691510.35000000009</v>
      </c>
      <c r="N318" s="31">
        <v>1704.52</v>
      </c>
      <c r="O318" s="31">
        <v>2268.1999999999998</v>
      </c>
      <c r="P318" s="31">
        <v>3972.72</v>
      </c>
      <c r="Q318" s="1">
        <f t="shared" si="64"/>
        <v>271769.31819669553</v>
      </c>
      <c r="R318" s="1">
        <f t="shared" si="65"/>
        <v>713690</v>
      </c>
      <c r="S318" s="32">
        <f t="shared" si="66"/>
        <v>0.91554942073401435</v>
      </c>
      <c r="T318" s="1">
        <f t="shared" si="67"/>
        <v>5</v>
      </c>
      <c r="U318" s="1">
        <f t="shared" si="68"/>
        <v>755.93435386258454</v>
      </c>
      <c r="V318" s="1">
        <f t="shared" si="62"/>
        <v>324.33820754716987</v>
      </c>
      <c r="W318" s="25">
        <f t="shared" si="63"/>
        <v>0.42905604949676462</v>
      </c>
      <c r="X318" s="6">
        <f t="shared" si="69"/>
        <v>146.00840456631553</v>
      </c>
      <c r="Y318" s="1">
        <f t="shared" si="70"/>
        <v>517.73345247344776</v>
      </c>
    </row>
    <row r="319" spans="1:25" x14ac:dyDescent="0.25">
      <c r="A319" s="26">
        <v>891</v>
      </c>
      <c r="B319" s="26">
        <v>1</v>
      </c>
      <c r="C319" s="27" t="s">
        <v>324</v>
      </c>
      <c r="D319" s="28">
        <v>0</v>
      </c>
      <c r="E319" s="29">
        <v>128130010</v>
      </c>
      <c r="F319" s="29">
        <v>566.87</v>
      </c>
      <c r="G319" s="30">
        <v>520</v>
      </c>
      <c r="H319" s="31">
        <v>208405.58999999997</v>
      </c>
      <c r="I319" s="29">
        <v>188545.13</v>
      </c>
      <c r="J319" s="30">
        <v>396950.72</v>
      </c>
      <c r="K319" s="29">
        <v>34107.22</v>
      </c>
      <c r="L319" s="31">
        <v>30840.89</v>
      </c>
      <c r="M319" s="31">
        <v>64948.11</v>
      </c>
      <c r="N319" s="31">
        <v>0</v>
      </c>
      <c r="O319" s="31">
        <v>0</v>
      </c>
      <c r="P319" s="31">
        <v>0</v>
      </c>
      <c r="Q319" s="1">
        <f t="shared" si="64"/>
        <v>226030.67722758304</v>
      </c>
      <c r="R319" s="1">
        <f t="shared" si="65"/>
        <v>714210</v>
      </c>
      <c r="S319" s="32">
        <f t="shared" si="66"/>
        <v>0.91621649705395958</v>
      </c>
      <c r="T319" s="1">
        <f t="shared" si="67"/>
        <v>5</v>
      </c>
      <c r="U319" s="1">
        <f t="shared" si="68"/>
        <v>763.36676923076914</v>
      </c>
      <c r="V319" s="1">
        <f t="shared" si="62"/>
        <v>400.77998076923069</v>
      </c>
      <c r="W319" s="25">
        <f t="shared" si="63"/>
        <v>0.52501627909882609</v>
      </c>
      <c r="X319" s="6">
        <f t="shared" si="69"/>
        <v>147.15142065469283</v>
      </c>
      <c r="Y319" s="1">
        <f t="shared" si="70"/>
        <v>518.76275868385551</v>
      </c>
    </row>
    <row r="320" spans="1:25" x14ac:dyDescent="0.25">
      <c r="A320" s="26">
        <v>911</v>
      </c>
      <c r="B320" s="26">
        <v>1</v>
      </c>
      <c r="C320" s="27" t="s">
        <v>325</v>
      </c>
      <c r="D320" s="28">
        <v>0</v>
      </c>
      <c r="E320" s="29">
        <v>1903308600</v>
      </c>
      <c r="F320" s="29">
        <v>5881.25</v>
      </c>
      <c r="G320" s="30">
        <v>5276</v>
      </c>
      <c r="H320" s="31">
        <v>0</v>
      </c>
      <c r="I320" s="29">
        <v>0</v>
      </c>
      <c r="J320" s="30">
        <v>0</v>
      </c>
      <c r="K320" s="29">
        <v>147030.29000000004</v>
      </c>
      <c r="L320" s="31">
        <v>312267.91000000003</v>
      </c>
      <c r="M320" s="31">
        <v>459298.20000000007</v>
      </c>
      <c r="N320" s="31">
        <v>14387.040000000005</v>
      </c>
      <c r="O320" s="31">
        <v>30555.679999999997</v>
      </c>
      <c r="P320" s="31">
        <v>44942.720000000001</v>
      </c>
      <c r="Q320" s="1">
        <f t="shared" si="64"/>
        <v>323623.14133900107</v>
      </c>
      <c r="R320" s="1">
        <f t="shared" si="65"/>
        <v>719486</v>
      </c>
      <c r="S320" s="32">
        <f t="shared" si="66"/>
        <v>0.9229847560232497</v>
      </c>
      <c r="T320" s="1">
        <f t="shared" si="67"/>
        <v>5</v>
      </c>
      <c r="U320" s="1">
        <f t="shared" si="68"/>
        <v>0</v>
      </c>
      <c r="V320" s="1">
        <f t="shared" si="62"/>
        <v>0</v>
      </c>
      <c r="W320" s="33" t="s">
        <v>60</v>
      </c>
      <c r="X320" s="6">
        <f t="shared" si="69"/>
        <v>0</v>
      </c>
      <c r="Y320" s="1">
        <f t="shared" si="70"/>
        <v>0</v>
      </c>
    </row>
    <row r="321" spans="1:25" x14ac:dyDescent="0.25">
      <c r="A321" s="26">
        <v>912</v>
      </c>
      <c r="B321" s="26">
        <v>1</v>
      </c>
      <c r="C321" s="27" t="s">
        <v>326</v>
      </c>
      <c r="D321" s="28">
        <v>0</v>
      </c>
      <c r="E321" s="29">
        <v>577652260</v>
      </c>
      <c r="F321" s="29">
        <v>2261.84</v>
      </c>
      <c r="G321" s="30">
        <v>1803</v>
      </c>
      <c r="H321" s="31">
        <v>1069.25</v>
      </c>
      <c r="I321" s="29">
        <v>1237.83</v>
      </c>
      <c r="J321" s="30">
        <v>2307.08</v>
      </c>
      <c r="K321" s="29">
        <v>174455.71</v>
      </c>
      <c r="L321" s="31">
        <v>201960.03</v>
      </c>
      <c r="M321" s="31">
        <v>376415.74</v>
      </c>
      <c r="N321" s="31">
        <v>0</v>
      </c>
      <c r="O321" s="31">
        <v>0</v>
      </c>
      <c r="P321" s="31">
        <v>0</v>
      </c>
      <c r="Q321" s="1">
        <f t="shared" si="64"/>
        <v>255390.41665192938</v>
      </c>
      <c r="R321" s="1">
        <f t="shared" si="65"/>
        <v>721289</v>
      </c>
      <c r="S321" s="32">
        <f t="shared" si="66"/>
        <v>0.92529771487875201</v>
      </c>
      <c r="T321" s="1">
        <f t="shared" si="67"/>
        <v>5</v>
      </c>
      <c r="U321" s="1">
        <f t="shared" si="68"/>
        <v>1.2795784803105934</v>
      </c>
      <c r="V321" s="1">
        <f t="shared" si="62"/>
        <v>0.59303937881308932</v>
      </c>
      <c r="W321" s="25">
        <f t="shared" ref="W321:W327" si="71">V321/U321</f>
        <v>0.46346463928429016</v>
      </c>
      <c r="X321" s="6">
        <f t="shared" si="69"/>
        <v>0.214286359755608</v>
      </c>
      <c r="Y321" s="1">
        <f t="shared" si="70"/>
        <v>597.13482545969941</v>
      </c>
    </row>
    <row r="322" spans="1:25" x14ac:dyDescent="0.25">
      <c r="A322" s="26">
        <v>914</v>
      </c>
      <c r="B322" s="26">
        <v>1</v>
      </c>
      <c r="C322" s="27" t="s">
        <v>327</v>
      </c>
      <c r="D322" s="28">
        <v>0</v>
      </c>
      <c r="E322" s="29">
        <v>75741500</v>
      </c>
      <c r="F322" s="29">
        <v>330.06</v>
      </c>
      <c r="G322" s="30">
        <v>291</v>
      </c>
      <c r="H322" s="31">
        <v>163872.56000000006</v>
      </c>
      <c r="I322" s="29">
        <v>361776.65</v>
      </c>
      <c r="J322" s="30">
        <v>525649.21000000008</v>
      </c>
      <c r="K322" s="29">
        <v>8000.4300000000012</v>
      </c>
      <c r="L322" s="31">
        <v>7447.29</v>
      </c>
      <c r="M322" s="31">
        <v>15447.720000000001</v>
      </c>
      <c r="N322" s="31">
        <v>0</v>
      </c>
      <c r="O322" s="31">
        <v>0</v>
      </c>
      <c r="P322" s="31">
        <v>0</v>
      </c>
      <c r="Q322" s="1">
        <f t="shared" si="64"/>
        <v>229477.97370175121</v>
      </c>
      <c r="R322" s="1">
        <f t="shared" si="65"/>
        <v>721580</v>
      </c>
      <c r="S322" s="32">
        <f t="shared" si="66"/>
        <v>0.9256710210501059</v>
      </c>
      <c r="T322" s="1">
        <f t="shared" si="67"/>
        <v>5</v>
      </c>
      <c r="U322" s="1">
        <f t="shared" si="68"/>
        <v>1806.3546735395191</v>
      </c>
      <c r="V322" s="1">
        <f t="shared" si="62"/>
        <v>563.13594501718228</v>
      </c>
      <c r="W322" s="25">
        <f t="shared" si="71"/>
        <v>0.31175269910516945</v>
      </c>
      <c r="X322" s="6">
        <f t="shared" si="69"/>
        <v>477.64653459464103</v>
      </c>
      <c r="Y322" s="1">
        <f t="shared" si="70"/>
        <v>378.17811764770744</v>
      </c>
    </row>
    <row r="323" spans="1:25" x14ac:dyDescent="0.25">
      <c r="A323" s="26">
        <v>2071</v>
      </c>
      <c r="B323" s="26">
        <v>1</v>
      </c>
      <c r="C323" s="27" t="s">
        <v>328</v>
      </c>
      <c r="D323" s="28">
        <v>0</v>
      </c>
      <c r="E323" s="29">
        <v>410886060</v>
      </c>
      <c r="F323" s="29">
        <v>1139.24</v>
      </c>
      <c r="G323" s="30">
        <v>805</v>
      </c>
      <c r="H323" s="31">
        <v>180175.19999999995</v>
      </c>
      <c r="I323" s="29">
        <v>543925.74</v>
      </c>
      <c r="J323" s="30">
        <v>724100.94</v>
      </c>
      <c r="K323" s="29">
        <v>23265.430000000008</v>
      </c>
      <c r="L323" s="31">
        <v>72755.009999999995</v>
      </c>
      <c r="M323" s="31">
        <v>96020.44</v>
      </c>
      <c r="N323" s="31">
        <v>0</v>
      </c>
      <c r="O323" s="31">
        <v>0</v>
      </c>
      <c r="P323" s="31">
        <v>0</v>
      </c>
      <c r="Q323" s="1">
        <f t="shared" si="64"/>
        <v>360666.81296302797</v>
      </c>
      <c r="R323" s="1">
        <f t="shared" si="65"/>
        <v>722385</v>
      </c>
      <c r="S323" s="32">
        <f t="shared" si="66"/>
        <v>0.92670370650694411</v>
      </c>
      <c r="T323" s="1">
        <f t="shared" si="67"/>
        <v>5</v>
      </c>
      <c r="U323" s="1">
        <f t="shared" si="68"/>
        <v>899.50427329192541</v>
      </c>
      <c r="V323" s="1">
        <f t="shared" si="62"/>
        <v>223.82012422360242</v>
      </c>
      <c r="W323" s="25">
        <f t="shared" si="71"/>
        <v>0.24882608217578056</v>
      </c>
      <c r="X323" s="6">
        <f t="shared" si="69"/>
        <v>132.37872805906338</v>
      </c>
      <c r="Y323" s="1">
        <f t="shared" si="70"/>
        <v>679.49306242812202</v>
      </c>
    </row>
    <row r="324" spans="1:25" x14ac:dyDescent="0.25">
      <c r="A324" s="26">
        <v>2125</v>
      </c>
      <c r="B324" s="26">
        <v>1</v>
      </c>
      <c r="C324" s="27" t="s">
        <v>329</v>
      </c>
      <c r="D324" s="28">
        <v>0</v>
      </c>
      <c r="E324" s="29">
        <v>379616500</v>
      </c>
      <c r="F324" s="29">
        <v>1404.08</v>
      </c>
      <c r="G324" s="30">
        <v>1190</v>
      </c>
      <c r="H324" s="31">
        <v>424596.44000000006</v>
      </c>
      <c r="I324" s="29">
        <v>558259.55999999994</v>
      </c>
      <c r="J324" s="30">
        <v>982856</v>
      </c>
      <c r="K324" s="29">
        <v>62041.289999999994</v>
      </c>
      <c r="L324" s="31">
        <v>81571.92</v>
      </c>
      <c r="M324" s="31">
        <v>143613.21</v>
      </c>
      <c r="N324" s="31">
        <v>0</v>
      </c>
      <c r="O324" s="31">
        <v>0</v>
      </c>
      <c r="P324" s="31">
        <v>0</v>
      </c>
      <c r="Q324" s="1">
        <f t="shared" si="64"/>
        <v>270366.71699618257</v>
      </c>
      <c r="R324" s="1">
        <f t="shared" si="65"/>
        <v>723575</v>
      </c>
      <c r="S324" s="32">
        <f t="shared" si="66"/>
        <v>0.92823028500835714</v>
      </c>
      <c r="T324" s="1">
        <f t="shared" si="67"/>
        <v>5</v>
      </c>
      <c r="U324" s="1">
        <f t="shared" si="68"/>
        <v>825.92941176470583</v>
      </c>
      <c r="V324" s="1">
        <f t="shared" si="62"/>
        <v>356.80373109243703</v>
      </c>
      <c r="W324" s="25">
        <f t="shared" si="71"/>
        <v>0.43200269418917936</v>
      </c>
      <c r="X324" s="6">
        <f t="shared" si="69"/>
        <v>147.05882383932203</v>
      </c>
      <c r="Y324" s="1">
        <f t="shared" si="70"/>
        <v>561.63199881642242</v>
      </c>
    </row>
    <row r="325" spans="1:25" x14ac:dyDescent="0.25">
      <c r="A325" s="26">
        <v>2134</v>
      </c>
      <c r="B325" s="26">
        <v>1</v>
      </c>
      <c r="C325" s="27" t="s">
        <v>330</v>
      </c>
      <c r="D325" s="28">
        <v>0</v>
      </c>
      <c r="E325" s="29">
        <v>243100990</v>
      </c>
      <c r="F325" s="29">
        <v>1043.79</v>
      </c>
      <c r="G325" s="30">
        <v>630</v>
      </c>
      <c r="H325" s="31">
        <v>447354.98</v>
      </c>
      <c r="I325" s="29">
        <v>823354.97</v>
      </c>
      <c r="J325" s="30">
        <v>1270709.95</v>
      </c>
      <c r="K325" s="29">
        <v>24809.05</v>
      </c>
      <c r="L325" s="31">
        <v>23768.560000000001</v>
      </c>
      <c r="M325" s="31">
        <v>48577.61</v>
      </c>
      <c r="N325" s="31">
        <v>0</v>
      </c>
      <c r="O325" s="31">
        <v>0</v>
      </c>
      <c r="P325" s="31">
        <v>0</v>
      </c>
      <c r="Q325" s="1">
        <f t="shared" si="64"/>
        <v>232902.20255032144</v>
      </c>
      <c r="R325" s="1">
        <f t="shared" si="65"/>
        <v>724205</v>
      </c>
      <c r="S325" s="32">
        <f t="shared" si="66"/>
        <v>0.92903847362675229</v>
      </c>
      <c r="T325" s="1">
        <f t="shared" si="67"/>
        <v>5</v>
      </c>
      <c r="U325" s="1">
        <f t="shared" si="68"/>
        <v>2016.9999206349205</v>
      </c>
      <c r="V325" s="1">
        <f t="shared" si="62"/>
        <v>710.08726984126986</v>
      </c>
      <c r="W325" s="25">
        <f t="shared" si="71"/>
        <v>0.35205121357552921</v>
      </c>
      <c r="X325" s="6">
        <f t="shared" si="69"/>
        <v>338.68844795736948</v>
      </c>
      <c r="Y325" s="1">
        <f t="shared" si="70"/>
        <v>595.53254113018909</v>
      </c>
    </row>
    <row r="326" spans="1:25" x14ac:dyDescent="0.25">
      <c r="A326" s="26">
        <v>2135</v>
      </c>
      <c r="B326" s="26">
        <v>1</v>
      </c>
      <c r="C326" s="27" t="s">
        <v>331</v>
      </c>
      <c r="D326" s="28">
        <v>0</v>
      </c>
      <c r="E326" s="29">
        <v>316522700</v>
      </c>
      <c r="F326" s="29">
        <v>1138.46</v>
      </c>
      <c r="G326" s="30">
        <v>1050</v>
      </c>
      <c r="H326" s="31">
        <v>331447.45000000007</v>
      </c>
      <c r="I326" s="29">
        <v>681030.57</v>
      </c>
      <c r="J326" s="30">
        <v>1012478.02</v>
      </c>
      <c r="K326" s="29">
        <v>51626.89</v>
      </c>
      <c r="L326" s="31">
        <v>72503.210000000006</v>
      </c>
      <c r="M326" s="31">
        <v>124130.1</v>
      </c>
      <c r="N326" s="31">
        <v>0</v>
      </c>
      <c r="O326" s="31">
        <v>0</v>
      </c>
      <c r="P326" s="31">
        <v>0</v>
      </c>
      <c r="Q326" s="1">
        <f t="shared" si="64"/>
        <v>278027.07165820495</v>
      </c>
      <c r="R326" s="1">
        <f t="shared" si="65"/>
        <v>725255</v>
      </c>
      <c r="S326" s="32">
        <f t="shared" si="66"/>
        <v>0.93038545465741085</v>
      </c>
      <c r="T326" s="1">
        <f t="shared" si="67"/>
        <v>5</v>
      </c>
      <c r="U326" s="1">
        <f t="shared" si="68"/>
        <v>964.26478095238099</v>
      </c>
      <c r="V326" s="1">
        <f t="shared" si="62"/>
        <v>315.66423809523815</v>
      </c>
      <c r="W326" s="25">
        <f t="shared" si="71"/>
        <v>0.32736261277059631</v>
      </c>
      <c r="X326" s="6">
        <f t="shared" si="69"/>
        <v>215.16010384089353</v>
      </c>
      <c r="Y326" s="1">
        <f t="shared" si="70"/>
        <v>448.16151495513077</v>
      </c>
    </row>
    <row r="327" spans="1:25" x14ac:dyDescent="0.25">
      <c r="A327" s="26">
        <v>2137</v>
      </c>
      <c r="B327" s="26">
        <v>1</v>
      </c>
      <c r="C327" s="27" t="s">
        <v>332</v>
      </c>
      <c r="D327" s="28">
        <v>0</v>
      </c>
      <c r="E327" s="29">
        <v>285752850</v>
      </c>
      <c r="F327" s="29">
        <v>832.46</v>
      </c>
      <c r="G327" s="30">
        <v>617</v>
      </c>
      <c r="H327" s="31">
        <v>162497.22000000003</v>
      </c>
      <c r="I327" s="29">
        <v>420224.77999999997</v>
      </c>
      <c r="J327" s="30">
        <v>582722</v>
      </c>
      <c r="K327" s="29">
        <v>20176.39</v>
      </c>
      <c r="L327" s="31">
        <v>52177.020000000004</v>
      </c>
      <c r="M327" s="31">
        <v>72353.41</v>
      </c>
      <c r="N327" s="31">
        <v>1973.0200000000004</v>
      </c>
      <c r="O327" s="31">
        <v>5102.33</v>
      </c>
      <c r="P327" s="31">
        <v>7075.35</v>
      </c>
      <c r="Q327" s="1">
        <f t="shared" si="64"/>
        <v>343263.15979146142</v>
      </c>
      <c r="R327" s="1">
        <f t="shared" si="65"/>
        <v>725872</v>
      </c>
      <c r="S327" s="32">
        <f t="shared" si="66"/>
        <v>0.93117696636780733</v>
      </c>
      <c r="T327" s="1">
        <f t="shared" si="67"/>
        <v>5</v>
      </c>
      <c r="U327" s="1">
        <f t="shared" si="68"/>
        <v>944.44408427876829</v>
      </c>
      <c r="V327" s="1">
        <f t="shared" si="62"/>
        <v>263.36664505672616</v>
      </c>
      <c r="W327" s="25">
        <f t="shared" si="71"/>
        <v>0.27885890699167015</v>
      </c>
      <c r="X327" s="6">
        <f t="shared" si="69"/>
        <v>147.05882373526632</v>
      </c>
      <c r="Y327" s="1">
        <f t="shared" si="70"/>
        <v>642.22197641057312</v>
      </c>
    </row>
    <row r="328" spans="1:25" x14ac:dyDescent="0.25">
      <c r="A328" s="26">
        <v>2142</v>
      </c>
      <c r="B328" s="26">
        <v>1</v>
      </c>
      <c r="C328" s="27" t="s">
        <v>333</v>
      </c>
      <c r="D328" s="28">
        <v>0</v>
      </c>
      <c r="E328" s="29">
        <v>1512873571</v>
      </c>
      <c r="F328" s="29">
        <v>2567.5100000000002</v>
      </c>
      <c r="G328" s="30">
        <v>1789</v>
      </c>
      <c r="H328" s="31">
        <v>0</v>
      </c>
      <c r="I328" s="29">
        <v>0</v>
      </c>
      <c r="J328" s="30">
        <v>0</v>
      </c>
      <c r="K328" s="29">
        <v>0</v>
      </c>
      <c r="L328" s="31">
        <v>222353.61</v>
      </c>
      <c r="M328" s="31">
        <v>222353.61</v>
      </c>
      <c r="N328" s="31">
        <v>0</v>
      </c>
      <c r="O328" s="31">
        <v>0</v>
      </c>
      <c r="P328" s="31">
        <v>0</v>
      </c>
      <c r="Q328" s="1">
        <f t="shared" si="64"/>
        <v>589237.65477057535</v>
      </c>
      <c r="R328" s="1">
        <f t="shared" si="65"/>
        <v>727661</v>
      </c>
      <c r="S328" s="32">
        <f t="shared" si="66"/>
        <v>0.93347196547623412</v>
      </c>
      <c r="T328" s="1">
        <f t="shared" si="67"/>
        <v>5</v>
      </c>
      <c r="U328" s="1">
        <f t="shared" si="68"/>
        <v>0</v>
      </c>
      <c r="V328" s="1">
        <f t="shared" si="62"/>
        <v>0</v>
      </c>
      <c r="W328" s="33" t="s">
        <v>60</v>
      </c>
      <c r="X328" s="6">
        <f t="shared" si="69"/>
        <v>0</v>
      </c>
      <c r="Y328" s="1">
        <f t="shared" si="70"/>
        <v>0</v>
      </c>
    </row>
    <row r="329" spans="1:25" x14ac:dyDescent="0.25">
      <c r="A329" s="26">
        <v>2143</v>
      </c>
      <c r="B329" s="26">
        <v>1</v>
      </c>
      <c r="C329" s="27" t="s">
        <v>334</v>
      </c>
      <c r="D329" s="28">
        <v>0</v>
      </c>
      <c r="E329" s="29">
        <v>517675275</v>
      </c>
      <c r="F329" s="29">
        <v>1077.96</v>
      </c>
      <c r="G329" s="30">
        <v>860</v>
      </c>
      <c r="H329" s="31">
        <v>0</v>
      </c>
      <c r="I329" s="29">
        <v>1293552</v>
      </c>
      <c r="J329" s="30">
        <v>1293552</v>
      </c>
      <c r="K329" s="29">
        <v>0</v>
      </c>
      <c r="L329" s="31">
        <v>83319.740000000005</v>
      </c>
      <c r="M329" s="31">
        <v>83319.740000000005</v>
      </c>
      <c r="N329" s="31">
        <v>0</v>
      </c>
      <c r="O329" s="31">
        <v>5759.6600000000008</v>
      </c>
      <c r="P329" s="31">
        <v>5759.6600000000008</v>
      </c>
      <c r="Q329" s="1">
        <f t="shared" si="64"/>
        <v>480236.07091172214</v>
      </c>
      <c r="R329" s="1">
        <f t="shared" si="65"/>
        <v>728521</v>
      </c>
      <c r="S329" s="32">
        <f t="shared" si="66"/>
        <v>0.93457520708229735</v>
      </c>
      <c r="T329" s="1">
        <f t="shared" si="67"/>
        <v>5</v>
      </c>
      <c r="U329" s="1">
        <f t="shared" si="68"/>
        <v>1504.1302325581396</v>
      </c>
      <c r="V329" s="1">
        <f t="shared" si="62"/>
        <v>0</v>
      </c>
      <c r="W329" s="25">
        <f t="shared" ref="W329:W366" si="72">V329/U329</f>
        <v>0</v>
      </c>
      <c r="X329" s="6">
        <f t="shared" si="69"/>
        <v>249.87710684076998</v>
      </c>
      <c r="Y329" s="1">
        <f t="shared" si="70"/>
        <v>601.94799418604669</v>
      </c>
    </row>
    <row r="330" spans="1:25" x14ac:dyDescent="0.25">
      <c r="A330" s="26">
        <v>2144</v>
      </c>
      <c r="B330" s="26">
        <v>1</v>
      </c>
      <c r="C330" s="27" t="s">
        <v>335</v>
      </c>
      <c r="D330" s="28">
        <v>0</v>
      </c>
      <c r="E330" s="29">
        <v>1781359300</v>
      </c>
      <c r="F330" s="29">
        <v>4027.76</v>
      </c>
      <c r="G330" s="30">
        <v>3345</v>
      </c>
      <c r="H330" s="31">
        <v>114437.39999999991</v>
      </c>
      <c r="I330" s="29">
        <v>1500533.25</v>
      </c>
      <c r="J330" s="30">
        <v>1614970.65</v>
      </c>
      <c r="K330" s="29">
        <v>32503</v>
      </c>
      <c r="L330" s="31">
        <v>426187.89</v>
      </c>
      <c r="M330" s="31">
        <v>458690.89</v>
      </c>
      <c r="N330" s="31">
        <v>2656.8000000000029</v>
      </c>
      <c r="O330" s="31">
        <v>34836.67</v>
      </c>
      <c r="P330" s="31">
        <v>37493.47</v>
      </c>
      <c r="Q330" s="1">
        <f t="shared" si="64"/>
        <v>442270.46795241022</v>
      </c>
      <c r="R330" s="1">
        <f t="shared" si="65"/>
        <v>731866</v>
      </c>
      <c r="S330" s="32">
        <f t="shared" si="66"/>
        <v>0.93886630379425251</v>
      </c>
      <c r="T330" s="1">
        <f t="shared" si="67"/>
        <v>5</v>
      </c>
      <c r="U330" s="1">
        <f t="shared" si="68"/>
        <v>482.80139013452913</v>
      </c>
      <c r="V330" s="1">
        <f t="shared" si="62"/>
        <v>34.211479820627773</v>
      </c>
      <c r="W330" s="25">
        <f t="shared" si="72"/>
        <v>7.0860358979279225E-2</v>
      </c>
      <c r="X330" s="6">
        <f t="shared" si="69"/>
        <v>84.235294362007707</v>
      </c>
      <c r="Y330" s="1">
        <f t="shared" si="70"/>
        <v>573.15807321768557</v>
      </c>
    </row>
    <row r="331" spans="1:25" x14ac:dyDescent="0.25">
      <c r="A331" s="26">
        <v>2149</v>
      </c>
      <c r="B331" s="26">
        <v>1</v>
      </c>
      <c r="C331" s="27" t="s">
        <v>336</v>
      </c>
      <c r="D331" s="28">
        <v>0</v>
      </c>
      <c r="E331" s="29">
        <v>663354390</v>
      </c>
      <c r="F331" s="29">
        <v>1213.8599999999999</v>
      </c>
      <c r="G331" s="30">
        <v>1025</v>
      </c>
      <c r="H331" s="31">
        <v>0</v>
      </c>
      <c r="I331" s="29">
        <v>830498.73</v>
      </c>
      <c r="J331" s="30">
        <v>830498.73</v>
      </c>
      <c r="K331" s="29">
        <v>0</v>
      </c>
      <c r="L331" s="31">
        <v>125100.79000000001</v>
      </c>
      <c r="M331" s="31">
        <v>125100.79000000001</v>
      </c>
      <c r="N331" s="31">
        <v>0</v>
      </c>
      <c r="O331" s="31">
        <v>25375.77</v>
      </c>
      <c r="P331" s="31">
        <v>25375.77</v>
      </c>
      <c r="Q331" s="1">
        <f t="shared" si="64"/>
        <v>546483.44125352183</v>
      </c>
      <c r="R331" s="1">
        <f t="shared" si="65"/>
        <v>732891</v>
      </c>
      <c r="S331" s="32">
        <f t="shared" si="66"/>
        <v>0.94018121384799069</v>
      </c>
      <c r="T331" s="1">
        <f t="shared" si="67"/>
        <v>5</v>
      </c>
      <c r="U331" s="1">
        <f t="shared" si="68"/>
        <v>810.24266341463408</v>
      </c>
      <c r="V331" s="1">
        <f t="shared" si="62"/>
        <v>0</v>
      </c>
      <c r="W331" s="25">
        <f t="shared" si="72"/>
        <v>0</v>
      </c>
      <c r="X331" s="6">
        <f t="shared" si="69"/>
        <v>125.19683935460201</v>
      </c>
      <c r="Y331" s="1">
        <f t="shared" si="70"/>
        <v>647.17501463414624</v>
      </c>
    </row>
    <row r="332" spans="1:25" x14ac:dyDescent="0.25">
      <c r="A332" s="26">
        <v>2154</v>
      </c>
      <c r="B332" s="26">
        <v>1</v>
      </c>
      <c r="C332" s="27" t="s">
        <v>337</v>
      </c>
      <c r="D332" s="28">
        <v>0</v>
      </c>
      <c r="E332" s="29">
        <v>382239690</v>
      </c>
      <c r="F332" s="29">
        <v>1458.99</v>
      </c>
      <c r="G332" s="30">
        <v>1172</v>
      </c>
      <c r="H332" s="31">
        <v>459175.80000000005</v>
      </c>
      <c r="I332" s="29">
        <v>562117.19999999995</v>
      </c>
      <c r="J332" s="30">
        <v>1021293</v>
      </c>
      <c r="K332" s="29">
        <v>62856.41</v>
      </c>
      <c r="L332" s="31">
        <v>76948.010000000009</v>
      </c>
      <c r="M332" s="31">
        <v>139804.42000000001</v>
      </c>
      <c r="N332" s="31">
        <v>857.57000000000016</v>
      </c>
      <c r="O332" s="31">
        <v>1049.83</v>
      </c>
      <c r="P332" s="31">
        <v>1907.4</v>
      </c>
      <c r="Q332" s="1">
        <f t="shared" si="64"/>
        <v>261989.24598523637</v>
      </c>
      <c r="R332" s="1">
        <f t="shared" si="65"/>
        <v>734063</v>
      </c>
      <c r="S332" s="32">
        <f t="shared" si="66"/>
        <v>0.94168470124602099</v>
      </c>
      <c r="T332" s="1">
        <f t="shared" si="67"/>
        <v>5</v>
      </c>
      <c r="U332" s="1">
        <f t="shared" si="68"/>
        <v>871.41040955631399</v>
      </c>
      <c r="V332" s="1">
        <f t="shared" si="62"/>
        <v>391.78822525597275</v>
      </c>
      <c r="W332" s="25">
        <f t="shared" si="72"/>
        <v>0.44960241576119692</v>
      </c>
      <c r="X332" s="6">
        <f t="shared" si="69"/>
        <v>147.05882583778779</v>
      </c>
      <c r="Y332" s="1">
        <f t="shared" si="70"/>
        <v>592.55906919691927</v>
      </c>
    </row>
    <row r="333" spans="1:25" x14ac:dyDescent="0.25">
      <c r="A333" s="26">
        <v>2155</v>
      </c>
      <c r="B333" s="26">
        <v>1</v>
      </c>
      <c r="C333" s="27" t="s">
        <v>338</v>
      </c>
      <c r="D333" s="28">
        <v>0</v>
      </c>
      <c r="E333" s="29">
        <v>311894500</v>
      </c>
      <c r="F333" s="29">
        <v>1145.48</v>
      </c>
      <c r="G333" s="30">
        <v>947</v>
      </c>
      <c r="H333" s="31">
        <v>343167.61</v>
      </c>
      <c r="I333" s="29">
        <v>573216.39</v>
      </c>
      <c r="J333" s="30">
        <v>916384</v>
      </c>
      <c r="K333" s="29">
        <v>46985.44000000001</v>
      </c>
      <c r="L333" s="31">
        <v>62799.450000000004</v>
      </c>
      <c r="M333" s="31">
        <v>109784.89000000001</v>
      </c>
      <c r="N333" s="31">
        <v>9795.42</v>
      </c>
      <c r="O333" s="31">
        <v>13092.300000000001</v>
      </c>
      <c r="P333" s="31">
        <v>22887.72</v>
      </c>
      <c r="Q333" s="1">
        <f t="shared" si="64"/>
        <v>272282.79847749416</v>
      </c>
      <c r="R333" s="1">
        <f t="shared" si="65"/>
        <v>735010</v>
      </c>
      <c r="S333" s="32">
        <f t="shared" si="66"/>
        <v>0.94289954985176738</v>
      </c>
      <c r="T333" s="1">
        <f t="shared" si="67"/>
        <v>5</v>
      </c>
      <c r="U333" s="1">
        <f t="shared" si="68"/>
        <v>967.67053854276662</v>
      </c>
      <c r="V333" s="1">
        <f t="shared" si="62"/>
        <v>362.3734002111932</v>
      </c>
      <c r="W333" s="25">
        <f t="shared" si="72"/>
        <v>0.37448014151272824</v>
      </c>
      <c r="X333" s="6">
        <f t="shared" si="69"/>
        <v>183.78534728890699</v>
      </c>
      <c r="Y333" s="1">
        <f t="shared" si="70"/>
        <v>526.52213727441904</v>
      </c>
    </row>
    <row r="334" spans="1:25" x14ac:dyDescent="0.25">
      <c r="A334" s="26">
        <v>2159</v>
      </c>
      <c r="B334" s="26">
        <v>1</v>
      </c>
      <c r="C334" s="27" t="s">
        <v>339</v>
      </c>
      <c r="D334" s="28">
        <v>0</v>
      </c>
      <c r="E334" s="29">
        <v>230608785</v>
      </c>
      <c r="F334" s="29">
        <v>759.4</v>
      </c>
      <c r="G334" s="30">
        <v>568</v>
      </c>
      <c r="H334" s="31">
        <v>192449.44</v>
      </c>
      <c r="I334" s="29">
        <v>397338.57</v>
      </c>
      <c r="J334" s="30">
        <v>589788.01</v>
      </c>
      <c r="K334" s="29">
        <v>23325.239999999998</v>
      </c>
      <c r="L334" s="31">
        <v>41103.26</v>
      </c>
      <c r="M334" s="31">
        <v>64428.5</v>
      </c>
      <c r="N334" s="31">
        <v>11509.89</v>
      </c>
      <c r="O334" s="31">
        <v>20282.509999999998</v>
      </c>
      <c r="P334" s="31">
        <v>31792.399999999998</v>
      </c>
      <c r="Q334" s="1">
        <f t="shared" si="64"/>
        <v>303672.35317355808</v>
      </c>
      <c r="R334" s="1">
        <f t="shared" si="65"/>
        <v>735578</v>
      </c>
      <c r="S334" s="32">
        <f t="shared" si="66"/>
        <v>0.94362820244739987</v>
      </c>
      <c r="T334" s="1">
        <f t="shared" si="67"/>
        <v>5</v>
      </c>
      <c r="U334" s="1">
        <f t="shared" si="68"/>
        <v>1038.3591725352112</v>
      </c>
      <c r="V334" s="1">
        <f t="shared" si="62"/>
        <v>338.81943661971832</v>
      </c>
      <c r="W334" s="25">
        <f t="shared" si="72"/>
        <v>0.32630273375682906</v>
      </c>
      <c r="X334" s="6">
        <f t="shared" si="69"/>
        <v>172.29984104898691</v>
      </c>
      <c r="Y334" s="1">
        <f t="shared" si="70"/>
        <v>602.64662243071564</v>
      </c>
    </row>
    <row r="335" spans="1:25" x14ac:dyDescent="0.25">
      <c r="A335" s="26">
        <v>2164</v>
      </c>
      <c r="B335" s="26">
        <v>1</v>
      </c>
      <c r="C335" s="27" t="s">
        <v>340</v>
      </c>
      <c r="D335" s="28">
        <v>0</v>
      </c>
      <c r="E335" s="29">
        <v>305824100</v>
      </c>
      <c r="F335" s="29">
        <v>1284.53</v>
      </c>
      <c r="G335" s="30">
        <v>1492</v>
      </c>
      <c r="H335" s="31">
        <v>321021.2</v>
      </c>
      <c r="I335" s="29">
        <v>321243.8</v>
      </c>
      <c r="J335" s="30">
        <v>642265</v>
      </c>
      <c r="K335" s="29">
        <v>100181.03000000001</v>
      </c>
      <c r="L335" s="31">
        <v>100250.49</v>
      </c>
      <c r="M335" s="31">
        <v>200431.52000000002</v>
      </c>
      <c r="N335" s="31">
        <v>18151.969999999998</v>
      </c>
      <c r="O335" s="31">
        <v>18164.560000000001</v>
      </c>
      <c r="P335" s="31">
        <v>36316.53</v>
      </c>
      <c r="Q335" s="1">
        <f t="shared" si="64"/>
        <v>238082.48931515808</v>
      </c>
      <c r="R335" s="1">
        <f t="shared" si="65"/>
        <v>737070</v>
      </c>
      <c r="S335" s="32">
        <f t="shared" si="66"/>
        <v>0.94554219835001185</v>
      </c>
      <c r="T335" s="1">
        <f t="shared" si="67"/>
        <v>5</v>
      </c>
      <c r="U335" s="1">
        <f t="shared" si="68"/>
        <v>430.47252010723861</v>
      </c>
      <c r="V335" s="1">
        <f t="shared" si="62"/>
        <v>215.16166219839144</v>
      </c>
      <c r="W335" s="25">
        <f t="shared" si="72"/>
        <v>0.49982670704460003</v>
      </c>
      <c r="X335" s="6">
        <f t="shared" si="69"/>
        <v>105.04201598238987</v>
      </c>
      <c r="Y335" s="1">
        <f t="shared" si="70"/>
        <v>409.80984235813469</v>
      </c>
    </row>
    <row r="336" spans="1:25" x14ac:dyDescent="0.25">
      <c r="A336" s="26">
        <v>2165</v>
      </c>
      <c r="B336" s="26">
        <v>1</v>
      </c>
      <c r="C336" s="27" t="s">
        <v>341</v>
      </c>
      <c r="D336" s="28">
        <v>0</v>
      </c>
      <c r="E336" s="29">
        <v>433282415</v>
      </c>
      <c r="F336" s="29">
        <v>1163.04</v>
      </c>
      <c r="G336" s="30">
        <v>1016</v>
      </c>
      <c r="H336" s="31">
        <v>75834.849999999977</v>
      </c>
      <c r="I336" s="29">
        <v>273077.15000000002</v>
      </c>
      <c r="J336" s="30">
        <v>348912</v>
      </c>
      <c r="K336" s="29">
        <v>30887.540000000008</v>
      </c>
      <c r="L336" s="31">
        <v>111224.32000000001</v>
      </c>
      <c r="M336" s="31">
        <v>142111.86000000002</v>
      </c>
      <c r="N336" s="31">
        <v>0</v>
      </c>
      <c r="O336" s="31">
        <v>0</v>
      </c>
      <c r="P336" s="31">
        <v>0</v>
      </c>
      <c r="Q336" s="1">
        <f t="shared" si="64"/>
        <v>372543.00368001102</v>
      </c>
      <c r="R336" s="1">
        <f t="shared" si="65"/>
        <v>738086</v>
      </c>
      <c r="S336" s="32">
        <f t="shared" si="66"/>
        <v>0.94684556285205868</v>
      </c>
      <c r="T336" s="1">
        <f t="shared" si="67"/>
        <v>5</v>
      </c>
      <c r="U336" s="1">
        <f t="shared" si="68"/>
        <v>343.41732283464569</v>
      </c>
      <c r="V336" s="1">
        <f t="shared" si="62"/>
        <v>74.640600393700765</v>
      </c>
      <c r="W336" s="25">
        <f t="shared" si="72"/>
        <v>0.21734663754757638</v>
      </c>
      <c r="X336" s="6">
        <f t="shared" si="69"/>
        <v>63.025209550680707</v>
      </c>
      <c r="Y336" s="1">
        <f t="shared" si="70"/>
        <v>544.88882350877736</v>
      </c>
    </row>
    <row r="337" spans="1:25" x14ac:dyDescent="0.25">
      <c r="A337" s="26">
        <v>2167</v>
      </c>
      <c r="B337" s="26">
        <v>1</v>
      </c>
      <c r="C337" s="27" t="s">
        <v>342</v>
      </c>
      <c r="D337" s="28">
        <v>0</v>
      </c>
      <c r="E337" s="29">
        <v>137026410</v>
      </c>
      <c r="F337" s="29">
        <v>587.62</v>
      </c>
      <c r="G337" s="30">
        <v>589</v>
      </c>
      <c r="H337" s="31">
        <v>217836.05000000002</v>
      </c>
      <c r="I337" s="29">
        <v>252259.94999999998</v>
      </c>
      <c r="J337" s="30">
        <v>470096</v>
      </c>
      <c r="K337" s="29">
        <v>37400.340000000004</v>
      </c>
      <c r="L337" s="31">
        <v>35918.200000000004</v>
      </c>
      <c r="M337" s="31">
        <v>73318.540000000008</v>
      </c>
      <c r="N337" s="31">
        <v>0</v>
      </c>
      <c r="O337" s="31">
        <v>0</v>
      </c>
      <c r="P337" s="31">
        <v>0</v>
      </c>
      <c r="Q337" s="1">
        <f t="shared" si="64"/>
        <v>233188.81249787277</v>
      </c>
      <c r="R337" s="1">
        <f t="shared" si="65"/>
        <v>738675</v>
      </c>
      <c r="S337" s="32">
        <f t="shared" si="66"/>
        <v>0.94760115506830433</v>
      </c>
      <c r="T337" s="1">
        <f t="shared" si="67"/>
        <v>5</v>
      </c>
      <c r="U337" s="1">
        <f t="shared" si="68"/>
        <v>798.12563667232598</v>
      </c>
      <c r="V337" s="1">
        <f t="shared" si="62"/>
        <v>369.84049235993211</v>
      </c>
      <c r="W337" s="25">
        <f t="shared" si="72"/>
        <v>0.46338630832851163</v>
      </c>
      <c r="X337" s="6">
        <f t="shared" si="69"/>
        <v>184.09586152041783</v>
      </c>
      <c r="Y337" s="1">
        <f t="shared" si="70"/>
        <v>433.53806548432755</v>
      </c>
    </row>
    <row r="338" spans="1:25" x14ac:dyDescent="0.25">
      <c r="A338" s="26">
        <v>2168</v>
      </c>
      <c r="B338" s="26">
        <v>1</v>
      </c>
      <c r="C338" s="27" t="s">
        <v>343</v>
      </c>
      <c r="D338" s="28">
        <v>0</v>
      </c>
      <c r="E338" s="29">
        <v>309749300</v>
      </c>
      <c r="F338" s="29">
        <v>1010.23</v>
      </c>
      <c r="G338" s="30">
        <v>932</v>
      </c>
      <c r="H338" s="31">
        <v>161773.28000000003</v>
      </c>
      <c r="I338" s="29">
        <v>292830.21999999997</v>
      </c>
      <c r="J338" s="30">
        <v>454603.5</v>
      </c>
      <c r="K338" s="29">
        <v>45052.06</v>
      </c>
      <c r="L338" s="31">
        <v>81549.97</v>
      </c>
      <c r="M338" s="31">
        <v>126602.03</v>
      </c>
      <c r="N338" s="31">
        <v>3537.8599999999997</v>
      </c>
      <c r="O338" s="31">
        <v>6403.97</v>
      </c>
      <c r="P338" s="31">
        <v>9941.83</v>
      </c>
      <c r="Q338" s="1">
        <f t="shared" si="64"/>
        <v>306612.65256426751</v>
      </c>
      <c r="R338" s="1">
        <f t="shared" si="65"/>
        <v>739607</v>
      </c>
      <c r="S338" s="32">
        <f t="shared" si="66"/>
        <v>0.94879676108789845</v>
      </c>
      <c r="T338" s="1">
        <f t="shared" si="67"/>
        <v>5</v>
      </c>
      <c r="U338" s="1">
        <f t="shared" si="68"/>
        <v>487.77199570815452</v>
      </c>
      <c r="V338" s="1">
        <f t="shared" si="62"/>
        <v>173.57648068669531</v>
      </c>
      <c r="W338" s="25">
        <f t="shared" si="72"/>
        <v>0.35585577321776013</v>
      </c>
      <c r="X338" s="6">
        <f t="shared" si="69"/>
        <v>94.537814936143505</v>
      </c>
      <c r="Y338" s="1">
        <f t="shared" si="70"/>
        <v>515.95437871884906</v>
      </c>
    </row>
    <row r="339" spans="1:25" x14ac:dyDescent="0.25">
      <c r="A339" s="26">
        <v>2169</v>
      </c>
      <c r="B339" s="26">
        <v>1</v>
      </c>
      <c r="C339" s="27" t="s">
        <v>344</v>
      </c>
      <c r="D339" s="28">
        <v>0</v>
      </c>
      <c r="E339" s="29">
        <v>209548135</v>
      </c>
      <c r="F339" s="29">
        <v>846.38</v>
      </c>
      <c r="G339" s="30">
        <v>758</v>
      </c>
      <c r="H339" s="31">
        <v>325190.65000000014</v>
      </c>
      <c r="I339" s="29">
        <v>759665.38000000012</v>
      </c>
      <c r="J339" s="30">
        <v>1084856.0300000003</v>
      </c>
      <c r="K339" s="29">
        <v>35665.900000000009</v>
      </c>
      <c r="L339" s="31">
        <v>38658.11</v>
      </c>
      <c r="M339" s="31">
        <v>74324.010000000009</v>
      </c>
      <c r="N339" s="31">
        <v>1508.6</v>
      </c>
      <c r="O339" s="31">
        <v>1635.17</v>
      </c>
      <c r="P339" s="31">
        <v>3143.77</v>
      </c>
      <c r="Q339" s="1">
        <f t="shared" si="64"/>
        <v>247581.62409319691</v>
      </c>
      <c r="R339" s="1">
        <f t="shared" si="65"/>
        <v>740365</v>
      </c>
      <c r="S339" s="32">
        <f t="shared" si="66"/>
        <v>0.94976915310812626</v>
      </c>
      <c r="T339" s="1">
        <f t="shared" si="67"/>
        <v>5</v>
      </c>
      <c r="U339" s="1">
        <f t="shared" si="68"/>
        <v>1431.2084828496045</v>
      </c>
      <c r="V339" s="1">
        <f t="shared" si="62"/>
        <v>429.01141160949885</v>
      </c>
      <c r="W339" s="25">
        <f t="shared" si="72"/>
        <v>0.29975465961137726</v>
      </c>
      <c r="X339" s="6">
        <f t="shared" si="69"/>
        <v>362.52547893112967</v>
      </c>
      <c r="Y339" s="1">
        <f t="shared" si="70"/>
        <v>394.78838482453165</v>
      </c>
    </row>
    <row r="340" spans="1:25" x14ac:dyDescent="0.25">
      <c r="A340" s="26">
        <v>2170</v>
      </c>
      <c r="B340" s="26">
        <v>1</v>
      </c>
      <c r="C340" s="27" t="s">
        <v>345</v>
      </c>
      <c r="D340" s="28">
        <v>0</v>
      </c>
      <c r="E340" s="29">
        <v>510297661</v>
      </c>
      <c r="F340" s="29">
        <v>1705.12</v>
      </c>
      <c r="G340" s="30">
        <v>1167</v>
      </c>
      <c r="H340" s="31">
        <v>302985.43</v>
      </c>
      <c r="I340" s="29">
        <v>513085.00000000006</v>
      </c>
      <c r="J340" s="30">
        <v>816070.43</v>
      </c>
      <c r="K340" s="29">
        <v>56897.169999999984</v>
      </c>
      <c r="L340" s="31">
        <v>96351.450000000012</v>
      </c>
      <c r="M340" s="31">
        <v>153248.62</v>
      </c>
      <c r="N340" s="31">
        <v>30734.130000000005</v>
      </c>
      <c r="O340" s="31">
        <v>52046.130000000005</v>
      </c>
      <c r="P340" s="31">
        <v>82780.260000000009</v>
      </c>
      <c r="Q340" s="1">
        <f t="shared" si="64"/>
        <v>299273.75258046354</v>
      </c>
      <c r="R340" s="1">
        <f t="shared" si="65"/>
        <v>741532</v>
      </c>
      <c r="S340" s="32">
        <f t="shared" si="66"/>
        <v>0.95126622631077251</v>
      </c>
      <c r="T340" s="1">
        <f t="shared" si="67"/>
        <v>5</v>
      </c>
      <c r="U340" s="1">
        <f t="shared" si="68"/>
        <v>699.28914310197092</v>
      </c>
      <c r="V340" s="1">
        <f t="shared" si="62"/>
        <v>259.627617823479</v>
      </c>
      <c r="W340" s="25">
        <f t="shared" si="72"/>
        <v>0.37127362891950388</v>
      </c>
      <c r="X340" s="6">
        <f t="shared" si="69"/>
        <v>100.54621825907213</v>
      </c>
      <c r="Y340" s="1">
        <f t="shared" si="70"/>
        <v>695.49024837527907</v>
      </c>
    </row>
    <row r="341" spans="1:25" x14ac:dyDescent="0.25">
      <c r="A341" s="26">
        <v>2171</v>
      </c>
      <c r="B341" s="26">
        <v>1</v>
      </c>
      <c r="C341" s="27" t="s">
        <v>346</v>
      </c>
      <c r="D341" s="28">
        <v>0</v>
      </c>
      <c r="E341" s="29">
        <v>170547600</v>
      </c>
      <c r="F341" s="29">
        <v>330.08</v>
      </c>
      <c r="G341" s="30">
        <v>279</v>
      </c>
      <c r="H341" s="31">
        <v>436815.60000000003</v>
      </c>
      <c r="I341" s="29">
        <v>333775.96000000002</v>
      </c>
      <c r="J341" s="30">
        <v>770591.56</v>
      </c>
      <c r="K341" s="29">
        <v>0</v>
      </c>
      <c r="L341" s="31">
        <v>15021.3</v>
      </c>
      <c r="M341" s="31">
        <v>15021.3</v>
      </c>
      <c r="N341" s="31">
        <v>0</v>
      </c>
      <c r="O341" s="31">
        <v>0</v>
      </c>
      <c r="P341" s="31">
        <v>0</v>
      </c>
      <c r="Q341" s="1">
        <f t="shared" si="64"/>
        <v>516685.65196316049</v>
      </c>
      <c r="R341" s="1">
        <f t="shared" si="65"/>
        <v>741811</v>
      </c>
      <c r="S341" s="32">
        <f t="shared" si="66"/>
        <v>0.9516241384132047</v>
      </c>
      <c r="T341" s="1">
        <f t="shared" si="67"/>
        <v>5</v>
      </c>
      <c r="U341" s="1">
        <f t="shared" si="68"/>
        <v>2761.9769175627243</v>
      </c>
      <c r="V341" s="1">
        <f t="shared" si="62"/>
        <v>1565.6473118279571</v>
      </c>
      <c r="W341" s="25">
        <f t="shared" si="72"/>
        <v>0.56685749322247958</v>
      </c>
      <c r="X341" s="6">
        <f t="shared" si="69"/>
        <v>195.70838874308407</v>
      </c>
      <c r="Y341" s="1">
        <f t="shared" si="70"/>
        <v>1411.2716042992445</v>
      </c>
    </row>
    <row r="342" spans="1:25" x14ac:dyDescent="0.25">
      <c r="A342" s="26">
        <v>2172</v>
      </c>
      <c r="B342" s="26">
        <v>1</v>
      </c>
      <c r="C342" s="27" t="s">
        <v>347</v>
      </c>
      <c r="D342" s="28">
        <v>0</v>
      </c>
      <c r="E342" s="29">
        <v>378920675</v>
      </c>
      <c r="F342" s="29">
        <v>1130.26</v>
      </c>
      <c r="G342" s="30">
        <v>827</v>
      </c>
      <c r="H342" s="31">
        <v>233945.71999999997</v>
      </c>
      <c r="I342" s="29">
        <v>753630.26</v>
      </c>
      <c r="J342" s="30">
        <v>987575.98</v>
      </c>
      <c r="K342" s="29">
        <v>26660.189999999995</v>
      </c>
      <c r="L342" s="31">
        <v>63502.02</v>
      </c>
      <c r="M342" s="31">
        <v>90162.209999999992</v>
      </c>
      <c r="N342" s="31">
        <v>0</v>
      </c>
      <c r="O342" s="31">
        <v>0</v>
      </c>
      <c r="P342" s="31">
        <v>0</v>
      </c>
      <c r="Q342" s="1">
        <f t="shared" si="64"/>
        <v>335250.89359970274</v>
      </c>
      <c r="R342" s="1">
        <f t="shared" si="65"/>
        <v>742638</v>
      </c>
      <c r="S342" s="32">
        <f t="shared" si="66"/>
        <v>0.95268504632973294</v>
      </c>
      <c r="T342" s="1">
        <f t="shared" si="67"/>
        <v>5</v>
      </c>
      <c r="U342" s="1">
        <f t="shared" si="68"/>
        <v>1194.1668440145102</v>
      </c>
      <c r="V342" s="1">
        <f t="shared" si="62"/>
        <v>282.88478839177748</v>
      </c>
      <c r="W342" s="25">
        <f t="shared" si="72"/>
        <v>0.23688883158134325</v>
      </c>
      <c r="X342" s="6">
        <f t="shared" si="69"/>
        <v>198.88866185514954</v>
      </c>
      <c r="Y342" s="1">
        <f t="shared" si="70"/>
        <v>600.4197689681381</v>
      </c>
    </row>
    <row r="343" spans="1:25" x14ac:dyDescent="0.25">
      <c r="A343" s="26">
        <v>2174</v>
      </c>
      <c r="B343" s="26">
        <v>1</v>
      </c>
      <c r="C343" s="27" t="s">
        <v>348</v>
      </c>
      <c r="D343" s="28">
        <v>0</v>
      </c>
      <c r="E343" s="29">
        <v>614568355</v>
      </c>
      <c r="F343" s="29">
        <v>1138.97</v>
      </c>
      <c r="G343" s="30">
        <v>916</v>
      </c>
      <c r="H343" s="31">
        <v>0</v>
      </c>
      <c r="I343" s="29">
        <v>1161.75</v>
      </c>
      <c r="J343" s="30">
        <v>1161.75</v>
      </c>
      <c r="K343" s="29">
        <v>0</v>
      </c>
      <c r="L343" s="31">
        <v>242545.5</v>
      </c>
      <c r="M343" s="31">
        <v>242545.5</v>
      </c>
      <c r="N343" s="31">
        <v>0</v>
      </c>
      <c r="O343" s="31">
        <v>0</v>
      </c>
      <c r="P343" s="31">
        <v>0</v>
      </c>
      <c r="Q343" s="1">
        <f t="shared" si="64"/>
        <v>539582.56582701916</v>
      </c>
      <c r="R343" s="1">
        <f t="shared" si="65"/>
        <v>743554</v>
      </c>
      <c r="S343" s="32">
        <f t="shared" si="66"/>
        <v>0.95386012692409794</v>
      </c>
      <c r="T343" s="1">
        <f t="shared" si="67"/>
        <v>5</v>
      </c>
      <c r="U343" s="1">
        <f t="shared" si="68"/>
        <v>1.2682860262008733</v>
      </c>
      <c r="V343" s="1">
        <f t="shared" si="62"/>
        <v>0</v>
      </c>
      <c r="W343" s="25">
        <f t="shared" si="72"/>
        <v>0</v>
      </c>
      <c r="X343" s="6">
        <f t="shared" si="69"/>
        <v>0.18903511554870084</v>
      </c>
      <c r="Y343" s="1">
        <f t="shared" si="70"/>
        <v>670.92615174672483</v>
      </c>
    </row>
    <row r="344" spans="1:25" x14ac:dyDescent="0.25">
      <c r="A344" s="26">
        <v>2176</v>
      </c>
      <c r="B344" s="26">
        <v>1</v>
      </c>
      <c r="C344" s="27" t="s">
        <v>349</v>
      </c>
      <c r="D344" s="28">
        <v>0</v>
      </c>
      <c r="E344" s="29">
        <v>138196875</v>
      </c>
      <c r="F344" s="29">
        <v>540.66</v>
      </c>
      <c r="G344" s="30">
        <v>423</v>
      </c>
      <c r="H344" s="31">
        <v>365103.8</v>
      </c>
      <c r="I344" s="29">
        <v>391820.2</v>
      </c>
      <c r="J344" s="30">
        <v>756924</v>
      </c>
      <c r="K344" s="29">
        <v>16530.560000000005</v>
      </c>
      <c r="L344" s="31">
        <v>19171.900000000001</v>
      </c>
      <c r="M344" s="31">
        <v>35702.460000000006</v>
      </c>
      <c r="N344" s="31">
        <v>0</v>
      </c>
      <c r="O344" s="31">
        <v>0</v>
      </c>
      <c r="P344" s="31">
        <v>0</v>
      </c>
      <c r="Q344" s="1">
        <f t="shared" si="64"/>
        <v>255607.72944179337</v>
      </c>
      <c r="R344" s="1">
        <f t="shared" si="65"/>
        <v>743977</v>
      </c>
      <c r="S344" s="32">
        <f t="shared" si="66"/>
        <v>0.95440276785359179</v>
      </c>
      <c r="T344" s="1">
        <f t="shared" si="67"/>
        <v>5</v>
      </c>
      <c r="U344" s="1">
        <f t="shared" si="68"/>
        <v>1789.4184397163122</v>
      </c>
      <c r="V344" s="1">
        <f t="shared" si="62"/>
        <v>863.12955082742315</v>
      </c>
      <c r="W344" s="25">
        <f t="shared" si="72"/>
        <v>0.48235199306667509</v>
      </c>
      <c r="X344" s="6">
        <f t="shared" si="69"/>
        <v>283.52319833570766</v>
      </c>
      <c r="Y344" s="1">
        <f t="shared" si="70"/>
        <v>631.13651730097183</v>
      </c>
    </row>
    <row r="345" spans="1:25" x14ac:dyDescent="0.25">
      <c r="A345" s="26">
        <v>2180</v>
      </c>
      <c r="B345" s="26">
        <v>1</v>
      </c>
      <c r="C345" s="27" t="s">
        <v>350</v>
      </c>
      <c r="D345" s="28">
        <v>0</v>
      </c>
      <c r="E345" s="29">
        <v>217239415</v>
      </c>
      <c r="F345" s="29">
        <v>795.8</v>
      </c>
      <c r="G345" s="30">
        <v>665</v>
      </c>
      <c r="H345" s="31">
        <v>237590.27000000002</v>
      </c>
      <c r="I345" s="29">
        <v>1100993.08</v>
      </c>
      <c r="J345" s="30">
        <v>1338583.3500000001</v>
      </c>
      <c r="K345" s="29">
        <v>21458.129999999997</v>
      </c>
      <c r="L345" s="31">
        <v>28853.120000000003</v>
      </c>
      <c r="M345" s="31">
        <v>50311.25</v>
      </c>
      <c r="N345" s="31">
        <v>0</v>
      </c>
      <c r="O345" s="31">
        <v>0</v>
      </c>
      <c r="P345" s="31">
        <v>0</v>
      </c>
      <c r="Q345" s="1">
        <f t="shared" si="64"/>
        <v>272982.42648906761</v>
      </c>
      <c r="R345" s="1">
        <f t="shared" si="65"/>
        <v>744642</v>
      </c>
      <c r="S345" s="32">
        <f t="shared" si="66"/>
        <v>0.95525585583967554</v>
      </c>
      <c r="T345" s="1">
        <f t="shared" si="67"/>
        <v>5</v>
      </c>
      <c r="U345" s="1">
        <f t="shared" si="68"/>
        <v>2012.9072932330828</v>
      </c>
      <c r="V345" s="1">
        <f t="shared" si="62"/>
        <v>357.27860150375943</v>
      </c>
      <c r="W345" s="25">
        <f t="shared" si="72"/>
        <v>0.17749381837148953</v>
      </c>
      <c r="X345" s="6">
        <f t="shared" si="69"/>
        <v>506.81092102922486</v>
      </c>
      <c r="Y345" s="1">
        <f t="shared" si="70"/>
        <v>397.17125454702068</v>
      </c>
    </row>
    <row r="346" spans="1:25" x14ac:dyDescent="0.25">
      <c r="A346" s="26">
        <v>2184</v>
      </c>
      <c r="B346" s="26">
        <v>1</v>
      </c>
      <c r="C346" s="27" t="s">
        <v>351</v>
      </c>
      <c r="D346" s="28">
        <v>0</v>
      </c>
      <c r="E346" s="29">
        <v>313437260</v>
      </c>
      <c r="F346" s="29">
        <v>1397.72</v>
      </c>
      <c r="G346" s="30">
        <v>1210</v>
      </c>
      <c r="H346" s="31">
        <v>612504.15999999992</v>
      </c>
      <c r="I346" s="29">
        <v>926762.94</v>
      </c>
      <c r="J346" s="30">
        <v>1539267.0999999999</v>
      </c>
      <c r="K346" s="29">
        <v>66714.02</v>
      </c>
      <c r="L346" s="31">
        <v>59425.960000000006</v>
      </c>
      <c r="M346" s="31">
        <v>126139.98000000001</v>
      </c>
      <c r="N346" s="31">
        <v>0</v>
      </c>
      <c r="O346" s="31">
        <v>0</v>
      </c>
      <c r="P346" s="31">
        <v>0</v>
      </c>
      <c r="Q346" s="1">
        <f t="shared" si="64"/>
        <v>224248.96259622814</v>
      </c>
      <c r="R346" s="1">
        <f t="shared" si="65"/>
        <v>745852</v>
      </c>
      <c r="S346" s="32">
        <f t="shared" si="66"/>
        <v>0.95680809112262499</v>
      </c>
      <c r="T346" s="1">
        <f t="shared" si="67"/>
        <v>5</v>
      </c>
      <c r="U346" s="1">
        <f t="shared" si="68"/>
        <v>1272.1215702479337</v>
      </c>
      <c r="V346" s="1">
        <f t="shared" si="62"/>
        <v>506.20178512396689</v>
      </c>
      <c r="W346" s="25">
        <f t="shared" si="72"/>
        <v>0.39791934746087926</v>
      </c>
      <c r="X346" s="6">
        <f t="shared" si="69"/>
        <v>295.67733587257618</v>
      </c>
      <c r="Y346" s="1">
        <f t="shared" si="70"/>
        <v>430.23979720791374</v>
      </c>
    </row>
    <row r="347" spans="1:25" x14ac:dyDescent="0.25">
      <c r="A347" s="26">
        <v>2190</v>
      </c>
      <c r="B347" s="26">
        <v>1</v>
      </c>
      <c r="C347" s="27" t="s">
        <v>352</v>
      </c>
      <c r="D347" s="28">
        <v>0</v>
      </c>
      <c r="E347" s="29">
        <v>300790955</v>
      </c>
      <c r="F347" s="29">
        <v>1229.58</v>
      </c>
      <c r="G347" s="30">
        <v>793</v>
      </c>
      <c r="H347" s="31">
        <v>456859.49000000011</v>
      </c>
      <c r="I347" s="29">
        <v>813493.38</v>
      </c>
      <c r="J347" s="30">
        <v>1270352.8700000001</v>
      </c>
      <c r="K347" s="29">
        <v>36632.380000000005</v>
      </c>
      <c r="L347" s="31">
        <v>38731.5</v>
      </c>
      <c r="M347" s="31">
        <v>75363.88</v>
      </c>
      <c r="N347" s="31">
        <v>0</v>
      </c>
      <c r="O347" s="31">
        <v>0</v>
      </c>
      <c r="P347" s="31">
        <v>0</v>
      </c>
      <c r="Q347" s="1">
        <f t="shared" si="64"/>
        <v>244629.02373168076</v>
      </c>
      <c r="R347" s="1">
        <f t="shared" si="65"/>
        <v>746645</v>
      </c>
      <c r="S347" s="32">
        <f t="shared" si="66"/>
        <v>0.95782538251054139</v>
      </c>
      <c r="T347" s="1">
        <f t="shared" si="67"/>
        <v>5</v>
      </c>
      <c r="U347" s="1">
        <f t="shared" si="68"/>
        <v>1601.9582219419926</v>
      </c>
      <c r="V347" s="1">
        <f t="shared" si="62"/>
        <v>576.11537200504426</v>
      </c>
      <c r="W347" s="25">
        <f t="shared" si="72"/>
        <v>0.35963195800864373</v>
      </c>
      <c r="X347" s="6">
        <f t="shared" si="69"/>
        <v>270.45141034909108</v>
      </c>
      <c r="Y347" s="1">
        <f t="shared" si="70"/>
        <v>592.32755335763636</v>
      </c>
    </row>
    <row r="348" spans="1:25" x14ac:dyDescent="0.25">
      <c r="A348" s="26">
        <v>2198</v>
      </c>
      <c r="B348" s="26">
        <v>1</v>
      </c>
      <c r="C348" s="27" t="s">
        <v>353</v>
      </c>
      <c r="D348" s="28">
        <v>0</v>
      </c>
      <c r="E348" s="29">
        <v>255948550</v>
      </c>
      <c r="F348" s="29">
        <v>723.09</v>
      </c>
      <c r="G348" s="30">
        <v>559</v>
      </c>
      <c r="H348" s="31">
        <v>129768.07000000007</v>
      </c>
      <c r="I348" s="29">
        <v>575244.67999999993</v>
      </c>
      <c r="J348" s="30">
        <v>705012.75</v>
      </c>
      <c r="K348" s="29">
        <v>14622.690000000002</v>
      </c>
      <c r="L348" s="31">
        <v>42413.41</v>
      </c>
      <c r="M348" s="31">
        <v>57036.100000000006</v>
      </c>
      <c r="N348" s="31">
        <v>0</v>
      </c>
      <c r="O348" s="31">
        <v>0</v>
      </c>
      <c r="P348" s="31">
        <v>0</v>
      </c>
      <c r="Q348" s="1">
        <f t="shared" si="64"/>
        <v>353964.99744153564</v>
      </c>
      <c r="R348" s="1">
        <f t="shared" si="65"/>
        <v>747204</v>
      </c>
      <c r="S348" s="32">
        <f t="shared" si="66"/>
        <v>0.95854248955448251</v>
      </c>
      <c r="T348" s="1">
        <f t="shared" si="67"/>
        <v>5</v>
      </c>
      <c r="U348" s="1">
        <f t="shared" si="68"/>
        <v>1261.203488372093</v>
      </c>
      <c r="V348" s="1">
        <f t="shared" si="62"/>
        <v>232.14323792486596</v>
      </c>
      <c r="W348" s="25">
        <f t="shared" si="72"/>
        <v>0.18406485556466895</v>
      </c>
      <c r="X348" s="6">
        <f t="shared" si="69"/>
        <v>224.75012263206804</v>
      </c>
      <c r="Y348" s="1">
        <f t="shared" si="70"/>
        <v>561.15808685754223</v>
      </c>
    </row>
    <row r="349" spans="1:25" x14ac:dyDescent="0.25">
      <c r="A349" s="26">
        <v>2215</v>
      </c>
      <c r="B349" s="26">
        <v>1</v>
      </c>
      <c r="C349" s="27" t="s">
        <v>354</v>
      </c>
      <c r="D349" s="28">
        <v>0</v>
      </c>
      <c r="E349" s="29">
        <v>64744720</v>
      </c>
      <c r="F349" s="29">
        <v>439.45</v>
      </c>
      <c r="G349" s="30">
        <v>293</v>
      </c>
      <c r="H349" s="31">
        <v>382108.72</v>
      </c>
      <c r="I349" s="29">
        <v>299038.78000000003</v>
      </c>
      <c r="J349" s="30">
        <v>681147.5</v>
      </c>
      <c r="K349" s="29">
        <v>11149.45</v>
      </c>
      <c r="L349" s="31">
        <v>4997.93</v>
      </c>
      <c r="M349" s="31">
        <v>16147.380000000001</v>
      </c>
      <c r="N349" s="31">
        <v>0</v>
      </c>
      <c r="O349" s="31">
        <v>0</v>
      </c>
      <c r="P349" s="31">
        <v>0</v>
      </c>
      <c r="Q349" s="1">
        <f t="shared" si="64"/>
        <v>147331.25497781317</v>
      </c>
      <c r="R349" s="1">
        <f t="shared" si="65"/>
        <v>747497</v>
      </c>
      <c r="S349" s="32">
        <f t="shared" si="66"/>
        <v>0.95891836140399012</v>
      </c>
      <c r="T349" s="1">
        <f t="shared" si="67"/>
        <v>5</v>
      </c>
      <c r="U349" s="1">
        <f t="shared" si="68"/>
        <v>2324.735494880546</v>
      </c>
      <c r="V349" s="1">
        <f t="shared" si="62"/>
        <v>1304.1253242320818</v>
      </c>
      <c r="W349" s="25">
        <f t="shared" si="72"/>
        <v>0.56097793796497819</v>
      </c>
      <c r="X349" s="6">
        <f t="shared" si="69"/>
        <v>461.873616875631</v>
      </c>
      <c r="Y349" s="1">
        <f t="shared" si="70"/>
        <v>503.32718950399135</v>
      </c>
    </row>
    <row r="350" spans="1:25" x14ac:dyDescent="0.25">
      <c r="A350" s="26">
        <v>2310</v>
      </c>
      <c r="B350" s="26">
        <v>1</v>
      </c>
      <c r="C350" s="27" t="s">
        <v>355</v>
      </c>
      <c r="D350" s="28">
        <v>0</v>
      </c>
      <c r="E350" s="29">
        <v>410507715</v>
      </c>
      <c r="F350" s="29">
        <v>1412.76</v>
      </c>
      <c r="G350" s="30">
        <v>1185</v>
      </c>
      <c r="H350" s="31">
        <v>330209.28999999998</v>
      </c>
      <c r="I350" s="29">
        <v>517446.71</v>
      </c>
      <c r="J350" s="30">
        <v>847656</v>
      </c>
      <c r="K350" s="29">
        <v>58487.450000000012</v>
      </c>
      <c r="L350" s="31">
        <v>91651.37</v>
      </c>
      <c r="M350" s="31">
        <v>150138.82</v>
      </c>
      <c r="N350" s="31">
        <v>2624.5700000000006</v>
      </c>
      <c r="O350" s="31">
        <v>4112.78</v>
      </c>
      <c r="P350" s="31">
        <v>6737.35</v>
      </c>
      <c r="Q350" s="1">
        <f t="shared" si="64"/>
        <v>290571.44525609445</v>
      </c>
      <c r="R350" s="1">
        <f t="shared" si="65"/>
        <v>748682</v>
      </c>
      <c r="S350" s="32">
        <f t="shared" si="66"/>
        <v>0.96043852571001909</v>
      </c>
      <c r="T350" s="1">
        <f t="shared" si="67"/>
        <v>5</v>
      </c>
      <c r="U350" s="1">
        <f t="shared" si="68"/>
        <v>715.32151898734173</v>
      </c>
      <c r="V350" s="1">
        <f t="shared" si="62"/>
        <v>278.65762869198312</v>
      </c>
      <c r="W350" s="25">
        <f t="shared" si="72"/>
        <v>0.38955577498419169</v>
      </c>
      <c r="X350" s="6">
        <f t="shared" si="69"/>
        <v>126.05042270642831</v>
      </c>
      <c r="Y350" s="1">
        <f t="shared" si="70"/>
        <v>567.48839363540014</v>
      </c>
    </row>
    <row r="351" spans="1:25" x14ac:dyDescent="0.25">
      <c r="A351" s="26">
        <v>2311</v>
      </c>
      <c r="B351" s="26">
        <v>1</v>
      </c>
      <c r="C351" s="27" t="s">
        <v>356</v>
      </c>
      <c r="D351" s="28">
        <v>0</v>
      </c>
      <c r="E351" s="29">
        <v>301490800</v>
      </c>
      <c r="F351" s="29">
        <v>555.04</v>
      </c>
      <c r="G351" s="30">
        <v>475</v>
      </c>
      <c r="H351" s="31">
        <v>9203.2999999999884</v>
      </c>
      <c r="I351" s="29">
        <v>323820.7</v>
      </c>
      <c r="J351" s="30">
        <v>333024</v>
      </c>
      <c r="K351" s="29">
        <v>0</v>
      </c>
      <c r="L351" s="31">
        <v>61270.87</v>
      </c>
      <c r="M351" s="31">
        <v>61270.87</v>
      </c>
      <c r="N351" s="31">
        <v>0</v>
      </c>
      <c r="O351" s="31">
        <v>0</v>
      </c>
      <c r="P351" s="31">
        <v>0</v>
      </c>
      <c r="Q351" s="1">
        <f t="shared" si="64"/>
        <v>543187.51801671961</v>
      </c>
      <c r="R351" s="1">
        <f t="shared" si="65"/>
        <v>749157</v>
      </c>
      <c r="S351" s="32">
        <f t="shared" si="66"/>
        <v>0.96104787427150751</v>
      </c>
      <c r="T351" s="1">
        <f t="shared" si="67"/>
        <v>5</v>
      </c>
      <c r="U351" s="1">
        <f t="shared" si="68"/>
        <v>701.1031578947368</v>
      </c>
      <c r="V351" s="1">
        <f t="shared" si="62"/>
        <v>19.375368421052606</v>
      </c>
      <c r="W351" s="25">
        <f t="shared" si="72"/>
        <v>2.7635545786489829E-2</v>
      </c>
      <c r="X351" s="6">
        <f t="shared" si="69"/>
        <v>107.40649465920686</v>
      </c>
      <c r="Y351" s="1">
        <f t="shared" si="70"/>
        <v>652.75676309825315</v>
      </c>
    </row>
    <row r="352" spans="1:25" x14ac:dyDescent="0.25">
      <c r="A352" s="26">
        <v>2342</v>
      </c>
      <c r="B352" s="26">
        <v>1</v>
      </c>
      <c r="C352" s="27" t="s">
        <v>357</v>
      </c>
      <c r="D352" s="28">
        <v>0</v>
      </c>
      <c r="E352" s="29">
        <v>240861390</v>
      </c>
      <c r="F352" s="29">
        <v>840.16</v>
      </c>
      <c r="G352" s="30">
        <v>714</v>
      </c>
      <c r="H352" s="31">
        <v>233904.08000000007</v>
      </c>
      <c r="I352" s="29">
        <v>917115.11999999988</v>
      </c>
      <c r="J352" s="30">
        <v>1151019.2</v>
      </c>
      <c r="K352" s="29">
        <v>25850.65</v>
      </c>
      <c r="L352" s="31">
        <v>39146.400000000001</v>
      </c>
      <c r="M352" s="31">
        <v>64997.05</v>
      </c>
      <c r="N352" s="31">
        <v>4857.8399999999992</v>
      </c>
      <c r="O352" s="31">
        <v>7356.37</v>
      </c>
      <c r="P352" s="31">
        <v>12214.21</v>
      </c>
      <c r="Q352" s="1">
        <f t="shared" si="64"/>
        <v>286685.14330603695</v>
      </c>
      <c r="R352" s="1">
        <f t="shared" si="65"/>
        <v>749871</v>
      </c>
      <c r="S352" s="32">
        <f t="shared" si="66"/>
        <v>0.96196382137235537</v>
      </c>
      <c r="T352" s="1">
        <f t="shared" si="67"/>
        <v>5</v>
      </c>
      <c r="U352" s="1">
        <f t="shared" si="68"/>
        <v>1612.0717086834734</v>
      </c>
      <c r="V352" s="1">
        <f t="shared" si="62"/>
        <v>327.59675070028021</v>
      </c>
      <c r="W352" s="25">
        <f t="shared" si="72"/>
        <v>0.20321475089207902</v>
      </c>
      <c r="X352" s="6">
        <f t="shared" si="69"/>
        <v>380.76468793939949</v>
      </c>
      <c r="Y352" s="1">
        <f t="shared" si="70"/>
        <v>423.37741911089256</v>
      </c>
    </row>
    <row r="353" spans="1:25" x14ac:dyDescent="0.25">
      <c r="A353" s="26">
        <v>2358</v>
      </c>
      <c r="B353" s="26">
        <v>1</v>
      </c>
      <c r="C353" s="27" t="s">
        <v>358</v>
      </c>
      <c r="D353" s="28">
        <v>0</v>
      </c>
      <c r="E353" s="29">
        <v>59756018</v>
      </c>
      <c r="F353" s="29">
        <v>250.98</v>
      </c>
      <c r="G353" s="30">
        <v>231</v>
      </c>
      <c r="H353" s="31">
        <v>104123.28</v>
      </c>
      <c r="I353" s="29">
        <v>209601.72</v>
      </c>
      <c r="J353" s="30">
        <v>313725</v>
      </c>
      <c r="K353" s="29">
        <v>11829.43</v>
      </c>
      <c r="L353" s="31">
        <v>11838.46</v>
      </c>
      <c r="M353" s="31">
        <v>23667.89</v>
      </c>
      <c r="N353" s="31">
        <v>0</v>
      </c>
      <c r="O353" s="31">
        <v>0</v>
      </c>
      <c r="P353" s="31">
        <v>0</v>
      </c>
      <c r="Q353" s="1">
        <f t="shared" si="64"/>
        <v>238090.75623555662</v>
      </c>
      <c r="R353" s="1">
        <f t="shared" si="65"/>
        <v>750102</v>
      </c>
      <c r="S353" s="32">
        <f t="shared" si="66"/>
        <v>0.9622601571991003</v>
      </c>
      <c r="T353" s="1">
        <f t="shared" si="67"/>
        <v>5</v>
      </c>
      <c r="U353" s="1">
        <f t="shared" si="68"/>
        <v>1358.1168831168832</v>
      </c>
      <c r="V353" s="1">
        <f t="shared" si="62"/>
        <v>450.75012987012985</v>
      </c>
      <c r="W353" s="25">
        <f t="shared" si="72"/>
        <v>0.33189347358355242</v>
      </c>
      <c r="X353" s="6">
        <f t="shared" si="69"/>
        <v>350.7625290560693</v>
      </c>
      <c r="Y353" s="1">
        <f t="shared" si="70"/>
        <v>387.1898423049027</v>
      </c>
    </row>
    <row r="354" spans="1:25" x14ac:dyDescent="0.25">
      <c r="A354" s="26">
        <v>2364</v>
      </c>
      <c r="B354" s="26">
        <v>1</v>
      </c>
      <c r="C354" s="27" t="s">
        <v>359</v>
      </c>
      <c r="D354" s="28">
        <v>0</v>
      </c>
      <c r="E354" s="29">
        <v>211735600</v>
      </c>
      <c r="F354" s="29">
        <v>802.11</v>
      </c>
      <c r="G354" s="30">
        <v>638</v>
      </c>
      <c r="H354" s="31">
        <v>252567.59000000003</v>
      </c>
      <c r="I354" s="29">
        <v>419408.08</v>
      </c>
      <c r="J354" s="30">
        <v>671975.67</v>
      </c>
      <c r="K354" s="29">
        <v>32582.499999999993</v>
      </c>
      <c r="L354" s="31">
        <v>40565.21</v>
      </c>
      <c r="M354" s="31">
        <v>73147.709999999992</v>
      </c>
      <c r="N354" s="31">
        <v>15963.510000000002</v>
      </c>
      <c r="O354" s="31">
        <v>19874.559999999998</v>
      </c>
      <c r="P354" s="31">
        <v>35838.07</v>
      </c>
      <c r="Q354" s="1">
        <f t="shared" si="64"/>
        <v>263973.27049905871</v>
      </c>
      <c r="R354" s="1">
        <f t="shared" si="65"/>
        <v>750740</v>
      </c>
      <c r="S354" s="32">
        <f t="shared" si="66"/>
        <v>0.96307860853010996</v>
      </c>
      <c r="T354" s="1">
        <f t="shared" si="67"/>
        <v>5</v>
      </c>
      <c r="U354" s="1">
        <f t="shared" si="68"/>
        <v>1053.2534012539186</v>
      </c>
      <c r="V354" s="1">
        <f t="shared" si="62"/>
        <v>395.8739655172414</v>
      </c>
      <c r="W354" s="25">
        <f t="shared" si="72"/>
        <v>0.37585823605786201</v>
      </c>
      <c r="X354" s="6">
        <f t="shared" si="69"/>
        <v>198.08104069414875</v>
      </c>
      <c r="Y354" s="1">
        <f t="shared" si="70"/>
        <v>531.72852765864502</v>
      </c>
    </row>
    <row r="355" spans="1:25" x14ac:dyDescent="0.25">
      <c r="A355" s="26">
        <v>2365</v>
      </c>
      <c r="B355" s="26">
        <v>1</v>
      </c>
      <c r="C355" s="27" t="s">
        <v>360</v>
      </c>
      <c r="D355" s="28">
        <v>0</v>
      </c>
      <c r="E355" s="29">
        <v>310316245</v>
      </c>
      <c r="F355" s="29">
        <v>986.7</v>
      </c>
      <c r="G355" s="30">
        <v>759</v>
      </c>
      <c r="H355" s="31">
        <v>234342.59000000008</v>
      </c>
      <c r="I355" s="29">
        <v>624086.40999999992</v>
      </c>
      <c r="J355" s="30">
        <v>858429</v>
      </c>
      <c r="K355" s="29">
        <v>29531.64</v>
      </c>
      <c r="L355" s="31">
        <v>57508.5</v>
      </c>
      <c r="M355" s="31">
        <v>87040.14</v>
      </c>
      <c r="N355" s="31">
        <v>11059.45</v>
      </c>
      <c r="O355" s="31">
        <v>21536.639999999999</v>
      </c>
      <c r="P355" s="31">
        <v>32596.09</v>
      </c>
      <c r="Q355" s="1">
        <f t="shared" si="64"/>
        <v>314499.08280125668</v>
      </c>
      <c r="R355" s="1">
        <f t="shared" si="65"/>
        <v>751499</v>
      </c>
      <c r="S355" s="32">
        <f t="shared" si="66"/>
        <v>0.96405228338941462</v>
      </c>
      <c r="T355" s="1">
        <f t="shared" si="67"/>
        <v>5</v>
      </c>
      <c r="U355" s="1">
        <f t="shared" si="68"/>
        <v>1131</v>
      </c>
      <c r="V355" s="1">
        <f t="shared" si="62"/>
        <v>308.75176548089604</v>
      </c>
      <c r="W355" s="25">
        <f t="shared" si="72"/>
        <v>0.27299006673819276</v>
      </c>
      <c r="X355" s="6">
        <f t="shared" si="69"/>
        <v>201.1130322874331</v>
      </c>
      <c r="Y355" s="1">
        <f t="shared" si="70"/>
        <v>562.37031839068572</v>
      </c>
    </row>
    <row r="356" spans="1:25" x14ac:dyDescent="0.25">
      <c r="A356" s="26">
        <v>2396</v>
      </c>
      <c r="B356" s="26">
        <v>1</v>
      </c>
      <c r="C356" s="27" t="s">
        <v>361</v>
      </c>
      <c r="D356" s="28">
        <v>0</v>
      </c>
      <c r="E356" s="29">
        <v>351519925</v>
      </c>
      <c r="F356" s="29">
        <v>1016.03</v>
      </c>
      <c r="G356" s="30">
        <v>767</v>
      </c>
      <c r="H356" s="31">
        <v>194279.93999999994</v>
      </c>
      <c r="I356" s="29">
        <v>897952.31</v>
      </c>
      <c r="J356" s="30">
        <v>1092232.25</v>
      </c>
      <c r="K356" s="29">
        <v>20620.330000000002</v>
      </c>
      <c r="L356" s="31">
        <v>54866.69</v>
      </c>
      <c r="M356" s="31">
        <v>75487.02</v>
      </c>
      <c r="N356" s="31">
        <v>0</v>
      </c>
      <c r="O356" s="31">
        <v>0</v>
      </c>
      <c r="P356" s="31">
        <v>0</v>
      </c>
      <c r="Q356" s="1">
        <f t="shared" si="64"/>
        <v>345973.96238300053</v>
      </c>
      <c r="R356" s="1">
        <f t="shared" si="65"/>
        <v>752266</v>
      </c>
      <c r="S356" s="32">
        <f t="shared" si="66"/>
        <v>0.96503622096133379</v>
      </c>
      <c r="T356" s="1">
        <f t="shared" si="67"/>
        <v>5</v>
      </c>
      <c r="U356" s="1">
        <f t="shared" si="68"/>
        <v>1424.0316166883963</v>
      </c>
      <c r="V356" s="1">
        <f t="shared" si="62"/>
        <v>253.29848761408076</v>
      </c>
      <c r="W356" s="25">
        <f t="shared" si="72"/>
        <v>0.17787420212138944</v>
      </c>
      <c r="X356" s="6">
        <f t="shared" si="69"/>
        <v>255.44848133430844</v>
      </c>
      <c r="Y356" s="1">
        <f t="shared" si="70"/>
        <v>557.46333243013066</v>
      </c>
    </row>
    <row r="357" spans="1:25" x14ac:dyDescent="0.25">
      <c r="A357" s="26">
        <v>2397</v>
      </c>
      <c r="B357" s="26">
        <v>1</v>
      </c>
      <c r="C357" s="27" t="s">
        <v>362</v>
      </c>
      <c r="D357" s="28">
        <v>0</v>
      </c>
      <c r="E357" s="29">
        <v>506364775</v>
      </c>
      <c r="F357" s="29">
        <v>1266.1099999999999</v>
      </c>
      <c r="G357" s="30">
        <v>1056</v>
      </c>
      <c r="H357" s="31">
        <v>141622.92000000004</v>
      </c>
      <c r="I357" s="29">
        <v>871265.08000000007</v>
      </c>
      <c r="J357" s="30">
        <v>1012888.0000000001</v>
      </c>
      <c r="K357" s="29">
        <v>19821.930000000008</v>
      </c>
      <c r="L357" s="31">
        <v>104223.8</v>
      </c>
      <c r="M357" s="31">
        <v>124045.73000000001</v>
      </c>
      <c r="N357" s="31">
        <v>2593.8000000000011</v>
      </c>
      <c r="O357" s="31">
        <v>13638.199999999999</v>
      </c>
      <c r="P357" s="31">
        <v>16232</v>
      </c>
      <c r="Q357" s="1">
        <f t="shared" si="64"/>
        <v>399937.42644793901</v>
      </c>
      <c r="R357" s="1">
        <f t="shared" si="65"/>
        <v>753322</v>
      </c>
      <c r="S357" s="32">
        <f t="shared" si="66"/>
        <v>0.96639089902645325</v>
      </c>
      <c r="T357" s="1">
        <f t="shared" si="67"/>
        <v>5</v>
      </c>
      <c r="U357" s="1">
        <f t="shared" si="68"/>
        <v>959.17424242424249</v>
      </c>
      <c r="V357" s="1">
        <f t="shared" si="62"/>
        <v>134.11261363636368</v>
      </c>
      <c r="W357" s="25">
        <f t="shared" si="72"/>
        <v>0.13982090813594397</v>
      </c>
      <c r="X357" s="6">
        <f t="shared" si="69"/>
        <v>172.06273481404784</v>
      </c>
      <c r="Y357" s="1">
        <f t="shared" si="70"/>
        <v>557.4561182355053</v>
      </c>
    </row>
    <row r="358" spans="1:25" x14ac:dyDescent="0.25">
      <c r="A358" s="26">
        <v>2448</v>
      </c>
      <c r="B358" s="26">
        <v>1</v>
      </c>
      <c r="C358" s="27" t="s">
        <v>363</v>
      </c>
      <c r="D358" s="28">
        <v>0</v>
      </c>
      <c r="E358" s="29">
        <v>263305215</v>
      </c>
      <c r="F358" s="29">
        <v>759.45</v>
      </c>
      <c r="G358" s="30">
        <v>726</v>
      </c>
      <c r="H358" s="31">
        <v>225992.08000000007</v>
      </c>
      <c r="I358" s="29">
        <v>943560.91999999993</v>
      </c>
      <c r="J358" s="30">
        <v>1169553</v>
      </c>
      <c r="K358" s="29">
        <v>18266.099999999991</v>
      </c>
      <c r="L358" s="31">
        <v>48980.7</v>
      </c>
      <c r="M358" s="31">
        <v>67246.799999999988</v>
      </c>
      <c r="N358" s="31">
        <v>0</v>
      </c>
      <c r="O358" s="31">
        <v>0</v>
      </c>
      <c r="P358" s="31">
        <v>0</v>
      </c>
      <c r="Q358" s="1">
        <f t="shared" si="64"/>
        <v>346705.13529527944</v>
      </c>
      <c r="R358" s="1">
        <f t="shared" si="65"/>
        <v>754048</v>
      </c>
      <c r="S358" s="32">
        <f t="shared" si="66"/>
        <v>0.96732224019622293</v>
      </c>
      <c r="T358" s="1">
        <f t="shared" si="67"/>
        <v>5</v>
      </c>
      <c r="U358" s="1">
        <f t="shared" si="68"/>
        <v>1610.9545454545455</v>
      </c>
      <c r="V358" s="1">
        <f t="shared" si="62"/>
        <v>311.28385674931138</v>
      </c>
      <c r="W358" s="25">
        <f t="shared" si="72"/>
        <v>0.1932294474897675</v>
      </c>
      <c r="X358" s="6">
        <f t="shared" si="69"/>
        <v>358.35253775737027</v>
      </c>
      <c r="Y358" s="1">
        <f t="shared" si="70"/>
        <v>449.54461758138137</v>
      </c>
    </row>
    <row r="359" spans="1:25" x14ac:dyDescent="0.25">
      <c r="A359" s="26">
        <v>2527</v>
      </c>
      <c r="B359" s="26">
        <v>1</v>
      </c>
      <c r="C359" s="27" t="s">
        <v>364</v>
      </c>
      <c r="D359" s="28">
        <v>0</v>
      </c>
      <c r="E359" s="29">
        <v>51078230</v>
      </c>
      <c r="F359" s="29">
        <v>283.68</v>
      </c>
      <c r="G359" s="30">
        <v>273</v>
      </c>
      <c r="H359" s="31">
        <v>208529.21000000002</v>
      </c>
      <c r="I359" s="29">
        <v>245409.84999999998</v>
      </c>
      <c r="J359" s="30">
        <v>453939.06</v>
      </c>
      <c r="K359" s="29">
        <v>15000.12</v>
      </c>
      <c r="L359" s="31">
        <v>9126.24</v>
      </c>
      <c r="M359" s="31">
        <v>24126.36</v>
      </c>
      <c r="N359" s="31">
        <v>6482.0599999999995</v>
      </c>
      <c r="O359" s="31">
        <v>3943.76</v>
      </c>
      <c r="P359" s="31">
        <v>10425.82</v>
      </c>
      <c r="Q359" s="1">
        <f t="shared" si="64"/>
        <v>180055.80231246474</v>
      </c>
      <c r="R359" s="1">
        <f t="shared" si="65"/>
        <v>754321</v>
      </c>
      <c r="S359" s="32">
        <f t="shared" si="66"/>
        <v>0.96767245526419421</v>
      </c>
      <c r="T359" s="1">
        <f t="shared" si="67"/>
        <v>5</v>
      </c>
      <c r="U359" s="1">
        <f t="shared" si="68"/>
        <v>1662.7804395604396</v>
      </c>
      <c r="V359" s="1">
        <f t="shared" ref="V359:V391" si="73">H359/G359</f>
        <v>763.84326007326013</v>
      </c>
      <c r="W359" s="25">
        <f t="shared" si="72"/>
        <v>0.45937710229210066</v>
      </c>
      <c r="X359" s="6">
        <f t="shared" si="69"/>
        <v>480.45879820032911</v>
      </c>
      <c r="Y359" s="1">
        <f t="shared" si="70"/>
        <v>346.08179635564443</v>
      </c>
    </row>
    <row r="360" spans="1:25" x14ac:dyDescent="0.25">
      <c r="A360" s="26">
        <v>2534</v>
      </c>
      <c r="B360" s="26">
        <v>1</v>
      </c>
      <c r="C360" s="27" t="s">
        <v>365</v>
      </c>
      <c r="D360" s="28">
        <v>0</v>
      </c>
      <c r="E360" s="29">
        <v>259677035</v>
      </c>
      <c r="F360" s="29">
        <v>781.52</v>
      </c>
      <c r="G360" s="30">
        <v>652</v>
      </c>
      <c r="H360" s="31">
        <v>165186.01</v>
      </c>
      <c r="I360" s="29">
        <v>381877.99</v>
      </c>
      <c r="J360" s="30">
        <v>547064</v>
      </c>
      <c r="K360" s="29">
        <v>24568.669999999991</v>
      </c>
      <c r="L360" s="31">
        <v>56798.01</v>
      </c>
      <c r="M360" s="31">
        <v>81366.679999999993</v>
      </c>
      <c r="N360" s="31">
        <v>0</v>
      </c>
      <c r="O360" s="31">
        <v>0</v>
      </c>
      <c r="P360" s="31">
        <v>0</v>
      </c>
      <c r="Q360" s="1">
        <f t="shared" si="64"/>
        <v>332271.77167570888</v>
      </c>
      <c r="R360" s="1">
        <f t="shared" si="65"/>
        <v>754973</v>
      </c>
      <c r="S360" s="32">
        <f t="shared" si="66"/>
        <v>0.9685088663422794</v>
      </c>
      <c r="T360" s="1">
        <f t="shared" si="67"/>
        <v>5</v>
      </c>
      <c r="U360" s="1">
        <f t="shared" si="68"/>
        <v>839.05521472392638</v>
      </c>
      <c r="V360" s="1">
        <f t="shared" si="73"/>
        <v>253.35277607361965</v>
      </c>
      <c r="W360" s="25">
        <f t="shared" si="72"/>
        <v>0.30195006434347721</v>
      </c>
      <c r="X360" s="6">
        <f t="shared" si="69"/>
        <v>147.05882251004599</v>
      </c>
      <c r="Y360" s="1">
        <f t="shared" si="70"/>
        <v>570.55754996719645</v>
      </c>
    </row>
    <row r="361" spans="1:25" x14ac:dyDescent="0.25">
      <c r="A361" s="26">
        <v>2536</v>
      </c>
      <c r="B361" s="26">
        <v>1</v>
      </c>
      <c r="C361" s="27" t="s">
        <v>366</v>
      </c>
      <c r="D361" s="28">
        <v>0</v>
      </c>
      <c r="E361" s="29">
        <v>75520545</v>
      </c>
      <c r="F361" s="29">
        <v>318</v>
      </c>
      <c r="G361" s="30">
        <v>223</v>
      </c>
      <c r="H361" s="31">
        <v>182693.05000000005</v>
      </c>
      <c r="I361" s="29">
        <v>630766.85</v>
      </c>
      <c r="J361" s="30">
        <v>813459.9</v>
      </c>
      <c r="K361" s="29">
        <v>6069.44</v>
      </c>
      <c r="L361" s="31">
        <v>6043.28</v>
      </c>
      <c r="M361" s="31">
        <v>12112.72</v>
      </c>
      <c r="N361" s="31">
        <v>3191.73</v>
      </c>
      <c r="O361" s="31">
        <v>3177.98</v>
      </c>
      <c r="P361" s="31">
        <v>6369.71</v>
      </c>
      <c r="Q361" s="1">
        <f t="shared" si="64"/>
        <v>237485.99056603774</v>
      </c>
      <c r="R361" s="1">
        <f t="shared" si="65"/>
        <v>755196</v>
      </c>
      <c r="S361" s="32">
        <f t="shared" si="66"/>
        <v>0.96879493945640971</v>
      </c>
      <c r="T361" s="1">
        <f t="shared" si="67"/>
        <v>5</v>
      </c>
      <c r="U361" s="1">
        <f t="shared" si="68"/>
        <v>3647.8022421524665</v>
      </c>
      <c r="V361" s="1">
        <f t="shared" si="73"/>
        <v>819.25134529147999</v>
      </c>
      <c r="W361" s="25">
        <f t="shared" si="72"/>
        <v>0.2245876533065736</v>
      </c>
      <c r="X361" s="6">
        <f t="shared" si="69"/>
        <v>835.22550055749718</v>
      </c>
      <c r="Y361" s="1">
        <f t="shared" si="70"/>
        <v>436.74459648533571</v>
      </c>
    </row>
    <row r="362" spans="1:25" x14ac:dyDescent="0.25">
      <c r="A362" s="26">
        <v>2580</v>
      </c>
      <c r="B362" s="26">
        <v>1</v>
      </c>
      <c r="C362" s="27" t="s">
        <v>367</v>
      </c>
      <c r="D362" s="28">
        <v>0</v>
      </c>
      <c r="E362" s="29">
        <v>290210051</v>
      </c>
      <c r="F362" s="29">
        <v>962.24</v>
      </c>
      <c r="G362" s="30">
        <v>761</v>
      </c>
      <c r="H362" s="31">
        <v>42306.600000000006</v>
      </c>
      <c r="I362" s="29">
        <v>73162.200000000012</v>
      </c>
      <c r="J362" s="30">
        <v>115468.80000000002</v>
      </c>
      <c r="K362" s="29">
        <v>41840.569999999992</v>
      </c>
      <c r="L362" s="31">
        <v>72356.289999999994</v>
      </c>
      <c r="M362" s="31">
        <v>114196.85999999999</v>
      </c>
      <c r="N362" s="31">
        <v>17691.419999999998</v>
      </c>
      <c r="O362" s="31">
        <v>30594.35</v>
      </c>
      <c r="P362" s="31">
        <v>48285.77</v>
      </c>
      <c r="Q362" s="1">
        <f t="shared" si="64"/>
        <v>301598.40684236778</v>
      </c>
      <c r="R362" s="1">
        <f t="shared" si="65"/>
        <v>755957</v>
      </c>
      <c r="S362" s="32">
        <f t="shared" si="66"/>
        <v>0.96977117999386797</v>
      </c>
      <c r="T362" s="1">
        <f t="shared" si="67"/>
        <v>5</v>
      </c>
      <c r="U362" s="1">
        <f t="shared" si="68"/>
        <v>151.7329829172142</v>
      </c>
      <c r="V362" s="1">
        <f t="shared" si="73"/>
        <v>55.593429697766105</v>
      </c>
      <c r="W362" s="25">
        <f t="shared" si="72"/>
        <v>0.36638988194213506</v>
      </c>
      <c r="X362" s="6">
        <f t="shared" si="69"/>
        <v>25.210084815429088</v>
      </c>
      <c r="Y362" s="1">
        <f t="shared" si="70"/>
        <v>601.87414690628293</v>
      </c>
    </row>
    <row r="363" spans="1:25" x14ac:dyDescent="0.25">
      <c r="A363" s="26">
        <v>2609</v>
      </c>
      <c r="B363" s="26">
        <v>1</v>
      </c>
      <c r="C363" s="27" t="s">
        <v>368</v>
      </c>
      <c r="D363" s="28">
        <v>0</v>
      </c>
      <c r="E363" s="29">
        <v>164511500</v>
      </c>
      <c r="F363" s="29">
        <v>536.98</v>
      </c>
      <c r="G363" s="30">
        <v>423</v>
      </c>
      <c r="H363" s="31">
        <v>133957.32</v>
      </c>
      <c r="I363" s="29">
        <v>310975.40000000002</v>
      </c>
      <c r="J363" s="30">
        <v>444932.72000000003</v>
      </c>
      <c r="K363" s="29">
        <v>16954.280000000002</v>
      </c>
      <c r="L363" s="31">
        <v>30619.66</v>
      </c>
      <c r="M363" s="31">
        <v>47573.94</v>
      </c>
      <c r="N363" s="31">
        <v>229.82000000000005</v>
      </c>
      <c r="O363" s="31">
        <v>415.07000000000005</v>
      </c>
      <c r="P363" s="31">
        <v>644.8900000000001</v>
      </c>
      <c r="Q363" s="1">
        <f t="shared" si="64"/>
        <v>306364.29662184813</v>
      </c>
      <c r="R363" s="1">
        <f t="shared" si="65"/>
        <v>756380</v>
      </c>
      <c r="S363" s="32">
        <f t="shared" si="66"/>
        <v>0.97031382092336182</v>
      </c>
      <c r="T363" s="1">
        <f t="shared" si="67"/>
        <v>5</v>
      </c>
      <c r="U363" s="1">
        <f t="shared" si="68"/>
        <v>1051.8504018912531</v>
      </c>
      <c r="V363" s="1">
        <f t="shared" si="73"/>
        <v>316.68397163120568</v>
      </c>
      <c r="W363" s="25">
        <f t="shared" si="72"/>
        <v>0.30107320495557166</v>
      </c>
      <c r="X363" s="6">
        <f t="shared" si="69"/>
        <v>189.02958151861728</v>
      </c>
      <c r="Y363" s="1">
        <f t="shared" si="70"/>
        <v>556.44751125244261</v>
      </c>
    </row>
    <row r="364" spans="1:25" x14ac:dyDescent="0.25">
      <c r="A364" s="26">
        <v>2683</v>
      </c>
      <c r="B364" s="26">
        <v>1</v>
      </c>
      <c r="C364" s="27" t="s">
        <v>369</v>
      </c>
      <c r="D364" s="28">
        <v>0</v>
      </c>
      <c r="E364" s="29">
        <v>78412131</v>
      </c>
      <c r="F364" s="29">
        <v>481.72</v>
      </c>
      <c r="G364" s="30">
        <v>413</v>
      </c>
      <c r="H364" s="31">
        <v>305109.57999999996</v>
      </c>
      <c r="I364" s="29">
        <v>241642.62</v>
      </c>
      <c r="J364" s="30">
        <v>546752.19999999995</v>
      </c>
      <c r="K364" s="29">
        <v>28283.580000000005</v>
      </c>
      <c r="L364" s="31">
        <v>14698.3</v>
      </c>
      <c r="M364" s="31">
        <v>42981.880000000005</v>
      </c>
      <c r="N364" s="31">
        <v>0</v>
      </c>
      <c r="O364" s="31">
        <v>0</v>
      </c>
      <c r="P364" s="31">
        <v>0</v>
      </c>
      <c r="Q364" s="1">
        <f t="shared" si="64"/>
        <v>162775.32799136426</v>
      </c>
      <c r="R364" s="1">
        <f t="shared" si="65"/>
        <v>756793</v>
      </c>
      <c r="S364" s="32">
        <f t="shared" si="66"/>
        <v>0.97084363346208757</v>
      </c>
      <c r="T364" s="1">
        <f t="shared" si="67"/>
        <v>5</v>
      </c>
      <c r="U364" s="1">
        <f t="shared" si="68"/>
        <v>1323.8552058111379</v>
      </c>
      <c r="V364" s="1">
        <f t="shared" si="73"/>
        <v>738.76411622276021</v>
      </c>
      <c r="W364" s="25">
        <f t="shared" si="72"/>
        <v>0.55803996764896413</v>
      </c>
      <c r="X364" s="6">
        <f t="shared" si="69"/>
        <v>308.169943755259</v>
      </c>
      <c r="Y364" s="1">
        <f t="shared" si="70"/>
        <v>429.5860880133435</v>
      </c>
    </row>
    <row r="365" spans="1:25" x14ac:dyDescent="0.25">
      <c r="A365" s="26">
        <v>2687</v>
      </c>
      <c r="B365" s="26">
        <v>1</v>
      </c>
      <c r="C365" s="27" t="s">
        <v>370</v>
      </c>
      <c r="D365" s="28">
        <v>0</v>
      </c>
      <c r="E365" s="29">
        <v>608377100</v>
      </c>
      <c r="F365" s="29">
        <v>1427.41</v>
      </c>
      <c r="G365" s="30">
        <v>1040</v>
      </c>
      <c r="H365" s="31">
        <v>83201.239999999991</v>
      </c>
      <c r="I365" s="29">
        <v>712222.98</v>
      </c>
      <c r="J365" s="30">
        <v>795424.22</v>
      </c>
      <c r="K365" s="29">
        <v>13441.020000000004</v>
      </c>
      <c r="L365" s="31">
        <v>115058.4</v>
      </c>
      <c r="M365" s="31">
        <v>128499.42</v>
      </c>
      <c r="N365" s="31">
        <v>899.38999999999942</v>
      </c>
      <c r="O365" s="31">
        <v>7699.0400000000009</v>
      </c>
      <c r="P365" s="31">
        <v>8598.43</v>
      </c>
      <c r="Q365" s="1">
        <f t="shared" si="64"/>
        <v>426210.47911952413</v>
      </c>
      <c r="R365" s="1">
        <f t="shared" si="65"/>
        <v>757833</v>
      </c>
      <c r="S365" s="32">
        <f t="shared" si="66"/>
        <v>0.97217778610197791</v>
      </c>
      <c r="T365" s="1">
        <f t="shared" si="67"/>
        <v>5</v>
      </c>
      <c r="U365" s="1">
        <f t="shared" si="68"/>
        <v>764.83098076923079</v>
      </c>
      <c r="V365" s="1">
        <f t="shared" si="73"/>
        <v>80.001192307692293</v>
      </c>
      <c r="W365" s="25">
        <f t="shared" si="72"/>
        <v>0.1045998322756629</v>
      </c>
      <c r="X365" s="6">
        <f t="shared" si="69"/>
        <v>117.06932756015965</v>
      </c>
      <c r="Y365" s="1">
        <f t="shared" si="70"/>
        <v>653.31457582362816</v>
      </c>
    </row>
    <row r="366" spans="1:25" x14ac:dyDescent="0.25">
      <c r="A366" s="26">
        <v>2689</v>
      </c>
      <c r="B366" s="26">
        <v>1</v>
      </c>
      <c r="C366" s="27" t="s">
        <v>371</v>
      </c>
      <c r="D366" s="28">
        <v>0</v>
      </c>
      <c r="E366" s="29">
        <v>281636940</v>
      </c>
      <c r="F366" s="29">
        <v>1383.53</v>
      </c>
      <c r="G366" s="30">
        <v>1072</v>
      </c>
      <c r="H366" s="31">
        <v>680258.2</v>
      </c>
      <c r="I366" s="29">
        <v>800118.89999999991</v>
      </c>
      <c r="J366" s="30">
        <v>1480377.0999999999</v>
      </c>
      <c r="K366" s="29">
        <v>61505.83</v>
      </c>
      <c r="L366" s="31">
        <v>45957.119999999995</v>
      </c>
      <c r="M366" s="31">
        <v>107462.95</v>
      </c>
      <c r="N366" s="31">
        <v>17100.259999999995</v>
      </c>
      <c r="O366" s="31">
        <v>12777.300000000001</v>
      </c>
      <c r="P366" s="31">
        <v>29877.559999999998</v>
      </c>
      <c r="Q366" s="1">
        <f t="shared" si="64"/>
        <v>203564.02824658665</v>
      </c>
      <c r="R366" s="1">
        <f t="shared" si="65"/>
        <v>758905</v>
      </c>
      <c r="S366" s="32">
        <f t="shared" si="66"/>
        <v>0.9735529895923265</v>
      </c>
      <c r="T366" s="1">
        <f t="shared" si="67"/>
        <v>5</v>
      </c>
      <c r="U366" s="1">
        <f t="shared" si="68"/>
        <v>1380.9487873134326</v>
      </c>
      <c r="V366" s="1">
        <f t="shared" si="73"/>
        <v>634.56921641791041</v>
      </c>
      <c r="W366" s="25">
        <f t="shared" si="72"/>
        <v>0.45951683527122927</v>
      </c>
      <c r="X366" s="6">
        <f t="shared" si="69"/>
        <v>284.0958646972943</v>
      </c>
      <c r="Y366" s="1">
        <f t="shared" si="70"/>
        <v>486.08549398803859</v>
      </c>
    </row>
    <row r="367" spans="1:25" x14ac:dyDescent="0.25">
      <c r="A367" s="26">
        <v>2711</v>
      </c>
      <c r="B367" s="26">
        <v>1</v>
      </c>
      <c r="C367" s="27" t="s">
        <v>372</v>
      </c>
      <c r="D367" s="28">
        <v>0</v>
      </c>
      <c r="E367" s="29">
        <v>392265295</v>
      </c>
      <c r="F367" s="29">
        <v>1142.2</v>
      </c>
      <c r="G367" s="30">
        <v>897</v>
      </c>
      <c r="H367" s="31">
        <v>0</v>
      </c>
      <c r="I367" s="29">
        <v>0</v>
      </c>
      <c r="J367" s="30">
        <v>0</v>
      </c>
      <c r="K367" s="29">
        <v>44771.979999999996</v>
      </c>
      <c r="L367" s="31">
        <v>115983.86</v>
      </c>
      <c r="M367" s="31">
        <v>160755.84</v>
      </c>
      <c r="N367" s="31">
        <v>358.14</v>
      </c>
      <c r="O367" s="31">
        <v>927.7600000000001</v>
      </c>
      <c r="P367" s="31">
        <v>1285.9000000000001</v>
      </c>
      <c r="Q367" s="1">
        <f t="shared" si="64"/>
        <v>343429.60514796007</v>
      </c>
      <c r="R367" s="1">
        <f t="shared" si="65"/>
        <v>759802</v>
      </c>
      <c r="S367" s="32">
        <f t="shared" si="66"/>
        <v>0.97470369624423192</v>
      </c>
      <c r="T367" s="1">
        <f t="shared" si="67"/>
        <v>5</v>
      </c>
      <c r="U367" s="1">
        <f t="shared" si="68"/>
        <v>0</v>
      </c>
      <c r="V367" s="1">
        <f t="shared" si="73"/>
        <v>0</v>
      </c>
      <c r="W367" s="33" t="s">
        <v>60</v>
      </c>
      <c r="X367" s="6">
        <f t="shared" si="69"/>
        <v>0</v>
      </c>
      <c r="Y367" s="1">
        <f t="shared" si="70"/>
        <v>0</v>
      </c>
    </row>
    <row r="368" spans="1:25" x14ac:dyDescent="0.25">
      <c r="A368" s="26">
        <v>2752</v>
      </c>
      <c r="B368" s="26">
        <v>1</v>
      </c>
      <c r="C368" s="27" t="s">
        <v>373</v>
      </c>
      <c r="D368" s="28">
        <v>0</v>
      </c>
      <c r="E368" s="29">
        <v>689936705</v>
      </c>
      <c r="F368" s="29">
        <v>2021.69</v>
      </c>
      <c r="G368" s="30">
        <v>1764</v>
      </c>
      <c r="H368" s="31">
        <v>286121.56999999995</v>
      </c>
      <c r="I368" s="29">
        <v>724723.43</v>
      </c>
      <c r="J368" s="30">
        <v>1010845</v>
      </c>
      <c r="K368" s="29">
        <v>66072.539999999979</v>
      </c>
      <c r="L368" s="31">
        <v>167356.53999999998</v>
      </c>
      <c r="M368" s="31">
        <v>233429.07999999996</v>
      </c>
      <c r="N368" s="31">
        <v>16678.28</v>
      </c>
      <c r="O368" s="31">
        <v>42244.77</v>
      </c>
      <c r="P368" s="31">
        <v>58923.049999999996</v>
      </c>
      <c r="Q368" s="1">
        <f t="shared" si="64"/>
        <v>341267.30853889568</v>
      </c>
      <c r="R368" s="1">
        <f t="shared" si="65"/>
        <v>761566</v>
      </c>
      <c r="S368" s="32">
        <f t="shared" si="66"/>
        <v>0.97696662437573834</v>
      </c>
      <c r="T368" s="1">
        <f t="shared" si="67"/>
        <v>5</v>
      </c>
      <c r="U368" s="1">
        <f t="shared" si="68"/>
        <v>573.0413832199547</v>
      </c>
      <c r="V368" s="1">
        <f t="shared" si="73"/>
        <v>162.20043650793647</v>
      </c>
      <c r="W368" s="25">
        <f t="shared" ref="W368:W391" si="74">V368/U368</f>
        <v>0.28305187244335178</v>
      </c>
      <c r="X368" s="6">
        <f t="shared" si="69"/>
        <v>105.04201686153225</v>
      </c>
      <c r="Y368" s="1">
        <f t="shared" si="70"/>
        <v>545.53539654074359</v>
      </c>
    </row>
    <row r="369" spans="1:25" x14ac:dyDescent="0.25">
      <c r="A369" s="26">
        <v>2753</v>
      </c>
      <c r="B369" s="26">
        <v>1</v>
      </c>
      <c r="C369" s="27" t="s">
        <v>374</v>
      </c>
      <c r="D369" s="28">
        <v>0</v>
      </c>
      <c r="E369" s="29">
        <v>393421180</v>
      </c>
      <c r="F369" s="29">
        <v>1357.13</v>
      </c>
      <c r="G369" s="30">
        <v>951</v>
      </c>
      <c r="H369" s="31">
        <v>371430.43999999994</v>
      </c>
      <c r="I369" s="29">
        <v>578560.56000000006</v>
      </c>
      <c r="J369" s="30">
        <v>949991</v>
      </c>
      <c r="K369" s="29">
        <v>43423.75</v>
      </c>
      <c r="L369" s="31">
        <v>67639.22</v>
      </c>
      <c r="M369" s="31">
        <v>111062.97</v>
      </c>
      <c r="N369" s="31">
        <v>0</v>
      </c>
      <c r="O369" s="31">
        <v>0</v>
      </c>
      <c r="P369" s="31">
        <v>0</v>
      </c>
      <c r="Q369" s="1">
        <f t="shared" si="64"/>
        <v>289892.03687192826</v>
      </c>
      <c r="R369" s="1">
        <f t="shared" si="65"/>
        <v>762517</v>
      </c>
      <c r="S369" s="32">
        <f t="shared" si="66"/>
        <v>0.97818660433779192</v>
      </c>
      <c r="T369" s="1">
        <f t="shared" si="67"/>
        <v>5</v>
      </c>
      <c r="U369" s="1">
        <f t="shared" si="68"/>
        <v>998.9390115667718</v>
      </c>
      <c r="V369" s="1">
        <f t="shared" si="73"/>
        <v>390.56828601472131</v>
      </c>
      <c r="W369" s="25">
        <f t="shared" si="74"/>
        <v>0.3909831145768749</v>
      </c>
      <c r="X369" s="6">
        <f t="shared" si="69"/>
        <v>147.05882382844769</v>
      </c>
      <c r="Y369" s="1">
        <f t="shared" si="70"/>
        <v>679.27852648412977</v>
      </c>
    </row>
    <row r="370" spans="1:25" x14ac:dyDescent="0.25">
      <c r="A370" s="26">
        <v>2754</v>
      </c>
      <c r="B370" s="26">
        <v>1</v>
      </c>
      <c r="C370" s="27" t="s">
        <v>375</v>
      </c>
      <c r="D370" s="28">
        <v>0</v>
      </c>
      <c r="E370" s="29">
        <v>86183070</v>
      </c>
      <c r="F370" s="29">
        <v>487.94</v>
      </c>
      <c r="G370" s="30">
        <v>498</v>
      </c>
      <c r="H370" s="31">
        <v>214818.19</v>
      </c>
      <c r="I370" s="29">
        <v>126739.81</v>
      </c>
      <c r="J370" s="30">
        <v>341558</v>
      </c>
      <c r="K370" s="29">
        <v>40477.33</v>
      </c>
      <c r="L370" s="31">
        <v>23881.07</v>
      </c>
      <c r="M370" s="31">
        <v>64358.400000000001</v>
      </c>
      <c r="N370" s="31">
        <v>0</v>
      </c>
      <c r="O370" s="31">
        <v>0</v>
      </c>
      <c r="P370" s="31">
        <v>0</v>
      </c>
      <c r="Q370" s="1">
        <f t="shared" si="64"/>
        <v>176626.36799606509</v>
      </c>
      <c r="R370" s="1">
        <f t="shared" si="65"/>
        <v>763015</v>
      </c>
      <c r="S370" s="32">
        <f t="shared" si="66"/>
        <v>0.97882545819804712</v>
      </c>
      <c r="T370" s="1">
        <f t="shared" si="67"/>
        <v>5</v>
      </c>
      <c r="U370" s="1">
        <f t="shared" si="68"/>
        <v>685.85943775100407</v>
      </c>
      <c r="V370" s="1">
        <f t="shared" si="73"/>
        <v>431.36182730923696</v>
      </c>
      <c r="W370" s="25">
        <f t="shared" si="74"/>
        <v>0.62893619824451485</v>
      </c>
      <c r="X370" s="6">
        <f t="shared" si="69"/>
        <v>147.05882489449493</v>
      </c>
      <c r="Y370" s="1">
        <f t="shared" si="70"/>
        <v>466.38441334143891</v>
      </c>
    </row>
    <row r="371" spans="1:25" x14ac:dyDescent="0.25">
      <c r="A371" s="26">
        <v>2759</v>
      </c>
      <c r="B371" s="26">
        <v>1</v>
      </c>
      <c r="C371" s="27" t="s">
        <v>376</v>
      </c>
      <c r="D371" s="28">
        <v>0</v>
      </c>
      <c r="E371" s="29">
        <v>92704245</v>
      </c>
      <c r="F371" s="29">
        <v>416.93</v>
      </c>
      <c r="G371" s="30">
        <v>256</v>
      </c>
      <c r="H371" s="31">
        <v>163400.28000000003</v>
      </c>
      <c r="I371" s="29">
        <v>173095.58000000002</v>
      </c>
      <c r="J371" s="30">
        <v>336495.86000000004</v>
      </c>
      <c r="K371" s="29">
        <v>13961</v>
      </c>
      <c r="L371" s="31">
        <v>12238.2</v>
      </c>
      <c r="M371" s="31">
        <v>26199.200000000001</v>
      </c>
      <c r="N371" s="31">
        <v>0</v>
      </c>
      <c r="O371" s="31">
        <v>0</v>
      </c>
      <c r="P371" s="31">
        <v>0</v>
      </c>
      <c r="Q371" s="1">
        <f t="shared" si="64"/>
        <v>222349.6630129758</v>
      </c>
      <c r="R371" s="1">
        <f t="shared" si="65"/>
        <v>763271</v>
      </c>
      <c r="S371" s="32">
        <f t="shared" si="66"/>
        <v>0.97915386500171242</v>
      </c>
      <c r="T371" s="1">
        <f t="shared" si="67"/>
        <v>5</v>
      </c>
      <c r="U371" s="1">
        <f t="shared" si="68"/>
        <v>1314.4369531250002</v>
      </c>
      <c r="V371" s="1">
        <f t="shared" si="73"/>
        <v>638.28234375000011</v>
      </c>
      <c r="W371" s="25">
        <f t="shared" si="74"/>
        <v>0.48559373063311984</v>
      </c>
      <c r="X371" s="6">
        <f t="shared" si="69"/>
        <v>186.71807315835431</v>
      </c>
      <c r="Y371" s="1">
        <f t="shared" si="70"/>
        <v>703.96878614435741</v>
      </c>
    </row>
    <row r="372" spans="1:25" x14ac:dyDescent="0.25">
      <c r="A372" s="26">
        <v>2805</v>
      </c>
      <c r="B372" s="26">
        <v>1</v>
      </c>
      <c r="C372" s="27" t="s">
        <v>377</v>
      </c>
      <c r="D372" s="28">
        <v>0</v>
      </c>
      <c r="E372" s="29">
        <v>505252550</v>
      </c>
      <c r="F372" s="29">
        <v>1246.57</v>
      </c>
      <c r="G372" s="30">
        <v>1082</v>
      </c>
      <c r="H372" s="31">
        <v>129580.55000000005</v>
      </c>
      <c r="I372" s="29">
        <v>1054660.9500000002</v>
      </c>
      <c r="J372" s="30">
        <v>1184241.5000000002</v>
      </c>
      <c r="K372" s="29">
        <v>17608.809999999998</v>
      </c>
      <c r="L372" s="31">
        <v>100969.41</v>
      </c>
      <c r="M372" s="31">
        <v>118578.22</v>
      </c>
      <c r="N372" s="31">
        <v>1039.8000000000002</v>
      </c>
      <c r="O372" s="31">
        <v>5962.2199999999993</v>
      </c>
      <c r="P372" s="31">
        <v>7002.0199999999995</v>
      </c>
      <c r="Q372" s="1">
        <f t="shared" si="64"/>
        <v>405314.22222578758</v>
      </c>
      <c r="R372" s="1">
        <f t="shared" si="65"/>
        <v>764353</v>
      </c>
      <c r="S372" s="32">
        <f t="shared" si="66"/>
        <v>0.98054189688282911</v>
      </c>
      <c r="T372" s="1">
        <f t="shared" si="67"/>
        <v>5</v>
      </c>
      <c r="U372" s="1">
        <f t="shared" si="68"/>
        <v>1094.4930683918672</v>
      </c>
      <c r="V372" s="1">
        <f t="shared" si="73"/>
        <v>119.76021256931612</v>
      </c>
      <c r="W372" s="25">
        <f t="shared" si="74"/>
        <v>0.10942071359600218</v>
      </c>
      <c r="X372" s="6">
        <f t="shared" si="69"/>
        <v>208.73936212692053</v>
      </c>
      <c r="Y372" s="1">
        <f t="shared" si="70"/>
        <v>524.33477674727135</v>
      </c>
    </row>
    <row r="373" spans="1:25" x14ac:dyDescent="0.25">
      <c r="A373" s="26">
        <v>2835</v>
      </c>
      <c r="B373" s="26">
        <v>1</v>
      </c>
      <c r="C373" s="27" t="s">
        <v>378</v>
      </c>
      <c r="D373" s="28">
        <v>0</v>
      </c>
      <c r="E373" s="29">
        <v>306967175</v>
      </c>
      <c r="F373" s="29">
        <v>858.45</v>
      </c>
      <c r="G373" s="30">
        <v>570</v>
      </c>
      <c r="H373" s="31">
        <v>163722.05000000005</v>
      </c>
      <c r="I373" s="29">
        <v>1111076.2000000002</v>
      </c>
      <c r="J373" s="30">
        <v>1274798.2500000002</v>
      </c>
      <c r="K373" s="29">
        <v>9862.4600000000028</v>
      </c>
      <c r="L373" s="31">
        <v>29781.640000000003</v>
      </c>
      <c r="M373" s="31">
        <v>39644.100000000006</v>
      </c>
      <c r="N373" s="31">
        <v>0</v>
      </c>
      <c r="O373" s="31">
        <v>0</v>
      </c>
      <c r="P373" s="31">
        <v>0</v>
      </c>
      <c r="Q373" s="1">
        <f t="shared" si="64"/>
        <v>357583.05667190865</v>
      </c>
      <c r="R373" s="1">
        <f t="shared" si="65"/>
        <v>764923</v>
      </c>
      <c r="S373" s="32">
        <f t="shared" si="66"/>
        <v>0.98127311515661519</v>
      </c>
      <c r="T373" s="1">
        <f t="shared" si="67"/>
        <v>5</v>
      </c>
      <c r="U373" s="1">
        <f t="shared" si="68"/>
        <v>2236.4881578947375</v>
      </c>
      <c r="V373" s="1">
        <f t="shared" si="73"/>
        <v>287.23166666666674</v>
      </c>
      <c r="W373" s="25">
        <f t="shared" si="74"/>
        <v>0.12842977310331261</v>
      </c>
      <c r="X373" s="6">
        <f t="shared" si="69"/>
        <v>361.952772311893</v>
      </c>
      <c r="Y373" s="1">
        <f t="shared" si="70"/>
        <v>617.89502083646596</v>
      </c>
    </row>
    <row r="374" spans="1:25" x14ac:dyDescent="0.25">
      <c r="A374" s="26">
        <v>2853</v>
      </c>
      <c r="B374" s="26">
        <v>1</v>
      </c>
      <c r="C374" s="27" t="s">
        <v>379</v>
      </c>
      <c r="D374" s="28">
        <v>0</v>
      </c>
      <c r="E374" s="29">
        <v>238517570</v>
      </c>
      <c r="F374" s="29">
        <v>1049.47</v>
      </c>
      <c r="G374" s="30">
        <v>798</v>
      </c>
      <c r="H374" s="31">
        <v>450296.51</v>
      </c>
      <c r="I374" s="29">
        <v>704120.49</v>
      </c>
      <c r="J374" s="30">
        <v>1154417</v>
      </c>
      <c r="K374" s="29">
        <v>40151.840000000004</v>
      </c>
      <c r="L374" s="31">
        <v>36688.939999999995</v>
      </c>
      <c r="M374" s="31">
        <v>76840.78</v>
      </c>
      <c r="N374" s="31">
        <v>4496.87</v>
      </c>
      <c r="O374" s="31">
        <v>4109.04</v>
      </c>
      <c r="P374" s="31">
        <v>8605.91</v>
      </c>
      <c r="Q374" s="1">
        <f t="shared" si="64"/>
        <v>227274.30988975387</v>
      </c>
      <c r="R374" s="1">
        <f t="shared" si="65"/>
        <v>765721</v>
      </c>
      <c r="S374" s="32">
        <f t="shared" si="66"/>
        <v>0.98229682073991575</v>
      </c>
      <c r="T374" s="1">
        <f t="shared" si="67"/>
        <v>5</v>
      </c>
      <c r="U374" s="1">
        <f t="shared" si="68"/>
        <v>1446.6378446115289</v>
      </c>
      <c r="V374" s="1">
        <f t="shared" si="73"/>
        <v>564.28134085213037</v>
      </c>
      <c r="W374" s="25">
        <f t="shared" si="74"/>
        <v>0.39006399767155198</v>
      </c>
      <c r="X374" s="6">
        <f t="shared" si="69"/>
        <v>295.20696944883349</v>
      </c>
      <c r="Y374" s="1">
        <f t="shared" si="70"/>
        <v>490.04190087804352</v>
      </c>
    </row>
    <row r="375" spans="1:25" x14ac:dyDescent="0.25">
      <c r="A375" s="26">
        <v>2854</v>
      </c>
      <c r="B375" s="26">
        <v>1</v>
      </c>
      <c r="C375" s="27" t="s">
        <v>380</v>
      </c>
      <c r="D375" s="28">
        <v>0</v>
      </c>
      <c r="E375" s="29">
        <v>93811680</v>
      </c>
      <c r="F375" s="29">
        <v>566.17999999999995</v>
      </c>
      <c r="G375" s="30">
        <v>521</v>
      </c>
      <c r="H375" s="31">
        <v>280439.63</v>
      </c>
      <c r="I375" s="29">
        <v>173019.59</v>
      </c>
      <c r="J375" s="30">
        <v>453459.22</v>
      </c>
      <c r="K375" s="29">
        <v>41198.979999999996</v>
      </c>
      <c r="L375" s="31">
        <v>21998.66</v>
      </c>
      <c r="M375" s="31">
        <v>63197.64</v>
      </c>
      <c r="N375" s="31">
        <v>5539.7200000000012</v>
      </c>
      <c r="O375" s="31">
        <v>2958</v>
      </c>
      <c r="P375" s="31">
        <v>8497.7200000000012</v>
      </c>
      <c r="Q375" s="1">
        <f t="shared" si="64"/>
        <v>165692.32399590238</v>
      </c>
      <c r="R375" s="1">
        <f t="shared" si="65"/>
        <v>766242</v>
      </c>
      <c r="S375" s="32">
        <f t="shared" si="66"/>
        <v>0.98296517989893772</v>
      </c>
      <c r="T375" s="1">
        <f t="shared" si="67"/>
        <v>5</v>
      </c>
      <c r="U375" s="1">
        <f t="shared" si="68"/>
        <v>870.36318618042219</v>
      </c>
      <c r="V375" s="1">
        <f t="shared" si="73"/>
        <v>538.27184261036473</v>
      </c>
      <c r="W375" s="25">
        <f t="shared" si="74"/>
        <v>0.61844509413657978</v>
      </c>
      <c r="X375" s="6">
        <f t="shared" si="69"/>
        <v>184.43288724815503</v>
      </c>
      <c r="Y375" s="1">
        <f t="shared" si="70"/>
        <v>471.91322500381716</v>
      </c>
    </row>
    <row r="376" spans="1:25" x14ac:dyDescent="0.25">
      <c r="A376" s="26">
        <v>2856</v>
      </c>
      <c r="B376" s="26">
        <v>1</v>
      </c>
      <c r="C376" s="27" t="s">
        <v>381</v>
      </c>
      <c r="D376" s="28">
        <v>0</v>
      </c>
      <c r="E376" s="29">
        <v>115078300</v>
      </c>
      <c r="F376" s="29">
        <v>382.83</v>
      </c>
      <c r="G376" s="30">
        <v>324</v>
      </c>
      <c r="H376" s="31">
        <v>148130.47</v>
      </c>
      <c r="I376" s="29">
        <v>234699.53</v>
      </c>
      <c r="J376" s="30">
        <v>382830</v>
      </c>
      <c r="K376" s="29">
        <v>13352.169999999998</v>
      </c>
      <c r="L376" s="31">
        <v>22882.690000000002</v>
      </c>
      <c r="M376" s="31">
        <v>36234.86</v>
      </c>
      <c r="N376" s="31">
        <v>0</v>
      </c>
      <c r="O376" s="31">
        <v>0</v>
      </c>
      <c r="P376" s="31">
        <v>0</v>
      </c>
      <c r="Q376" s="1">
        <f t="shared" ref="Q376:Q391" si="75">IF(F376=0,0,E376/F376)</f>
        <v>300598.96037405636</v>
      </c>
      <c r="R376" s="1">
        <f t="shared" ref="R376:R391" si="76">R375+G376</f>
        <v>766566</v>
      </c>
      <c r="S376" s="32">
        <f t="shared" ref="S376:S391" si="77">S375+G376/$G$53</f>
        <v>0.98338081975982661</v>
      </c>
      <c r="T376" s="1">
        <f t="shared" ref="T376:T391" si="78">MIN(5,INT(S376/0.2)+1)</f>
        <v>5</v>
      </c>
      <c r="U376" s="1">
        <f t="shared" ref="U376:U391" si="79">IF(G376=0,0,(J376)/G376)</f>
        <v>1181.5740740740741</v>
      </c>
      <c r="V376" s="1">
        <f t="shared" si="73"/>
        <v>457.19280864197532</v>
      </c>
      <c r="W376" s="25">
        <f t="shared" si="74"/>
        <v>0.38693537601546379</v>
      </c>
      <c r="X376" s="6">
        <f t="shared" ref="X376:X391" si="80">IF(E376=0,0,(I376)/E376)*100000</f>
        <v>203.94768605375646</v>
      </c>
      <c r="Y376" s="1">
        <f t="shared" ref="Y376:Y391" si="81">IF(X376=0,0,U376/X376)*100</f>
        <v>579.35154692690912</v>
      </c>
    </row>
    <row r="377" spans="1:25" x14ac:dyDescent="0.25">
      <c r="A377" s="26">
        <v>2859</v>
      </c>
      <c r="B377" s="26">
        <v>1</v>
      </c>
      <c r="C377" s="27" t="s">
        <v>382</v>
      </c>
      <c r="D377" s="28">
        <v>0</v>
      </c>
      <c r="E377" s="29">
        <v>763299695</v>
      </c>
      <c r="F377" s="29">
        <v>2326.91</v>
      </c>
      <c r="G377" s="30">
        <v>1672</v>
      </c>
      <c r="H377" s="31">
        <v>506337.47</v>
      </c>
      <c r="I377" s="29">
        <v>1183534.3800000001</v>
      </c>
      <c r="J377" s="30">
        <v>1689871.85</v>
      </c>
      <c r="K377" s="29">
        <v>60279.290000000008</v>
      </c>
      <c r="L377" s="31">
        <v>133633.15999999997</v>
      </c>
      <c r="M377" s="31">
        <v>193912.44999999998</v>
      </c>
      <c r="N377" s="31">
        <v>19229.199999999997</v>
      </c>
      <c r="O377" s="31">
        <v>42629.22</v>
      </c>
      <c r="P377" s="31">
        <v>61858.42</v>
      </c>
      <c r="Q377" s="1">
        <f t="shared" si="75"/>
        <v>328031.46447434585</v>
      </c>
      <c r="R377" s="1">
        <f t="shared" si="76"/>
        <v>768238</v>
      </c>
      <c r="S377" s="32">
        <f t="shared" si="77"/>
        <v>0.98552572669626581</v>
      </c>
      <c r="T377" s="1">
        <f t="shared" si="78"/>
        <v>5</v>
      </c>
      <c r="U377" s="1">
        <f t="shared" si="79"/>
        <v>1010.6889055023923</v>
      </c>
      <c r="V377" s="1">
        <f t="shared" si="73"/>
        <v>302.83341507177033</v>
      </c>
      <c r="W377" s="25">
        <f t="shared" si="74"/>
        <v>0.29963069093079453</v>
      </c>
      <c r="X377" s="6">
        <f t="shared" si="80"/>
        <v>155.05500496760976</v>
      </c>
      <c r="Y377" s="1">
        <f t="shared" si="81"/>
        <v>651.82604438568137</v>
      </c>
    </row>
    <row r="378" spans="1:25" x14ac:dyDescent="0.25">
      <c r="A378" s="26">
        <v>2860</v>
      </c>
      <c r="B378" s="26">
        <v>1</v>
      </c>
      <c r="C378" s="27" t="s">
        <v>383</v>
      </c>
      <c r="D378" s="28">
        <v>0</v>
      </c>
      <c r="E378" s="29">
        <v>348164000</v>
      </c>
      <c r="F378" s="29">
        <v>1438.71</v>
      </c>
      <c r="G378" s="30">
        <v>1224</v>
      </c>
      <c r="H378" s="31">
        <v>459727.48000000004</v>
      </c>
      <c r="I378" s="29">
        <v>475434.01999999996</v>
      </c>
      <c r="J378" s="30">
        <v>935161.5</v>
      </c>
      <c r="K378" s="29">
        <v>75056.95</v>
      </c>
      <c r="L378" s="31">
        <v>77621.27</v>
      </c>
      <c r="M378" s="31">
        <v>152678.22</v>
      </c>
      <c r="N378" s="31">
        <v>0</v>
      </c>
      <c r="O378" s="31">
        <v>0</v>
      </c>
      <c r="P378" s="31">
        <v>0</v>
      </c>
      <c r="Q378" s="1">
        <f t="shared" si="75"/>
        <v>241997.34484364465</v>
      </c>
      <c r="R378" s="1">
        <f t="shared" si="76"/>
        <v>769462</v>
      </c>
      <c r="S378" s="32">
        <f t="shared" si="77"/>
        <v>0.98709592172629068</v>
      </c>
      <c r="T378" s="1">
        <f t="shared" si="78"/>
        <v>5</v>
      </c>
      <c r="U378" s="1">
        <f t="shared" si="79"/>
        <v>764.02083333333337</v>
      </c>
      <c r="V378" s="1">
        <f t="shared" si="73"/>
        <v>375.5943464052288</v>
      </c>
      <c r="W378" s="25">
        <f t="shared" si="74"/>
        <v>0.49160223127235247</v>
      </c>
      <c r="X378" s="6">
        <f t="shared" si="80"/>
        <v>136.55461793867258</v>
      </c>
      <c r="Y378" s="1">
        <f t="shared" si="81"/>
        <v>559.49834935385297</v>
      </c>
    </row>
    <row r="379" spans="1:25" x14ac:dyDescent="0.25">
      <c r="A379" s="26">
        <v>2884</v>
      </c>
      <c r="B379" s="26">
        <v>1</v>
      </c>
      <c r="C379" s="27" t="s">
        <v>384</v>
      </c>
      <c r="D379" s="28">
        <v>0</v>
      </c>
      <c r="E379" s="29">
        <v>134336820</v>
      </c>
      <c r="F379" s="29">
        <v>479.04</v>
      </c>
      <c r="G379" s="30">
        <v>393</v>
      </c>
      <c r="H379" s="31">
        <v>137773.84999999998</v>
      </c>
      <c r="I379" s="29">
        <v>556939.54</v>
      </c>
      <c r="J379" s="30">
        <v>694713.39</v>
      </c>
      <c r="K379" s="29">
        <v>14193.829999999998</v>
      </c>
      <c r="L379" s="31">
        <v>20352.55</v>
      </c>
      <c r="M379" s="31">
        <v>34546.379999999997</v>
      </c>
      <c r="N379" s="31">
        <v>0</v>
      </c>
      <c r="O379" s="31">
        <v>0</v>
      </c>
      <c r="P379" s="31">
        <v>0</v>
      </c>
      <c r="Q379" s="1">
        <f t="shared" si="75"/>
        <v>280429.23346693383</v>
      </c>
      <c r="R379" s="1">
        <f t="shared" si="76"/>
        <v>769855</v>
      </c>
      <c r="S379" s="32">
        <f t="shared" si="77"/>
        <v>0.98760007748348</v>
      </c>
      <c r="T379" s="1">
        <f t="shared" si="78"/>
        <v>5</v>
      </c>
      <c r="U379" s="1">
        <f t="shared" si="79"/>
        <v>1767.7185496183206</v>
      </c>
      <c r="V379" s="1">
        <f t="shared" si="73"/>
        <v>350.56959287531799</v>
      </c>
      <c r="W379" s="25">
        <f t="shared" si="74"/>
        <v>0.19831753926608492</v>
      </c>
      <c r="X379" s="6">
        <f t="shared" si="80"/>
        <v>414.5844303892261</v>
      </c>
      <c r="Y379" s="1">
        <f t="shared" si="81"/>
        <v>426.38324549687638</v>
      </c>
    </row>
    <row r="380" spans="1:25" x14ac:dyDescent="0.25">
      <c r="A380" s="26">
        <v>2886</v>
      </c>
      <c r="B380" s="26">
        <v>1</v>
      </c>
      <c r="C380" s="27" t="s">
        <v>385</v>
      </c>
      <c r="D380" s="28">
        <v>0</v>
      </c>
      <c r="E380" s="29">
        <v>137661175</v>
      </c>
      <c r="F380" s="29">
        <v>456.09</v>
      </c>
      <c r="G380" s="30">
        <v>367</v>
      </c>
      <c r="H380" s="31">
        <v>157161.31</v>
      </c>
      <c r="I380" s="29">
        <v>245069.02000000002</v>
      </c>
      <c r="J380" s="30">
        <v>402230.33</v>
      </c>
      <c r="K380" s="29">
        <v>15537.899999999998</v>
      </c>
      <c r="L380" s="31">
        <v>26926.350000000002</v>
      </c>
      <c r="M380" s="31">
        <v>42464.25</v>
      </c>
      <c r="N380" s="31">
        <v>0</v>
      </c>
      <c r="O380" s="31">
        <v>0</v>
      </c>
      <c r="P380" s="31">
        <v>0</v>
      </c>
      <c r="Q380" s="1">
        <f t="shared" si="75"/>
        <v>301828.97015939839</v>
      </c>
      <c r="R380" s="1">
        <f t="shared" si="76"/>
        <v>770222</v>
      </c>
      <c r="S380" s="32">
        <f t="shared" si="77"/>
        <v>0.98807087942467209</v>
      </c>
      <c r="T380" s="1">
        <f t="shared" si="78"/>
        <v>5</v>
      </c>
      <c r="U380" s="1">
        <f t="shared" si="79"/>
        <v>1095.9954495912807</v>
      </c>
      <c r="V380" s="1">
        <f t="shared" si="73"/>
        <v>428.23245231607626</v>
      </c>
      <c r="W380" s="25">
        <f t="shared" si="74"/>
        <v>0.39072466265783584</v>
      </c>
      <c r="X380" s="6">
        <f t="shared" si="80"/>
        <v>178.02333882447249</v>
      </c>
      <c r="Y380" s="1">
        <f t="shared" si="81"/>
        <v>615.64705887912294</v>
      </c>
    </row>
    <row r="381" spans="1:25" x14ac:dyDescent="0.25">
      <c r="A381" s="26">
        <v>2888</v>
      </c>
      <c r="B381" s="26">
        <v>1</v>
      </c>
      <c r="C381" s="27" t="s">
        <v>386</v>
      </c>
      <c r="D381" s="28">
        <v>0</v>
      </c>
      <c r="E381" s="29">
        <v>80210225</v>
      </c>
      <c r="F381" s="29">
        <v>459.82</v>
      </c>
      <c r="G381" s="30">
        <v>358</v>
      </c>
      <c r="H381" s="31">
        <v>248672.69</v>
      </c>
      <c r="I381" s="29">
        <v>199651.81</v>
      </c>
      <c r="J381" s="30">
        <v>448324.5</v>
      </c>
      <c r="K381" s="29">
        <v>23721.369999999995</v>
      </c>
      <c r="L381" s="31">
        <v>13721.62</v>
      </c>
      <c r="M381" s="31">
        <v>37442.99</v>
      </c>
      <c r="N381" s="31">
        <v>0</v>
      </c>
      <c r="O381" s="31">
        <v>0</v>
      </c>
      <c r="P381" s="31">
        <v>0</v>
      </c>
      <c r="Q381" s="1">
        <f t="shared" si="75"/>
        <v>174438.31281805923</v>
      </c>
      <c r="R381" s="1">
        <f t="shared" si="76"/>
        <v>770580</v>
      </c>
      <c r="S381" s="32">
        <f t="shared" si="77"/>
        <v>0.98853013581417282</v>
      </c>
      <c r="T381" s="1">
        <f t="shared" si="78"/>
        <v>5</v>
      </c>
      <c r="U381" s="1">
        <f t="shared" si="79"/>
        <v>1252.3030726256984</v>
      </c>
      <c r="V381" s="1">
        <f t="shared" si="73"/>
        <v>694.61645251396646</v>
      </c>
      <c r="W381" s="25">
        <f t="shared" si="74"/>
        <v>0.55467120355902921</v>
      </c>
      <c r="X381" s="6">
        <f t="shared" si="80"/>
        <v>248.91067192493225</v>
      </c>
      <c r="Y381" s="1">
        <f t="shared" si="81"/>
        <v>503.11345148084865</v>
      </c>
    </row>
    <row r="382" spans="1:25" x14ac:dyDescent="0.25">
      <c r="A382" s="26">
        <v>2889</v>
      </c>
      <c r="B382" s="26">
        <v>1</v>
      </c>
      <c r="C382" s="27" t="s">
        <v>387</v>
      </c>
      <c r="D382" s="28">
        <v>0</v>
      </c>
      <c r="E382" s="29">
        <v>437217200</v>
      </c>
      <c r="F382" s="29">
        <v>718.27</v>
      </c>
      <c r="G382" s="30">
        <v>626</v>
      </c>
      <c r="H382" s="31">
        <v>0</v>
      </c>
      <c r="I382" s="29">
        <v>538702.5</v>
      </c>
      <c r="J382" s="30">
        <v>538702.5</v>
      </c>
      <c r="K382" s="29">
        <v>0</v>
      </c>
      <c r="L382" s="31">
        <v>75044.850000000006</v>
      </c>
      <c r="M382" s="31">
        <v>75044.850000000006</v>
      </c>
      <c r="N382" s="31">
        <v>0</v>
      </c>
      <c r="O382" s="31">
        <v>0</v>
      </c>
      <c r="P382" s="31">
        <v>0</v>
      </c>
      <c r="Q382" s="1">
        <f t="shared" si="75"/>
        <v>608708.70285547222</v>
      </c>
      <c r="R382" s="1">
        <f t="shared" si="76"/>
        <v>771206</v>
      </c>
      <c r="S382" s="32">
        <f t="shared" si="77"/>
        <v>0.98933319307626066</v>
      </c>
      <c r="T382" s="1">
        <f t="shared" si="78"/>
        <v>5</v>
      </c>
      <c r="U382" s="1">
        <f t="shared" si="79"/>
        <v>860.54712460063899</v>
      </c>
      <c r="V382" s="1">
        <f t="shared" si="73"/>
        <v>0</v>
      </c>
      <c r="W382" s="25">
        <f t="shared" si="74"/>
        <v>0</v>
      </c>
      <c r="X382" s="6">
        <f t="shared" si="80"/>
        <v>123.21164400668592</v>
      </c>
      <c r="Y382" s="1">
        <f t="shared" si="81"/>
        <v>698.43003194888183</v>
      </c>
    </row>
    <row r="383" spans="1:25" x14ac:dyDescent="0.25">
      <c r="A383" s="26">
        <v>2890</v>
      </c>
      <c r="B383" s="26">
        <v>1</v>
      </c>
      <c r="C383" s="27" t="s">
        <v>388</v>
      </c>
      <c r="D383" s="28">
        <v>0</v>
      </c>
      <c r="E383" s="29">
        <v>201437765</v>
      </c>
      <c r="F383" s="29">
        <v>706.72</v>
      </c>
      <c r="G383" s="30">
        <v>505</v>
      </c>
      <c r="H383" s="31">
        <v>246156.01</v>
      </c>
      <c r="I383" s="29">
        <v>1025939.99</v>
      </c>
      <c r="J383" s="30">
        <v>1272096</v>
      </c>
      <c r="K383" s="29">
        <v>10714.91</v>
      </c>
      <c r="L383" s="31">
        <v>15992.689999999999</v>
      </c>
      <c r="M383" s="31">
        <v>26707.599999999999</v>
      </c>
      <c r="N383" s="31">
        <v>0</v>
      </c>
      <c r="O383" s="31">
        <v>0</v>
      </c>
      <c r="P383" s="31">
        <v>0</v>
      </c>
      <c r="Q383" s="1">
        <f t="shared" si="75"/>
        <v>285031.92919402308</v>
      </c>
      <c r="R383" s="1">
        <f t="shared" si="76"/>
        <v>771711</v>
      </c>
      <c r="S383" s="32">
        <f t="shared" si="77"/>
        <v>0.98998102681005362</v>
      </c>
      <c r="T383" s="1">
        <f t="shared" si="78"/>
        <v>5</v>
      </c>
      <c r="U383" s="1">
        <f t="shared" si="79"/>
        <v>2519.0019801980197</v>
      </c>
      <c r="V383" s="1">
        <f t="shared" si="73"/>
        <v>487.43764356435645</v>
      </c>
      <c r="W383" s="25">
        <f t="shared" si="74"/>
        <v>0.19350427169018691</v>
      </c>
      <c r="X383" s="6">
        <f t="shared" si="80"/>
        <v>509.30866414249584</v>
      </c>
      <c r="Y383" s="1">
        <f t="shared" si="81"/>
        <v>494.59240683430556</v>
      </c>
    </row>
    <row r="384" spans="1:25" x14ac:dyDescent="0.25">
      <c r="A384" s="26">
        <v>2895</v>
      </c>
      <c r="B384" s="26">
        <v>1</v>
      </c>
      <c r="C384" s="27" t="s">
        <v>389</v>
      </c>
      <c r="D384" s="28">
        <v>0</v>
      </c>
      <c r="E384" s="29">
        <v>375102975</v>
      </c>
      <c r="F384" s="29">
        <v>1378.74</v>
      </c>
      <c r="G384" s="30">
        <v>1183</v>
      </c>
      <c r="H384" s="31">
        <v>413495.99000000011</v>
      </c>
      <c r="I384" s="29">
        <v>895989.9</v>
      </c>
      <c r="J384" s="30">
        <v>1309485.8900000001</v>
      </c>
      <c r="K384" s="29">
        <v>56624.719999999987</v>
      </c>
      <c r="L384" s="31">
        <v>75539.89</v>
      </c>
      <c r="M384" s="31">
        <v>132164.60999999999</v>
      </c>
      <c r="N384" s="31">
        <v>0</v>
      </c>
      <c r="O384" s="31">
        <v>0</v>
      </c>
      <c r="P384" s="31">
        <v>0</v>
      </c>
      <c r="Q384" s="1">
        <f t="shared" si="75"/>
        <v>272062.15457591711</v>
      </c>
      <c r="R384" s="1">
        <f t="shared" si="76"/>
        <v>772894</v>
      </c>
      <c r="S384" s="32">
        <f t="shared" si="77"/>
        <v>0.99149862543792899</v>
      </c>
      <c r="T384" s="1">
        <f t="shared" si="78"/>
        <v>5</v>
      </c>
      <c r="U384" s="1">
        <f t="shared" si="79"/>
        <v>1106.9196027049875</v>
      </c>
      <c r="V384" s="1">
        <f t="shared" si="73"/>
        <v>349.5316906170753</v>
      </c>
      <c r="W384" s="25">
        <f t="shared" si="74"/>
        <v>0.31576971783941865</v>
      </c>
      <c r="X384" s="6">
        <f t="shared" si="80"/>
        <v>238.86504765791315</v>
      </c>
      <c r="Y384" s="1">
        <f t="shared" si="81"/>
        <v>463.40794250075675</v>
      </c>
    </row>
    <row r="385" spans="1:25" x14ac:dyDescent="0.25">
      <c r="A385" s="26">
        <v>2897</v>
      </c>
      <c r="B385" s="26">
        <v>1</v>
      </c>
      <c r="C385" s="27" t="s">
        <v>390</v>
      </c>
      <c r="D385" s="28">
        <v>0</v>
      </c>
      <c r="E385" s="29">
        <v>360444150</v>
      </c>
      <c r="F385" s="29">
        <v>1515.28</v>
      </c>
      <c r="G385" s="30">
        <v>1125</v>
      </c>
      <c r="H385" s="31">
        <v>566691.39999999991</v>
      </c>
      <c r="I385" s="29">
        <v>797060.60000000009</v>
      </c>
      <c r="J385" s="30">
        <v>1363752</v>
      </c>
      <c r="K385" s="29">
        <v>60075.739999999991</v>
      </c>
      <c r="L385" s="31">
        <v>60011.649999999994</v>
      </c>
      <c r="M385" s="31">
        <v>120087.38999999998</v>
      </c>
      <c r="N385" s="31">
        <v>18487.839999999997</v>
      </c>
      <c r="O385" s="31">
        <v>18468.11</v>
      </c>
      <c r="P385" s="31">
        <v>36955.949999999997</v>
      </c>
      <c r="Q385" s="1">
        <f t="shared" si="75"/>
        <v>237872.96737236684</v>
      </c>
      <c r="R385" s="1">
        <f t="shared" si="76"/>
        <v>774019</v>
      </c>
      <c r="S385" s="32">
        <f t="shared" si="77"/>
        <v>0.99294181939934889</v>
      </c>
      <c r="T385" s="1">
        <f t="shared" si="78"/>
        <v>5</v>
      </c>
      <c r="U385" s="1">
        <f t="shared" si="79"/>
        <v>1212.2239999999999</v>
      </c>
      <c r="V385" s="1">
        <f t="shared" si="73"/>
        <v>503.72568888888878</v>
      </c>
      <c r="W385" s="25">
        <f t="shared" si="74"/>
        <v>0.41553845567229225</v>
      </c>
      <c r="X385" s="6">
        <f t="shared" si="80"/>
        <v>221.13289950745491</v>
      </c>
      <c r="Y385" s="1">
        <f t="shared" si="81"/>
        <v>548.18799133917787</v>
      </c>
    </row>
    <row r="386" spans="1:25" x14ac:dyDescent="0.25">
      <c r="A386" s="26">
        <v>2898</v>
      </c>
      <c r="B386" s="26">
        <v>1</v>
      </c>
      <c r="C386" s="27" t="s">
        <v>391</v>
      </c>
      <c r="D386" s="28">
        <v>0</v>
      </c>
      <c r="E386" s="29">
        <v>96746835</v>
      </c>
      <c r="F386" s="29">
        <v>511.17</v>
      </c>
      <c r="G386" s="30">
        <v>435</v>
      </c>
      <c r="H386" s="31">
        <v>215544.24</v>
      </c>
      <c r="I386" s="29">
        <v>142274.76</v>
      </c>
      <c r="J386" s="30">
        <v>357819</v>
      </c>
      <c r="K386" s="29">
        <v>33091.429999999993</v>
      </c>
      <c r="L386" s="31">
        <v>21842.74</v>
      </c>
      <c r="M386" s="31">
        <v>54934.17</v>
      </c>
      <c r="N386" s="31">
        <v>32765.669999999995</v>
      </c>
      <c r="O386" s="31">
        <v>21627.7</v>
      </c>
      <c r="P386" s="31">
        <v>54393.369999999995</v>
      </c>
      <c r="Q386" s="1">
        <f t="shared" si="75"/>
        <v>189265.47919478841</v>
      </c>
      <c r="R386" s="1">
        <f t="shared" si="76"/>
        <v>774454</v>
      </c>
      <c r="S386" s="32">
        <f t="shared" si="77"/>
        <v>0.99349985439776456</v>
      </c>
      <c r="T386" s="1">
        <f t="shared" si="78"/>
        <v>5</v>
      </c>
      <c r="U386" s="1">
        <f t="shared" si="79"/>
        <v>822.57241379310346</v>
      </c>
      <c r="V386" s="1">
        <f t="shared" si="73"/>
        <v>495.50399999999996</v>
      </c>
      <c r="W386" s="25">
        <f t="shared" si="74"/>
        <v>0.60238343967201291</v>
      </c>
      <c r="X386" s="6">
        <f t="shared" si="80"/>
        <v>147.05882626547938</v>
      </c>
      <c r="Y386" s="1">
        <f t="shared" si="81"/>
        <v>559.34923097247258</v>
      </c>
    </row>
    <row r="387" spans="1:25" x14ac:dyDescent="0.25">
      <c r="A387" s="26">
        <v>2899</v>
      </c>
      <c r="B387" s="26">
        <v>1</v>
      </c>
      <c r="C387" s="27" t="s">
        <v>392</v>
      </c>
      <c r="D387" s="28">
        <v>0</v>
      </c>
      <c r="E387" s="29">
        <v>498312525</v>
      </c>
      <c r="F387" s="29">
        <v>1685.04</v>
      </c>
      <c r="G387" s="30">
        <v>1467</v>
      </c>
      <c r="H387" s="31">
        <v>186975.95</v>
      </c>
      <c r="I387" s="29">
        <v>306723.92</v>
      </c>
      <c r="J387" s="30">
        <v>493699.87</v>
      </c>
      <c r="K387" s="29">
        <v>78745.960000000021</v>
      </c>
      <c r="L387" s="31">
        <v>129178.5</v>
      </c>
      <c r="M387" s="31">
        <v>207924.46000000002</v>
      </c>
      <c r="N387" s="31">
        <v>5249.73</v>
      </c>
      <c r="O387" s="31">
        <v>8611.9</v>
      </c>
      <c r="P387" s="31">
        <v>13861.63</v>
      </c>
      <c r="Q387" s="1">
        <f t="shared" si="75"/>
        <v>295727.41596638656</v>
      </c>
      <c r="R387" s="1">
        <f t="shared" si="76"/>
        <v>775921</v>
      </c>
      <c r="S387" s="32">
        <f t="shared" si="77"/>
        <v>0.99538177932345606</v>
      </c>
      <c r="T387" s="1">
        <f t="shared" si="78"/>
        <v>5</v>
      </c>
      <c r="U387" s="1">
        <f t="shared" si="79"/>
        <v>336.53706203135653</v>
      </c>
      <c r="V387" s="1">
        <f t="shared" si="73"/>
        <v>127.45463531015679</v>
      </c>
      <c r="W387" s="25">
        <f t="shared" si="74"/>
        <v>0.37872391985843545</v>
      </c>
      <c r="X387" s="6">
        <f t="shared" si="80"/>
        <v>61.552520679667843</v>
      </c>
      <c r="Y387" s="1">
        <f t="shared" si="81"/>
        <v>546.74781522395415</v>
      </c>
    </row>
    <row r="388" spans="1:25" x14ac:dyDescent="0.25">
      <c r="A388" s="26">
        <v>2902</v>
      </c>
      <c r="B388" s="26">
        <v>1</v>
      </c>
      <c r="C388" s="27" t="s">
        <v>393</v>
      </c>
      <c r="D388" s="28">
        <v>0</v>
      </c>
      <c r="E388" s="29">
        <v>151827245</v>
      </c>
      <c r="F388" s="29">
        <v>596.27</v>
      </c>
      <c r="G388" s="30">
        <v>515</v>
      </c>
      <c r="H388" s="31">
        <v>194434.44</v>
      </c>
      <c r="I388" s="29">
        <v>228589.31</v>
      </c>
      <c r="J388" s="30">
        <v>423023.75</v>
      </c>
      <c r="K388" s="29">
        <v>29273.17</v>
      </c>
      <c r="L388" s="31">
        <v>33670.89</v>
      </c>
      <c r="M388" s="31">
        <v>62944.06</v>
      </c>
      <c r="N388" s="31">
        <v>2265.1699999999996</v>
      </c>
      <c r="O388" s="31">
        <v>2605.4699999999998</v>
      </c>
      <c r="P388" s="31">
        <v>4870.6399999999994</v>
      </c>
      <c r="Q388" s="1">
        <f t="shared" si="75"/>
        <v>254628.34789608736</v>
      </c>
      <c r="R388" s="1">
        <f t="shared" si="76"/>
        <v>776436</v>
      </c>
      <c r="S388" s="32">
        <f t="shared" si="77"/>
        <v>0.99604244144801712</v>
      </c>
      <c r="T388" s="1">
        <f t="shared" si="78"/>
        <v>5</v>
      </c>
      <c r="U388" s="1">
        <f t="shared" si="79"/>
        <v>821.40533980582529</v>
      </c>
      <c r="V388" s="1">
        <f t="shared" si="73"/>
        <v>377.54260194174759</v>
      </c>
      <c r="W388" s="25">
        <f t="shared" si="74"/>
        <v>0.45963007987140203</v>
      </c>
      <c r="X388" s="6">
        <f t="shared" si="80"/>
        <v>150.55882098104328</v>
      </c>
      <c r="Y388" s="1">
        <f t="shared" si="81"/>
        <v>545.57104954298734</v>
      </c>
    </row>
    <row r="389" spans="1:25" x14ac:dyDescent="0.25">
      <c r="A389">
        <v>2903</v>
      </c>
      <c r="B389" s="26">
        <v>1</v>
      </c>
      <c r="C389" t="s">
        <v>394</v>
      </c>
      <c r="D389" s="28">
        <v>0</v>
      </c>
      <c r="E389" s="29">
        <v>137378115</v>
      </c>
      <c r="F389" s="29">
        <v>578.79999999999995</v>
      </c>
      <c r="G389" s="30">
        <v>476</v>
      </c>
      <c r="H389" s="31">
        <v>226898.5</v>
      </c>
      <c r="I389" s="29">
        <v>374787.25</v>
      </c>
      <c r="J389" s="30">
        <v>601685.75</v>
      </c>
      <c r="K389" s="29">
        <v>25225.13</v>
      </c>
      <c r="L389" s="31">
        <v>25087.69</v>
      </c>
      <c r="M389" s="31">
        <v>50312.82</v>
      </c>
      <c r="N389" s="31">
        <v>0</v>
      </c>
      <c r="O389" s="31">
        <v>0</v>
      </c>
      <c r="P389" s="31">
        <v>0</v>
      </c>
      <c r="Q389" s="1">
        <f t="shared" si="75"/>
        <v>237349.88769868694</v>
      </c>
      <c r="R389" s="1">
        <f t="shared" si="76"/>
        <v>776912</v>
      </c>
      <c r="S389" s="32">
        <f t="shared" si="77"/>
        <v>0.99665307284858229</v>
      </c>
      <c r="T389" s="1">
        <f t="shared" si="78"/>
        <v>5</v>
      </c>
      <c r="U389" s="1">
        <f t="shared" si="79"/>
        <v>1264.0456932773109</v>
      </c>
      <c r="V389" s="1">
        <f t="shared" si="73"/>
        <v>476.67752100840335</v>
      </c>
      <c r="W389" s="25">
        <f t="shared" si="74"/>
        <v>0.37710465969985163</v>
      </c>
      <c r="X389" s="6">
        <f t="shared" si="80"/>
        <v>272.81437803976274</v>
      </c>
      <c r="Y389" s="1">
        <f t="shared" si="81"/>
        <v>463.33543794860992</v>
      </c>
    </row>
    <row r="390" spans="1:25" x14ac:dyDescent="0.25">
      <c r="A390">
        <v>2904</v>
      </c>
      <c r="B390" s="26">
        <v>1</v>
      </c>
      <c r="C390" t="s">
        <v>395</v>
      </c>
      <c r="D390" s="28">
        <v>0</v>
      </c>
      <c r="E390" s="29">
        <v>263067635</v>
      </c>
      <c r="F390" s="29">
        <v>935.01</v>
      </c>
      <c r="G390" s="30">
        <v>735</v>
      </c>
      <c r="H390" s="31">
        <v>267642.82999999996</v>
      </c>
      <c r="I390" s="29">
        <v>552669.49</v>
      </c>
      <c r="J390" s="30">
        <v>820312.32</v>
      </c>
      <c r="K390" s="29">
        <v>33560.51</v>
      </c>
      <c r="L390" s="31">
        <v>48510.01</v>
      </c>
      <c r="M390" s="31">
        <v>82070.52</v>
      </c>
      <c r="N390" s="31">
        <v>21357.000000000004</v>
      </c>
      <c r="O390" s="31">
        <v>30870.469999999998</v>
      </c>
      <c r="P390" s="31">
        <v>52227.47</v>
      </c>
      <c r="Q390" s="1">
        <f t="shared" si="75"/>
        <v>281352.75023796537</v>
      </c>
      <c r="R390" s="1">
        <f t="shared" si="76"/>
        <v>777647</v>
      </c>
      <c r="S390" s="32">
        <f t="shared" si="77"/>
        <v>0.99759595957004332</v>
      </c>
      <c r="T390" s="1">
        <f t="shared" si="78"/>
        <v>5</v>
      </c>
      <c r="U390" s="1">
        <f t="shared" si="79"/>
        <v>1116.0711836734692</v>
      </c>
      <c r="V390" s="1">
        <f t="shared" si="73"/>
        <v>364.13990476190469</v>
      </c>
      <c r="W390" s="25">
        <f t="shared" si="74"/>
        <v>0.32626942625950073</v>
      </c>
      <c r="X390" s="6">
        <f t="shared" si="80"/>
        <v>210.08646312572807</v>
      </c>
      <c r="Y390" s="1">
        <f t="shared" si="81"/>
        <v>531.2437398717816</v>
      </c>
    </row>
    <row r="391" spans="1:25" x14ac:dyDescent="0.25">
      <c r="A391" s="34">
        <v>2905</v>
      </c>
      <c r="B391" s="34">
        <v>1</v>
      </c>
      <c r="C391" s="34" t="s">
        <v>396</v>
      </c>
      <c r="D391" s="28">
        <v>0</v>
      </c>
      <c r="E391" s="29">
        <v>876260225</v>
      </c>
      <c r="F391" s="30">
        <v>2517.6999999999998</v>
      </c>
      <c r="G391" s="30">
        <v>1874</v>
      </c>
      <c r="H391" s="30">
        <v>304797.83999999997</v>
      </c>
      <c r="I391" s="30">
        <v>829023.18</v>
      </c>
      <c r="J391" s="30">
        <v>1133821.02</v>
      </c>
      <c r="K391" s="30">
        <v>64647.100000000006</v>
      </c>
      <c r="L391" s="30">
        <v>175834.4</v>
      </c>
      <c r="M391" s="30">
        <v>240481.5</v>
      </c>
      <c r="N391" s="31">
        <v>1818.79</v>
      </c>
      <c r="O391" s="31">
        <v>4946.95</v>
      </c>
      <c r="P391" s="31">
        <v>6765.74</v>
      </c>
      <c r="Q391" s="1">
        <f t="shared" si="75"/>
        <v>348039.96703340352</v>
      </c>
      <c r="R391" s="1">
        <f t="shared" si="76"/>
        <v>779521</v>
      </c>
      <c r="S391" s="32">
        <f t="shared" si="77"/>
        <v>0.99999999999999967</v>
      </c>
      <c r="T391" s="1">
        <f t="shared" si="78"/>
        <v>5</v>
      </c>
      <c r="U391" s="1">
        <f t="shared" si="79"/>
        <v>605.02722518676626</v>
      </c>
      <c r="V391" s="1">
        <f t="shared" si="73"/>
        <v>162.64559231590181</v>
      </c>
      <c r="W391" s="25">
        <f t="shared" si="74"/>
        <v>0.26882359263369449</v>
      </c>
      <c r="X391" s="6">
        <f t="shared" si="80"/>
        <v>94.609244645333533</v>
      </c>
      <c r="Y391" s="1">
        <f t="shared" si="81"/>
        <v>639.50116868056864</v>
      </c>
    </row>
  </sheetData>
  <mergeCells count="1">
    <mergeCell ref="A45:Y45"/>
  </mergeCells>
  <printOptions gridLines="1"/>
  <pageMargins left="0.7" right="0.7" top="0.75" bottom="0.75" header="0.3" footer="0.3"/>
  <pageSetup scale="43" fitToHeight="0" orientation="portrait" r:id="rId1"/>
  <headerFooter>
    <oddHeader>&amp;RTABLE 1</oddHeader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NTC levy rpt for working group</vt:lpstr>
      <vt:lpstr>FY13 referendum rpt - work grp</vt:lpstr>
      <vt:lpstr>'FY13 referendum rpt - work grp'!Print_Area</vt:lpstr>
      <vt:lpstr>'NTC levy rpt for working group'!Print_Area</vt:lpstr>
      <vt:lpstr>'FY13 referendum rpt - work grp'!Print_Titles</vt:lpstr>
      <vt:lpstr>'NTC levy rpt for working group'!Print_Titles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Melcher, Tom</dc:creator>
  <cp:lastModifiedBy>CGades</cp:lastModifiedBy>
  <cp:lastPrinted>2012-07-27T16:05:43Z</cp:lastPrinted>
  <dcterms:created xsi:type="dcterms:W3CDTF">2012-07-26T20:12:50Z</dcterms:created>
  <dcterms:modified xsi:type="dcterms:W3CDTF">2012-07-27T16:35:06Z</dcterms:modified>
</cp:coreProperties>
</file>