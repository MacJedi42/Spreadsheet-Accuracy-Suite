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<sst xmlns="http://schemas.openxmlformats.org/spreadsheetml/2006/main" count="18" uniqueCount="14">
  <si>
    <t>Effect of expenses on Portfolio</t>
  </si>
  <si>
    <t>Starting assets</t>
  </si>
  <si>
    <t>&lt;-- Enter</t>
  </si>
  <si>
    <t>Gross return</t>
  </si>
  <si>
    <t>Expenses</t>
  </si>
  <si>
    <t>Gross Return Without Expenses</t>
  </si>
  <si>
    <t>Net Return (with Expenses taken out)</t>
  </si>
  <si>
    <t>OPPORTUNITY COST</t>
  </si>
  <si>
    <t>Year</t>
  </si>
  <si>
    <t>Start Value</t>
  </si>
  <si>
    <t>Gross Value Year End</t>
  </si>
  <si>
    <t>Net Value Year End</t>
  </si>
  <si>
    <t>$ Lost to Expenses</t>
  </si>
  <si>
    <t>% Lost to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</si>
</sst>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FF0000"/>
      <name val="Arial"/>
    </font>
    <font>
      <b/>
      <i val="0"/>
      <strike val="0"/>
      <u val="none"/>
      <sz val="10.0"/>
      <color rgb="FF000000"/>
      <name val="Arial"/>
    </font>
  </fonts>
  <fills count="40">
    <fill>
      <patternFill patternType="none"/>
    </fill>
    <fill>
      <patternFill patternType="gray125">
        <bgColor rgb="FFFFFFFF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9999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fillId="0" numFmtId="0" borderId="0" fontId="0"/>
  </cellStyleXfs>
  <cellXfs count="52">
    <xf applyAlignment="1" fillId="0" xfId="0" numFmtId="0" borderId="0" fontId="0">
      <alignment vertical="bottom" horizontal="general" wrapText="1"/>
    </xf>
    <xf applyBorder="1" applyAlignment="1" fillId="0" xfId="0" numFmtId="4" borderId="1" fontId="0" applyNumberFormat="1">
      <alignment vertical="bottom" horizontal="general" wrapText="1"/>
    </xf>
    <xf applyBorder="1" applyAlignment="1" fillId="0" xfId="0" numFmtId="0" borderId="2" fontId="0">
      <alignment vertical="bottom" horizontal="general" wrapText="1"/>
    </xf>
    <xf applyAlignment="1" fillId="2" xfId="0" numFmtId="43" borderId="0" fontId="0" applyNumberFormat="1" applyFill="1">
      <alignment vertical="bottom" horizontal="general" wrapText="1"/>
    </xf>
    <xf applyBorder="1" applyAlignment="1" fillId="3" xfId="0" numFmtId="0" borderId="3" applyFont="1" fontId="1" applyFill="1">
      <alignment vertical="bottom" horizontal="center" wrapText="1"/>
    </xf>
    <xf applyBorder="1" applyAlignment="1" fillId="4" xfId="0" numFmtId="4" borderId="4" fontId="0" applyNumberFormat="1" applyFill="1">
      <alignment vertical="bottom" horizontal="general" wrapText="1"/>
    </xf>
    <xf applyBorder="1" applyAlignment="1" fillId="5" xfId="0" numFmtId="4" borderId="5" applyFont="1" fontId="2" applyNumberFormat="1" applyFill="1">
      <alignment vertical="bottom" horizontal="right" wrapText="1"/>
    </xf>
    <xf applyBorder="1" applyAlignment="1" fillId="6" xfId="0" numFmtId="4" borderId="6" applyFont="1" fontId="3" applyNumberFormat="1" applyFill="1">
      <alignment vertical="bottom" horizontal="general" wrapText="1"/>
    </xf>
    <xf applyBorder="1" applyAlignment="1" fillId="0" xfId="0" numFmtId="0" borderId="7" fontId="0">
      <alignment vertical="bottom" horizontal="general" wrapText="1"/>
    </xf>
    <xf applyAlignment="1" fillId="7" xfId="0" numFmtId="4" borderId="0" fontId="0" applyNumberFormat="1" applyFill="1">
      <alignment vertical="bottom" horizontal="general" wrapText="1"/>
    </xf>
    <xf applyBorder="1" applyAlignment="1" fillId="8" xfId="0" numFmtId="10" borderId="8" fontId="0" applyNumberFormat="1" applyFill="1">
      <alignment vertical="bottom" horizontal="general" wrapText="1"/>
    </xf>
    <xf applyBorder="1" applyAlignment="1" fillId="9" xfId="0" numFmtId="0" borderId="9" applyFont="1" fontId="4" applyFill="1">
      <alignment vertical="bottom" horizontal="center" wrapText="1"/>
    </xf>
    <xf applyAlignment="1" fillId="10" xfId="0" numFmtId="10" borderId="0" fontId="0" applyNumberFormat="1" applyFill="1">
      <alignment vertical="bottom" horizontal="general" wrapText="1"/>
    </xf>
    <xf applyBorder="1" applyAlignment="1" fillId="11" xfId="0" numFmtId="4" borderId="10" fontId="0" applyNumberFormat="1" applyFill="1">
      <alignment vertical="bottom" horizontal="general" wrapText="1"/>
    </xf>
    <xf applyBorder="1" applyAlignment="1" fillId="0" xfId="0" numFmtId="0" borderId="11" applyFont="1" fontId="5">
      <alignment vertical="bottom" horizontal="general" wrapText="1"/>
    </xf>
    <xf applyBorder="1" applyAlignment="1" fillId="12" xfId="0" numFmtId="10" borderId="12" fontId="0" applyNumberFormat="1" applyFill="1">
      <alignment vertical="bottom" horizontal="general" wrapText="1"/>
    </xf>
    <xf applyBorder="1" applyAlignment="1" fillId="13" xfId="0" numFmtId="4" borderId="13" applyFont="1" fontId="6" applyNumberFormat="1" applyFill="1">
      <alignment vertical="bottom" horizontal="general" wrapText="1"/>
    </xf>
    <xf applyBorder="1" applyAlignment="1" fillId="14" xfId="0" numFmtId="4" borderId="14" applyFont="1" fontId="7" applyNumberFormat="1" applyFill="1">
      <alignment vertical="bottom" horizontal="right" wrapText="1"/>
    </xf>
    <xf applyBorder="1" applyAlignment="1" fillId="15" xfId="0" numFmtId="4" borderId="15" applyFont="1" fontId="8" applyNumberFormat="1" applyFill="1">
      <alignment vertical="bottom" horizontal="right" wrapText="1"/>
    </xf>
    <xf applyBorder="1" applyAlignment="1" fillId="0" xfId="0" numFmtId="4" borderId="16" applyFont="1" fontId="9" applyNumberFormat="1">
      <alignment vertical="bottom" horizontal="right" wrapText="1"/>
    </xf>
    <xf applyBorder="1" applyAlignment="1" fillId="16" xfId="0" numFmtId="0" borderId="17" applyFont="1" fontId="10" applyFill="1">
      <alignment vertical="bottom" horizontal="center" wrapText="1"/>
    </xf>
    <xf applyBorder="1" applyAlignment="1" fillId="17" xfId="0" numFmtId="0" borderId="18" applyFont="1" fontId="11" applyFill="1">
      <alignment vertical="bottom" horizontal="center" wrapText="1"/>
    </xf>
    <xf applyBorder="1" applyAlignment="1" fillId="18" xfId="0" numFmtId="4" borderId="19" applyFont="1" fontId="12" applyNumberFormat="1" applyFill="1">
      <alignment vertical="bottom" horizontal="right" wrapText="1"/>
    </xf>
    <xf applyAlignment="1" fillId="0" xfId="0" numFmtId="4" borderId="0" fontId="0" applyNumberFormat="1">
      <alignment vertical="bottom" horizontal="general" wrapText="1"/>
    </xf>
    <xf applyBorder="1" applyAlignment="1" fillId="19" xfId="0" numFmtId="4" borderId="20" applyFont="1" fontId="13" applyNumberFormat="1" applyFill="1">
      <alignment vertical="bottom" horizontal="right" wrapText="1"/>
    </xf>
    <xf applyBorder="1" applyAlignment="1" fillId="20" xfId="0" numFmtId="4" borderId="21" applyFont="1" fontId="14" applyNumberFormat="1" applyFill="1">
      <alignment vertical="bottom" horizontal="right" wrapText="1"/>
    </xf>
    <xf applyBorder="1" applyAlignment="1" fillId="21" xfId="0" numFmtId="0" borderId="22" applyFont="1" fontId="15" applyFill="1">
      <alignment vertical="bottom" horizontal="center" wrapText="1"/>
    </xf>
    <xf applyBorder="1" applyAlignment="1" fillId="0" xfId="0" numFmtId="0" borderId="23" applyFont="1" fontId="16">
      <alignment vertical="bottom" horizontal="right" wrapText="1"/>
    </xf>
    <xf applyAlignment="1" fillId="22" xfId="0" numFmtId="4" borderId="0" fontId="0" applyNumberFormat="1" applyFill="1">
      <alignment vertical="bottom" horizontal="general" wrapText="1"/>
    </xf>
    <xf applyBorder="1" applyAlignment="1" fillId="23" xfId="0" numFmtId="43" borderId="24" fontId="0" applyNumberFormat="1" applyFill="1">
      <alignment vertical="bottom" horizontal="general" wrapText="1"/>
    </xf>
    <xf applyBorder="1" applyAlignment="1" fillId="24" xfId="0" numFmtId="0" borderId="25" applyFont="1" fontId="17" applyFill="1">
      <alignment vertical="bottom" horizontal="center" wrapText="1"/>
    </xf>
    <xf applyBorder="1" applyAlignment="1" fillId="25" xfId="0" numFmtId="4" borderId="26" fontId="0" applyNumberFormat="1" applyFill="1">
      <alignment vertical="bottom" horizontal="general" wrapText="1"/>
    </xf>
    <xf applyBorder="1" applyAlignment="1" fillId="26" xfId="0" numFmtId="43" borderId="27" fontId="0" applyNumberFormat="1" applyFill="1">
      <alignment vertical="bottom" horizontal="general" wrapText="1"/>
    </xf>
    <xf applyBorder="1" applyAlignment="1" fillId="0" xfId="0" numFmtId="0" borderId="28" fontId="0">
      <alignment vertical="bottom" horizontal="general" wrapText="1"/>
    </xf>
    <xf applyBorder="1" applyAlignment="1" fillId="27" xfId="0" numFmtId="4" borderId="29" applyFont="1" fontId="18" applyNumberFormat="1" applyFill="1">
      <alignment vertical="bottom" horizontal="general" wrapText="1"/>
    </xf>
    <xf applyBorder="1" applyAlignment="1" fillId="0" xfId="0" numFmtId="4" borderId="30" fontId="0" applyNumberFormat="1">
      <alignment vertical="bottom" horizontal="general" wrapText="1"/>
    </xf>
    <xf applyAlignment="1" fillId="28" xfId="0" numFmtId="4" borderId="0" applyFont="1" fontId="19" applyNumberFormat="1" applyFill="1">
      <alignment vertical="bottom" horizontal="right" wrapText="1"/>
    </xf>
    <xf applyAlignment="1" fillId="0" xfId="0" numFmtId="0" borderId="0" applyFont="1" fontId="20">
      <alignment vertical="bottom" horizontal="general" wrapText="1"/>
    </xf>
    <xf applyBorder="1" applyAlignment="1" fillId="29" xfId="0" numFmtId="4" borderId="31" fontId="0" applyNumberFormat="1" applyFill="1">
      <alignment vertical="bottom" horizontal="general" wrapText="1"/>
    </xf>
    <xf applyAlignment="1" fillId="30" xfId="0" numFmtId="4" borderId="0" applyFont="1" fontId="21" applyNumberFormat="1" applyFill="1">
      <alignment vertical="bottom" horizontal="right" wrapText="1"/>
    </xf>
    <xf applyBorder="1" applyAlignment="1" fillId="31" xfId="0" numFmtId="0" borderId="32" applyFont="1" fontId="22" applyFill="1">
      <alignment vertical="bottom" horizontal="center" wrapText="1"/>
    </xf>
    <xf applyBorder="1" applyAlignment="1" fillId="0" xfId="0" numFmtId="0" borderId="33" fontId="0">
      <alignment vertical="bottom" horizontal="general" wrapText="1"/>
    </xf>
    <xf applyBorder="1" applyAlignment="1" fillId="0" xfId="0" numFmtId="0" borderId="34" fontId="0">
      <alignment vertical="bottom" horizontal="general" wrapText="1"/>
    </xf>
    <xf applyBorder="1" applyAlignment="1" fillId="32" xfId="0" numFmtId="4" borderId="35" fontId="0" applyNumberFormat="1" applyFill="1">
      <alignment vertical="bottom" horizontal="general" wrapText="1"/>
    </xf>
    <xf applyBorder="1" applyAlignment="1" fillId="33" xfId="0" numFmtId="43" borderId="36" fontId="0" applyNumberFormat="1" applyFill="1">
      <alignment vertical="bottom" horizontal="general" wrapText="1"/>
    </xf>
    <xf applyAlignment="1" fillId="34" xfId="0" numFmtId="3" borderId="0" fontId="0" applyNumberFormat="1" applyFill="1">
      <alignment vertical="bottom" horizontal="general" wrapText="1"/>
    </xf>
    <xf applyBorder="1" applyAlignment="1" fillId="35" xfId="0" numFmtId="4" borderId="37" applyFont="1" fontId="23" applyNumberFormat="1" applyFill="1">
      <alignment vertical="bottom" horizontal="general" wrapText="1"/>
    </xf>
    <xf applyBorder="1" applyAlignment="1" fillId="36" xfId="0" numFmtId="0" borderId="38" applyFont="1" fontId="24" applyFill="1">
      <alignment vertical="bottom" horizontal="center" wrapText="1"/>
    </xf>
    <xf applyBorder="1" applyAlignment="1" fillId="37" xfId="0" numFmtId="4" borderId="39" applyFont="1" fontId="25" applyNumberFormat="1" applyFill="1">
      <alignment vertical="bottom" horizontal="general" wrapText="1"/>
    </xf>
    <xf applyBorder="1" applyAlignment="1" fillId="0" xfId="0" numFmtId="43" borderId="40" applyFont="1" fontId="26" applyNumberFormat="1">
      <alignment vertical="bottom" horizontal="general" wrapText="1"/>
    </xf>
    <xf applyBorder="1" applyAlignment="1" fillId="38" xfId="0" numFmtId="4" borderId="41" applyFont="1" fontId="27" applyNumberFormat="1" applyFill="1">
      <alignment vertical="bottom" horizontal="general" wrapText="1"/>
    </xf>
    <xf applyBorder="1" applyAlignment="1" fillId="39" xfId="0" numFmtId="4" borderId="42" fontId="0" applyNumberFormat="1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>
              <a:defRPr/>
            </a:pPr>
            <a:r>
              <a:t>Effect of Investment Expenses On Portfolio 60 Years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Sheet1!$M$7</c:f>
            </c:strRef>
          </c:tx>
          <c:spPr>
            <a:solidFill>
              <a:srgbClr val="4684EE">
                <a:alpha val="30000"/>
              </a:srgbClr>
            </a:solidFill>
            <a:ln w="25400" cmpd="sng">
              <a:solidFill>
                <a:srgbClr val="4684EE"/>
              </a:solidFill>
            </a:ln>
          </c:spPr>
          <c:cat>
            <c:strRef>
              <c:f>Sheet1!$L$8:$L$67</c:f>
            </c:strRef>
          </c:cat>
          <c:val>
            <c:numRef>
              <c:f>Sheet1!$M$8:$M$67</c:f>
            </c:numRef>
          </c:val>
        </c:ser>
        <c:ser>
          <c:idx val="1"/>
          <c:order val="1"/>
          <c:tx>
            <c:strRef>
              <c:f>Sheet1!$N$7</c:f>
            </c:strRef>
          </c:tx>
          <c:spPr>
            <a:solidFill>
              <a:srgbClr val="DC3912">
                <a:alpha val="30000"/>
              </a:srgbClr>
            </a:solidFill>
            <a:ln w="25400" cmpd="sng">
              <a:solidFill>
                <a:srgbClr val="DC3912"/>
              </a:solidFill>
            </a:ln>
          </c:spPr>
          <c:cat>
            <c:strRef>
              <c:f>Sheet1!$L$8:$L$67</c:f>
            </c:strRef>
          </c:cat>
          <c:val>
            <c:numRef>
              <c:f>Sheet1!$N$8:$N$67</c:f>
            </c:numRef>
          </c:val>
        </c:ser>
        <c:axId val="1853048725"/>
        <c:axId val="967646984"/>
      </c:areaChart>
      <c:catAx>
        <c:axId val="1853048725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Years</a:t>
                </a:r>
              </a:p>
            </c:rich>
          </c:tx>
          <c:overlay val="0"/>
        </c:title>
        <c:txPr>
          <a:bodyPr/>
          <a:lstStyle/>
          <a:p>
            <a:pPr>
              <a:defRPr/>
            </a:pPr>
          </a:p>
        </c:txPr>
        <c:crossAx val="967646984"/>
      </c:catAx>
      <c:valAx>
        <c:axId val="967646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Portfolio Value</a:t>
                </a:r>
              </a:p>
            </c:rich>
          </c:tx>
          <c:overlay val="0"/>
        </c:title>
        <c:numFmt sourceLinked="1" formatCode="General"/>
        <c:tickLblPos val="nextTo"/>
        <c:spPr>
          <a:ln w="47625">
            <a:noFill/>
          </a:ln>
        </c:spPr>
        <c:txPr>
          <a:bodyPr/>
          <a:lstStyle/>
          <a:p>
            <a:pPr>
              <a:defRPr/>
            </a:pPr>
          </a:p>
        </c:txPr>
        <c:crossAx val="1853048725"/>
      </c:valAx>
    </c:plotArea>
    <c:legend>
      <c:legendPos val="b"/>
      <c:overlay val="0"/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>
              <a:defRPr/>
            </a:pPr>
            <a:r>
              <a:t>Effect of Invest Expenses on Portfolio 30 Years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Sheet1!$M$7</c:f>
            </c:strRef>
          </c:tx>
          <c:spPr>
            <a:solidFill>
              <a:srgbClr val="4684EE">
                <a:alpha val="30000"/>
              </a:srgbClr>
            </a:solidFill>
            <a:ln w="25400" cmpd="sng">
              <a:solidFill>
                <a:srgbClr val="4684EE"/>
              </a:solidFill>
            </a:ln>
          </c:spPr>
          <c:cat>
            <c:strRef>
              <c:f>Sheet1!$L$8:$L$37</c:f>
            </c:strRef>
          </c:cat>
          <c:val>
            <c:numRef>
              <c:f>Sheet1!$M$8:$M$37</c:f>
            </c:numRef>
          </c:val>
        </c:ser>
        <c:ser>
          <c:idx val="1"/>
          <c:order val="1"/>
          <c:tx>
            <c:strRef>
              <c:f>Sheet1!$N$7</c:f>
            </c:strRef>
          </c:tx>
          <c:spPr>
            <a:solidFill>
              <a:srgbClr val="DC3912">
                <a:alpha val="30000"/>
              </a:srgbClr>
            </a:solidFill>
            <a:ln w="25400" cmpd="sng">
              <a:solidFill>
                <a:srgbClr val="DC3912"/>
              </a:solidFill>
            </a:ln>
          </c:spPr>
          <c:cat>
            <c:strRef>
              <c:f>Sheet1!$L$8:$L$37</c:f>
            </c:strRef>
          </c:cat>
          <c:val>
            <c:numRef>
              <c:f>Sheet1!$N$8:$N$37</c:f>
            </c:numRef>
          </c:val>
        </c:ser>
        <c:axId val="1215649253"/>
        <c:axId val="178783400"/>
      </c:areaChart>
      <c:catAx>
        <c:axId val="1215649253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Years</a:t>
                </a:r>
              </a:p>
            </c:rich>
          </c:tx>
          <c:overlay val="0"/>
        </c:title>
        <c:txPr>
          <a:bodyPr/>
          <a:lstStyle/>
          <a:p>
            <a:pPr>
              <a:defRPr/>
            </a:pPr>
          </a:p>
        </c:txPr>
        <c:crossAx val="178783400"/>
      </c:catAx>
      <c:valAx>
        <c:axId val="178783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Portfolio Value</a:t>
                </a:r>
              </a:p>
            </c:rich>
          </c:tx>
          <c:overlay val="0"/>
        </c:title>
        <c:numFmt sourceLinked="1" formatCode="General"/>
        <c:tickLblPos val="nextTo"/>
        <c:spPr>
          <a:ln w="47625">
            <a:noFill/>
          </a:ln>
        </c:spPr>
        <c:txPr>
          <a:bodyPr/>
          <a:lstStyle/>
          <a:p>
            <a:pPr>
              <a:defRPr/>
            </a:pPr>
          </a:p>
        </c:txPr>
        <c:crossAx val="1215649253"/>
      </c:valAx>
    </c:plotArea>
    <c:legend>
      <c:legendPos val="b"/>
      <c:overlay val="0"/>
    </c:legend>
  </c:chart>
</c:chartSpace>
</file>

<file path=xl/drawings/_rels/drawing1.xml.rels><?xml version="1.0" encoding="UTF-8" standalone="yes"?><Relationships xmlns="http://schemas.openxmlformats.org/package/2006/relationships"><Relationship Target="../charts/chart2.xml" Type="http://schemas.openxmlformats.org/officeDocument/2006/relationships/chart" Id="rId2"/><Relationship Target="../charts/chart1.xml" Type="http://schemas.openxmlformats.org/officeDocument/2006/relationships/chart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12</xdr:col>
      <xdr:colOff>95250</xdr:colOff>
      <xdr:row>24</xdr:row>
      <xdr:rowOff>123825</xdr:rowOff>
    </xdr:from>
    <xdr:ext cy="3895725" cx="6991350"/>
    <xdr:graphicFrame>
      <xdr:nvGraphicFramePr>
        <xdr:cNvPr id="1" name="Chart 1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85725</xdr:colOff>
      <xdr:row>4</xdr:row>
      <xdr:rowOff>228600</xdr:rowOff>
    </xdr:from>
    <xdr:ext cy="3048000" cx="7038975"/>
    <xdr:graphicFrame>
      <xdr:nvGraphicFramePr>
        <xdr:cNvPr id="2" name="Chart 2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3" customWidth="1" max="3" width="12.0"/>
    <col min="4" customWidth="1" max="4" width="12.14"/>
    <col min="5" customWidth="1" max="5" width="1.43"/>
    <col min="6" customWidth="1" max="6" width="11.71"/>
    <col min="7" customWidth="1" max="7" width="12.29"/>
    <col min="8" customWidth="1" max="8" width="11.14"/>
    <col min="9" customWidth="1" max="9" width="12.71"/>
    <col min="10" customWidth="1" max="10" width="12.14"/>
    <col min="11" customWidth="1" max="11" width="10.71"/>
    <col min="12" customWidth="1" max="12" hidden="1" width="6.0"/>
    <col min="13" max="14" hidden="1"/>
  </cols>
  <sheetData>
    <row r="1">
      <c t="s" s="37" r="A1">
        <v>0</v>
      </c>
      <c s="23" r="M1"/>
      <c s="23" r="N1"/>
    </row>
    <row r="2">
      <c t="s" s="37" r="A2">
        <v>1</v>
      </c>
      <c s="45" r="B2">
        <v>100000</v>
      </c>
      <c t="s" r="C2">
        <v>2</v>
      </c>
      <c s="23" r="M2"/>
      <c s="23" r="N2"/>
    </row>
    <row r="3">
      <c t="s" s="37" r="A3">
        <v>3</v>
      </c>
      <c s="12" r="B3">
        <v>0.06</v>
      </c>
      <c t="s" r="C3">
        <v>2</v>
      </c>
      <c s="23" r="N3"/>
    </row>
    <row r="4">
      <c t="s" s="37" r="A4">
        <v>4</v>
      </c>
      <c s="12" r="B4">
        <v>0.02</v>
      </c>
      <c t="s" r="C4">
        <v>2</v>
      </c>
      <c s="37" r="D4"/>
      <c s="23" r="M4"/>
      <c s="23" r="N4"/>
    </row>
    <row r="5">
      <c s="37" r="A5"/>
      <c s="41" r="B5"/>
      <c s="41" r="C5"/>
      <c s="41" r="D5"/>
      <c s="41" r="F5"/>
      <c s="41" r="G5"/>
      <c s="41" r="H5"/>
      <c s="41" r="I5"/>
      <c s="41" r="J5"/>
      <c s="41" r="K5"/>
      <c s="23" r="M5"/>
      <c s="23" r="N5"/>
    </row>
    <row r="6">
      <c s="14" r="A6"/>
      <c t="s" s="20" r="B6">
        <v>5</v>
      </c>
      <c s="4" r="C6"/>
      <c s="47" r="D6"/>
      <c s="33" r="E6"/>
      <c t="s" s="40" r="F6">
        <v>6</v>
      </c>
      <c s="26" r="G6"/>
      <c s="26" r="H6"/>
      <c s="21" r="I6"/>
      <c t="s" s="30" r="J6">
        <v>7</v>
      </c>
      <c s="11" r="K6"/>
      <c s="42" r="L6"/>
      <c s="23" r="M6"/>
      <c s="23" r="N6"/>
    </row>
    <row r="7">
      <c t="s" s="27" r="A7">
        <v>8</v>
      </c>
      <c t="s" s="25" r="B7">
        <v>9</v>
      </c>
      <c t="str" s="36" r="C7">
        <f>CONCATENATE(TEXT($B$3, "0.00%"), " Gross Return")</f>
        <v>6.00% Gross Return</v>
      </c>
      <c t="s" s="17" r="D7">
        <v>10</v>
      </c>
      <c s="19" r="E7"/>
      <c t="s" s="24" r="F7">
        <v>9</v>
      </c>
      <c t="str" s="39" r="G7">
        <f>CONCATENATE(TEXT($B$3, "0.00%"), " Gross Return")</f>
        <v>6.00% Gross Return</v>
      </c>
      <c t="str" s="39" r="H7">
        <f>CONCATENATE(TEXT($B$4, "0.00%"), " Expenses")</f>
        <v>2.00% Expenses</v>
      </c>
      <c t="s" s="22" r="I7">
        <v>11</v>
      </c>
      <c t="s" s="18" r="J7">
        <v>12</v>
      </c>
      <c t="s" s="6" r="K7">
        <v>13</v>
      </c>
      <c t="s" s="42" r="L7">
        <v>8</v>
      </c>
      <c t="str" s="23" r="M7">
        <f>CONCATENATE("Value with Gross Returns of ", TEXT($B$3, "0.00%"))</f>
        <v>Value with Gross Returns of 6.00%</v>
      </c>
      <c t="str" s="23" r="N7">
        <f>concatenate("Net Return ", text(($B$3-$B$4), "0.0%"), " after Expenses", TEXT($B$4, "0.00%"))</f>
        <v>Net Return 4.0% after Expenses2.00%</v>
      </c>
    </row>
    <row customHeight="1" r="8" ht="13.5">
      <c s="8" r="A8">
        <v>1</v>
      </c>
      <c s="34" r="B8">
        <f>B2</f>
        <v>100000</v>
      </c>
      <c s="9" r="C8">
        <f>B8*$B$3</f>
        <v>6000</v>
      </c>
      <c s="46" r="D8">
        <f>sum(B8:C8)</f>
        <v>106000</v>
      </c>
      <c s="1" r="E8"/>
      <c s="50" r="F8">
        <f>$B$2</f>
        <v>100000</v>
      </c>
      <c s="28" r="G8">
        <f>F8*($B$3)</f>
        <v>6000</v>
      </c>
      <c s="3" r="H8">
        <f>-(F8*$B$4)</f>
        <v>-2000</v>
      </c>
      <c s="16" r="I8">
        <f>sum(F8:H8)</f>
        <v>104000</v>
      </c>
      <c s="44" r="J8">
        <f>-(D8-I8)</f>
        <v>-2000</v>
      </c>
      <c s="10" r="K8">
        <f>J8/D8</f>
        <v>-0.018867924528302</v>
      </c>
      <c s="42" r="L8">
        <f>A8</f>
        <v>1</v>
      </c>
      <c s="23" r="M8">
        <f>D8</f>
        <v>106000</v>
      </c>
      <c s="23" r="N8">
        <f>I8</f>
        <v>104000</v>
      </c>
    </row>
    <row r="9">
      <c s="8" r="A9">
        <v>2</v>
      </c>
      <c s="31" r="B9">
        <f>D8</f>
        <v>106000</v>
      </c>
      <c s="9" r="C9">
        <f>B9*$B$3</f>
        <v>6360</v>
      </c>
      <c s="46" r="D9">
        <f>sum(B9:C9)</f>
        <v>112360</v>
      </c>
      <c s="1" r="E9"/>
      <c s="38" r="F9">
        <f>I8</f>
        <v>104000</v>
      </c>
      <c s="28" r="G9">
        <f>F9*($B$3)</f>
        <v>6240</v>
      </c>
      <c s="3" r="H9">
        <f>-(F9*$B$4)</f>
        <v>-2080</v>
      </c>
      <c s="16" r="I9">
        <f>sum(F9:H9)</f>
        <v>108160</v>
      </c>
      <c s="44" r="J9">
        <f>-(D9-I9)</f>
        <v>-4200</v>
      </c>
      <c s="10" r="K9">
        <f>J9/D9</f>
        <v>-0.037379850480598</v>
      </c>
      <c s="42" r="L9">
        <f>A9</f>
        <v>2</v>
      </c>
      <c s="23" r="M9">
        <f>D9</f>
        <v>112360</v>
      </c>
      <c s="23" r="N9">
        <f>I9</f>
        <v>108160</v>
      </c>
    </row>
    <row r="10">
      <c s="8" r="A10">
        <v>3</v>
      </c>
      <c s="31" r="B10">
        <f>D9</f>
        <v>112360</v>
      </c>
      <c s="9" r="C10">
        <f>B10*$B$3</f>
        <v>6741.6</v>
      </c>
      <c s="46" r="D10">
        <f>sum(B10:C10)</f>
        <v>119101.6</v>
      </c>
      <c s="1" r="E10"/>
      <c s="38" r="F10">
        <f>I9</f>
        <v>108160</v>
      </c>
      <c s="28" r="G10">
        <f>F10*($B$3)</f>
        <v>6489.6</v>
      </c>
      <c s="3" r="H10">
        <f>-(F10*$B$4)</f>
        <v>-2163.2</v>
      </c>
      <c s="16" r="I10">
        <f>sum(F10:H10)</f>
        <v>112486.4</v>
      </c>
      <c s="44" r="J10">
        <f>-(D10-I10)</f>
        <v>-6615.2</v>
      </c>
      <c s="10" r="K10">
        <f>J10/D10</f>
        <v>-0.055542494811153</v>
      </c>
      <c s="42" r="L10">
        <f>A10</f>
        <v>3</v>
      </c>
      <c s="23" r="M10">
        <f>D10</f>
        <v>119101.6</v>
      </c>
      <c s="23" r="N10">
        <f>I10</f>
        <v>112486.4</v>
      </c>
    </row>
    <row r="11">
      <c s="8" r="A11">
        <v>4</v>
      </c>
      <c s="31" r="B11">
        <f>D10</f>
        <v>119101.6</v>
      </c>
      <c s="9" r="C11">
        <f>B11*$B$3</f>
        <v>7146.096</v>
      </c>
      <c s="46" r="D11">
        <f>sum(B11:C11)</f>
        <v>126247.696</v>
      </c>
      <c s="1" r="E11"/>
      <c s="38" r="F11">
        <f>I10</f>
        <v>112486.4</v>
      </c>
      <c s="28" r="G11">
        <f>F11*($B$3)</f>
        <v>6749.184</v>
      </c>
      <c s="3" r="H11">
        <f>-(F11*$B$4)</f>
        <v>-2249.728</v>
      </c>
      <c s="16" r="I11">
        <f>sum(F11:H11)</f>
        <v>116985.856</v>
      </c>
      <c s="44" r="J11">
        <f>-(D11-I11)</f>
        <v>-9261.84000000001</v>
      </c>
      <c s="10" r="K11">
        <f>J11/D11</f>
        <v>-0.073362447739244</v>
      </c>
      <c s="42" r="L11">
        <f>A11</f>
        <v>4</v>
      </c>
      <c s="23" r="M11">
        <f>D11</f>
        <v>126247.696</v>
      </c>
      <c s="23" r="N11">
        <f>I11</f>
        <v>116985.856</v>
      </c>
    </row>
    <row r="12">
      <c s="8" r="A12">
        <v>5</v>
      </c>
      <c s="31" r="B12">
        <f>D11</f>
        <v>126247.696</v>
      </c>
      <c s="9" r="C12">
        <f>B12*$B$3</f>
        <v>7574.86176</v>
      </c>
      <c s="46" r="D12">
        <f>sum(B12:C12)</f>
        <v>133822.55776</v>
      </c>
      <c s="1" r="E12"/>
      <c s="38" r="F12">
        <f>I11</f>
        <v>116985.856</v>
      </c>
      <c s="28" r="G12">
        <f>F12*($B$3)</f>
        <v>7019.15136</v>
      </c>
      <c s="3" r="H12">
        <f>-(F12*$B$4)</f>
        <v>-2339.71712</v>
      </c>
      <c s="16" r="I12">
        <f>sum(F12:H12)</f>
        <v>121665.29024</v>
      </c>
      <c s="44" r="J12">
        <f>-(D12-I12)</f>
        <v>-12157.26752</v>
      </c>
      <c s="10" r="K12">
        <f>J12/D12</f>
        <v>-0.090846175140391</v>
      </c>
      <c s="42" r="L12">
        <f>A12</f>
        <v>5</v>
      </c>
      <c s="23" r="M12">
        <f>D12</f>
        <v>133822.55776</v>
      </c>
      <c s="23" r="N12">
        <f>I12</f>
        <v>121665.29024</v>
      </c>
    </row>
    <row r="13">
      <c s="8" r="A13">
        <v>6</v>
      </c>
      <c s="31" r="B13">
        <f>D12</f>
        <v>133822.55776</v>
      </c>
      <c s="9" r="C13">
        <f>B13*$B$3</f>
        <v>8029.3534656</v>
      </c>
      <c s="46" r="D13">
        <f>sum(B13:C13)</f>
        <v>141851.9112256</v>
      </c>
      <c s="1" r="E13"/>
      <c s="38" r="F13">
        <f>I12</f>
        <v>121665.29024</v>
      </c>
      <c s="28" r="G13">
        <f>F13*($B$3)</f>
        <v>7299.9174144</v>
      </c>
      <c s="3" r="H13">
        <f>-(F13*$B$4)</f>
        <v>-2433.3058048</v>
      </c>
      <c s="16" r="I13">
        <f>sum(F13:H13)</f>
        <v>126531.9018496</v>
      </c>
      <c s="44" r="J13">
        <f>-(D13-I13)</f>
        <v>-15320.009376</v>
      </c>
      <c s="10" r="K13">
        <f>J13/D13</f>
        <v>-0.108000020892459</v>
      </c>
      <c s="42" r="L13">
        <f>A13</f>
        <v>6</v>
      </c>
      <c s="23" r="M13">
        <f>D13</f>
        <v>141851.9112256</v>
      </c>
      <c s="23" r="N13">
        <f>I13</f>
        <v>126531.9018496</v>
      </c>
    </row>
    <row r="14">
      <c s="8" r="A14">
        <v>7</v>
      </c>
      <c s="31" r="B14">
        <f>D13</f>
        <v>141851.9112256</v>
      </c>
      <c s="9" r="C14">
        <f>B14*$B$3</f>
        <v>8511.114673536</v>
      </c>
      <c s="46" r="D14">
        <f>sum(B14:C14)</f>
        <v>150363.025899136</v>
      </c>
      <c s="1" r="E14"/>
      <c s="38" r="F14">
        <f>I13</f>
        <v>126531.9018496</v>
      </c>
      <c s="28" r="G14">
        <f>F14*($B$3)</f>
        <v>7591.914110976</v>
      </c>
      <c s="3" r="H14">
        <f>-(F14*$B$4)</f>
        <v>-2530.638036992</v>
      </c>
      <c s="16" r="I14">
        <f>sum(F14:H14)</f>
        <v>131593.177923584</v>
      </c>
      <c s="44" r="J14">
        <f>-(D14-I14)</f>
        <v>-18769.847975552</v>
      </c>
      <c s="10" r="K14">
        <f>J14/D14</f>
        <v>-0.124830209177507</v>
      </c>
      <c s="42" r="L14">
        <f>A14</f>
        <v>7</v>
      </c>
      <c s="23" r="M14">
        <f>D14</f>
        <v>150363.025899136</v>
      </c>
      <c s="23" r="N14">
        <f>I14</f>
        <v>131593.177923584</v>
      </c>
    </row>
    <row r="15">
      <c s="8" r="A15">
        <v>8</v>
      </c>
      <c s="31" r="B15">
        <f>D14</f>
        <v>150363.025899136</v>
      </c>
      <c s="9" r="C15">
        <f>B15*$B$3</f>
        <v>9021.78155394816</v>
      </c>
      <c s="46" r="D15">
        <f>sum(B15:C15)</f>
        <v>159384.807453084</v>
      </c>
      <c s="1" r="E15"/>
      <c s="38" r="F15">
        <f>I14</f>
        <v>131593.177923584</v>
      </c>
      <c s="28" r="G15">
        <f>F15*($B$3)</f>
        <v>7895.59067541504</v>
      </c>
      <c s="3" r="H15">
        <f>-(F15*$B$4)</f>
        <v>-2631.86355847168</v>
      </c>
      <c s="16" r="I15">
        <f>sum(F15:H15)</f>
        <v>136856.905040527</v>
      </c>
      <c s="44" r="J15">
        <f>-(D15-I15)</f>
        <v>-22527.9024125568</v>
      </c>
      <c s="10" r="K15">
        <f>J15/D15</f>
        <v>-0.141342846740195</v>
      </c>
      <c s="42" r="L15">
        <f>A15</f>
        <v>8</v>
      </c>
      <c s="23" r="M15">
        <f>D15</f>
        <v>159384.807453084</v>
      </c>
      <c s="23" r="N15">
        <f>I15</f>
        <v>136856.905040527</v>
      </c>
    </row>
    <row r="16">
      <c s="8" r="A16">
        <v>9</v>
      </c>
      <c s="31" r="B16">
        <f>D15</f>
        <v>159384.807453084</v>
      </c>
      <c s="9" r="C16">
        <f>B16*$B$3</f>
        <v>9563.08844718505</v>
      </c>
      <c s="46" r="D16">
        <f>sum(B16:C16)</f>
        <v>168947.895900269</v>
      </c>
      <c s="1" r="E16"/>
      <c s="38" r="F16">
        <f>I15</f>
        <v>136856.905040527</v>
      </c>
      <c s="28" r="G16">
        <f>F16*($B$3)</f>
        <v>8211.41430243164</v>
      </c>
      <c s="3" r="H16">
        <f>-(F16*$B$4)</f>
        <v>-2737.13810081055</v>
      </c>
      <c s="16" r="I16">
        <f>sum(F16:H16)</f>
        <v>142331.181242148</v>
      </c>
      <c s="44" r="J16">
        <f>-(D16-I16)</f>
        <v>-26616.7146581208</v>
      </c>
      <c s="10" r="K16">
        <f>J16/D16</f>
        <v>-0.157543925103588</v>
      </c>
      <c s="42" r="L16">
        <f>A16</f>
        <v>9</v>
      </c>
      <c s="23" r="M16">
        <f>D16</f>
        <v>168947.895900269</v>
      </c>
      <c s="23" r="N16">
        <f>I16</f>
        <v>142331.181242148</v>
      </c>
    </row>
    <row r="17">
      <c s="8" r="A17">
        <v>10</v>
      </c>
      <c s="31" r="B17">
        <f>D16</f>
        <v>168947.895900269</v>
      </c>
      <c s="9" r="C17">
        <f>B17*$B$3</f>
        <v>10136.8737540162</v>
      </c>
      <c s="46" r="D17">
        <f>sum(B17:C17)</f>
        <v>179084.769654285</v>
      </c>
      <c s="1" r="E17"/>
      <c s="38" r="F17">
        <f>I16</f>
        <v>142331.181242148</v>
      </c>
      <c s="28" r="G17">
        <f>F17*($B$3)</f>
        <v>8539.87087452891</v>
      </c>
      <c s="3" r="H17">
        <f>-(F17*$B$4)</f>
        <v>-2846.62362484297</v>
      </c>
      <c s="16" r="I17">
        <f>sum(F17:H17)</f>
        <v>148024.428491834</v>
      </c>
      <c s="44" r="J17">
        <f>-(D17-I17)</f>
        <v>-31060.341162451</v>
      </c>
      <c s="10" r="K17">
        <f>J17/D17</f>
        <v>-0.173439322743143</v>
      </c>
      <c s="42" r="L17">
        <f>A17</f>
        <v>10</v>
      </c>
      <c s="23" r="M17">
        <f>D17</f>
        <v>179084.769654285</v>
      </c>
      <c s="23" r="N17">
        <f>I17</f>
        <v>148024.428491834</v>
      </c>
    </row>
    <row r="18">
      <c s="8" r="A18">
        <v>11</v>
      </c>
      <c s="31" r="B18">
        <f>D17</f>
        <v>179084.769654285</v>
      </c>
      <c s="9" r="C18">
        <f>B18*$B$3</f>
        <v>10745.0861792571</v>
      </c>
      <c s="46" r="D18">
        <f>sum(B18:C18)</f>
        <v>189829.855833543</v>
      </c>
      <c s="1" r="E18"/>
      <c s="38" r="F18">
        <f>I17</f>
        <v>148024.428491834</v>
      </c>
      <c s="28" r="G18">
        <f>F18*($B$3)</f>
        <v>8881.46570951006</v>
      </c>
      <c s="3" r="H18">
        <f>-(F18*$B$4)</f>
        <v>-2960.48856983669</v>
      </c>
      <c s="16" r="I18">
        <f>sum(F18:H18)</f>
        <v>153945.405631508</v>
      </c>
      <c s="44" r="J18">
        <f>-(D18-I18)</f>
        <v>-35884.4502020348</v>
      </c>
      <c s="10" r="K18">
        <f>J18/D18</f>
        <v>-0.189034807219687</v>
      </c>
      <c s="42" r="L18">
        <f>A18</f>
        <v>11</v>
      </c>
      <c s="23" r="M18">
        <f>D18</f>
        <v>189829.855833543</v>
      </c>
      <c s="23" r="N18">
        <f>I18</f>
        <v>153945.405631508</v>
      </c>
    </row>
    <row r="19">
      <c s="8" r="A19">
        <v>12</v>
      </c>
      <c s="31" r="B19">
        <f>D18</f>
        <v>189829.855833543</v>
      </c>
      <c s="9" r="C19">
        <f>B19*$B$3</f>
        <v>11389.7913500126</v>
      </c>
      <c s="46" r="D19">
        <f>sum(B19:C19)</f>
        <v>201219.647183555</v>
      </c>
      <c s="1" r="E19"/>
      <c s="38" r="F19">
        <f>I18</f>
        <v>153945.405631508</v>
      </c>
      <c s="28" r="G19">
        <f>F19*($B$3)</f>
        <v>9236.72433789047</v>
      </c>
      <c s="3" r="H19">
        <f>-(F19*$B$4)</f>
        <v>-3078.90811263016</v>
      </c>
      <c s="16" r="I19">
        <f>sum(F19:H19)</f>
        <v>160103.221856768</v>
      </c>
      <c s="44" r="J19">
        <f>-(D19-I19)</f>
        <v>-41116.425326787</v>
      </c>
      <c s="10" r="K19">
        <f>J19/D19</f>
        <v>-0.204336037272146</v>
      </c>
      <c s="42" r="L19">
        <f>A19</f>
        <v>12</v>
      </c>
      <c s="23" r="M19">
        <f>D19</f>
        <v>201219.647183555</v>
      </c>
      <c s="23" r="N19">
        <f>I19</f>
        <v>160103.221856768</v>
      </c>
    </row>
    <row r="20">
      <c s="8" r="A20">
        <v>13</v>
      </c>
      <c s="31" r="B20">
        <f>D19</f>
        <v>201219.647183555</v>
      </c>
      <c s="9" r="C20">
        <f>B20*$B$3</f>
        <v>12073.1788310133</v>
      </c>
      <c s="46" r="D20">
        <f>sum(B20:C20)</f>
        <v>213292.826014568</v>
      </c>
      <c s="1" r="E20"/>
      <c s="38" r="F20">
        <f>I19</f>
        <v>160103.221856768</v>
      </c>
      <c s="28" r="G20">
        <f>F20*($B$3)</f>
        <v>9606.19331140608</v>
      </c>
      <c s="3" r="H20">
        <f>-(F20*$B$4)</f>
        <v>-3202.06443713536</v>
      </c>
      <c s="16" r="I20">
        <f>sum(F20:H20)</f>
        <v>166507.350731039</v>
      </c>
      <c s="44" r="J20">
        <f>-(D20-I20)</f>
        <v>-46785.4752835296</v>
      </c>
      <c s="10" r="K20">
        <f>J20/D20</f>
        <v>-0.219348564870785</v>
      </c>
      <c s="42" r="L20">
        <f>A20</f>
        <v>13</v>
      </c>
      <c s="23" r="M20">
        <f>D20</f>
        <v>213292.826014568</v>
      </c>
      <c s="23" r="N20">
        <f>I20</f>
        <v>166507.350731039</v>
      </c>
    </row>
    <row r="21">
      <c s="8" r="A21">
        <v>14</v>
      </c>
      <c s="31" r="B21">
        <f>D20</f>
        <v>213292.826014568</v>
      </c>
      <c s="9" r="C21">
        <f>B21*$B$3</f>
        <v>12797.5695608741</v>
      </c>
      <c s="46" r="D21">
        <f>sum(B21:C21)</f>
        <v>226090.395575442</v>
      </c>
      <c s="1" r="E21"/>
      <c s="38" r="F21">
        <f>I20</f>
        <v>166507.350731039</v>
      </c>
      <c s="28" r="G21">
        <f>F21*($B$3)</f>
        <v>9990.44104386233</v>
      </c>
      <c s="3" r="H21">
        <f>-(F21*$B$4)</f>
        <v>-3330.14701462078</v>
      </c>
      <c s="16" r="I21">
        <f>sum(F21:H21)</f>
        <v>173167.64476028</v>
      </c>
      <c s="44" r="J21">
        <f>-(D21-I21)</f>
        <v>-52922.7508151621</v>
      </c>
      <c s="10" r="K21">
        <f>J21/D21</f>
        <v>-0.234077837231714</v>
      </c>
      <c s="42" r="L21">
        <f>A21</f>
        <v>14</v>
      </c>
      <c s="23" r="M21">
        <f>D21</f>
        <v>226090.395575442</v>
      </c>
      <c s="23" r="N21">
        <f>I21</f>
        <v>173167.64476028</v>
      </c>
    </row>
    <row r="22">
      <c s="8" r="A22">
        <v>15</v>
      </c>
      <c s="31" r="B22">
        <f>D21</f>
        <v>226090.395575442</v>
      </c>
      <c s="9" r="C22">
        <f>B22*$B$3</f>
        <v>13565.4237345266</v>
      </c>
      <c s="46" r="D22">
        <f>sum(B22:C22)</f>
        <v>239655.819309969</v>
      </c>
      <c s="1" r="E22"/>
      <c s="38" r="F22">
        <f>I21</f>
        <v>173167.64476028</v>
      </c>
      <c s="28" r="G22">
        <f>F22*($B$3)</f>
        <v>10390.0586856168</v>
      </c>
      <c s="3" r="H22">
        <f>-(F22*$B$4)</f>
        <v>-3463.35289520561</v>
      </c>
      <c s="16" r="I22">
        <f>sum(F22:H22)</f>
        <v>180094.350550692</v>
      </c>
      <c s="44" r="J22">
        <f>-(D22-I22)</f>
        <v>-59561.4687592775</v>
      </c>
      <c s="10" r="K22">
        <f>J22/D22</f>
        <v>-0.248529198793379</v>
      </c>
      <c s="42" r="L22">
        <f>A22</f>
        <v>15</v>
      </c>
      <c s="23" r="M22">
        <f>D22</f>
        <v>239655.819309969</v>
      </c>
      <c s="23" r="N22">
        <f>I22</f>
        <v>180094.350550692</v>
      </c>
    </row>
    <row r="23">
      <c s="8" r="A23">
        <v>16</v>
      </c>
      <c s="31" r="B23">
        <f>D22</f>
        <v>239655.819309969</v>
      </c>
      <c s="9" r="C23">
        <f>B23*$B$3</f>
        <v>14379.3491585981</v>
      </c>
      <c s="46" r="D23">
        <f>sum(B23:C23)</f>
        <v>254035.168468567</v>
      </c>
      <c s="1" r="E23"/>
      <c s="38" r="F23">
        <f>I22</f>
        <v>180094.350550692</v>
      </c>
      <c s="28" r="G23">
        <f>F23*($B$3)</f>
        <v>10805.6610330415</v>
      </c>
      <c s="3" r="H23">
        <f>-(F23*$B$4)</f>
        <v>-3601.88701101383</v>
      </c>
      <c s="16" r="I23">
        <f>sum(F23:H23)</f>
        <v>187298.124572719</v>
      </c>
      <c s="44" r="J23">
        <f>-(D23-I23)</f>
        <v>-66737.043895848</v>
      </c>
      <c s="10" r="K23">
        <f>J23/D23</f>
        <v>-0.262707893155768</v>
      </c>
      <c s="42" r="L23">
        <f>A23</f>
        <v>16</v>
      </c>
      <c s="23" r="M23">
        <f>D23</f>
        <v>254035.168468567</v>
      </c>
      <c s="23" r="N23">
        <f>I23</f>
        <v>187298.124572719</v>
      </c>
    </row>
    <row r="24">
      <c s="8" r="A24">
        <v>17</v>
      </c>
      <c s="31" r="B24">
        <f>D23</f>
        <v>254035.168468567</v>
      </c>
      <c s="9" r="C24">
        <f>B24*$B$3</f>
        <v>15242.110108114</v>
      </c>
      <c s="46" r="D24">
        <f>sum(B24:C24)</f>
        <v>269277.278576681</v>
      </c>
      <c s="1" r="E24"/>
      <c s="38" r="F24">
        <f>I23</f>
        <v>187298.124572719</v>
      </c>
      <c s="28" r="G24">
        <f>F24*($B$3)</f>
        <v>11237.8874743632</v>
      </c>
      <c s="3" r="H24">
        <f>-(F24*$B$4)</f>
        <v>-3745.96249145438</v>
      </c>
      <c s="16" r="I24">
        <f>sum(F24:H24)</f>
        <v>194790.049555628</v>
      </c>
      <c s="44" r="J24">
        <f>-(D24-I24)</f>
        <v>-74487.2290210532</v>
      </c>
      <c s="10" r="K24">
        <f>J24/D24</f>
        <v>-0.276619064983018</v>
      </c>
      <c s="42" r="L24">
        <f>A24</f>
        <v>17</v>
      </c>
      <c s="23" r="M24">
        <f>D24</f>
        <v>269277.278576681</v>
      </c>
      <c s="23" r="N24">
        <f>I24</f>
        <v>194790.049555628</v>
      </c>
    </row>
    <row r="25">
      <c s="8" r="A25">
        <v>18</v>
      </c>
      <c s="31" r="B25">
        <f>D24</f>
        <v>269277.278576681</v>
      </c>
      <c s="9" r="C25">
        <f>B25*$B$3</f>
        <v>16156.6367146009</v>
      </c>
      <c s="46" r="D25">
        <f>sum(B25:C25)</f>
        <v>285433.915291282</v>
      </c>
      <c s="1" r="E25"/>
      <c s="38" r="F25">
        <f>I24</f>
        <v>194790.049555628</v>
      </c>
      <c s="28" r="G25">
        <f>F25*($B$3)</f>
        <v>11687.4029733377</v>
      </c>
      <c s="3" r="H25">
        <f>-(F25*$B$4)</f>
        <v>-3895.80099111256</v>
      </c>
      <c s="16" r="I25">
        <f>sum(F25:H25)</f>
        <v>202581.651537853</v>
      </c>
      <c s="44" r="J25">
        <f>-(D25-I25)</f>
        <v>-82852.263753429</v>
      </c>
      <c s="10" r="K25">
        <f>J25/D25</f>
        <v>-0.290267761870131</v>
      </c>
      <c s="42" r="L25">
        <f>A25</f>
        <v>18</v>
      </c>
      <c s="23" r="M25">
        <f>D25</f>
        <v>285433.915291282</v>
      </c>
      <c s="23" r="N25">
        <f>I25</f>
        <v>202581.651537853</v>
      </c>
    </row>
    <row r="26">
      <c s="8" r="A26">
        <v>19</v>
      </c>
      <c s="31" r="B26">
        <f>D25</f>
        <v>285433.915291282</v>
      </c>
      <c s="9" r="C26">
        <f>B26*$B$3</f>
        <v>17126.0349174769</v>
      </c>
      <c s="46" r="D26">
        <f>sum(B26:C26)</f>
        <v>302559.950208759</v>
      </c>
      <c s="1" r="E26"/>
      <c s="38" r="F26">
        <f>I25</f>
        <v>202581.651537853</v>
      </c>
      <c s="28" r="G26">
        <f>F26*($B$3)</f>
        <v>12154.8990922712</v>
      </c>
      <c s="3" r="H26">
        <f>-(F26*$B$4)</f>
        <v>-4051.63303075706</v>
      </c>
      <c s="16" r="I26">
        <f>sum(F26:H26)</f>
        <v>210684.917599367</v>
      </c>
      <c s="44" r="J26">
        <f>-(D26-I26)</f>
        <v>-91875.0326093918</v>
      </c>
      <c s="10" r="K26">
        <f>J26/D26</f>
        <v>-0.303658936174468</v>
      </c>
      <c s="42" r="L26">
        <f>A26</f>
        <v>19</v>
      </c>
      <c s="23" r="M26">
        <f>D26</f>
        <v>302559.950208759</v>
      </c>
      <c s="23" r="N26">
        <f>I26</f>
        <v>210684.917599367</v>
      </c>
    </row>
    <row r="27">
      <c s="8" r="A27">
        <v>20</v>
      </c>
      <c s="31" r="B27">
        <f>D26</f>
        <v>302559.950208759</v>
      </c>
      <c s="9" r="C27">
        <f>B27*$B$3</f>
        <v>18153.5970125255</v>
      </c>
      <c s="46" r="D27">
        <f>sum(B27:C27)</f>
        <v>320713.547221285</v>
      </c>
      <c s="1" r="E27"/>
      <c s="38" r="F27">
        <f>I26</f>
        <v>210684.917599367</v>
      </c>
      <c s="28" r="G27">
        <f>F27*($B$3)</f>
        <v>12641.095055962</v>
      </c>
      <c s="3" r="H27">
        <f>-(F27*$B$4)</f>
        <v>-4213.69835198734</v>
      </c>
      <c s="16" r="I27">
        <f>sum(F27:H27)</f>
        <v>219112.314303342</v>
      </c>
      <c s="44" r="J27">
        <f>-(D27-I27)</f>
        <v>-101601.232917943</v>
      </c>
      <c s="10" r="K27">
        <f>J27/D27</f>
        <v>-0.316797446812686</v>
      </c>
      <c s="42" r="L27">
        <f>A27</f>
        <v>20</v>
      </c>
      <c s="23" r="M27">
        <f>D27</f>
        <v>320713.547221285</v>
      </c>
      <c s="23" r="N27">
        <f>I27</f>
        <v>219112.314303342</v>
      </c>
    </row>
    <row r="28">
      <c s="8" r="A28">
        <v>21</v>
      </c>
      <c s="31" r="B28">
        <f>D27</f>
        <v>320713.547221285</v>
      </c>
      <c s="9" r="C28">
        <f>B28*$B$3</f>
        <v>19242.8128332771</v>
      </c>
      <c s="46" r="D28">
        <f>sum(B28:C28)</f>
        <v>339956.360054562</v>
      </c>
      <c s="1" r="E28"/>
      <c s="38" r="F28">
        <f>I27</f>
        <v>219112.314303342</v>
      </c>
      <c s="28" r="G28">
        <f>F28*($B$3)</f>
        <v>13146.7388582005</v>
      </c>
      <c s="3" r="H28">
        <f>-(F28*$B$4)</f>
        <v>-4382.24628606684</v>
      </c>
      <c s="16" r="I28">
        <f>sum(F28:H28)</f>
        <v>227876.806875476</v>
      </c>
      <c s="44" r="J28">
        <f>-(D28-I28)</f>
        <v>-112079.553179086</v>
      </c>
      <c s="10" r="K28">
        <f>J28/D28</f>
        <v>-0.329688061023767</v>
      </c>
      <c s="42" r="L28">
        <f>A28</f>
        <v>21</v>
      </c>
      <c s="23" r="M28">
        <f>D28</f>
        <v>339956.360054562</v>
      </c>
      <c s="23" r="N28">
        <f>I28</f>
        <v>227876.806875476</v>
      </c>
    </row>
    <row r="29">
      <c s="8" r="A29">
        <v>22</v>
      </c>
      <c s="31" r="B29">
        <f>D28</f>
        <v>339956.360054562</v>
      </c>
      <c s="9" r="C29">
        <f>B29*$B$3</f>
        <v>20397.3816032737</v>
      </c>
      <c s="46" r="D29">
        <f>sum(B29:C29)</f>
        <v>360353.741657835</v>
      </c>
      <c s="1" r="E29"/>
      <c s="38" r="F29">
        <f>I28</f>
        <v>227876.806875476</v>
      </c>
      <c s="28" r="G29">
        <f>F29*($B$3)</f>
        <v>13672.6084125285</v>
      </c>
      <c s="3" r="H29">
        <f>-(F29*$B$4)</f>
        <v>-4557.53613750951</v>
      </c>
      <c s="16" r="I29">
        <f>sum(F29:H29)</f>
        <v>236991.879150495</v>
      </c>
      <c s="44" r="J29">
        <f>-(D29-I29)</f>
        <v>-123361.862507341</v>
      </c>
      <c s="10" r="K29">
        <f>J29/D29</f>
        <v>-0.34233545609879</v>
      </c>
      <c s="42" r="L29">
        <f>A29</f>
        <v>22</v>
      </c>
      <c s="23" r="M29">
        <f>D29</f>
        <v>360353.741657835</v>
      </c>
      <c s="23" r="N29">
        <f>I29</f>
        <v>236991.879150495</v>
      </c>
    </row>
    <row r="30">
      <c s="8" r="A30">
        <v>23</v>
      </c>
      <c s="31" r="B30">
        <f>D29</f>
        <v>360353.741657835</v>
      </c>
      <c s="9" r="C30">
        <f>B30*$B$3</f>
        <v>21621.2244994701</v>
      </c>
      <c s="46" r="D30">
        <f>sum(B30:C30)</f>
        <v>381974.966157306</v>
      </c>
      <c s="1" r="E30"/>
      <c s="38" r="F30">
        <f>I29</f>
        <v>236991.879150495</v>
      </c>
      <c s="28" r="G30">
        <f>F30*($B$3)</f>
        <v>14219.5127490297</v>
      </c>
      <c s="3" r="H30">
        <f>-(F30*$B$4)</f>
        <v>-4739.83758300989</v>
      </c>
      <c s="16" r="I30">
        <f>sum(F30:H30)</f>
        <v>246471.554316514</v>
      </c>
      <c s="44" r="J30">
        <f>-(D30-I30)</f>
        <v>-135503.411840791</v>
      </c>
      <c s="10" r="K30">
        <f>J30/D30</f>
        <v>-0.354744221078058</v>
      </c>
      <c s="42" r="L30">
        <f>A30</f>
        <v>23</v>
      </c>
      <c s="23" r="M30">
        <f>D30</f>
        <v>381974.966157306</v>
      </c>
      <c s="23" r="N30">
        <f>I30</f>
        <v>246471.554316514</v>
      </c>
    </row>
    <row r="31">
      <c s="8" r="A31">
        <v>24</v>
      </c>
      <c s="31" r="B31">
        <f>D30</f>
        <v>381974.966157306</v>
      </c>
      <c s="9" r="C31">
        <f>B31*$B$3</f>
        <v>22918.4979694383</v>
      </c>
      <c s="46" r="D31">
        <f>sum(B31:C31)</f>
        <v>404893.464126744</v>
      </c>
      <c s="1" r="E31"/>
      <c s="38" r="F31">
        <f>I30</f>
        <v>246471.554316514</v>
      </c>
      <c s="28" r="G31">
        <f>F31*($B$3)</f>
        <v>14788.2932589909</v>
      </c>
      <c s="3" r="H31">
        <f>-(F31*$B$4)</f>
        <v>-4929.43108633029</v>
      </c>
      <c s="16" r="I31">
        <f>sum(F31:H31)</f>
        <v>256330.416489175</v>
      </c>
      <c s="44" r="J31">
        <f>-(D31-I31)</f>
        <v>-148563.047637569</v>
      </c>
      <c s="10" r="K31">
        <f>J31/D31</f>
        <v>-0.366918858416208</v>
      </c>
      <c s="42" r="L31">
        <f>A31</f>
        <v>24</v>
      </c>
      <c s="23" r="M31">
        <f>D31</f>
        <v>404893.464126744</v>
      </c>
      <c s="23" r="N31">
        <f>I31</f>
        <v>256330.416489175</v>
      </c>
    </row>
    <row r="32">
      <c s="8" r="A32">
        <v>25</v>
      </c>
      <c s="31" r="B32">
        <f>D31</f>
        <v>404893.464126744</v>
      </c>
      <c s="9" r="C32">
        <f>B32*$B$3</f>
        <v>24293.6078476046</v>
      </c>
      <c s="46" r="D32">
        <f>sum(B32:C32)</f>
        <v>429187.071974348</v>
      </c>
      <c s="1" r="E32"/>
      <c s="38" r="F32">
        <f>I31</f>
        <v>256330.416489175</v>
      </c>
      <c s="28" r="G32">
        <f>F32*($B$3)</f>
        <v>15379.8249893505</v>
      </c>
      <c s="3" r="H32">
        <f>-(F32*$B$4)</f>
        <v>-5126.6083297835</v>
      </c>
      <c s="16" r="I32">
        <f>sum(F32:H32)</f>
        <v>266583.633148742</v>
      </c>
      <c s="44" r="J32">
        <f>-(D32-I32)</f>
        <v>-162603.438825606</v>
      </c>
      <c s="10" r="K32">
        <f>J32/D32</f>
        <v>-0.378863785615903</v>
      </c>
      <c s="42" r="L32">
        <f>A32</f>
        <v>25</v>
      </c>
      <c s="23" r="M32">
        <f>D32</f>
        <v>429187.071974348</v>
      </c>
      <c s="23" r="N32">
        <f>I32</f>
        <v>266583.633148742</v>
      </c>
    </row>
    <row r="33">
      <c s="8" r="A33">
        <v>26</v>
      </c>
      <c s="31" r="B33">
        <f>D32</f>
        <v>429187.071974348</v>
      </c>
      <c s="9" r="C33">
        <f>B33*$B$3</f>
        <v>25751.2243184609</v>
      </c>
      <c s="46" r="D33">
        <f>sum(B33:C33)</f>
        <v>454938.296292809</v>
      </c>
      <c s="1" r="E33"/>
      <c s="38" r="F33">
        <f>I32</f>
        <v>266583.633148742</v>
      </c>
      <c s="28" r="G33">
        <f>F33*($B$3)</f>
        <v>15995.0179889245</v>
      </c>
      <c s="3" r="H33">
        <f>-(F33*$B$4)</f>
        <v>-5331.67266297484</v>
      </c>
      <c s="16" r="I33">
        <f>sum(F33:H33)</f>
        <v>277246.978474692</v>
      </c>
      <c s="44" r="J33">
        <f>-(D33-I33)</f>
        <v>-177691.317818118</v>
      </c>
      <c s="10" r="K33">
        <f>J33/D33</f>
        <v>-0.390583336830697</v>
      </c>
      <c s="42" r="L33">
        <f>A33</f>
        <v>26</v>
      </c>
      <c s="23" r="M33">
        <f>D33</f>
        <v>454938.296292809</v>
      </c>
      <c s="23" r="N33">
        <f>I33</f>
        <v>277246.978474692</v>
      </c>
    </row>
    <row r="34">
      <c s="8" r="A34">
        <v>27</v>
      </c>
      <c s="31" r="B34">
        <f>D33</f>
        <v>454938.296292809</v>
      </c>
      <c s="9" r="C34">
        <f>B34*$B$3</f>
        <v>27296.2977775686</v>
      </c>
      <c s="46" r="D34">
        <f>sum(B34:C34)</f>
        <v>482234.594070378</v>
      </c>
      <c s="1" r="E34"/>
      <c s="38" r="F34">
        <f>I33</f>
        <v>277246.978474692</v>
      </c>
      <c s="28" r="G34">
        <f>F34*($B$3)</f>
        <v>16634.8187084815</v>
      </c>
      <c s="3" r="H34">
        <f>-(F34*$B$4)</f>
        <v>-5544.93956949383</v>
      </c>
      <c s="16" r="I34">
        <f>sum(F34:H34)</f>
        <v>288336.857613679</v>
      </c>
      <c s="44" r="J34">
        <f>-(D34-I34)</f>
        <v>-193897.736456699</v>
      </c>
      <c s="10" r="K34">
        <f>J34/D34</f>
        <v>-0.402081764437665</v>
      </c>
      <c s="42" r="L34">
        <f>A34</f>
        <v>27</v>
      </c>
      <c s="23" r="M34">
        <f>D34</f>
        <v>482234.594070378</v>
      </c>
      <c s="23" r="N34">
        <f>I34</f>
        <v>288336.857613679</v>
      </c>
    </row>
    <row r="35">
      <c s="8" r="A35">
        <v>28</v>
      </c>
      <c s="31" r="B35">
        <f>D34</f>
        <v>482234.594070378</v>
      </c>
      <c s="9" r="C35">
        <f>B35*$B$3</f>
        <v>28934.0756442227</v>
      </c>
      <c s="46" r="D35">
        <f>sum(B35:C35)</f>
        <v>511168.669714601</v>
      </c>
      <c s="1" r="E35"/>
      <c s="38" r="F35">
        <f>I34</f>
        <v>288336.857613679</v>
      </c>
      <c s="28" r="G35">
        <f>F35*($B$3)</f>
        <v>17300.2114568208</v>
      </c>
      <c s="3" r="H35">
        <f>-(F35*$B$4)</f>
        <v>-5766.73715227359</v>
      </c>
      <c s="16" r="I35">
        <f>sum(F35:H35)</f>
        <v>299870.331918226</v>
      </c>
      <c s="44" r="J35">
        <f>-(D35-I35)</f>
        <v>-211298.337796374</v>
      </c>
      <c s="10" r="K35">
        <f>J35/D35</f>
        <v>-0.41336324058035</v>
      </c>
      <c s="42" r="L35">
        <f>A35</f>
        <v>28</v>
      </c>
      <c s="23" r="M35">
        <f>D35</f>
        <v>511168.669714601</v>
      </c>
      <c s="23" r="N35">
        <f>I35</f>
        <v>299870.331918226</v>
      </c>
    </row>
    <row r="36">
      <c s="8" r="A36">
        <v>29</v>
      </c>
      <c s="31" r="B36">
        <f>D35</f>
        <v>511168.669714601</v>
      </c>
      <c s="9" r="C36">
        <f>B36*$B$3</f>
        <v>30670.120182876</v>
      </c>
      <c s="46" r="D36">
        <f>sum(B36:C36)</f>
        <v>541838.789897477</v>
      </c>
      <c s="1" r="E36"/>
      <c s="38" r="F36">
        <f>I35</f>
        <v>299870.331918226</v>
      </c>
      <c s="28" r="G36">
        <f>F36*($B$3)</f>
        <v>17992.2199150936</v>
      </c>
      <c s="3" r="H36">
        <f>-(F36*$B$4)</f>
        <v>-5997.40663836453</v>
      </c>
      <c s="16" r="I36">
        <f>sum(F36:H36)</f>
        <v>311865.145194956</v>
      </c>
      <c s="44" r="J36">
        <f>-(D36-I36)</f>
        <v>-229973.644702521</v>
      </c>
      <c s="10" r="K36">
        <f>J36/D36</f>
        <v>-0.424431858682608</v>
      </c>
      <c s="42" r="L36">
        <f>A36</f>
        <v>29</v>
      </c>
      <c s="23" r="M36">
        <f>D36</f>
        <v>541838.789897477</v>
      </c>
      <c s="23" r="N36">
        <f>I36</f>
        <v>311865.145194956</v>
      </c>
    </row>
    <row r="37">
      <c s="8" r="A37">
        <v>30</v>
      </c>
      <c s="31" r="B37">
        <f>D36</f>
        <v>541838.789897477</v>
      </c>
      <c s="9" r="C37">
        <f>B37*$B$3</f>
        <v>32510.3273938486</v>
      </c>
      <c s="46" r="D37">
        <f>sum(B37:C37)</f>
        <v>574349.117291325</v>
      </c>
      <c s="1" r="E37"/>
      <c s="38" r="F37">
        <f>I36</f>
        <v>311865.145194956</v>
      </c>
      <c s="28" r="G37">
        <f>F37*($B$3)</f>
        <v>18711.9087116973</v>
      </c>
      <c s="3" r="H37">
        <f>-(F37*$B$4)</f>
        <v>-6237.30290389911</v>
      </c>
      <c s="16" r="I37">
        <f>sum(F37:H37)</f>
        <v>324339.751002754</v>
      </c>
      <c s="44" r="J37">
        <f>-(D37-I37)</f>
        <v>-250009.366288572</v>
      </c>
      <c s="10" r="K37">
        <f>J37/D37</f>
        <v>-0.43529163493388</v>
      </c>
      <c s="42" r="L37">
        <f>A37</f>
        <v>30</v>
      </c>
      <c s="23" r="M37">
        <f>D37</f>
        <v>574349.117291325</v>
      </c>
      <c s="23" r="N37">
        <f>I37</f>
        <v>324339.751002754</v>
      </c>
    </row>
    <row r="38">
      <c s="8" r="A38">
        <v>31</v>
      </c>
      <c s="31" r="B38">
        <f>D37</f>
        <v>574349.117291325</v>
      </c>
      <c s="9" r="C38">
        <f>B38*$B$3</f>
        <v>34460.9470374795</v>
      </c>
      <c s="46" r="D38">
        <f>sum(B38:C38)</f>
        <v>608810.064328805</v>
      </c>
      <c s="1" r="E38"/>
      <c s="38" r="F38">
        <f>I37</f>
        <v>324339.751002754</v>
      </c>
      <c s="28" r="G38">
        <f>F38*($B$3)</f>
        <v>19460.3850601652</v>
      </c>
      <c s="3" r="H38">
        <f>-(F38*$B$4)</f>
        <v>-6486.79502005508</v>
      </c>
      <c s="16" r="I38">
        <f>sum(F38:H38)</f>
        <v>337313.341042864</v>
      </c>
      <c s="44" r="J38">
        <f>-(D38-I38)</f>
        <v>-271496.723285941</v>
      </c>
      <c s="10" r="K38">
        <f>J38/D38</f>
        <v>-0.445946509746448</v>
      </c>
      <c s="42" r="L38">
        <f>A38</f>
        <v>31</v>
      </c>
      <c s="23" r="M38">
        <f>D38</f>
        <v>608810.064328805</v>
      </c>
      <c s="23" r="N38">
        <f>I38</f>
        <v>337313.341042864</v>
      </c>
    </row>
    <row r="39">
      <c s="8" r="A39">
        <v>32</v>
      </c>
      <c s="31" r="B39">
        <f>D38</f>
        <v>608810.064328805</v>
      </c>
      <c s="9" r="C39">
        <f>B39*$B$3</f>
        <v>36528.6038597283</v>
      </c>
      <c s="46" r="D39">
        <f>sum(B39:C39)</f>
        <v>645338.668188533</v>
      </c>
      <c s="1" r="E39"/>
      <c s="38" r="F39">
        <f>I38</f>
        <v>337313.341042864</v>
      </c>
      <c s="28" r="G39">
        <f>F39*($B$3)</f>
        <v>20238.8004625718</v>
      </c>
      <c s="3" r="H39">
        <f>-(F39*$B$4)</f>
        <v>-6746.26682085728</v>
      </c>
      <c s="16" r="I39">
        <f>sum(F39:H39)</f>
        <v>350805.874684578</v>
      </c>
      <c s="44" r="J39">
        <f>-(D39-I39)</f>
        <v>-294532.793503955</v>
      </c>
      <c s="10" r="K39">
        <f>J39/D39</f>
        <v>-0.456400349185194</v>
      </c>
      <c s="42" r="L39">
        <f>A39</f>
        <v>32</v>
      </c>
      <c s="23" r="M39">
        <f>D39</f>
        <v>645338.668188533</v>
      </c>
      <c s="23" r="N39">
        <f>I39</f>
        <v>350805.874684578</v>
      </c>
    </row>
    <row r="40">
      <c s="8" r="A40">
        <v>33</v>
      </c>
      <c s="31" r="B40">
        <f>D39</f>
        <v>645338.668188533</v>
      </c>
      <c s="9" r="C40">
        <f>B40*$B$3</f>
        <v>38720.320091312</v>
      </c>
      <c s="46" r="D40">
        <f>sum(B40:C40)</f>
        <v>684058.988279845</v>
      </c>
      <c s="1" r="E40"/>
      <c s="38" r="F40">
        <f>I39</f>
        <v>350805.874684578</v>
      </c>
      <c s="28" r="G40">
        <f>F40*($B$3)</f>
        <v>21048.3524810747</v>
      </c>
      <c s="3" r="H40">
        <f>-(F40*$B$4)</f>
        <v>-7016.11749369157</v>
      </c>
      <c s="16" r="I40">
        <f>sum(F40:H40)</f>
        <v>364838.109671962</v>
      </c>
      <c s="44" r="J40">
        <f>-(D40-I40)</f>
        <v>-319220.878607883</v>
      </c>
      <c s="10" r="K40">
        <f>J40/D40</f>
        <v>-0.466656946370379</v>
      </c>
      <c s="42" r="L40">
        <f>A40</f>
        <v>33</v>
      </c>
      <c s="23" r="M40">
        <f>D40</f>
        <v>684058.988279845</v>
      </c>
      <c s="23" r="N40">
        <f>I40</f>
        <v>364838.109671962</v>
      </c>
    </row>
    <row r="41">
      <c s="8" r="A41">
        <v>34</v>
      </c>
      <c s="31" r="B41">
        <f>D40</f>
        <v>684058.988279845</v>
      </c>
      <c s="9" r="C41">
        <f>B41*$B$3</f>
        <v>41043.5392967907</v>
      </c>
      <c s="46" r="D41">
        <f>sum(B41:C41)</f>
        <v>725102.527576636</v>
      </c>
      <c s="1" r="E41"/>
      <c s="38" r="F41">
        <f>I40</f>
        <v>364838.109671962</v>
      </c>
      <c s="28" r="G41">
        <f>F41*($B$3)</f>
        <v>21890.2865803177</v>
      </c>
      <c s="3" r="H41">
        <f>-(F41*$B$4)</f>
        <v>-7296.76219343923</v>
      </c>
      <c s="16" r="I41">
        <f>sum(F41:H41)</f>
        <v>379431.63405884</v>
      </c>
      <c s="44" r="J41">
        <f>-(D41-I41)</f>
        <v>-345670.893517796</v>
      </c>
      <c s="10" r="K41">
        <f>J41/D41</f>
        <v>-0.476720022853957</v>
      </c>
      <c s="42" r="L41">
        <f>A41</f>
        <v>34</v>
      </c>
      <c s="23" r="M41">
        <f>D41</f>
        <v>725102.527576636</v>
      </c>
      <c s="23" r="N41">
        <f>I41</f>
        <v>379431.63405884</v>
      </c>
    </row>
    <row r="42">
      <c s="8" r="A42">
        <v>35</v>
      </c>
      <c s="31" r="B42">
        <f>D41</f>
        <v>725102.527576636</v>
      </c>
      <c s="9" r="C42">
        <f>B42*$B$3</f>
        <v>43506.1516545981</v>
      </c>
      <c s="46" r="D42">
        <f>sum(B42:C42)</f>
        <v>768608.679231234</v>
      </c>
      <c s="1" r="E42"/>
      <c s="38" r="F42">
        <f>I41</f>
        <v>379431.63405884</v>
      </c>
      <c s="28" r="G42">
        <f>F42*($B$3)</f>
        <v>22765.8980435304</v>
      </c>
      <c s="3" r="H42">
        <f>-(F42*$B$4)</f>
        <v>-7588.6326811768</v>
      </c>
      <c s="16" r="I42">
        <f>sum(F42:H42)</f>
        <v>394608.899421194</v>
      </c>
      <c s="44" r="J42">
        <f>-(D42-I42)</f>
        <v>-373999.77981004</v>
      </c>
      <c s="10" r="K42">
        <f>J42/D42</f>
        <v>-0.48659322996992</v>
      </c>
      <c s="42" r="L42">
        <f>A42</f>
        <v>35</v>
      </c>
      <c s="23" r="M42">
        <f>D42</f>
        <v>768608.679231234</v>
      </c>
      <c s="23" r="N42">
        <f>I42</f>
        <v>394608.899421194</v>
      </c>
    </row>
    <row r="43">
      <c s="8" r="A43">
        <v>36</v>
      </c>
      <c s="31" r="B43">
        <f>D42</f>
        <v>768608.679231234</v>
      </c>
      <c s="9" r="C43">
        <f>B43*$B$3</f>
        <v>46116.520753874</v>
      </c>
      <c s="46" r="D43">
        <f>sum(B43:C43)</f>
        <v>814725.199985108</v>
      </c>
      <c s="1" r="E43"/>
      <c s="38" r="F43">
        <f>I42</f>
        <v>394608.899421194</v>
      </c>
      <c s="28" r="G43">
        <f>F43*($B$3)</f>
        <v>23676.5339652716</v>
      </c>
      <c s="3" r="H43">
        <f>-(F43*$B$4)</f>
        <v>-7892.17798842387</v>
      </c>
      <c s="16" r="I43">
        <f>sum(F43:H43)</f>
        <v>410393.255398041</v>
      </c>
      <c s="44" r="J43">
        <f>-(D43-I43)</f>
        <v>-404331.944587067</v>
      </c>
      <c s="10" r="K43">
        <f>J43/D43</f>
        <v>-0.496280150159167</v>
      </c>
      <c s="42" r="L43">
        <f>A43</f>
        <v>36</v>
      </c>
      <c s="23" r="M43">
        <f>D43</f>
        <v>814725.199985108</v>
      </c>
      <c s="23" r="N43">
        <f>I43</f>
        <v>410393.255398041</v>
      </c>
    </row>
    <row r="44">
      <c s="8" r="A44">
        <v>37</v>
      </c>
      <c s="31" r="B44">
        <f>D43</f>
        <v>814725.199985108</v>
      </c>
      <c s="9" r="C44">
        <f>B44*$B$3</f>
        <v>48883.5119991065</v>
      </c>
      <c s="46" r="D44">
        <f>sum(B44:C44)</f>
        <v>863608.711984214</v>
      </c>
      <c s="1" r="E44"/>
      <c s="38" r="F44">
        <f>I43</f>
        <v>410393.255398041</v>
      </c>
      <c s="28" r="G44">
        <f>F44*($B$3)</f>
        <v>24623.5953238825</v>
      </c>
      <c s="3" r="H44">
        <f>-(F44*$B$4)</f>
        <v>-8207.86510796083</v>
      </c>
      <c s="16" r="I44">
        <f>sum(F44:H44)</f>
        <v>426808.985613963</v>
      </c>
      <c s="44" r="J44">
        <f>-(D44-I44)</f>
        <v>-436799.726370251</v>
      </c>
      <c s="10" r="K44">
        <f>J44/D44</f>
        <v>-0.505784298269371</v>
      </c>
      <c s="42" r="L44">
        <f>A44</f>
        <v>37</v>
      </c>
      <c s="23" r="M44">
        <f>D44</f>
        <v>863608.711984214</v>
      </c>
      <c s="23" r="N44">
        <f>I44</f>
        <v>426808.985613963</v>
      </c>
    </row>
    <row r="45">
      <c s="8" r="A45">
        <v>38</v>
      </c>
      <c s="31" r="B45">
        <f>D44</f>
        <v>863608.711984214</v>
      </c>
      <c s="9" r="C45">
        <f>B45*$B$3</f>
        <v>51816.5227190529</v>
      </c>
      <c s="46" r="D45">
        <f>sum(B45:C45)</f>
        <v>915425.234703267</v>
      </c>
      <c s="1" r="E45"/>
      <c s="38" r="F45">
        <f>I44</f>
        <v>426808.985613963</v>
      </c>
      <c s="28" r="G45">
        <f>F45*($B$3)</f>
        <v>25608.5391368378</v>
      </c>
      <c s="3" r="H45">
        <f>-(F45*$B$4)</f>
        <v>-8536.17971227926</v>
      </c>
      <c s="16" r="I45">
        <f>sum(F45:H45)</f>
        <v>443881.345038522</v>
      </c>
      <c s="44" r="J45">
        <f>-(D45-I45)</f>
        <v>-471543.889664746</v>
      </c>
      <c s="10" r="K45">
        <f>J45/D45</f>
        <v>-0.515109122830326</v>
      </c>
      <c s="42" r="L45">
        <f>A45</f>
        <v>38</v>
      </c>
      <c s="23" r="M45">
        <f>D45</f>
        <v>915425.234703267</v>
      </c>
      <c s="23" r="N45">
        <f>I45</f>
        <v>443881.345038522</v>
      </c>
    </row>
    <row r="46">
      <c s="8" r="A46">
        <v>39</v>
      </c>
      <c s="31" r="B46">
        <f>D45</f>
        <v>915425.234703267</v>
      </c>
      <c s="9" r="C46">
        <f>B46*$B$3</f>
        <v>54925.514082196</v>
      </c>
      <c s="46" r="D46">
        <f>sum(B46:C46)</f>
        <v>970350.748785463</v>
      </c>
      <c s="1" r="E46"/>
      <c s="38" r="F46">
        <f>I45</f>
        <v>443881.345038522</v>
      </c>
      <c s="28" r="G46">
        <f>F46*($B$3)</f>
        <v>26632.8807023113</v>
      </c>
      <c s="3" r="H46">
        <f>-(F46*$B$4)</f>
        <v>-8877.62690077043</v>
      </c>
      <c s="16" r="I46">
        <f>sum(F46:H46)</f>
        <v>461636.598840062</v>
      </c>
      <c s="44" r="J46">
        <f>-(D46-I46)</f>
        <v>-508714.149945401</v>
      </c>
      <c s="10" r="K46">
        <f>J46/D46</f>
        <v>-0.524258007305226</v>
      </c>
      <c s="42" r="L46">
        <f>A46</f>
        <v>39</v>
      </c>
      <c s="23" r="M46">
        <f>D46</f>
        <v>970350.748785463</v>
      </c>
      <c s="23" r="N46">
        <f>I46</f>
        <v>461636.598840062</v>
      </c>
    </row>
    <row r="47">
      <c s="8" r="A47">
        <v>40</v>
      </c>
      <c s="31" r="B47">
        <f>D46</f>
        <v>970350.748785463</v>
      </c>
      <c s="9" r="C47">
        <f>B47*$B$3</f>
        <v>58221.0449271278</v>
      </c>
      <c s="46" r="D47">
        <f>sum(B47:C47)</f>
        <v>1028571.79371259</v>
      </c>
      <c s="1" r="E47"/>
      <c s="38" r="F47">
        <f>I46</f>
        <v>461636.598840062</v>
      </c>
      <c s="28" r="G47">
        <f>F47*($B$3)</f>
        <v>27698.1959304037</v>
      </c>
      <c s="3" r="H47">
        <f>-(F47*$B$4)</f>
        <v>-9232.73197680125</v>
      </c>
      <c s="16" r="I47">
        <f>sum(F47:H47)</f>
        <v>480102.062793665</v>
      </c>
      <c s="44" r="J47">
        <f>-(D47-I47)</f>
        <v>-548469.730918926</v>
      </c>
      <c s="10" r="K47">
        <f>J47/D47</f>
        <v>-0.533234271318335</v>
      </c>
      <c s="42" r="L47">
        <f>A47</f>
        <v>40</v>
      </c>
      <c s="23" r="M47">
        <f>D47</f>
        <v>1028571.79371259</v>
      </c>
      <c s="23" r="N47">
        <f>I47</f>
        <v>480102.062793665</v>
      </c>
    </row>
    <row r="48">
      <c s="8" r="A48">
        <v>41</v>
      </c>
      <c s="31" r="B48">
        <f>D47</f>
        <v>1028571.79371259</v>
      </c>
      <c s="9" r="C48">
        <f>B48*$B$3</f>
        <v>61714.3076227555</v>
      </c>
      <c s="46" r="D48">
        <f>sum(B48:C48)</f>
        <v>1090286.10133535</v>
      </c>
      <c s="1" r="E48"/>
      <c s="38" r="F48">
        <f>I47</f>
        <v>480102.062793665</v>
      </c>
      <c s="28" r="G48">
        <f>F48*($B$3)</f>
        <v>28806.1237676199</v>
      </c>
      <c s="3" r="H48">
        <f>-(F48*$B$4)</f>
        <v>-9602.0412558733</v>
      </c>
      <c s="16" r="I48">
        <f>sum(F48:H48)</f>
        <v>499306.145305412</v>
      </c>
      <c s="44" r="J48">
        <f>-(D48-I48)</f>
        <v>-590979.956029935</v>
      </c>
      <c s="10" r="K48">
        <f>J48/D48</f>
        <v>-0.542041171859498</v>
      </c>
      <c s="42" r="L48">
        <f>A48</f>
        <v>41</v>
      </c>
      <c s="23" r="M48">
        <f>D48</f>
        <v>1090286.10133535</v>
      </c>
      <c s="23" r="N48">
        <f>I48</f>
        <v>499306.145305412</v>
      </c>
    </row>
    <row r="49">
      <c s="8" r="A49">
        <v>42</v>
      </c>
      <c s="31" r="B49">
        <f>D48</f>
        <v>1090286.10133535</v>
      </c>
      <c s="9" r="C49">
        <f>B49*$B$3</f>
        <v>65417.1660801208</v>
      </c>
      <c s="46" r="D49">
        <f>sum(B49:C49)</f>
        <v>1155703.26741547</v>
      </c>
      <c s="1" r="E49"/>
      <c s="38" r="F49">
        <f>I48</f>
        <v>499306.145305412</v>
      </c>
      <c s="28" r="G49">
        <f>F49*($B$3)</f>
        <v>29958.3687183247</v>
      </c>
      <c s="3" r="H49">
        <f>-(F49*$B$4)</f>
        <v>-9986.12290610823</v>
      </c>
      <c s="16" r="I49">
        <f>sum(F49:H49)</f>
        <v>519278.391117628</v>
      </c>
      <c s="44" r="J49">
        <f>-(D49-I49)</f>
        <v>-636424.876297839</v>
      </c>
      <c s="10" r="K49">
        <f>J49/D49</f>
        <v>-0.550681904465923</v>
      </c>
      <c s="42" r="L49">
        <f>A49</f>
        <v>42</v>
      </c>
      <c s="23" r="M49">
        <f>D49</f>
        <v>1155703.26741547</v>
      </c>
      <c s="23" r="N49">
        <f>I49</f>
        <v>519278.391117628</v>
      </c>
    </row>
    <row r="50">
      <c s="8" r="A50">
        <v>43</v>
      </c>
      <c s="31" r="B50">
        <f>D49</f>
        <v>1155703.26741547</v>
      </c>
      <c s="9" r="C50">
        <f>B50*$B$3</f>
        <v>69342.196044928</v>
      </c>
      <c s="46" r="D50">
        <f>sum(B50:C50)</f>
        <v>1225045.4634604</v>
      </c>
      <c s="1" r="E50"/>
      <c s="38" r="F50">
        <f>I49</f>
        <v>519278.391117628</v>
      </c>
      <c s="28" r="G50">
        <f>F50*($B$3)</f>
        <v>31156.7034670577</v>
      </c>
      <c s="3" r="H50">
        <f>-(F50*$B$4)</f>
        <v>-10385.5678223526</v>
      </c>
      <c s="16" r="I50">
        <f>sum(F50:H50)</f>
        <v>540049.526762333</v>
      </c>
      <c s="44" r="J50">
        <f>-(D50-I50)</f>
        <v>-684995.936698062</v>
      </c>
      <c s="10" r="K50">
        <f>J50/D50</f>
        <v>-0.55915960438166</v>
      </c>
      <c s="42" r="L50">
        <f>A50</f>
        <v>43</v>
      </c>
      <c s="23" r="M50">
        <f>D50</f>
        <v>1225045.4634604</v>
      </c>
      <c s="23" r="N50">
        <f>I50</f>
        <v>540049.526762333</v>
      </c>
    </row>
    <row r="51">
      <c s="8" r="A51">
        <v>44</v>
      </c>
      <c s="31" r="B51">
        <f>D50</f>
        <v>1225045.4634604</v>
      </c>
      <c s="9" r="C51">
        <f>B51*$B$3</f>
        <v>73502.7278076237</v>
      </c>
      <c s="46" r="D51">
        <f>sum(B51:C51)</f>
        <v>1298548.19126802</v>
      </c>
      <c s="1" r="E51"/>
      <c s="38" r="F51">
        <f>I50</f>
        <v>540049.526762333</v>
      </c>
      <c s="28" r="G51">
        <f>F51*($B$3)</f>
        <v>32402.97160574</v>
      </c>
      <c s="3" r="H51">
        <f>-(F51*$B$4)</f>
        <v>-10800.9905352467</v>
      </c>
      <c s="16" r="I51">
        <f>sum(F51:H51)</f>
        <v>561651.507832826</v>
      </c>
      <c s="44" r="J51">
        <f>-(D51-I51)</f>
        <v>-736896.683435192</v>
      </c>
      <c s="10" r="K51">
        <f>J51/D51</f>
        <v>-0.567477347695214</v>
      </c>
      <c s="42" r="L51">
        <f>A51</f>
        <v>44</v>
      </c>
      <c s="23" r="M51">
        <f>D51</f>
        <v>1298548.19126802</v>
      </c>
      <c s="23" r="N51">
        <f>I51</f>
        <v>561651.507832826</v>
      </c>
    </row>
    <row r="52">
      <c s="8" r="A52">
        <v>45</v>
      </c>
      <c s="31" r="B52">
        <f>D51</f>
        <v>1298548.19126802</v>
      </c>
      <c s="9" r="C52">
        <f>B52*$B$3</f>
        <v>77912.8914760811</v>
      </c>
      <c s="46" r="D52">
        <f>sum(B52:C52)</f>
        <v>1376461.0827441</v>
      </c>
      <c s="1" r="E52"/>
      <c s="38" r="F52">
        <f>I51</f>
        <v>561651.507832826</v>
      </c>
      <c s="28" r="G52">
        <f>F52*($B$3)</f>
        <v>33699.0904699696</v>
      </c>
      <c s="3" r="H52">
        <f>-(F52*$B$4)</f>
        <v>-11233.0301566565</v>
      </c>
      <c s="16" r="I52">
        <f>sum(F52:H52)</f>
        <v>584117.56814614</v>
      </c>
      <c s="44" r="J52">
        <f>-(D52-I52)</f>
        <v>-792343.514597961</v>
      </c>
      <c s="10" r="K52">
        <f>J52/D52</f>
        <v>-0.575638152455681</v>
      </c>
      <c s="42" r="L52">
        <f>A52</f>
        <v>45</v>
      </c>
      <c s="23" r="M52">
        <f>D52</f>
        <v>1376461.0827441</v>
      </c>
      <c s="23" r="N52">
        <f>I52</f>
        <v>584117.56814614</v>
      </c>
    </row>
    <row r="53">
      <c s="8" r="A53">
        <v>46</v>
      </c>
      <c s="31" r="B53">
        <f>D52</f>
        <v>1376461.0827441</v>
      </c>
      <c s="9" r="C53">
        <f>B53*$B$3</f>
        <v>82587.664964646</v>
      </c>
      <c s="46" r="D53">
        <f>sum(B53:C53)</f>
        <v>1459048.74770875</v>
      </c>
      <c s="1" r="E53"/>
      <c s="38" r="F53">
        <f>I52</f>
        <v>584117.56814614</v>
      </c>
      <c s="28" r="G53">
        <f>F53*($B$3)</f>
        <v>35047.0540887684</v>
      </c>
      <c s="3" r="H53">
        <f>-(F53*$B$4)</f>
        <v>-11682.3513629228</v>
      </c>
      <c s="16" r="I53">
        <f>sum(F53:H53)</f>
        <v>607482.270871985</v>
      </c>
      <c s="44" r="J53">
        <f>-(D53-I53)</f>
        <v>-851566.476836761</v>
      </c>
      <c s="10" r="K53">
        <f>J53/D53</f>
        <v>-0.583644979767838</v>
      </c>
      <c s="42" r="L53">
        <f>A53</f>
        <v>46</v>
      </c>
      <c s="23" r="M53">
        <f>D53</f>
        <v>1459048.74770875</v>
      </c>
      <c s="23" r="N53">
        <f>I53</f>
        <v>607482.270871985</v>
      </c>
    </row>
    <row r="54">
      <c s="8" r="A54">
        <v>47</v>
      </c>
      <c s="31" r="B54">
        <f>D53</f>
        <v>1459048.74770875</v>
      </c>
      <c s="9" r="C54">
        <f>B54*$B$3</f>
        <v>87542.9248625248</v>
      </c>
      <c s="46" r="D54">
        <f>sum(B54:C54)</f>
        <v>1546591.67257127</v>
      </c>
      <c s="1" r="E54"/>
      <c s="38" r="F54">
        <f>I53</f>
        <v>607482.270871985</v>
      </c>
      <c s="28" r="G54">
        <f>F54*($B$3)</f>
        <v>36448.9362523191</v>
      </c>
      <c s="3" r="H54">
        <f>-(F54*$B$4)</f>
        <v>-12149.6454174397</v>
      </c>
      <c s="16" r="I54">
        <f>sum(F54:H54)</f>
        <v>631781.561706864</v>
      </c>
      <c s="44" r="J54">
        <f>-(D54-I54)</f>
        <v>-914810.110864407</v>
      </c>
      <c s="10" r="K54">
        <f>J54/D54</f>
        <v>-0.591500734866558</v>
      </c>
      <c s="42" r="L54">
        <f>A54</f>
        <v>47</v>
      </c>
      <c s="23" r="M54">
        <f>D54</f>
        <v>1546591.67257127</v>
      </c>
      <c s="23" r="N54">
        <f>I54</f>
        <v>631781.561706864</v>
      </c>
    </row>
    <row r="55">
      <c s="8" r="A55">
        <v>48</v>
      </c>
      <c s="31" r="B55">
        <f>D54</f>
        <v>1546591.67257127</v>
      </c>
      <c s="9" r="C55">
        <f>B55*$B$3</f>
        <v>92795.5003542763</v>
      </c>
      <c s="46" r="D55">
        <f>sum(B55:C55)</f>
        <v>1639387.17292555</v>
      </c>
      <c s="1" r="E55"/>
      <c s="38" r="F55">
        <f>I54</f>
        <v>631781.561706864</v>
      </c>
      <c s="28" r="G55">
        <f>F55*($B$3)</f>
        <v>37906.8937024119</v>
      </c>
      <c s="3" r="H55">
        <f>-(F55*$B$4)</f>
        <v>-12635.6312341373</v>
      </c>
      <c s="16" r="I55">
        <f>sum(F55:H55)</f>
        <v>657052.824175139</v>
      </c>
      <c s="44" r="J55">
        <f>-(D55-I55)</f>
        <v>-982334.348750408</v>
      </c>
      <c s="10" r="K55">
        <f>J55/D55</f>
        <v>-0.599208268170963</v>
      </c>
      <c s="42" r="L55">
        <f>A55</f>
        <v>48</v>
      </c>
      <c s="23" r="M55">
        <f>D55</f>
        <v>1639387.17292555</v>
      </c>
      <c s="23" r="N55">
        <f>I55</f>
        <v>657052.824175139</v>
      </c>
    </row>
    <row r="56">
      <c s="8" r="A56">
        <v>49</v>
      </c>
      <c s="31" r="B56">
        <f>D55</f>
        <v>1639387.17292555</v>
      </c>
      <c s="9" r="C56">
        <f>B56*$B$3</f>
        <v>98363.2303755328</v>
      </c>
      <c s="46" r="D56">
        <f>sum(B56:C56)</f>
        <v>1737750.40330108</v>
      </c>
      <c s="1" r="E56"/>
      <c s="38" r="F56">
        <f>I55</f>
        <v>657052.824175139</v>
      </c>
      <c s="28" r="G56">
        <f>F56*($B$3)</f>
        <v>39423.1694505083</v>
      </c>
      <c s="3" r="H56">
        <f>-(F56*$B$4)</f>
        <v>-13141.0564835028</v>
      </c>
      <c s="16" r="I56">
        <f>sum(F56:H56)</f>
        <v>683334.937142144</v>
      </c>
      <c s="44" r="J56">
        <f>-(D56-I56)</f>
        <v>-1054415.46615894</v>
      </c>
      <c s="10" r="K56">
        <f>J56/D56</f>
        <v>-0.606770376318681</v>
      </c>
      <c s="42" r="L56">
        <f>A56</f>
        <v>49</v>
      </c>
      <c s="23" r="M56">
        <f>D56</f>
        <v>1737750.40330108</v>
      </c>
      <c s="23" r="N56">
        <f>I56</f>
        <v>683334.937142144</v>
      </c>
    </row>
    <row r="57">
      <c s="8" r="A57">
        <v>50</v>
      </c>
      <c s="31" r="B57">
        <f>D56</f>
        <v>1737750.40330108</v>
      </c>
      <c s="9" r="C57">
        <f>B57*$B$3</f>
        <v>104265.024198065</v>
      </c>
      <c s="46" r="D57">
        <f>sum(B57:C57)</f>
        <v>1842015.42749914</v>
      </c>
      <c s="1" r="E57"/>
      <c s="38" r="F57">
        <f>I56</f>
        <v>683334.937142144</v>
      </c>
      <c s="28" r="G57">
        <f>F57*($B$3)</f>
        <v>41000.0962285287</v>
      </c>
      <c s="3" r="H57">
        <f>-(F57*$B$4)</f>
        <v>-13666.6987428429</v>
      </c>
      <c s="16" r="I57">
        <f>sum(F57:H57)</f>
        <v>710668.33462783</v>
      </c>
      <c s="44" r="J57">
        <f>-(D57-I57)</f>
        <v>-1131347.09287131</v>
      </c>
      <c s="10" r="K57">
        <f>J57/D57</f>
        <v>-0.614189803180592</v>
      </c>
      <c s="42" r="L57">
        <f>A57</f>
        <v>50</v>
      </c>
      <c s="23" r="M57">
        <f>D57</f>
        <v>1842015.42749914</v>
      </c>
      <c s="23" r="N57">
        <f>I57</f>
        <v>710668.33462783</v>
      </c>
    </row>
    <row r="58">
      <c s="8" r="A58">
        <v>51</v>
      </c>
      <c s="31" r="B58">
        <f>D57</f>
        <v>1842015.42749914</v>
      </c>
      <c s="9" r="C58">
        <f>B58*$B$3</f>
        <v>110520.925649949</v>
      </c>
      <c s="46" r="D58">
        <f>sum(B58:C58)</f>
        <v>1952536.35314909</v>
      </c>
      <c s="1" r="E58"/>
      <c s="38" r="F58">
        <f>I57</f>
        <v>710668.33462783</v>
      </c>
      <c s="28" r="G58">
        <f>F58*($B$3)</f>
        <v>42640.1000776698</v>
      </c>
      <c s="3" r="H58">
        <f>-(F58*$B$4)</f>
        <v>-14213.3666925566</v>
      </c>
      <c s="16" r="I58">
        <f>sum(F58:H58)</f>
        <v>739095.068012944</v>
      </c>
      <c s="44" r="J58">
        <f>-(D58-I58)</f>
        <v>-1213441.28513615</v>
      </c>
      <c s="10" r="K58">
        <f>J58/D58</f>
        <v>-0.62146924085643</v>
      </c>
      <c s="42" r="L58">
        <f>A58</f>
        <v>51</v>
      </c>
      <c s="23" r="M58">
        <f>D58</f>
        <v>1952536.35314909</v>
      </c>
      <c s="23" r="N58">
        <f>I58</f>
        <v>739095.068012944</v>
      </c>
    </row>
    <row r="59">
      <c s="8" r="A59">
        <v>52</v>
      </c>
      <c s="31" r="B59">
        <f>D58</f>
        <v>1952536.35314909</v>
      </c>
      <c s="9" r="C59">
        <f>B59*$B$3</f>
        <v>117152.181188946</v>
      </c>
      <c s="46" r="D59">
        <f>sum(B59:C59)</f>
        <v>2069688.53433804</v>
      </c>
      <c s="1" r="E59"/>
      <c s="38" r="F59">
        <f>I58</f>
        <v>739095.068012944</v>
      </c>
      <c s="28" r="G59">
        <f>F59*($B$3)</f>
        <v>44345.7040807766</v>
      </c>
      <c s="3" r="H59">
        <f>-(F59*$B$4)</f>
        <v>-14781.9013602589</v>
      </c>
      <c s="16" r="I59">
        <f>sum(F59:H59)</f>
        <v>768658.870733461</v>
      </c>
      <c s="44" r="J59">
        <f>-(D59-I59)</f>
        <v>-1301029.66360458</v>
      </c>
      <c s="10" r="K59">
        <f>J59/D59</f>
        <v>-0.628611330651592</v>
      </c>
      <c s="42" r="L59">
        <f>A59</f>
        <v>52</v>
      </c>
      <c s="23" r="M59">
        <f>D59</f>
        <v>2069688.53433804</v>
      </c>
      <c s="23" r="N59">
        <f>I59</f>
        <v>768658.870733461</v>
      </c>
    </row>
    <row r="60">
      <c s="8" r="A60">
        <v>53</v>
      </c>
      <c s="31" r="B60">
        <f>D59</f>
        <v>2069688.53433804</v>
      </c>
      <c s="9" r="C60">
        <f>B60*$B$3</f>
        <v>124181.312060282</v>
      </c>
      <c s="46" r="D60">
        <f>sum(B60:C60)</f>
        <v>2193869.84639832</v>
      </c>
      <c s="1" r="E60"/>
      <c s="38" r="F60">
        <f>I59</f>
        <v>768658.870733461</v>
      </c>
      <c s="28" r="G60">
        <f>F60*($B$3)</f>
        <v>46119.5322440077</v>
      </c>
      <c s="3" r="H60">
        <f>-(F60*$B$4)</f>
        <v>-15373.1774146692</v>
      </c>
      <c s="16" r="I60">
        <f>sum(F60:H60)</f>
        <v>799405.2255628</v>
      </c>
      <c s="44" r="J60">
        <f>-(D60-I60)</f>
        <v>-1394464.62083552</v>
      </c>
      <c s="10" r="K60">
        <f>J60/D60</f>
        <v>-0.635618664035524</v>
      </c>
      <c s="42" r="L60">
        <f>A60</f>
        <v>53</v>
      </c>
      <c s="23" r="M60">
        <f>D60</f>
        <v>2193869.84639832</v>
      </c>
      <c s="23" r="N60">
        <f>I60</f>
        <v>799405.2255628</v>
      </c>
    </row>
    <row r="61">
      <c s="8" r="A61">
        <v>54</v>
      </c>
      <c s="31" r="B61">
        <f>D60</f>
        <v>2193869.84639832</v>
      </c>
      <c s="9" r="C61">
        <f>B61*$B$3</f>
        <v>131632.190783899</v>
      </c>
      <c s="46" r="D61">
        <f>sum(B61:C61)</f>
        <v>2325502.03718222</v>
      </c>
      <c s="1" r="E61"/>
      <c s="38" r="F61">
        <f>I60</f>
        <v>799405.2255628</v>
      </c>
      <c s="28" r="G61">
        <f>F61*($B$3)</f>
        <v>47964.313533768</v>
      </c>
      <c s="3" r="H61">
        <f>-(F61*$B$4)</f>
        <v>-15988.104511256</v>
      </c>
      <c s="16" r="I61">
        <f>sum(F61:H61)</f>
        <v>831381.434585312</v>
      </c>
      <c s="44" r="J61">
        <f>-(D61-I61)</f>
        <v>-1494120.60259691</v>
      </c>
      <c s="10" r="K61">
        <f>J61/D61</f>
        <v>-0.642493783582024</v>
      </c>
      <c s="42" r="L61">
        <f>A61</f>
        <v>54</v>
      </c>
      <c s="23" r="M61">
        <f>D61</f>
        <v>2325502.03718222</v>
      </c>
      <c s="23" r="N61">
        <f>I61</f>
        <v>831381.434585312</v>
      </c>
    </row>
    <row r="62">
      <c s="8" r="A62">
        <v>55</v>
      </c>
      <c s="31" r="B62">
        <f>D61</f>
        <v>2325502.03718222</v>
      </c>
      <c s="9" r="C62">
        <f>B62*$B$3</f>
        <v>139530.122230933</v>
      </c>
      <c s="46" r="D62">
        <f>sum(B62:C62)</f>
        <v>2465032.15941315</v>
      </c>
      <c s="1" r="E62"/>
      <c s="38" r="F62">
        <f>I61</f>
        <v>831381.434585312</v>
      </c>
      <c s="28" r="G62">
        <f>F62*($B$3)</f>
        <v>49882.8860751187</v>
      </c>
      <c s="3" r="H62">
        <f>-(F62*$B$4)</f>
        <v>-16627.6286917062</v>
      </c>
      <c s="16" r="I62">
        <f>sum(F62:H62)</f>
        <v>864636.691968724</v>
      </c>
      <c s="44" r="J62">
        <f>-(D62-I62)</f>
        <v>-1600395.46744443</v>
      </c>
      <c s="10" r="K62">
        <f>J62/D62</f>
        <v>-0.649239183891797</v>
      </c>
      <c s="42" r="L62">
        <f>A62</f>
        <v>55</v>
      </c>
      <c s="23" r="M62">
        <f>D62</f>
        <v>2465032.15941315</v>
      </c>
      <c s="23" r="N62">
        <f>I62</f>
        <v>864636.691968724</v>
      </c>
    </row>
    <row r="63">
      <c s="8" r="A63">
        <v>56</v>
      </c>
      <c s="31" r="B63">
        <f>D62</f>
        <v>2465032.15941315</v>
      </c>
      <c s="9" r="C63">
        <f>B63*$B$3</f>
        <v>147901.929564789</v>
      </c>
      <c s="46" r="D63">
        <f>sum(B63:C63)</f>
        <v>2612934.08897794</v>
      </c>
      <c s="1" r="E63"/>
      <c s="38" r="F63">
        <f>I62</f>
        <v>864636.691968724</v>
      </c>
      <c s="28" r="G63">
        <f>F63*($B$3)</f>
        <v>51878.2015181234</v>
      </c>
      <c s="3" r="H63">
        <f>-(F63*$B$4)</f>
        <v>-17292.7338393745</v>
      </c>
      <c s="16" r="I63">
        <f>sum(F63:H63)</f>
        <v>899222.159647473</v>
      </c>
      <c s="44" r="J63">
        <f>-(D63-I63)</f>
        <v>-1713711.92933047</v>
      </c>
      <c s="10" r="K63">
        <f>J63/D63</f>
        <v>-0.655857312497612</v>
      </c>
      <c s="42" r="L63">
        <f>A63</f>
        <v>56</v>
      </c>
      <c s="23" r="M63">
        <f>D63</f>
        <v>2612934.08897794</v>
      </c>
      <c s="23" r="N63">
        <f>I63</f>
        <v>899222.159647473</v>
      </c>
    </row>
    <row r="64">
      <c s="8" r="A64">
        <v>57</v>
      </c>
      <c s="31" r="B64">
        <f>D63</f>
        <v>2612934.08897794</v>
      </c>
      <c s="9" r="C64">
        <f>B64*$B$3</f>
        <v>156776.045338677</v>
      </c>
      <c s="46" r="D64">
        <f>sum(B64:C64)</f>
        <v>2769710.13431662</v>
      </c>
      <c s="1" r="E64"/>
      <c s="38" r="F64">
        <f>I63</f>
        <v>899222.159647473</v>
      </c>
      <c s="28" r="G64">
        <f>F64*($B$3)</f>
        <v>53953.3295788484</v>
      </c>
      <c s="3" r="H64">
        <f>-(F64*$B$4)</f>
        <v>-17984.4431929495</v>
      </c>
      <c s="16" r="I64">
        <f>sum(F64:H64)</f>
        <v>935191.046033372</v>
      </c>
      <c s="44" r="J64">
        <f>-(D64-I64)</f>
        <v>-1834519.08828325</v>
      </c>
      <c s="10" r="K64">
        <f>J64/D64</f>
        <v>-0.662350570752374</v>
      </c>
      <c s="42" r="L64">
        <f>A64</f>
        <v>57</v>
      </c>
      <c s="23" r="M64">
        <f>D64</f>
        <v>2769710.13431662</v>
      </c>
      <c s="23" r="N64">
        <f>I64</f>
        <v>935191.046033372</v>
      </c>
    </row>
    <row r="65">
      <c s="8" r="A65">
        <v>58</v>
      </c>
      <c s="31" r="B65">
        <f>D64</f>
        <v>2769710.13431662</v>
      </c>
      <c s="9" r="C65">
        <f>B65*$B$3</f>
        <v>166182.608058997</v>
      </c>
      <c s="46" r="D65">
        <f>sum(B65:C65)</f>
        <v>2935892.74237562</v>
      </c>
      <c s="1" r="E65"/>
      <c s="38" r="F65">
        <f>I64</f>
        <v>935191.046033372</v>
      </c>
      <c s="28" r="G65">
        <f>F65*($B$3)</f>
        <v>56111.4627620023</v>
      </c>
      <c s="3" r="H65">
        <f>-(F65*$B$4)</f>
        <v>-18703.8209206674</v>
      </c>
      <c s="16" r="I65">
        <f>sum(F65:H65)</f>
        <v>972598.687874707</v>
      </c>
      <c s="44" r="J65">
        <f>-(D65-I65)</f>
        <v>-1963294.05450091</v>
      </c>
      <c s="10" r="K65">
        <f>J65/D65</f>
        <v>-0.668721314700442</v>
      </c>
      <c s="42" r="L65">
        <f>A65</f>
        <v>58</v>
      </c>
      <c s="23" r="M65">
        <f>D65</f>
        <v>2935892.74237562</v>
      </c>
      <c s="23" r="N65">
        <f>I65</f>
        <v>972598.687874707</v>
      </c>
    </row>
    <row r="66">
      <c s="8" r="A66">
        <v>59</v>
      </c>
      <c s="31" r="B66">
        <f>D65</f>
        <v>2935892.74237562</v>
      </c>
      <c s="9" r="C66">
        <f>B66*$B$3</f>
        <v>176153.564542537</v>
      </c>
      <c s="46" r="D66">
        <f>sum(B66:C66)</f>
        <v>3112046.30691815</v>
      </c>
      <c s="1" r="E66"/>
      <c s="38" r="F66">
        <f>I65</f>
        <v>972598.687874707</v>
      </c>
      <c s="28" r="G66">
        <f>F66*($B$3)</f>
        <v>58355.9212724824</v>
      </c>
      <c s="3" r="H66">
        <f>-(F66*$B$4)</f>
        <v>-19451.9737574941</v>
      </c>
      <c s="16" r="I66">
        <f>sum(F66:H66)</f>
        <v>1011502.6353897</v>
      </c>
      <c s="44" r="J66">
        <f>-(D66-I66)</f>
        <v>-2100543.67152846</v>
      </c>
      <c s="10" r="K66">
        <f>J66/D66</f>
        <v>-0.67497185593251</v>
      </c>
      <c s="42" r="L66">
        <f>A66</f>
        <v>59</v>
      </c>
      <c s="23" r="M66">
        <f>D66</f>
        <v>3112046.30691815</v>
      </c>
      <c s="23" r="N66">
        <f>I66</f>
        <v>1011502.6353897</v>
      </c>
    </row>
    <row r="67">
      <c s="8" r="A67">
        <v>60</v>
      </c>
      <c s="51" r="B67">
        <f>D66</f>
        <v>3112046.30691815</v>
      </c>
      <c s="5" r="C67">
        <f>B67*$B$3</f>
        <v>186722.778415089</v>
      </c>
      <c s="48" r="D67">
        <f>sum(B67:C67)</f>
        <v>3298769.08533324</v>
      </c>
      <c s="35" r="E67"/>
      <c s="13" r="F67">
        <f>I66</f>
        <v>1011502.6353897</v>
      </c>
      <c s="43" r="G67">
        <f>F67*($B$3)</f>
        <v>60690.1581233817</v>
      </c>
      <c s="29" r="H67">
        <f>-(F67*$B$4)</f>
        <v>-20230.0527077939</v>
      </c>
      <c s="7" r="I67">
        <f>sum(F67:H67)</f>
        <v>1051962.74080528</v>
      </c>
      <c s="32" r="J67">
        <f>-(D67-I67)</f>
        <v>-2246806.34452796</v>
      </c>
      <c s="15" r="K67">
        <f>J67/D67</f>
        <v>-0.681104462424349</v>
      </c>
      <c s="42" r="L67">
        <f>A67</f>
        <v>60</v>
      </c>
      <c s="23" r="M67">
        <f>D67</f>
        <v>3298769.08533324</v>
      </c>
      <c s="23" r="N67">
        <f>I67</f>
        <v>1051962.74080528</v>
      </c>
    </row>
    <row r="68">
      <c s="37" r="A68"/>
      <c s="2" r="B68"/>
      <c s="2" r="C68"/>
      <c s="2" r="D68"/>
      <c s="2" r="E68"/>
      <c s="2" r="F68"/>
      <c s="2" r="G68"/>
      <c s="49" r="H68"/>
      <c s="2" r="I68"/>
      <c s="2" r="J68"/>
      <c s="2" r="K68"/>
      <c s="23" r="M68"/>
      <c s="23" r="N68"/>
    </row>
    <row r="69">
      <c s="23" r="M69"/>
      <c s="23" r="N69"/>
    </row>
    <row r="70">
      <c s="23" r="M70"/>
      <c s="23" r="N70"/>
    </row>
    <row r="71">
      <c s="23" r="M71"/>
      <c s="23" r="N71"/>
    </row>
    <row r="72">
      <c s="23" r="M72"/>
      <c s="23" r="N72"/>
    </row>
    <row r="73">
      <c s="23" r="M73"/>
      <c s="23" r="N73"/>
    </row>
    <row r="74">
      <c s="23" r="M74"/>
      <c s="23" r="N74"/>
    </row>
    <row r="75">
      <c s="23" r="M75"/>
      <c s="23" r="N75"/>
    </row>
    <row r="76">
      <c s="23" r="M76"/>
      <c s="23" r="N76"/>
    </row>
    <row r="77">
      <c s="23" r="M77"/>
      <c s="23" r="N77"/>
    </row>
    <row r="78">
      <c s="23" r="M78"/>
      <c s="23" r="N78"/>
    </row>
    <row r="79">
      <c s="23" r="M79"/>
      <c s="23" r="N79"/>
    </row>
    <row r="80">
      <c s="23" r="M80"/>
      <c s="23" r="N80"/>
    </row>
    <row r="81">
      <c s="23" r="M81"/>
      <c s="23" r="N81"/>
    </row>
    <row r="82">
      <c s="23" r="M82"/>
      <c s="23" r="N82"/>
    </row>
    <row r="83">
      <c s="23" r="M83"/>
      <c s="23" r="N83"/>
    </row>
    <row r="84">
      <c s="23" r="M84"/>
      <c s="23" r="N84"/>
    </row>
    <row r="85">
      <c s="23" r="M85"/>
      <c s="23" r="N85"/>
    </row>
    <row r="86">
      <c s="23" r="M86"/>
      <c s="23" r="N86"/>
    </row>
    <row r="87">
      <c s="23" r="M87"/>
      <c s="23" r="N87"/>
    </row>
    <row r="88">
      <c s="23" r="M88"/>
      <c s="23" r="N88"/>
    </row>
    <row r="89">
      <c s="23" r="M89"/>
      <c s="23" r="N89"/>
    </row>
    <row r="90">
      <c s="23" r="M90"/>
      <c s="23" r="N90"/>
    </row>
    <row r="91">
      <c s="23" r="M91"/>
      <c s="23" r="N91"/>
    </row>
    <row r="92">
      <c s="23" r="M92"/>
      <c s="23" r="N92"/>
    </row>
    <row r="93">
      <c s="23" r="M93"/>
      <c s="23" r="N93"/>
    </row>
    <row r="94">
      <c s="23" r="M94"/>
      <c s="23" r="N94"/>
    </row>
    <row r="95">
      <c s="23" r="M95"/>
      <c s="23" r="N95"/>
    </row>
    <row r="96">
      <c s="23" r="M96"/>
      <c s="23" r="N96"/>
    </row>
    <row r="97">
      <c s="23" r="M97"/>
      <c s="23" r="N97"/>
    </row>
    <row r="98">
      <c s="23" r="M98"/>
      <c s="23" r="N98"/>
    </row>
    <row r="99">
      <c s="23" r="M99"/>
      <c s="23" r="N99"/>
    </row>
    <row r="100">
      <c s="23" r="M100"/>
      <c s="23" r="N100"/>
    </row>
    <row r="101">
      <c s="23" r="M101"/>
      <c s="23" r="N101"/>
    </row>
  </sheetData>
  <mergeCells count="5">
    <mergeCell ref="A1:B1"/>
    <mergeCell ref="D4:F4"/>
    <mergeCell ref="B6:D6"/>
    <mergeCell ref="F6:I6"/>
    <mergeCell ref="J6:K6"/>
  </mergeCells>
  <drawing r:id="rId1"/>
</worksheet>
</file>