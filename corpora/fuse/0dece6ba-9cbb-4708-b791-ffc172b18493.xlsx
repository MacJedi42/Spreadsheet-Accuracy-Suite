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autoCompressPictures="0"/>
  <bookViews>
    <workbookView xWindow="0" yWindow="0" windowWidth="20490" windowHeight="7515" tabRatio="788"/>
  </bookViews>
  <sheets>
    <sheet name="January" sheetId="14" r:id="rId1"/>
    <sheet name="February" sheetId="15" r:id="rId2"/>
    <sheet name="March" sheetId="16" r:id="rId3"/>
    <sheet name="April" sheetId="17" r:id="rId4"/>
    <sheet name="May" sheetId="18" r:id="rId5"/>
    <sheet name="June" sheetId="19" r:id="rId6"/>
    <sheet name="July" sheetId="20" r:id="rId7"/>
    <sheet name="August" sheetId="21" r:id="rId8"/>
    <sheet name="September" sheetId="22" r:id="rId9"/>
    <sheet name="October" sheetId="23" r:id="rId10"/>
    <sheet name="November" sheetId="24" r:id="rId11"/>
    <sheet name="December" sheetId="25" r:id="rId12"/>
  </sheets>
  <definedNames>
    <definedName name="CalendarYear">January!$L$2</definedName>
    <definedName name="DaysAndWeeks">{0,1,2,3,4,5,6} + {0;1;2;3;4;5}*7</definedName>
    <definedName name="_xlnm.Print_Area" localSheetId="3">April!$A$1:$I$14</definedName>
    <definedName name="_xlnm.Print_Area" localSheetId="7">August!$A$1:$I$14</definedName>
    <definedName name="_xlnm.Print_Area" localSheetId="11">December!$A$1:$I$14</definedName>
    <definedName name="_xlnm.Print_Area" localSheetId="1">February!$A$1:$I$14</definedName>
    <definedName name="_xlnm.Print_Area" localSheetId="0">January!$A$1:$I$14</definedName>
    <definedName name="_xlnm.Print_Area" localSheetId="6">July!$A$1:$I$14</definedName>
    <definedName name="_xlnm.Print_Area" localSheetId="5">June!$A$1:$I$14</definedName>
    <definedName name="_xlnm.Print_Area" localSheetId="2">March!$A$1:$I$14</definedName>
    <definedName name="_xlnm.Print_Area" localSheetId="4">May!$A$1:$I$14</definedName>
    <definedName name="_xlnm.Print_Area" localSheetId="10">November!$A$1:$I$14</definedName>
    <definedName name="_xlnm.Print_Area" localSheetId="9">October!$A$1:$I$14</definedName>
    <definedName name="_xlnm.Print_Area" localSheetId="8">September!$A$1:$I$14</definedName>
    <definedName name="WeekStart">January!$L$3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3" i="25" l="1" a="1"/>
  <c r="C13" i="25" s="1"/>
  <c r="B11" i="25" a="1"/>
  <c r="H11" i="25" s="1"/>
  <c r="B9" i="25" a="1"/>
  <c r="G9" i="25" s="1"/>
  <c r="B7" i="25" a="1"/>
  <c r="G7" i="25" s="1"/>
  <c r="B5" i="25" a="1"/>
  <c r="H5" i="25" s="1"/>
  <c r="B3" i="25" a="1"/>
  <c r="G3" i="25" s="1"/>
  <c r="G2" i="25" s="1"/>
  <c r="B13" i="24" a="1"/>
  <c r="C13" i="24" s="1"/>
  <c r="B11" i="24" a="1"/>
  <c r="H11" i="24" s="1"/>
  <c r="B9" i="24" a="1"/>
  <c r="G9" i="24" s="1"/>
  <c r="B7" i="24" a="1"/>
  <c r="G7" i="24" s="1"/>
  <c r="B5" i="24" a="1"/>
  <c r="H5" i="24" s="1"/>
  <c r="B3" i="24" a="1"/>
  <c r="G3" i="24" s="1"/>
  <c r="G2" i="24" s="1"/>
  <c r="B13" i="23" a="1"/>
  <c r="C13" i="23" s="1"/>
  <c r="B11" i="23" a="1"/>
  <c r="H11" i="23" s="1"/>
  <c r="B9" i="23" a="1"/>
  <c r="G9" i="23" s="1"/>
  <c r="B7" i="23" a="1"/>
  <c r="G7" i="23" s="1"/>
  <c r="B5" i="23" a="1"/>
  <c r="H5" i="23" s="1"/>
  <c r="B3" i="23" a="1"/>
  <c r="G3" i="23" s="1"/>
  <c r="G2" i="23" s="1"/>
  <c r="B13" i="22" a="1"/>
  <c r="C13" i="22" s="1"/>
  <c r="B11" i="22" a="1"/>
  <c r="H11" i="22" s="1"/>
  <c r="B9" i="22" a="1"/>
  <c r="G9" i="22" s="1"/>
  <c r="B7" i="22" a="1"/>
  <c r="H7" i="22" s="1"/>
  <c r="B5" i="22" a="1"/>
  <c r="G5" i="22" s="1"/>
  <c r="B3" i="22" a="1"/>
  <c r="H3" i="22" s="1"/>
  <c r="H2" i="22" s="1"/>
  <c r="B13" i="21" a="1"/>
  <c r="C13" i="21" s="1"/>
  <c r="B11" i="21" a="1"/>
  <c r="H11" i="21" s="1"/>
  <c r="B9" i="21" a="1"/>
  <c r="G9" i="21" s="1"/>
  <c r="B7" i="21" a="1"/>
  <c r="G7" i="21" s="1"/>
  <c r="B5" i="21" a="1"/>
  <c r="H5" i="21" s="1"/>
  <c r="B3" i="21" a="1"/>
  <c r="G3" i="21" s="1"/>
  <c r="G2" i="21" s="1"/>
  <c r="B13" i="20" a="1"/>
  <c r="C13" i="20" s="1"/>
  <c r="B11" i="20" a="1"/>
  <c r="H11" i="20" s="1"/>
  <c r="B9" i="20" a="1"/>
  <c r="G9" i="20" s="1"/>
  <c r="B7" i="20" a="1"/>
  <c r="H7" i="20" s="1"/>
  <c r="B5" i="20" a="1"/>
  <c r="G5" i="20" s="1"/>
  <c r="B3" i="20" a="1"/>
  <c r="E3" i="20" s="1"/>
  <c r="E2" i="20" s="1"/>
  <c r="B13" i="19" a="1"/>
  <c r="C13" i="19" s="1"/>
  <c r="B11" i="19" a="1"/>
  <c r="H11" i="19" s="1"/>
  <c r="B9" i="19" a="1"/>
  <c r="G9" i="19" s="1"/>
  <c r="B7" i="19" a="1"/>
  <c r="H7" i="19" s="1"/>
  <c r="B5" i="19" a="1"/>
  <c r="G5" i="19" s="1"/>
  <c r="B3" i="19" a="1"/>
  <c r="H3" i="19" s="1"/>
  <c r="H2" i="19" s="1"/>
  <c r="B13" i="18" a="1"/>
  <c r="C13" i="18" s="1"/>
  <c r="B11" i="18" a="1"/>
  <c r="G11" i="18" s="1"/>
  <c r="B9" i="18" a="1"/>
  <c r="G9" i="18" s="1"/>
  <c r="B7" i="18"/>
  <c r="B1" i="18" s="1"/>
  <c r="B7" i="18" a="1"/>
  <c r="G7" i="18" s="1"/>
  <c r="B5" i="18" a="1"/>
  <c r="G5" i="18" s="1"/>
  <c r="B3" i="18" a="1"/>
  <c r="G3" i="18" s="1"/>
  <c r="G2" i="18" s="1"/>
  <c r="B13" i="17" a="1"/>
  <c r="B13" i="17" s="1"/>
  <c r="B11" i="17" a="1"/>
  <c r="G11" i="17" s="1"/>
  <c r="B9" i="17" a="1"/>
  <c r="H9" i="17" s="1"/>
  <c r="B7" i="17" a="1"/>
  <c r="H7" i="17" s="1"/>
  <c r="B5" i="17" a="1"/>
  <c r="G5" i="17" s="1"/>
  <c r="B3" i="17" a="1"/>
  <c r="H3" i="17" s="1"/>
  <c r="H2" i="17" s="1"/>
  <c r="B13" i="16" a="1"/>
  <c r="C13" i="16" s="1"/>
  <c r="B11" i="16" a="1"/>
  <c r="H11" i="16" s="1"/>
  <c r="B9" i="16" a="1"/>
  <c r="G9" i="16" s="1"/>
  <c r="B7" i="16" a="1"/>
  <c r="H7" i="16" s="1"/>
  <c r="B5" i="16" a="1"/>
  <c r="G5" i="16" s="1"/>
  <c r="B3" i="16" a="1"/>
  <c r="H3" i="16" s="1"/>
  <c r="H2" i="16" s="1"/>
  <c r="B13" i="15" a="1"/>
  <c r="C13" i="15" s="1"/>
  <c r="B11" i="15" a="1"/>
  <c r="H11" i="15" s="1"/>
  <c r="B9" i="15" a="1"/>
  <c r="G9" i="15" s="1"/>
  <c r="B7" i="15" a="1"/>
  <c r="H7" i="15" s="1"/>
  <c r="B5" i="15" a="1"/>
  <c r="G5" i="15" s="1"/>
  <c r="B3" i="15" a="1"/>
  <c r="H3" i="15" s="1"/>
  <c r="H2" i="15" s="1"/>
  <c r="B3" i="18" l="1"/>
  <c r="B11" i="18"/>
  <c r="F3" i="18"/>
  <c r="F2" i="18" s="1"/>
  <c r="F7" i="18"/>
  <c r="F11" i="18"/>
  <c r="D5" i="18"/>
  <c r="H5" i="18"/>
  <c r="D9" i="18"/>
  <c r="H9" i="18"/>
  <c r="D3" i="18"/>
  <c r="D2" i="18" s="1"/>
  <c r="H3" i="18"/>
  <c r="H2" i="18" s="1"/>
  <c r="B5" i="18"/>
  <c r="F5" i="18"/>
  <c r="D7" i="18"/>
  <c r="H7" i="18"/>
  <c r="B9" i="18"/>
  <c r="F9" i="18"/>
  <c r="D11" i="18"/>
  <c r="H11" i="18"/>
  <c r="B13" i="18"/>
  <c r="C5" i="25"/>
  <c r="E5" i="25"/>
  <c r="G5" i="25"/>
  <c r="C11" i="25"/>
  <c r="E11" i="25"/>
  <c r="G11" i="25"/>
  <c r="B3" i="25"/>
  <c r="D3" i="25"/>
  <c r="D2" i="25" s="1"/>
  <c r="F3" i="25"/>
  <c r="F2" i="25" s="1"/>
  <c r="H3" i="25"/>
  <c r="H2" i="25" s="1"/>
  <c r="B5" i="25"/>
  <c r="D5" i="25"/>
  <c r="F5" i="25"/>
  <c r="B7" i="25"/>
  <c r="B1" i="25" s="1"/>
  <c r="D7" i="25"/>
  <c r="F7" i="25"/>
  <c r="H7" i="25"/>
  <c r="B9" i="25"/>
  <c r="D9" i="25"/>
  <c r="F9" i="25"/>
  <c r="H9" i="25"/>
  <c r="B11" i="25"/>
  <c r="D11" i="25"/>
  <c r="F11" i="25"/>
  <c r="B13" i="25"/>
  <c r="C3" i="25"/>
  <c r="C2" i="25" s="1"/>
  <c r="E3" i="25"/>
  <c r="E2" i="25" s="1"/>
  <c r="C7" i="25"/>
  <c r="E7" i="25"/>
  <c r="C9" i="25"/>
  <c r="E9" i="25"/>
  <c r="C5" i="24"/>
  <c r="E5" i="24"/>
  <c r="G5" i="24"/>
  <c r="C11" i="24"/>
  <c r="E11" i="24"/>
  <c r="G11" i="24"/>
  <c r="B3" i="24"/>
  <c r="D3" i="24"/>
  <c r="D2" i="24" s="1"/>
  <c r="F3" i="24"/>
  <c r="F2" i="24" s="1"/>
  <c r="H3" i="24"/>
  <c r="H2" i="24" s="1"/>
  <c r="B5" i="24"/>
  <c r="D5" i="24"/>
  <c r="F5" i="24"/>
  <c r="B7" i="24"/>
  <c r="B1" i="24" s="1"/>
  <c r="D7" i="24"/>
  <c r="F7" i="24"/>
  <c r="H7" i="24"/>
  <c r="B9" i="24"/>
  <c r="D9" i="24"/>
  <c r="F9" i="24"/>
  <c r="H9" i="24"/>
  <c r="B11" i="24"/>
  <c r="D11" i="24"/>
  <c r="F11" i="24"/>
  <c r="B13" i="24"/>
  <c r="C3" i="24"/>
  <c r="C2" i="24" s="1"/>
  <c r="E3" i="24"/>
  <c r="E2" i="24" s="1"/>
  <c r="C7" i="24"/>
  <c r="E7" i="24"/>
  <c r="C9" i="24"/>
  <c r="E9" i="24"/>
  <c r="C5" i="23"/>
  <c r="E5" i="23"/>
  <c r="G5" i="23"/>
  <c r="C11" i="23"/>
  <c r="E11" i="23"/>
  <c r="G11" i="23"/>
  <c r="B3" i="23"/>
  <c r="D3" i="23"/>
  <c r="D2" i="23" s="1"/>
  <c r="F3" i="23"/>
  <c r="F2" i="23" s="1"/>
  <c r="H3" i="23"/>
  <c r="H2" i="23" s="1"/>
  <c r="B5" i="23"/>
  <c r="D5" i="23"/>
  <c r="F5" i="23"/>
  <c r="B7" i="23"/>
  <c r="B1" i="23" s="1"/>
  <c r="D7" i="23"/>
  <c r="F7" i="23"/>
  <c r="H7" i="23"/>
  <c r="B9" i="23"/>
  <c r="D9" i="23"/>
  <c r="F9" i="23"/>
  <c r="H9" i="23"/>
  <c r="B11" i="23"/>
  <c r="D11" i="23"/>
  <c r="F11" i="23"/>
  <c r="B13" i="23"/>
  <c r="C3" i="23"/>
  <c r="C2" i="23" s="1"/>
  <c r="E3" i="23"/>
  <c r="E2" i="23" s="1"/>
  <c r="C7" i="23"/>
  <c r="E7" i="23"/>
  <c r="C9" i="23"/>
  <c r="E9" i="23"/>
  <c r="C3" i="22"/>
  <c r="C2" i="22" s="1"/>
  <c r="E3" i="22"/>
  <c r="E2" i="22" s="1"/>
  <c r="G3" i="22"/>
  <c r="G2" i="22" s="1"/>
  <c r="C7" i="22"/>
  <c r="E7" i="22"/>
  <c r="G7" i="22"/>
  <c r="C11" i="22"/>
  <c r="E11" i="22"/>
  <c r="G11" i="22"/>
  <c r="B3" i="22"/>
  <c r="D3" i="22"/>
  <c r="D2" i="22" s="1"/>
  <c r="F3" i="22"/>
  <c r="F2" i="22" s="1"/>
  <c r="B5" i="22"/>
  <c r="D5" i="22"/>
  <c r="F5" i="22"/>
  <c r="H5" i="22"/>
  <c r="B7" i="22"/>
  <c r="B1" i="22" s="1"/>
  <c r="D7" i="22"/>
  <c r="F7" i="22"/>
  <c r="B9" i="22"/>
  <c r="D9" i="22"/>
  <c r="F9" i="22"/>
  <c r="H9" i="22"/>
  <c r="B11" i="22"/>
  <c r="D11" i="22"/>
  <c r="F11" i="22"/>
  <c r="B13" i="22"/>
  <c r="C5" i="22"/>
  <c r="E5" i="22"/>
  <c r="C9" i="22"/>
  <c r="E9" i="22"/>
  <c r="C5" i="21"/>
  <c r="E5" i="21"/>
  <c r="G5" i="21"/>
  <c r="C11" i="21"/>
  <c r="E11" i="21"/>
  <c r="G11" i="21"/>
  <c r="B3" i="21"/>
  <c r="D3" i="21"/>
  <c r="D2" i="21" s="1"/>
  <c r="F3" i="21"/>
  <c r="F2" i="21" s="1"/>
  <c r="H3" i="21"/>
  <c r="H2" i="21" s="1"/>
  <c r="B5" i="21"/>
  <c r="D5" i="21"/>
  <c r="F5" i="21"/>
  <c r="B7" i="21"/>
  <c r="B1" i="21" s="1"/>
  <c r="D7" i="21"/>
  <c r="F7" i="21"/>
  <c r="H7" i="21"/>
  <c r="B9" i="21"/>
  <c r="D9" i="21"/>
  <c r="F9" i="21"/>
  <c r="H9" i="21"/>
  <c r="B11" i="21"/>
  <c r="D11" i="21"/>
  <c r="F11" i="21"/>
  <c r="B13" i="21"/>
  <c r="C3" i="21"/>
  <c r="C2" i="21" s="1"/>
  <c r="E3" i="21"/>
  <c r="E2" i="21" s="1"/>
  <c r="C7" i="21"/>
  <c r="E7" i="21"/>
  <c r="C9" i="21"/>
  <c r="E9" i="21"/>
  <c r="C3" i="20"/>
  <c r="C2" i="20" s="1"/>
  <c r="G3" i="20"/>
  <c r="G2" i="20" s="1"/>
  <c r="C7" i="20"/>
  <c r="E7" i="20"/>
  <c r="G7" i="20"/>
  <c r="C11" i="20"/>
  <c r="E11" i="20"/>
  <c r="G11" i="20"/>
  <c r="B3" i="20"/>
  <c r="D3" i="20"/>
  <c r="D2" i="20" s="1"/>
  <c r="F3" i="20"/>
  <c r="F2" i="20" s="1"/>
  <c r="H3" i="20"/>
  <c r="H2" i="20" s="1"/>
  <c r="B5" i="20"/>
  <c r="D5" i="20"/>
  <c r="F5" i="20"/>
  <c r="H5" i="20"/>
  <c r="B7" i="20"/>
  <c r="B1" i="20" s="1"/>
  <c r="D7" i="20"/>
  <c r="F7" i="20"/>
  <c r="B9" i="20"/>
  <c r="D9" i="20"/>
  <c r="F9" i="20"/>
  <c r="H9" i="20"/>
  <c r="B11" i="20"/>
  <c r="D11" i="20"/>
  <c r="F11" i="20"/>
  <c r="B13" i="20"/>
  <c r="C5" i="20"/>
  <c r="E5" i="20"/>
  <c r="C9" i="20"/>
  <c r="E9" i="20"/>
  <c r="C3" i="19"/>
  <c r="C2" i="19" s="1"/>
  <c r="E3" i="19"/>
  <c r="E2" i="19" s="1"/>
  <c r="G3" i="19"/>
  <c r="G2" i="19" s="1"/>
  <c r="C7" i="19"/>
  <c r="E7" i="19"/>
  <c r="G7" i="19"/>
  <c r="C11" i="19"/>
  <c r="E11" i="19"/>
  <c r="G11" i="19"/>
  <c r="B3" i="19"/>
  <c r="D3" i="19"/>
  <c r="D2" i="19" s="1"/>
  <c r="F3" i="19"/>
  <c r="F2" i="19" s="1"/>
  <c r="B5" i="19"/>
  <c r="D5" i="19"/>
  <c r="F5" i="19"/>
  <c r="H5" i="19"/>
  <c r="B7" i="19"/>
  <c r="B1" i="19" s="1"/>
  <c r="D7" i="19"/>
  <c r="F7" i="19"/>
  <c r="B9" i="19"/>
  <c r="D9" i="19"/>
  <c r="F9" i="19"/>
  <c r="H9" i="19"/>
  <c r="B11" i="19"/>
  <c r="D11" i="19"/>
  <c r="F11" i="19"/>
  <c r="B13" i="19"/>
  <c r="C5" i="19"/>
  <c r="E5" i="19"/>
  <c r="C9" i="19"/>
  <c r="E9" i="19"/>
  <c r="C3" i="18"/>
  <c r="C2" i="18" s="1"/>
  <c r="E3" i="18"/>
  <c r="E2" i="18" s="1"/>
  <c r="C5" i="18"/>
  <c r="E5" i="18"/>
  <c r="C7" i="18"/>
  <c r="E7" i="18"/>
  <c r="C9" i="18"/>
  <c r="E9" i="18"/>
  <c r="C11" i="18"/>
  <c r="E11" i="18"/>
  <c r="C3" i="17"/>
  <c r="C2" i="17" s="1"/>
  <c r="E3" i="17"/>
  <c r="E2" i="17" s="1"/>
  <c r="G3" i="17"/>
  <c r="G2" i="17" s="1"/>
  <c r="C7" i="17"/>
  <c r="E7" i="17"/>
  <c r="G7" i="17"/>
  <c r="C9" i="17"/>
  <c r="E9" i="17"/>
  <c r="G9" i="17"/>
  <c r="C13" i="17"/>
  <c r="B3" i="17"/>
  <c r="D3" i="17"/>
  <c r="D2" i="17" s="1"/>
  <c r="F3" i="17"/>
  <c r="F2" i="17" s="1"/>
  <c r="B5" i="17"/>
  <c r="D5" i="17"/>
  <c r="F5" i="17"/>
  <c r="H5" i="17"/>
  <c r="B7" i="17"/>
  <c r="B1" i="17" s="1"/>
  <c r="D7" i="17"/>
  <c r="F7" i="17"/>
  <c r="B9" i="17"/>
  <c r="D9" i="17"/>
  <c r="F9" i="17"/>
  <c r="B11" i="17"/>
  <c r="D11" i="17"/>
  <c r="F11" i="17"/>
  <c r="H11" i="17"/>
  <c r="C5" i="17"/>
  <c r="E5" i="17"/>
  <c r="C11" i="17"/>
  <c r="E11" i="17"/>
  <c r="C3" i="16"/>
  <c r="C2" i="16" s="1"/>
  <c r="E3" i="16"/>
  <c r="E2" i="16" s="1"/>
  <c r="G3" i="16"/>
  <c r="G2" i="16" s="1"/>
  <c r="C7" i="16"/>
  <c r="E7" i="16"/>
  <c r="G7" i="16"/>
  <c r="C11" i="16"/>
  <c r="E11" i="16"/>
  <c r="G11" i="16"/>
  <c r="B3" i="16"/>
  <c r="D3" i="16"/>
  <c r="D2" i="16" s="1"/>
  <c r="F3" i="16"/>
  <c r="F2" i="16" s="1"/>
  <c r="B5" i="16"/>
  <c r="D5" i="16"/>
  <c r="F5" i="16"/>
  <c r="H5" i="16"/>
  <c r="B7" i="16"/>
  <c r="B1" i="16" s="1"/>
  <c r="D7" i="16"/>
  <c r="F7" i="16"/>
  <c r="B9" i="16"/>
  <c r="D9" i="16"/>
  <c r="F9" i="16"/>
  <c r="H9" i="16"/>
  <c r="B11" i="16"/>
  <c r="D11" i="16"/>
  <c r="F11" i="16"/>
  <c r="B13" i="16"/>
  <c r="C5" i="16"/>
  <c r="E5" i="16"/>
  <c r="C9" i="16"/>
  <c r="E9" i="16"/>
  <c r="C3" i="15"/>
  <c r="C2" i="15" s="1"/>
  <c r="E3" i="15"/>
  <c r="E2" i="15" s="1"/>
  <c r="G3" i="15"/>
  <c r="G2" i="15" s="1"/>
  <c r="C7" i="15"/>
  <c r="E7" i="15"/>
  <c r="G7" i="15"/>
  <c r="C11" i="15"/>
  <c r="E11" i="15"/>
  <c r="G11" i="15"/>
  <c r="B3" i="15"/>
  <c r="D3" i="15"/>
  <c r="D2" i="15" s="1"/>
  <c r="F3" i="15"/>
  <c r="F2" i="15" s="1"/>
  <c r="B5" i="15"/>
  <c r="D5" i="15"/>
  <c r="F5" i="15"/>
  <c r="H5" i="15"/>
  <c r="B7" i="15"/>
  <c r="B1" i="15" s="1"/>
  <c r="D7" i="15"/>
  <c r="F7" i="15"/>
  <c r="B9" i="15"/>
  <c r="D9" i="15"/>
  <c r="F9" i="15"/>
  <c r="H9" i="15"/>
  <c r="B11" i="15"/>
  <c r="D11" i="15"/>
  <c r="F11" i="15"/>
  <c r="B13" i="15"/>
  <c r="C5" i="15"/>
  <c r="E5" i="15"/>
  <c r="C9" i="15"/>
  <c r="E9" i="15"/>
  <c r="B2" i="14"/>
  <c r="B13" i="14" l="1" a="1"/>
  <c r="C13" i="14" s="1"/>
  <c r="B11" i="14" a="1"/>
  <c r="C11" i="14" s="1"/>
  <c r="B9" i="14" a="1"/>
  <c r="B9" i="14" s="1"/>
  <c r="B7" i="14" a="1"/>
  <c r="B7" i="14" s="1"/>
  <c r="B5" i="14" a="1"/>
  <c r="B5" i="14" s="1"/>
  <c r="B3" i="14" a="1"/>
  <c r="B3" i="14" s="1"/>
  <c r="B1" i="14" l="1"/>
  <c r="E5" i="14"/>
  <c r="G5" i="14"/>
  <c r="C5" i="14"/>
  <c r="G9" i="14"/>
  <c r="E9" i="14"/>
  <c r="C9" i="14"/>
  <c r="H5" i="14"/>
  <c r="F5" i="14"/>
  <c r="D5" i="14"/>
  <c r="G7" i="14"/>
  <c r="C7" i="14"/>
  <c r="H9" i="14"/>
  <c r="F9" i="14"/>
  <c r="D9" i="14"/>
  <c r="E7" i="14"/>
  <c r="B13" i="14"/>
  <c r="H11" i="14"/>
  <c r="F11" i="14"/>
  <c r="D11" i="14"/>
  <c r="B11" i="14"/>
  <c r="G11" i="14"/>
  <c r="E11" i="14"/>
  <c r="H7" i="14"/>
  <c r="F7" i="14"/>
  <c r="D7" i="14"/>
  <c r="G3" i="14"/>
  <c r="G2" i="14" s="1"/>
  <c r="E3" i="14"/>
  <c r="E2" i="14" s="1"/>
  <c r="C3" i="14"/>
  <c r="C2" i="14" s="1"/>
  <c r="H3" i="14"/>
  <c r="H2" i="14" s="1"/>
  <c r="F3" i="14"/>
  <c r="F2" i="14" s="1"/>
  <c r="D3" i="14"/>
  <c r="D2" i="14" s="1"/>
</calcChain>
</file>

<file path=xl/sharedStrings.xml><?xml version="1.0" encoding="utf-8"?>
<sst xmlns="http://schemas.openxmlformats.org/spreadsheetml/2006/main" count="86" uniqueCount="20">
  <si>
    <t>NOTES</t>
  </si>
  <si>
    <t>SUNDAY</t>
  </si>
  <si>
    <t>CALENDAR SETTINGS</t>
  </si>
  <si>
    <t>YEAR</t>
  </si>
  <si>
    <t>WEEK START</t>
  </si>
  <si>
    <t>Pay Day</t>
  </si>
  <si>
    <t>ACH File to Treasury</t>
  </si>
  <si>
    <t>Delete Deadline 5pm</t>
  </si>
  <si>
    <t>New Years Day</t>
  </si>
  <si>
    <t>MLK Holiday Closed</t>
  </si>
  <si>
    <t>Campus files to CO by noon</t>
  </si>
  <si>
    <t xml:space="preserve">Thanksgiving </t>
  </si>
  <si>
    <t>Holiday Closure</t>
  </si>
  <si>
    <t>Christmas</t>
  </si>
  <si>
    <r>
      <rPr>
        <b/>
        <sz val="10"/>
        <rFont val="Sylfaen"/>
        <family val="1"/>
        <scheme val="minor"/>
      </rPr>
      <t>Veteran's Day</t>
    </r>
    <r>
      <rPr>
        <sz val="10"/>
        <rFont val="Sylfaen"/>
        <family val="2"/>
        <scheme val="minor"/>
      </rPr>
      <t xml:space="preserve"> closure for some campuses</t>
    </r>
  </si>
  <si>
    <t>Memorial Day Holiday</t>
  </si>
  <si>
    <t>Independence Day</t>
  </si>
  <si>
    <t>Bank Holiday- President's Day</t>
  </si>
  <si>
    <t>Labor Day Holiday</t>
  </si>
  <si>
    <t>Columbus Day Bank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</si>
</sst>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mm\ yyyy"/>
    <numFmt numFmtId="165" formatCode="d"/>
  </numFmts>
  <fonts count="16" x14ac:knownFonts="1">
    <font>
      <sz val="10"/>
      <color theme="1" tint="0.34998626667073579"/>
      <name val="Sylfaen"/>
      <family val="2"/>
      <scheme val="minor"/>
    </font>
    <font>
      <sz val="8"/>
      <name val="Arial"/>
      <family val="2"/>
    </font>
    <font>
      <sz val="10"/>
      <name val="Century Gothic"/>
      <family val="2"/>
    </font>
    <font>
      <sz val="10"/>
      <name val="Sylfaen"/>
      <family val="2"/>
      <scheme val="minor"/>
    </font>
    <font>
      <b/>
      <sz val="11"/>
      <color theme="0"/>
      <name val="Sylfaen"/>
      <family val="2"/>
      <scheme val="minor"/>
    </font>
    <font>
      <b/>
      <sz val="14"/>
      <color theme="0"/>
      <name val="Sylfaen"/>
      <family val="2"/>
      <scheme val="minor"/>
    </font>
    <font>
      <sz val="10"/>
      <color indexed="63"/>
      <name val="Sylfaen"/>
      <family val="2"/>
      <scheme val="minor"/>
    </font>
    <font>
      <sz val="35"/>
      <color theme="4"/>
      <name val="Sylfaen"/>
      <family val="2"/>
      <scheme val="minor"/>
    </font>
    <font>
      <b/>
      <sz val="9"/>
      <color theme="1" tint="0.34998626667073579"/>
      <name val="Sylfaen"/>
      <family val="2"/>
      <scheme val="minor"/>
    </font>
    <font>
      <sz val="12"/>
      <color theme="4" tint="-0.24994659260841701"/>
      <name val="Sylfaen"/>
      <family val="1"/>
      <scheme val="major"/>
    </font>
    <font>
      <sz val="10"/>
      <color theme="0" tint="-0.499984740745262"/>
      <name val="Sylfaen"/>
      <family val="1"/>
      <scheme val="major"/>
    </font>
    <font>
      <sz val="11"/>
      <color theme="1" tint="0.34998626667073579"/>
      <name val="Sylfaen"/>
      <family val="2"/>
      <scheme val="minor"/>
    </font>
    <font>
      <sz val="11"/>
      <color theme="4" tint="-0.24994659260841701"/>
      <name val="Sylfaen"/>
      <family val="2"/>
      <scheme val="minor"/>
    </font>
    <font>
      <b/>
      <sz val="10"/>
      <name val="Sylfaen"/>
      <family val="1"/>
      <scheme val="minor"/>
    </font>
    <font>
      <sz val="10"/>
      <name val="Sylfaen"/>
      <family val="1"/>
      <scheme val="minor"/>
    </font>
    <font>
      <b/>
      <sz val="10"/>
      <color indexed="63"/>
      <name val="Sylfaen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/>
      <right/>
      <top/>
      <bottom style="medium">
        <color theme="4" tint="0.39994506668294322"/>
      </bottom>
      <diagonal/>
    </border>
  </borders>
  <cellStyleXfs count="6">
    <xf numFmtId="0" fontId="0" fillId="0" borderId="0"/>
    <xf numFmtId="0" fontId="6" fillId="3" borderId="0" applyNumberFormat="0" applyBorder="0" applyAlignment="0" applyProtection="0"/>
    <xf numFmtId="0" fontId="12" fillId="0" borderId="0" applyNumberFormat="0" applyFill="0" applyBorder="0" applyAlignment="0" applyProtection="0"/>
    <xf numFmtId="0" fontId="4" fillId="4" borderId="1" applyNumberFormat="0" applyAlignment="0" applyProtection="0"/>
    <xf numFmtId="0" fontId="5" fillId="5" borderId="2" applyNumberFormat="0" applyProtection="0">
      <alignment vertical="center"/>
    </xf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2" fillId="2" borderId="0" xfId="0" applyFont="1" applyFill="1"/>
    <xf numFmtId="0" fontId="2" fillId="0" borderId="0" xfId="0" applyFont="1"/>
    <xf numFmtId="164" fontId="12" fillId="2" borderId="0" xfId="2" applyNumberFormat="1" applyFill="1" applyBorder="1" applyAlignment="1">
      <alignment vertical="center"/>
    </xf>
    <xf numFmtId="0" fontId="7" fillId="0" borderId="0" xfId="5" applyFill="1" applyBorder="1" applyAlignment="1">
      <alignment horizontal="right" vertical="center"/>
    </xf>
    <xf numFmtId="0" fontId="3" fillId="0" borderId="0" xfId="0" applyFont="1" applyFill="1" applyBorder="1" applyAlignment="1">
      <alignment horizontal="left" vertical="center" wrapText="1" indent="1"/>
    </xf>
    <xf numFmtId="0" fontId="3" fillId="2" borderId="0" xfId="0" applyFont="1" applyFill="1" applyBorder="1" applyAlignment="1">
      <alignment horizontal="left" vertical="center" wrapText="1" indent="1"/>
    </xf>
    <xf numFmtId="0" fontId="6" fillId="0" borderId="0" xfId="1" applyFill="1" applyBorder="1" applyAlignment="1">
      <alignment horizontal="left" vertical="center" wrapText="1" indent="1"/>
    </xf>
    <xf numFmtId="0" fontId="3" fillId="6" borderId="0" xfId="0" applyFont="1" applyFill="1" applyBorder="1" applyAlignment="1">
      <alignment horizontal="left" vertical="center" wrapText="1" indent="1"/>
    </xf>
    <xf numFmtId="0" fontId="6" fillId="6" borderId="0" xfId="1" applyFill="1" applyBorder="1" applyAlignment="1">
      <alignment horizontal="left" vertical="center" wrapText="1" indent="1"/>
    </xf>
    <xf numFmtId="0" fontId="0" fillId="2" borderId="0" xfId="0" applyFill="1" applyAlignment="1">
      <alignment horizontal="left" indent="1"/>
    </xf>
    <xf numFmtId="0" fontId="0" fillId="0" borderId="0" xfId="0" applyAlignment="1">
      <alignment horizontal="left" indent="1"/>
    </xf>
    <xf numFmtId="0" fontId="0" fillId="2" borderId="0" xfId="0" applyNumberFormat="1" applyFill="1"/>
    <xf numFmtId="0" fontId="0" fillId="2" borderId="0" xfId="0" applyFill="1" applyAlignment="1">
      <alignment horizontal="right"/>
    </xf>
    <xf numFmtId="0" fontId="9" fillId="0" borderId="0" xfId="2" applyFont="1" applyFill="1" applyBorder="1" applyAlignment="1">
      <alignment horizontal="left" indent="1"/>
    </xf>
    <xf numFmtId="0" fontId="7" fillId="2" borderId="0" xfId="5" applyFill="1"/>
    <xf numFmtId="0" fontId="10" fillId="0" borderId="0" xfId="2" applyFont="1" applyAlignment="1">
      <alignment horizontal="left"/>
    </xf>
    <xf numFmtId="165" fontId="11" fillId="0" borderId="0" xfId="0" applyNumberFormat="1" applyFont="1" applyFill="1" applyBorder="1" applyAlignment="1">
      <alignment horizontal="left" wrapText="1" indent="1"/>
    </xf>
    <xf numFmtId="165" fontId="11" fillId="6" borderId="0" xfId="0" applyNumberFormat="1" applyFont="1" applyFill="1" applyBorder="1" applyAlignment="1">
      <alignment horizontal="left" wrapText="1" indent="1"/>
    </xf>
    <xf numFmtId="0" fontId="12" fillId="0" borderId="3" xfId="2" applyFill="1" applyBorder="1" applyAlignment="1">
      <alignment horizontal="left" vertical="center" indent="1"/>
    </xf>
    <xf numFmtId="0" fontId="14" fillId="2" borderId="0" xfId="0" applyFont="1" applyFill="1" applyBorder="1" applyAlignment="1">
      <alignment horizontal="left" vertical="center" wrapText="1" indent="1"/>
    </xf>
    <xf numFmtId="0" fontId="15" fillId="0" borderId="0" xfId="1" applyFont="1" applyFill="1" applyBorder="1" applyAlignment="1">
      <alignment horizontal="left" vertical="center" wrapText="1" indent="1"/>
    </xf>
    <xf numFmtId="0" fontId="13" fillId="0" borderId="0" xfId="0" applyFont="1" applyFill="1" applyBorder="1" applyAlignment="1">
      <alignment horizontal="left" vertical="center" wrapText="1" indent="1"/>
    </xf>
    <xf numFmtId="0" fontId="13" fillId="6" borderId="0" xfId="0" applyFont="1" applyFill="1" applyBorder="1" applyAlignment="1">
      <alignment horizontal="left" vertical="center" wrapText="1" indent="1"/>
    </xf>
    <xf numFmtId="0" fontId="15" fillId="6" borderId="0" xfId="1" applyFont="1" applyFill="1" applyBorder="1" applyAlignment="1">
      <alignment horizontal="left" vertical="center" wrapText="1" indent="1"/>
    </xf>
    <xf numFmtId="0" fontId="12" fillId="2" borderId="0" xfId="2" applyFill="1" applyAlignment="1">
      <alignment horizontal="left"/>
    </xf>
    <xf numFmtId="164" fontId="7" fillId="2" borderId="0" xfId="5" applyNumberFormat="1" applyFill="1" applyBorder="1" applyAlignment="1">
      <alignment horizontal="left" vertical="center"/>
    </xf>
    <xf numFmtId="0" fontId="4" fillId="6" borderId="0" xfId="3" applyFill="1" applyBorder="1" applyAlignment="1">
      <alignment horizontal="left" vertical="center" wrapText="1"/>
    </xf>
    <xf numFmtId="165" fontId="8" fillId="6" borderId="0" xfId="3" applyNumberFormat="1" applyFont="1" applyFill="1" applyBorder="1" applyAlignment="1">
      <alignment horizontal="left" wrapText="1" indent="1"/>
    </xf>
  </cellXfs>
  <cellStyles count="6">
    <cellStyle name="40% - Accent1" xfId="1" builtinId="31" customBuiltin="1"/>
    <cellStyle name="Accent1" xfId="3" builtinId="29" customBuiltin="1"/>
    <cellStyle name="Accent5" xfId="4" builtinId="45" customBuiltin="1"/>
    <cellStyle name="Heading 1" xfId="2" builtinId="16" customBuiltin="1"/>
    <cellStyle name="Normal" xfId="0" builtinId="0" customBuiltin="1"/>
    <cellStyle name="Title" xfId="5" builtinId="15" customBuiltin="1"/>
  </cellStyles>
  <dxfs count="24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1F2F5"/>
      <rgbColor rgb="00008080"/>
      <rgbColor rgb="00E4EAF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314265"/>
      <rgbColor rgb="00CCFFCC"/>
      <rgbColor rgb="00FFEECD"/>
      <rgbColor rgb="00D0D8E2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1778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B4B4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pin" dx="16" fmlaLink="$L$2" max="2999" min="1900" page="10" val="2014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38100</xdr:rowOff>
        </xdr:from>
        <xdr:to>
          <xdr:col>11</xdr:col>
          <xdr:colOff>847725</xdr:colOff>
          <xdr:row>1</xdr:row>
          <xdr:rowOff>238125</xdr:rowOff>
        </xdr:to>
        <xdr:sp macro="" textlink="">
          <xdr:nvSpPr>
            <xdr:cNvPr id="1038" name="Spinner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Global Calendar">
      <a:dk1>
        <a:sysClr val="windowText" lastClr="000000"/>
      </a:dk1>
      <a:lt1>
        <a:sysClr val="window" lastClr="FFFFFF"/>
      </a:lt1>
      <a:dk2>
        <a:srgbClr val="404040"/>
      </a:dk2>
      <a:lt2>
        <a:srgbClr val="F6F6F1"/>
      </a:lt2>
      <a:accent1>
        <a:srgbClr val="669933"/>
      </a:accent1>
      <a:accent2>
        <a:srgbClr val="E69216"/>
      </a:accent2>
      <a:accent3>
        <a:srgbClr val="609FC2"/>
      </a:accent3>
      <a:accent4>
        <a:srgbClr val="E6B819"/>
      </a:accent4>
      <a:accent5>
        <a:srgbClr val="DA695B"/>
      </a:accent5>
      <a:accent6>
        <a:srgbClr val="956895"/>
      </a:accent6>
      <a:hlink>
        <a:srgbClr val="609FC2"/>
      </a:hlink>
      <a:folHlink>
        <a:srgbClr val="956895"/>
      </a:folHlink>
    </a:clrScheme>
    <a:fontScheme name="Calendar">
      <a:majorFont>
        <a:latin typeface="Sylfaen"/>
        <a:ea typeface=""/>
        <a:cs typeface=""/>
      </a:majorFont>
      <a:minorFont>
        <a:latin typeface="Sylfae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theme="4" tint="-0.499984740745262"/>
    <pageSetUpPr autoPageBreaks="0" fitToPage="1"/>
  </sheetPr>
  <dimension ref="A1:L14"/>
  <sheetViews>
    <sheetView showGridLines="0" tabSelected="1" zoomScaleNormal="100" workbookViewId="0">
      <selection activeCell="F12" sqref="F12"/>
    </sheetView>
  </sheetViews>
  <sheetFormatPr defaultColWidth="8.85546875" defaultRowHeight="15" x14ac:dyDescent="0.3"/>
  <cols>
    <col min="1" max="1" width="2.42578125" style="1" customWidth="1"/>
    <col min="2" max="2" width="18.28515625" customWidth="1"/>
    <col min="3" max="8" width="17.7109375" customWidth="1"/>
    <col min="9" max="9" width="2.42578125" customWidth="1"/>
    <col min="10" max="10" width="6.5703125" customWidth="1"/>
    <col min="11" max="11" width="12.7109375" customWidth="1"/>
    <col min="12" max="12" width="13.7109375" customWidth="1"/>
  </cols>
  <sheetData>
    <row r="1" spans="1:12" s="1" customFormat="1" ht="59.25" customHeight="1" x14ac:dyDescent="0.8">
      <c r="A1" s="13"/>
      <c r="B1" s="27">
        <f>B7</f>
        <v>41651</v>
      </c>
      <c r="C1" s="27"/>
      <c r="D1" s="27"/>
      <c r="E1" s="4"/>
      <c r="F1" s="4"/>
      <c r="G1" s="4"/>
      <c r="H1" s="16"/>
      <c r="K1" s="26" t="s">
        <v>2</v>
      </c>
      <c r="L1" s="26"/>
    </row>
    <row r="2" spans="1:12" s="3" customFormat="1" ht="21.75" customHeight="1" thickBot="1" x14ac:dyDescent="0.4">
      <c r="A2" s="2"/>
      <c r="B2" s="20" t="str">
        <f>WeekStart</f>
        <v>SUNDAY</v>
      </c>
      <c r="C2" s="20" t="str">
        <f t="shared" ref="C2:H2" si="0">UPPER(TEXT(C3,"dddd"))</f>
        <v>MONDAY</v>
      </c>
      <c r="D2" s="20" t="str">
        <f t="shared" si="0"/>
        <v>TUESDAY</v>
      </c>
      <c r="E2" s="20" t="str">
        <f t="shared" si="0"/>
        <v>WEDNESDAY</v>
      </c>
      <c r="F2" s="20" t="str">
        <f t="shared" si="0"/>
        <v>THURSDAY</v>
      </c>
      <c r="G2" s="20" t="str">
        <f t="shared" si="0"/>
        <v>FRIDAY</v>
      </c>
      <c r="H2" s="20" t="str">
        <f t="shared" si="0"/>
        <v>SATURDAY</v>
      </c>
      <c r="K2" s="17" t="s">
        <v>3</v>
      </c>
      <c r="L2" s="15">
        <v>2014</v>
      </c>
    </row>
    <row r="3" spans="1:12" s="12" customFormat="1" ht="19.5" customHeight="1" x14ac:dyDescent="0.35">
      <c r="A3" s="11"/>
      <c r="B3" s="18">
        <f t="array" ref="B3:H3">DaysAndWeeks+DATE(CalendarYear,1,1)-WEEKDAY(DATE(CalendarYear,1,1),(WeekStart="Monday")+1)+1</f>
        <v>41637</v>
      </c>
      <c r="C3" s="18">
        <v>41638</v>
      </c>
      <c r="D3" s="18">
        <v>41639</v>
      </c>
      <c r="E3" s="18">
        <v>41640</v>
      </c>
      <c r="F3" s="18">
        <v>41641</v>
      </c>
      <c r="G3" s="18">
        <v>41642</v>
      </c>
      <c r="H3" s="18">
        <v>41643</v>
      </c>
      <c r="K3" s="17" t="s">
        <v>4</v>
      </c>
      <c r="L3" s="15" t="s">
        <v>1</v>
      </c>
    </row>
    <row r="4" spans="1:12" ht="57.95" customHeight="1" x14ac:dyDescent="0.3">
      <c r="B4" s="6"/>
      <c r="C4" s="6"/>
      <c r="D4" s="7"/>
      <c r="E4" s="7" t="s">
        <v>8</v>
      </c>
      <c r="F4" s="7"/>
      <c r="G4" s="8"/>
      <c r="H4" s="8"/>
    </row>
    <row r="5" spans="1:12" s="12" customFormat="1" ht="19.5" customHeight="1" x14ac:dyDescent="0.3">
      <c r="A5" s="11"/>
      <c r="B5" s="19">
        <f t="array" ref="B5:H5">DaysAndWeeks+DATE(CalendarYear,1,1)-WEEKDAY(DATE(CalendarYear,1,1),(WeekStart="Monday")+1)+8</f>
        <v>41644</v>
      </c>
      <c r="C5" s="19">
        <v>41645</v>
      </c>
      <c r="D5" s="19">
        <v>41646</v>
      </c>
      <c r="E5" s="19">
        <v>41647</v>
      </c>
      <c r="F5" s="19">
        <v>41648</v>
      </c>
      <c r="G5" s="19">
        <v>41649</v>
      </c>
      <c r="H5" s="19">
        <v>41650</v>
      </c>
    </row>
    <row r="6" spans="1:12" ht="57.95" customHeight="1" x14ac:dyDescent="0.3">
      <c r="B6" s="9"/>
      <c r="C6" s="9"/>
      <c r="D6" s="9"/>
      <c r="E6" s="9"/>
      <c r="F6" s="9"/>
      <c r="G6" s="10"/>
      <c r="H6" s="10"/>
      <c r="K6" s="14"/>
    </row>
    <row r="7" spans="1:12" s="12" customFormat="1" ht="19.5" customHeight="1" x14ac:dyDescent="0.3">
      <c r="A7" s="11"/>
      <c r="B7" s="18">
        <f t="array" ref="B7:H7">DaysAndWeeks+DATE(CalendarYear,1,1)-WEEKDAY(DATE(CalendarYear,1,1),(WeekStart="Monday")+1)+15</f>
        <v>41651</v>
      </c>
      <c r="C7" s="18">
        <v>41652</v>
      </c>
      <c r="D7" s="18">
        <v>41653</v>
      </c>
      <c r="E7" s="18">
        <v>41654</v>
      </c>
      <c r="F7" s="18">
        <v>41655</v>
      </c>
      <c r="G7" s="18">
        <v>41656</v>
      </c>
      <c r="H7" s="18">
        <v>41657</v>
      </c>
      <c r="K7" s="14"/>
    </row>
    <row r="8" spans="1:12" ht="57.95" customHeight="1" x14ac:dyDescent="0.3">
      <c r="B8" s="6"/>
      <c r="C8" s="6"/>
      <c r="D8" s="7"/>
      <c r="E8" s="7"/>
      <c r="F8" s="7"/>
      <c r="G8" s="8"/>
      <c r="H8" s="8"/>
    </row>
    <row r="9" spans="1:12" s="12" customFormat="1" ht="19.5" customHeight="1" x14ac:dyDescent="0.3">
      <c r="A9" s="11"/>
      <c r="B9" s="19">
        <f t="array" ref="B9:H9">DaysAndWeeks+DATE(CalendarYear,1,1)-WEEKDAY(DATE(CalendarYear,1,1),(WeekStart="Monday")+1)+22</f>
        <v>41658</v>
      </c>
      <c r="C9" s="19">
        <v>41659</v>
      </c>
      <c r="D9" s="19">
        <v>41660</v>
      </c>
      <c r="E9" s="19">
        <v>41661</v>
      </c>
      <c r="F9" s="19">
        <v>41662</v>
      </c>
      <c r="G9" s="19">
        <v>41663</v>
      </c>
      <c r="H9" s="19">
        <v>41664</v>
      </c>
    </row>
    <row r="10" spans="1:12" ht="57.95" customHeight="1" x14ac:dyDescent="0.3">
      <c r="B10" s="9"/>
      <c r="C10" s="9" t="s">
        <v>9</v>
      </c>
      <c r="D10" s="9"/>
      <c r="E10" s="9"/>
      <c r="F10" s="9"/>
      <c r="G10" s="10"/>
      <c r="H10" s="10"/>
    </row>
    <row r="11" spans="1:12" s="12" customFormat="1" ht="19.5" customHeight="1" x14ac:dyDescent="0.3">
      <c r="A11" s="11"/>
      <c r="B11" s="18">
        <f t="array" ref="B11:H11">DaysAndWeeks+DATE(CalendarYear,1,1)-WEEKDAY(DATE(CalendarYear,1,1),(WeekStart="Monday")+1)+29</f>
        <v>41665</v>
      </c>
      <c r="C11" s="18">
        <v>41666</v>
      </c>
      <c r="D11" s="18">
        <v>41667</v>
      </c>
      <c r="E11" s="18">
        <v>41668</v>
      </c>
      <c r="F11" s="18">
        <v>41669</v>
      </c>
      <c r="G11" s="18">
        <v>41670</v>
      </c>
      <c r="H11" s="18">
        <v>41671</v>
      </c>
    </row>
    <row r="12" spans="1:12" ht="57.95" customHeight="1" x14ac:dyDescent="0.3">
      <c r="B12" s="6"/>
      <c r="C12" s="6" t="s">
        <v>10</v>
      </c>
      <c r="D12" s="7" t="s">
        <v>7</v>
      </c>
      <c r="E12" s="7" t="s">
        <v>6</v>
      </c>
      <c r="F12" s="6"/>
      <c r="G12" s="22" t="s">
        <v>5</v>
      </c>
      <c r="H12" s="8"/>
    </row>
    <row r="13" spans="1:12" s="12" customFormat="1" ht="19.5" customHeight="1" x14ac:dyDescent="0.3">
      <c r="A13" s="11"/>
      <c r="B13" s="19">
        <f t="array" ref="B13:C13">DaysAndWeeks+DATE(CalendarYear,1,1)-WEEKDAY(DATE(CalendarYear,1,1),(WeekStart="Monday")+1)+36</f>
        <v>41672</v>
      </c>
      <c r="C13" s="19">
        <v>41673</v>
      </c>
      <c r="D13" s="29" t="s">
        <v>0</v>
      </c>
      <c r="E13" s="29"/>
      <c r="F13" s="29"/>
      <c r="G13" s="29"/>
      <c r="H13" s="29"/>
    </row>
    <row r="14" spans="1:12" ht="57.95" customHeight="1" x14ac:dyDescent="0.3">
      <c r="B14" s="9"/>
      <c r="C14" s="9"/>
      <c r="D14" s="28"/>
      <c r="E14" s="28"/>
      <c r="F14" s="28"/>
      <c r="G14" s="28"/>
      <c r="H14" s="28"/>
    </row>
  </sheetData>
  <mergeCells count="4">
    <mergeCell ref="K1:L1"/>
    <mergeCell ref="B1:D1"/>
    <mergeCell ref="D14:H14"/>
    <mergeCell ref="D13:H13"/>
  </mergeCells>
  <phoneticPr fontId="1" type="noConversion"/>
  <conditionalFormatting sqref="B11:H11 B13:C13">
    <cfRule type="expression" dxfId="23" priority="24">
      <formula>AND(DAY(B11)&gt;=1,DAY(B11)&lt;=15)</formula>
    </cfRule>
  </conditionalFormatting>
  <conditionalFormatting sqref="B3:G3">
    <cfRule type="expression" dxfId="22" priority="23">
      <formula>DAY(B3)&gt;8</formula>
    </cfRule>
  </conditionalFormatting>
  <dataValidations count="1">
    <dataValidation type="list" allowBlank="1" showInputMessage="1" showErrorMessage="1" sqref="L3">
      <formula1>"SUNDAY,MONDAY"</formula1>
    </dataValidation>
  </dataValidations>
  <printOptions horizontalCentered="1" verticalCentered="1"/>
  <pageMargins left="0.7" right="0.7" top="0.75" bottom="0.75" header="0.3" footer="0.3"/>
  <pageSetup scale="98" orientation="landscape" r:id="rId1"/>
  <headerFooter alignWithMargins="0"/>
  <customProperties>
    <customPr name="SheetChange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8" r:id="rId5" name="Spinner 14">
              <controlPr defaultSize="0" autoPict="0" altText="Click the spinner to change the calendar year or type your desired calendar year in cell L2.">
                <anchor moveWithCells="1" sizeWithCells="1">
                  <from>
                    <xdr:col>11</xdr:col>
                    <xdr:colOff>695325</xdr:colOff>
                    <xdr:row>1</xdr:row>
                    <xdr:rowOff>38100</xdr:rowOff>
                  </from>
                  <to>
                    <xdr:col>11</xdr:col>
                    <xdr:colOff>847725</xdr:colOff>
                    <xdr:row>1</xdr:row>
                    <xdr:rowOff>238125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-0.249977111117893"/>
    <pageSetUpPr fitToPage="1"/>
  </sheetPr>
  <dimension ref="A1:H14"/>
  <sheetViews>
    <sheetView showGridLines="0" workbookViewId="0">
      <selection activeCell="C11" sqref="C11"/>
    </sheetView>
  </sheetViews>
  <sheetFormatPr defaultColWidth="8.85546875" defaultRowHeight="15" x14ac:dyDescent="0.3"/>
  <cols>
    <col min="1" max="1" width="2.42578125" customWidth="1"/>
    <col min="2" max="2" width="18.28515625" customWidth="1"/>
    <col min="3" max="8" width="17.7109375" customWidth="1"/>
    <col min="9" max="9" width="2.42578125" customWidth="1"/>
    <col min="10" max="10" width="13.7109375" customWidth="1"/>
  </cols>
  <sheetData>
    <row r="1" spans="1:8" s="1" customFormat="1" ht="59.25" customHeight="1" x14ac:dyDescent="0.3">
      <c r="B1" s="27">
        <f>B7</f>
        <v>41679</v>
      </c>
      <c r="C1" s="27"/>
      <c r="D1" s="27"/>
      <c r="E1" s="4"/>
      <c r="F1" s="4"/>
      <c r="G1" s="4"/>
      <c r="H1" s="5"/>
    </row>
    <row r="2" spans="1:8" s="3" customFormat="1" ht="21.75" customHeight="1" thickBot="1" x14ac:dyDescent="0.3">
      <c r="A2" s="2"/>
      <c r="B2" s="20" t="s">
        <v>1</v>
      </c>
      <c r="C2" s="20" t="str">
        <f t="shared" ref="C2:H2" si="0">UPPER(TEXT(C3,"dddd"))</f>
        <v>MONDAY</v>
      </c>
      <c r="D2" s="20" t="str">
        <f t="shared" si="0"/>
        <v>TUESDAY</v>
      </c>
      <c r="E2" s="20" t="str">
        <f t="shared" si="0"/>
        <v>WEDNESDAY</v>
      </c>
      <c r="F2" s="20" t="str">
        <f t="shared" si="0"/>
        <v>THURSDAY</v>
      </c>
      <c r="G2" s="20" t="str">
        <f t="shared" si="0"/>
        <v>FRIDAY</v>
      </c>
      <c r="H2" s="20" t="str">
        <f t="shared" si="0"/>
        <v>SATURDAY</v>
      </c>
    </row>
    <row r="3" spans="1:8" s="12" customFormat="1" ht="19.5" customHeight="1" x14ac:dyDescent="0.3">
      <c r="A3" s="11"/>
      <c r="B3" s="18">
        <f t="array" ref="B3:H3">DaysAndWeeks+DATE(CalendarYear,2,1)-WEEKDAY(DATE(CalendarYear,2,1),(WeekStart="Monday")+1)+1</f>
        <v>41665</v>
      </c>
      <c r="C3" s="18">
        <v>41666</v>
      </c>
      <c r="D3" s="18">
        <v>41667</v>
      </c>
      <c r="E3" s="18">
        <v>41668</v>
      </c>
      <c r="F3" s="18">
        <v>41669</v>
      </c>
      <c r="G3" s="18">
        <v>41670</v>
      </c>
      <c r="H3" s="18">
        <v>41671</v>
      </c>
    </row>
    <row r="4" spans="1:8" ht="57.95" customHeight="1" x14ac:dyDescent="0.3">
      <c r="A4" s="1"/>
      <c r="B4" s="6"/>
      <c r="C4" s="6"/>
      <c r="D4" s="7"/>
      <c r="E4" s="7"/>
      <c r="F4" s="7"/>
      <c r="G4" s="8"/>
      <c r="H4" s="8"/>
    </row>
    <row r="5" spans="1:8" s="12" customFormat="1" ht="19.5" customHeight="1" x14ac:dyDescent="0.3">
      <c r="A5" s="11"/>
      <c r="B5" s="19">
        <f t="array" ref="B5:H5">DaysAndWeeks+DATE(CalendarYear,2,1)-WEEKDAY(DATE(CalendarYear,2,1),(WeekStart="Monday")+1)+8</f>
        <v>41672</v>
      </c>
      <c r="C5" s="19">
        <v>41673</v>
      </c>
      <c r="D5" s="19">
        <v>41674</v>
      </c>
      <c r="E5" s="19">
        <v>41675</v>
      </c>
      <c r="F5" s="19">
        <v>41676</v>
      </c>
      <c r="G5" s="19">
        <v>41677</v>
      </c>
      <c r="H5" s="19">
        <v>41678</v>
      </c>
    </row>
    <row r="6" spans="1:8" ht="57.95" customHeight="1" x14ac:dyDescent="0.3">
      <c r="A6" s="1"/>
      <c r="B6" s="9"/>
      <c r="C6" s="9"/>
      <c r="D6" s="9"/>
      <c r="E6" s="9"/>
      <c r="F6" s="9"/>
      <c r="G6" s="10"/>
      <c r="H6" s="10"/>
    </row>
    <row r="7" spans="1:8" s="12" customFormat="1" ht="19.5" customHeight="1" x14ac:dyDescent="0.3">
      <c r="A7" s="11"/>
      <c r="B7" s="18">
        <f t="array" ref="B7:H7">DaysAndWeeks+DATE(CalendarYear,2,1)-WEEKDAY(DATE(CalendarYear,2,1),(WeekStart="Monday")+1)+15</f>
        <v>41679</v>
      </c>
      <c r="C7" s="18">
        <v>41680</v>
      </c>
      <c r="D7" s="18">
        <v>41681</v>
      </c>
      <c r="E7" s="18">
        <v>41682</v>
      </c>
      <c r="F7" s="18">
        <v>41683</v>
      </c>
      <c r="G7" s="18">
        <v>41684</v>
      </c>
      <c r="H7" s="18">
        <v>41685</v>
      </c>
    </row>
    <row r="8" spans="1:8" ht="57.95" customHeight="1" x14ac:dyDescent="0.3">
      <c r="A8" s="1"/>
      <c r="B8" s="6"/>
      <c r="C8" s="6"/>
      <c r="D8" s="7"/>
      <c r="E8" s="7"/>
      <c r="F8" s="7"/>
      <c r="G8" s="8"/>
      <c r="H8" s="8"/>
    </row>
    <row r="9" spans="1:8" s="12" customFormat="1" ht="19.5" customHeight="1" x14ac:dyDescent="0.3">
      <c r="A9" s="11"/>
      <c r="B9" s="19">
        <f t="array" ref="B9:H9">DaysAndWeeks+DATE(CalendarYear,2,1)-WEEKDAY(DATE(CalendarYear,2,1),(WeekStart="Monday")+1)+22</f>
        <v>41686</v>
      </c>
      <c r="C9" s="19">
        <v>41687</v>
      </c>
      <c r="D9" s="19">
        <v>41688</v>
      </c>
      <c r="E9" s="19">
        <v>41689</v>
      </c>
      <c r="F9" s="19">
        <v>41690</v>
      </c>
      <c r="G9" s="19">
        <v>41691</v>
      </c>
      <c r="H9" s="19">
        <v>41692</v>
      </c>
    </row>
    <row r="10" spans="1:8" ht="57.95" customHeight="1" x14ac:dyDescent="0.3">
      <c r="A10" s="1"/>
      <c r="B10" s="9"/>
      <c r="C10" s="9" t="s">
        <v>17</v>
      </c>
      <c r="D10" s="9"/>
      <c r="E10" s="9"/>
      <c r="F10" s="9"/>
      <c r="G10" s="10"/>
      <c r="H10" s="10"/>
    </row>
    <row r="11" spans="1:8" s="12" customFormat="1" ht="19.5" customHeight="1" x14ac:dyDescent="0.3">
      <c r="A11" s="11"/>
      <c r="B11" s="18">
        <f t="array" ref="B11:H11">DaysAndWeeks+DATE(CalendarYear,2,1)-WEEKDAY(DATE(CalendarYear,2,1),(WeekStart="Monday")+1)+29</f>
        <v>41693</v>
      </c>
      <c r="C11" s="18">
        <v>41694</v>
      </c>
      <c r="D11" s="18">
        <v>41695</v>
      </c>
      <c r="E11" s="18">
        <v>41696</v>
      </c>
      <c r="F11" s="18">
        <v>41697</v>
      </c>
      <c r="G11" s="18">
        <v>41698</v>
      </c>
      <c r="H11" s="18">
        <v>41699</v>
      </c>
    </row>
    <row r="12" spans="1:8" ht="57.95" customHeight="1" x14ac:dyDescent="0.3">
      <c r="A12" s="1"/>
      <c r="B12" s="6"/>
      <c r="C12" s="6" t="s">
        <v>10</v>
      </c>
      <c r="D12" s="7" t="s">
        <v>7</v>
      </c>
      <c r="E12" s="7" t="s">
        <v>6</v>
      </c>
      <c r="F12" s="6"/>
      <c r="G12" s="22" t="s">
        <v>5</v>
      </c>
      <c r="H12" s="8"/>
    </row>
    <row r="13" spans="1:8" s="12" customFormat="1" ht="19.5" customHeight="1" x14ac:dyDescent="0.3">
      <c r="A13" s="11"/>
      <c r="B13" s="19">
        <f t="array" ref="B13:C13">DaysAndWeeks+DATE(CalendarYear,2,1)-WEEKDAY(DATE(CalendarYear,2,1),(WeekStart="Monday")+1)+36</f>
        <v>41700</v>
      </c>
      <c r="C13" s="19">
        <v>41701</v>
      </c>
      <c r="D13" s="29" t="s">
        <v>0</v>
      </c>
      <c r="E13" s="29"/>
      <c r="F13" s="29"/>
      <c r="G13" s="29"/>
      <c r="H13" s="29"/>
    </row>
    <row r="14" spans="1:8" ht="57.95" customHeight="1" x14ac:dyDescent="0.3">
      <c r="A14" s="1"/>
      <c r="B14" s="9"/>
      <c r="C14" s="9"/>
      <c r="D14" s="28"/>
      <c r="E14" s="28"/>
      <c r="F14" s="28"/>
      <c r="G14" s="28"/>
      <c r="H14" s="28"/>
    </row>
  </sheetData>
  <mergeCells count="3">
    <mergeCell ref="B1:D1"/>
    <mergeCell ref="D13:H13"/>
    <mergeCell ref="D14:H14"/>
  </mergeCells>
  <conditionalFormatting sqref="B11:H11 B13:C13">
    <cfRule type="expression" dxfId="21" priority="2">
      <formula>AND(DAY(B11)&gt;=1,DAY(B11)&lt;=15)</formula>
    </cfRule>
  </conditionalFormatting>
  <conditionalFormatting sqref="B3:G3">
    <cfRule type="expression" dxfId="20" priority="1">
      <formula>DAY(B3)&gt;8</formula>
    </cfRule>
  </conditionalFormatting>
  <dataValidations count="1">
    <dataValidation type="list" allowBlank="1" showInputMessage="1" showErrorMessage="1" sqref="B2">
      <formula1>"SUNDAY,MONDAY"</formula1>
    </dataValidation>
  </dataValidations>
  <printOptions horizontalCentered="1" verticalCentered="1"/>
  <pageMargins left="0.7" right="0.7" top="0.75" bottom="0.75" header="0.3" footer="0.3"/>
  <pageSetup scale="9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/>
    <pageSetUpPr fitToPage="1"/>
  </sheetPr>
  <dimension ref="A1:H14"/>
  <sheetViews>
    <sheetView showGridLines="0" workbookViewId="0">
      <selection activeCell="E17" sqref="E17"/>
    </sheetView>
  </sheetViews>
  <sheetFormatPr defaultColWidth="8.85546875" defaultRowHeight="15" x14ac:dyDescent="0.3"/>
  <cols>
    <col min="1" max="1" width="2.42578125" customWidth="1"/>
    <col min="2" max="2" width="18.28515625" customWidth="1"/>
    <col min="3" max="8" width="17.7109375" customWidth="1"/>
    <col min="9" max="9" width="2.42578125" customWidth="1"/>
    <col min="10" max="10" width="13.7109375" customWidth="1"/>
  </cols>
  <sheetData>
    <row r="1" spans="1:8" s="1" customFormat="1" ht="59.25" customHeight="1" x14ac:dyDescent="0.3">
      <c r="B1" s="27">
        <f>B7</f>
        <v>41707</v>
      </c>
      <c r="C1" s="27"/>
      <c r="D1" s="27"/>
      <c r="E1" s="4"/>
      <c r="F1" s="4"/>
      <c r="G1" s="4"/>
      <c r="H1" s="5"/>
    </row>
    <row r="2" spans="1:8" s="3" customFormat="1" ht="21.75" customHeight="1" thickBot="1" x14ac:dyDescent="0.3">
      <c r="A2" s="2"/>
      <c r="B2" s="20" t="s">
        <v>1</v>
      </c>
      <c r="C2" s="20" t="str">
        <f t="shared" ref="C2:H2" si="0">UPPER(TEXT(C3,"dddd"))</f>
        <v>MONDAY</v>
      </c>
      <c r="D2" s="20" t="str">
        <f t="shared" si="0"/>
        <v>TUESDAY</v>
      </c>
      <c r="E2" s="20" t="str">
        <f t="shared" si="0"/>
        <v>WEDNESDAY</v>
      </c>
      <c r="F2" s="20" t="str">
        <f t="shared" si="0"/>
        <v>THURSDAY</v>
      </c>
      <c r="G2" s="20" t="str">
        <f t="shared" si="0"/>
        <v>FRIDAY</v>
      </c>
      <c r="H2" s="20" t="str">
        <f t="shared" si="0"/>
        <v>SATURDAY</v>
      </c>
    </row>
    <row r="3" spans="1:8" s="12" customFormat="1" ht="19.5" customHeight="1" x14ac:dyDescent="0.3">
      <c r="A3" s="11"/>
      <c r="B3" s="18">
        <f t="array" ref="B3:H3">DaysAndWeeks+DATE(CalendarYear,3,1)-WEEKDAY(DATE(CalendarYear,3,1),(WeekStart="Monday")+1)+1</f>
        <v>41693</v>
      </c>
      <c r="C3" s="18">
        <v>41694</v>
      </c>
      <c r="D3" s="18">
        <v>41695</v>
      </c>
      <c r="E3" s="18">
        <v>41696</v>
      </c>
      <c r="F3" s="18">
        <v>41697</v>
      </c>
      <c r="G3" s="18">
        <v>41698</v>
      </c>
      <c r="H3" s="18">
        <v>41699</v>
      </c>
    </row>
    <row r="4" spans="1:8" ht="57.95" customHeight="1" x14ac:dyDescent="0.3">
      <c r="A4" s="1"/>
      <c r="B4" s="6"/>
      <c r="C4" s="6"/>
      <c r="D4" s="7"/>
      <c r="E4" s="7"/>
      <c r="F4" s="7"/>
      <c r="G4" s="8"/>
      <c r="H4" s="8"/>
    </row>
    <row r="5" spans="1:8" s="12" customFormat="1" ht="19.5" customHeight="1" x14ac:dyDescent="0.3">
      <c r="A5" s="11"/>
      <c r="B5" s="19">
        <f t="array" ref="B5:H5">DaysAndWeeks+DATE(CalendarYear,3,1)-WEEKDAY(DATE(CalendarYear,3,1),(WeekStart="Monday")+1)+8</f>
        <v>41700</v>
      </c>
      <c r="C5" s="19">
        <v>41701</v>
      </c>
      <c r="D5" s="19">
        <v>41702</v>
      </c>
      <c r="E5" s="19">
        <v>41703</v>
      </c>
      <c r="F5" s="19">
        <v>41704</v>
      </c>
      <c r="G5" s="19">
        <v>41705</v>
      </c>
      <c r="H5" s="19">
        <v>41706</v>
      </c>
    </row>
    <row r="6" spans="1:8" ht="57.95" customHeight="1" x14ac:dyDescent="0.3">
      <c r="A6" s="1"/>
      <c r="B6" s="9"/>
      <c r="C6" s="9"/>
      <c r="D6" s="9"/>
      <c r="E6" s="9"/>
      <c r="F6" s="9"/>
      <c r="G6" s="10"/>
      <c r="H6" s="10"/>
    </row>
    <row r="7" spans="1:8" s="12" customFormat="1" ht="19.5" customHeight="1" x14ac:dyDescent="0.3">
      <c r="A7" s="11"/>
      <c r="B7" s="18">
        <f t="array" ref="B7:H7">DaysAndWeeks+DATE(CalendarYear,3,1)-WEEKDAY(DATE(CalendarYear,3,1),(WeekStart="Monday")+1)+15</f>
        <v>41707</v>
      </c>
      <c r="C7" s="18">
        <v>41708</v>
      </c>
      <c r="D7" s="18">
        <v>41709</v>
      </c>
      <c r="E7" s="18">
        <v>41710</v>
      </c>
      <c r="F7" s="18">
        <v>41711</v>
      </c>
      <c r="G7" s="18">
        <v>41712</v>
      </c>
      <c r="H7" s="18">
        <v>41713</v>
      </c>
    </row>
    <row r="8" spans="1:8" ht="57.95" customHeight="1" x14ac:dyDescent="0.3">
      <c r="A8" s="1"/>
      <c r="B8" s="6"/>
      <c r="C8" s="6"/>
      <c r="D8" s="7"/>
      <c r="E8" s="7"/>
      <c r="F8" s="7"/>
      <c r="G8" s="8"/>
      <c r="H8" s="8"/>
    </row>
    <row r="9" spans="1:8" s="12" customFormat="1" ht="19.5" customHeight="1" x14ac:dyDescent="0.3">
      <c r="A9" s="11"/>
      <c r="B9" s="19">
        <f t="array" ref="B9:H9">DaysAndWeeks+DATE(CalendarYear,3,1)-WEEKDAY(DATE(CalendarYear,3,1),(WeekStart="Monday")+1)+22</f>
        <v>41714</v>
      </c>
      <c r="C9" s="19">
        <v>41715</v>
      </c>
      <c r="D9" s="19">
        <v>41716</v>
      </c>
      <c r="E9" s="19">
        <v>41717</v>
      </c>
      <c r="F9" s="19">
        <v>41718</v>
      </c>
      <c r="G9" s="19">
        <v>41719</v>
      </c>
      <c r="H9" s="19">
        <v>41720</v>
      </c>
    </row>
    <row r="10" spans="1:8" ht="57.95" customHeight="1" x14ac:dyDescent="0.3">
      <c r="A10" s="1"/>
      <c r="B10" s="9"/>
      <c r="C10" s="9"/>
      <c r="D10" s="9"/>
      <c r="E10" s="9"/>
      <c r="F10" s="9"/>
      <c r="G10" s="10"/>
      <c r="H10" s="10"/>
    </row>
    <row r="11" spans="1:8" s="12" customFormat="1" ht="19.5" customHeight="1" x14ac:dyDescent="0.3">
      <c r="A11" s="11"/>
      <c r="B11" s="18">
        <f t="array" ref="B11:H11">DaysAndWeeks+DATE(CalendarYear,3,1)-WEEKDAY(DATE(CalendarYear,3,1),(WeekStart="Monday")+1)+29</f>
        <v>41721</v>
      </c>
      <c r="C11" s="18">
        <v>41722</v>
      </c>
      <c r="D11" s="18">
        <v>41723</v>
      </c>
      <c r="E11" s="18">
        <v>41724</v>
      </c>
      <c r="F11" s="18">
        <v>41725</v>
      </c>
      <c r="G11" s="18">
        <v>41726</v>
      </c>
      <c r="H11" s="18">
        <v>41727</v>
      </c>
    </row>
    <row r="12" spans="1:8" ht="57.95" customHeight="1" x14ac:dyDescent="0.3">
      <c r="A12" s="1"/>
      <c r="B12" s="6"/>
      <c r="C12" s="6"/>
      <c r="D12" s="6" t="s">
        <v>10</v>
      </c>
      <c r="E12" s="7" t="s">
        <v>7</v>
      </c>
      <c r="F12" s="7" t="s">
        <v>6</v>
      </c>
      <c r="G12" s="8"/>
      <c r="H12" s="8"/>
    </row>
    <row r="13" spans="1:8" s="12" customFormat="1" ht="19.5" customHeight="1" x14ac:dyDescent="0.3">
      <c r="A13" s="11"/>
      <c r="B13" s="19">
        <f t="array" ref="B13:C13">DaysAndWeeks+DATE(CalendarYear,3,1)-WEEKDAY(DATE(CalendarYear,3,1),(WeekStart="Monday")+1)+36</f>
        <v>41728</v>
      </c>
      <c r="C13" s="19">
        <v>41729</v>
      </c>
      <c r="D13" s="29" t="s">
        <v>0</v>
      </c>
      <c r="E13" s="29"/>
      <c r="F13" s="29"/>
      <c r="G13" s="29"/>
      <c r="H13" s="29"/>
    </row>
    <row r="14" spans="1:8" ht="57.95" customHeight="1" x14ac:dyDescent="0.3">
      <c r="A14" s="1"/>
      <c r="B14" s="9"/>
      <c r="C14" s="25" t="s">
        <v>5</v>
      </c>
      <c r="D14" s="28"/>
      <c r="E14" s="28"/>
      <c r="F14" s="28"/>
      <c r="G14" s="28"/>
      <c r="H14" s="28"/>
    </row>
  </sheetData>
  <mergeCells count="3">
    <mergeCell ref="B1:D1"/>
    <mergeCell ref="D13:H13"/>
    <mergeCell ref="D14:H14"/>
  </mergeCells>
  <conditionalFormatting sqref="B11:H11 B13:C13">
    <cfRule type="expression" dxfId="19" priority="2">
      <formula>AND(DAY(B11)&gt;=1,DAY(B11)&lt;=15)</formula>
    </cfRule>
  </conditionalFormatting>
  <conditionalFormatting sqref="B3:G3">
    <cfRule type="expression" dxfId="18" priority="1">
      <formula>DAY(B3)&gt;8</formula>
    </cfRule>
  </conditionalFormatting>
  <dataValidations count="1">
    <dataValidation type="list" allowBlank="1" showInputMessage="1" showErrorMessage="1" sqref="B2">
      <formula1>"SUNDAY,MONDAY"</formula1>
    </dataValidation>
  </dataValidations>
  <printOptions horizontalCentered="1" verticalCentered="1"/>
  <pageMargins left="0.7" right="0.7" top="0.75" bottom="0.75" header="0.3" footer="0.3"/>
  <pageSetup scale="9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39997558519241921"/>
    <pageSetUpPr fitToPage="1"/>
  </sheetPr>
  <dimension ref="A1:H14"/>
  <sheetViews>
    <sheetView showGridLines="0" workbookViewId="0">
      <selection activeCell="E12" sqref="E12"/>
    </sheetView>
  </sheetViews>
  <sheetFormatPr defaultColWidth="8.85546875" defaultRowHeight="15" x14ac:dyDescent="0.3"/>
  <cols>
    <col min="1" max="1" width="2.42578125" customWidth="1"/>
    <col min="2" max="2" width="18.28515625" customWidth="1"/>
    <col min="3" max="8" width="17.7109375" customWidth="1"/>
    <col min="9" max="9" width="2.42578125" customWidth="1"/>
    <col min="10" max="10" width="13.7109375" customWidth="1"/>
  </cols>
  <sheetData>
    <row r="1" spans="1:8" s="1" customFormat="1" ht="59.25" customHeight="1" x14ac:dyDescent="0.3">
      <c r="B1" s="27">
        <f>B7</f>
        <v>41742</v>
      </c>
      <c r="C1" s="27"/>
      <c r="D1" s="27"/>
      <c r="E1" s="4"/>
      <c r="F1" s="4"/>
      <c r="G1" s="4"/>
      <c r="H1" s="5"/>
    </row>
    <row r="2" spans="1:8" s="3" customFormat="1" ht="21.75" customHeight="1" thickBot="1" x14ac:dyDescent="0.3">
      <c r="A2" s="2"/>
      <c r="B2" s="20" t="s">
        <v>1</v>
      </c>
      <c r="C2" s="20" t="str">
        <f t="shared" ref="C2:H2" si="0">UPPER(TEXT(C3,"dddd"))</f>
        <v>MONDAY</v>
      </c>
      <c r="D2" s="20" t="str">
        <f t="shared" si="0"/>
        <v>TUESDAY</v>
      </c>
      <c r="E2" s="20" t="str">
        <f t="shared" si="0"/>
        <v>WEDNESDAY</v>
      </c>
      <c r="F2" s="20" t="str">
        <f t="shared" si="0"/>
        <v>THURSDAY</v>
      </c>
      <c r="G2" s="20" t="str">
        <f t="shared" si="0"/>
        <v>FRIDAY</v>
      </c>
      <c r="H2" s="20" t="str">
        <f t="shared" si="0"/>
        <v>SATURDAY</v>
      </c>
    </row>
    <row r="3" spans="1:8" s="12" customFormat="1" ht="19.5" customHeight="1" x14ac:dyDescent="0.3">
      <c r="A3" s="11"/>
      <c r="B3" s="18">
        <f t="array" ref="B3:H3">DaysAndWeeks+DATE(CalendarYear,4,1)-WEEKDAY(DATE(CalendarYear,4,1),(WeekStart="Monday")+1)+1</f>
        <v>41728</v>
      </c>
      <c r="C3" s="18">
        <v>41729</v>
      </c>
      <c r="D3" s="18">
        <v>41730</v>
      </c>
      <c r="E3" s="18">
        <v>41731</v>
      </c>
      <c r="F3" s="18">
        <v>41732</v>
      </c>
      <c r="G3" s="18">
        <v>41733</v>
      </c>
      <c r="H3" s="18">
        <v>41734</v>
      </c>
    </row>
    <row r="4" spans="1:8" ht="57.95" customHeight="1" x14ac:dyDescent="0.3">
      <c r="A4" s="1"/>
      <c r="B4" s="6"/>
      <c r="C4" s="6"/>
      <c r="D4" s="7"/>
      <c r="E4" s="7"/>
      <c r="F4" s="7"/>
      <c r="G4" s="8"/>
      <c r="H4" s="8"/>
    </row>
    <row r="5" spans="1:8" s="12" customFormat="1" ht="19.5" customHeight="1" x14ac:dyDescent="0.3">
      <c r="A5" s="11"/>
      <c r="B5" s="19">
        <f t="array" ref="B5:H5">DaysAndWeeks+DATE(CalendarYear,4,1)-WEEKDAY(DATE(CalendarYear,4,1),(WeekStart="Monday")+1)+8</f>
        <v>41735</v>
      </c>
      <c r="C5" s="19">
        <v>41736</v>
      </c>
      <c r="D5" s="19">
        <v>41737</v>
      </c>
      <c r="E5" s="19">
        <v>41738</v>
      </c>
      <c r="F5" s="19">
        <v>41739</v>
      </c>
      <c r="G5" s="19">
        <v>41740</v>
      </c>
      <c r="H5" s="19">
        <v>41741</v>
      </c>
    </row>
    <row r="6" spans="1:8" ht="57.95" customHeight="1" x14ac:dyDescent="0.3">
      <c r="A6" s="1"/>
      <c r="B6" s="9"/>
      <c r="C6" s="9"/>
      <c r="D6" s="9"/>
      <c r="E6" s="9"/>
      <c r="F6" s="9"/>
      <c r="G6" s="10"/>
      <c r="H6" s="10"/>
    </row>
    <row r="7" spans="1:8" s="12" customFormat="1" ht="19.5" customHeight="1" x14ac:dyDescent="0.3">
      <c r="A7" s="11"/>
      <c r="B7" s="18">
        <f t="array" ref="B7:H7">DaysAndWeeks+DATE(CalendarYear,4,1)-WEEKDAY(DATE(CalendarYear,4,1),(WeekStart="Monday")+1)+15</f>
        <v>41742</v>
      </c>
      <c r="C7" s="18">
        <v>41743</v>
      </c>
      <c r="D7" s="18">
        <v>41744</v>
      </c>
      <c r="E7" s="18">
        <v>41745</v>
      </c>
      <c r="F7" s="18">
        <v>41746</v>
      </c>
      <c r="G7" s="18">
        <v>41747</v>
      </c>
      <c r="H7" s="18">
        <v>41748</v>
      </c>
    </row>
    <row r="8" spans="1:8" ht="57.95" customHeight="1" x14ac:dyDescent="0.3">
      <c r="A8" s="1"/>
      <c r="B8" s="6"/>
      <c r="C8" s="6"/>
      <c r="D8" s="7"/>
      <c r="E8" s="7"/>
      <c r="F8" s="7"/>
      <c r="G8" s="8"/>
      <c r="H8" s="8"/>
    </row>
    <row r="9" spans="1:8" s="12" customFormat="1" ht="19.5" customHeight="1" x14ac:dyDescent="0.3">
      <c r="A9" s="11"/>
      <c r="B9" s="19">
        <f t="array" ref="B9:H9">DaysAndWeeks+DATE(CalendarYear,4,1)-WEEKDAY(DATE(CalendarYear,4,1),(WeekStart="Monday")+1)+22</f>
        <v>41749</v>
      </c>
      <c r="C9" s="19">
        <v>41750</v>
      </c>
      <c r="D9" s="19">
        <v>41751</v>
      </c>
      <c r="E9" s="19">
        <v>41752</v>
      </c>
      <c r="F9" s="19">
        <v>41753</v>
      </c>
      <c r="G9" s="19">
        <v>41754</v>
      </c>
      <c r="H9" s="19">
        <v>41755</v>
      </c>
    </row>
    <row r="10" spans="1:8" ht="57.95" customHeight="1" x14ac:dyDescent="0.3">
      <c r="A10" s="1"/>
      <c r="B10" s="9"/>
      <c r="C10" s="9"/>
      <c r="D10" s="9"/>
      <c r="E10" s="9"/>
      <c r="F10" s="9" t="s">
        <v>10</v>
      </c>
      <c r="G10" s="9" t="s">
        <v>7</v>
      </c>
      <c r="H10" s="10"/>
    </row>
    <row r="11" spans="1:8" s="12" customFormat="1" ht="19.5" customHeight="1" x14ac:dyDescent="0.3">
      <c r="A11" s="11"/>
      <c r="B11" s="18">
        <f t="array" ref="B11:H11">DaysAndWeeks+DATE(CalendarYear,4,1)-WEEKDAY(DATE(CalendarYear,4,1),(WeekStart="Monday")+1)+29</f>
        <v>41756</v>
      </c>
      <c r="C11" s="18">
        <v>41757</v>
      </c>
      <c r="D11" s="18">
        <v>41758</v>
      </c>
      <c r="E11" s="18">
        <v>41759</v>
      </c>
      <c r="F11" s="18">
        <v>41760</v>
      </c>
      <c r="G11" s="18">
        <v>41761</v>
      </c>
      <c r="H11" s="18">
        <v>41762</v>
      </c>
    </row>
    <row r="12" spans="1:8" ht="57.95" customHeight="1" x14ac:dyDescent="0.3">
      <c r="A12" s="1"/>
      <c r="B12" s="6"/>
      <c r="C12" s="7" t="s">
        <v>6</v>
      </c>
      <c r="D12" s="7"/>
      <c r="E12" s="22" t="s">
        <v>5</v>
      </c>
      <c r="F12" s="6"/>
      <c r="G12" s="8"/>
      <c r="H12" s="8"/>
    </row>
    <row r="13" spans="1:8" s="12" customFormat="1" ht="19.5" customHeight="1" x14ac:dyDescent="0.3">
      <c r="A13" s="11"/>
      <c r="B13" s="19">
        <f t="array" ref="B13:C13">DaysAndWeeks+DATE(CalendarYear,4,1)-WEEKDAY(DATE(CalendarYear,4,1),(WeekStart="Monday")+1)+36</f>
        <v>41763</v>
      </c>
      <c r="C13" s="19">
        <v>41764</v>
      </c>
      <c r="D13" s="29" t="s">
        <v>0</v>
      </c>
      <c r="E13" s="29"/>
      <c r="F13" s="29"/>
      <c r="G13" s="29"/>
      <c r="H13" s="29"/>
    </row>
    <row r="14" spans="1:8" ht="57.95" customHeight="1" x14ac:dyDescent="0.3">
      <c r="A14" s="1"/>
      <c r="B14" s="9"/>
      <c r="C14" s="9"/>
      <c r="D14" s="28"/>
      <c r="E14" s="28"/>
      <c r="F14" s="28"/>
      <c r="G14" s="28"/>
      <c r="H14" s="28"/>
    </row>
  </sheetData>
  <mergeCells count="3">
    <mergeCell ref="B1:D1"/>
    <mergeCell ref="D13:H13"/>
    <mergeCell ref="D14:H14"/>
  </mergeCells>
  <conditionalFormatting sqref="B11:H11 B13:C13">
    <cfRule type="expression" dxfId="17" priority="2">
      <formula>AND(DAY(B11)&gt;=1,DAY(B11)&lt;=15)</formula>
    </cfRule>
  </conditionalFormatting>
  <conditionalFormatting sqref="B3:G3">
    <cfRule type="expression" dxfId="16" priority="1">
      <formula>DAY(B3)&gt;8</formula>
    </cfRule>
  </conditionalFormatting>
  <dataValidations count="1">
    <dataValidation type="list" allowBlank="1" showInputMessage="1" showErrorMessage="1" sqref="B2">
      <formula1>"SUNDAY,MONDAY"</formula1>
    </dataValidation>
  </dataValidations>
  <printOptions horizontalCentered="1" verticalCentered="1"/>
  <pageMargins left="0.7" right="0.7" top="0.75" bottom="0.75" header="0.3" footer="0.3"/>
  <pageSetup scale="9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59999389629810485"/>
    <pageSetUpPr fitToPage="1"/>
  </sheetPr>
  <dimension ref="A1:H14"/>
  <sheetViews>
    <sheetView showGridLines="0" workbookViewId="0">
      <selection activeCell="D14" sqref="D14:H14"/>
    </sheetView>
  </sheetViews>
  <sheetFormatPr defaultColWidth="8.85546875" defaultRowHeight="15" x14ac:dyDescent="0.3"/>
  <cols>
    <col min="1" max="1" width="2.42578125" customWidth="1"/>
    <col min="2" max="2" width="18.28515625" customWidth="1"/>
    <col min="3" max="8" width="17.7109375" customWidth="1"/>
    <col min="9" max="9" width="2.42578125" customWidth="1"/>
    <col min="10" max="10" width="13.7109375" customWidth="1"/>
  </cols>
  <sheetData>
    <row r="1" spans="1:8" s="1" customFormat="1" ht="59.25" customHeight="1" x14ac:dyDescent="0.3">
      <c r="B1" s="27">
        <f>B7</f>
        <v>41770</v>
      </c>
      <c r="C1" s="27"/>
      <c r="D1" s="27"/>
      <c r="E1" s="4"/>
      <c r="F1" s="4"/>
      <c r="G1" s="4"/>
      <c r="H1" s="5"/>
    </row>
    <row r="2" spans="1:8" s="3" customFormat="1" ht="21.75" customHeight="1" thickBot="1" x14ac:dyDescent="0.3">
      <c r="A2" s="2"/>
      <c r="B2" s="20" t="s">
        <v>1</v>
      </c>
      <c r="C2" s="20" t="str">
        <f t="shared" ref="C2:H2" si="0">UPPER(TEXT(C3,"dddd"))</f>
        <v>MONDAY</v>
      </c>
      <c r="D2" s="20" t="str">
        <f t="shared" si="0"/>
        <v>TUESDAY</v>
      </c>
      <c r="E2" s="20" t="str">
        <f t="shared" si="0"/>
        <v>WEDNESDAY</v>
      </c>
      <c r="F2" s="20" t="str">
        <f t="shared" si="0"/>
        <v>THURSDAY</v>
      </c>
      <c r="G2" s="20" t="str">
        <f t="shared" si="0"/>
        <v>FRIDAY</v>
      </c>
      <c r="H2" s="20" t="str">
        <f t="shared" si="0"/>
        <v>SATURDAY</v>
      </c>
    </row>
    <row r="3" spans="1:8" s="12" customFormat="1" ht="19.5" customHeight="1" x14ac:dyDescent="0.3">
      <c r="A3" s="11"/>
      <c r="B3" s="18">
        <f t="array" ref="B3:H3">DaysAndWeeks+DATE(CalendarYear,5,1)-WEEKDAY(DATE(CalendarYear,5,1),(WeekStart="Monday")+1)+1</f>
        <v>41756</v>
      </c>
      <c r="C3" s="18">
        <v>41757</v>
      </c>
      <c r="D3" s="18">
        <v>41758</v>
      </c>
      <c r="E3" s="18">
        <v>41759</v>
      </c>
      <c r="F3" s="18">
        <v>41760</v>
      </c>
      <c r="G3" s="18">
        <v>41761</v>
      </c>
      <c r="H3" s="18">
        <v>41762</v>
      </c>
    </row>
    <row r="4" spans="1:8" ht="57.95" customHeight="1" x14ac:dyDescent="0.3">
      <c r="A4" s="1"/>
      <c r="B4" s="6"/>
      <c r="C4" s="6"/>
      <c r="D4" s="7"/>
      <c r="E4" s="7"/>
      <c r="F4" s="7"/>
      <c r="G4" s="8"/>
      <c r="H4" s="8"/>
    </row>
    <row r="5" spans="1:8" s="12" customFormat="1" ht="19.5" customHeight="1" x14ac:dyDescent="0.3">
      <c r="A5" s="11"/>
      <c r="B5" s="19">
        <f t="array" ref="B5:H5">DaysAndWeeks+DATE(CalendarYear,5,1)-WEEKDAY(DATE(CalendarYear,5,1),(WeekStart="Monday")+1)+8</f>
        <v>41763</v>
      </c>
      <c r="C5" s="19">
        <v>41764</v>
      </c>
      <c r="D5" s="19">
        <v>41765</v>
      </c>
      <c r="E5" s="19">
        <v>41766</v>
      </c>
      <c r="F5" s="19">
        <v>41767</v>
      </c>
      <c r="G5" s="19">
        <v>41768</v>
      </c>
      <c r="H5" s="19">
        <v>41769</v>
      </c>
    </row>
    <row r="6" spans="1:8" ht="57.95" customHeight="1" x14ac:dyDescent="0.3">
      <c r="A6" s="1"/>
      <c r="B6" s="9"/>
      <c r="C6" s="9"/>
      <c r="D6" s="9"/>
      <c r="E6" s="9"/>
      <c r="F6" s="9"/>
      <c r="G6" s="10"/>
      <c r="H6" s="10"/>
    </row>
    <row r="7" spans="1:8" s="12" customFormat="1" ht="19.5" customHeight="1" x14ac:dyDescent="0.3">
      <c r="A7" s="11"/>
      <c r="B7" s="18">
        <f t="array" ref="B7:H7">DaysAndWeeks+DATE(CalendarYear,5,1)-WEEKDAY(DATE(CalendarYear,5,1),(WeekStart="Monday")+1)+15</f>
        <v>41770</v>
      </c>
      <c r="C7" s="18">
        <v>41771</v>
      </c>
      <c r="D7" s="18">
        <v>41772</v>
      </c>
      <c r="E7" s="18">
        <v>41773</v>
      </c>
      <c r="F7" s="18">
        <v>41774</v>
      </c>
      <c r="G7" s="18">
        <v>41775</v>
      </c>
      <c r="H7" s="18">
        <v>41776</v>
      </c>
    </row>
    <row r="8" spans="1:8" ht="57.95" customHeight="1" x14ac:dyDescent="0.3">
      <c r="A8" s="1"/>
      <c r="B8" s="6"/>
      <c r="C8" s="6"/>
      <c r="D8" s="7"/>
      <c r="E8" s="7"/>
      <c r="F8" s="7"/>
      <c r="G8" s="8"/>
      <c r="H8" s="8"/>
    </row>
    <row r="9" spans="1:8" s="12" customFormat="1" ht="19.5" customHeight="1" x14ac:dyDescent="0.3">
      <c r="A9" s="11"/>
      <c r="B9" s="19">
        <f t="array" ref="B9:H9">DaysAndWeeks+DATE(CalendarYear,5,1)-WEEKDAY(DATE(CalendarYear,5,1),(WeekStart="Monday")+1)+22</f>
        <v>41777</v>
      </c>
      <c r="C9" s="19">
        <v>41778</v>
      </c>
      <c r="D9" s="19">
        <v>41779</v>
      </c>
      <c r="E9" s="19">
        <v>41780</v>
      </c>
      <c r="F9" s="19">
        <v>41781</v>
      </c>
      <c r="G9" s="19">
        <v>41782</v>
      </c>
      <c r="H9" s="19">
        <v>41783</v>
      </c>
    </row>
    <row r="10" spans="1:8" ht="57.95" customHeight="1" x14ac:dyDescent="0.3">
      <c r="A10" s="1"/>
      <c r="B10" s="9"/>
      <c r="C10" s="9"/>
      <c r="D10" s="9"/>
      <c r="E10" s="9"/>
      <c r="F10" s="9"/>
      <c r="G10" s="9" t="s">
        <v>10</v>
      </c>
      <c r="H10" s="10"/>
    </row>
    <row r="11" spans="1:8" s="12" customFormat="1" ht="19.5" customHeight="1" x14ac:dyDescent="0.3">
      <c r="A11" s="11"/>
      <c r="B11" s="18">
        <f t="array" ref="B11:H11">DaysAndWeeks+DATE(CalendarYear,5,1)-WEEKDAY(DATE(CalendarYear,5,1),(WeekStart="Monday")+1)+29</f>
        <v>41784</v>
      </c>
      <c r="C11" s="18">
        <v>41785</v>
      </c>
      <c r="D11" s="18">
        <v>41786</v>
      </c>
      <c r="E11" s="18">
        <v>41787</v>
      </c>
      <c r="F11" s="18">
        <v>41788</v>
      </c>
      <c r="G11" s="18">
        <v>41789</v>
      </c>
      <c r="H11" s="18">
        <v>41790</v>
      </c>
    </row>
    <row r="12" spans="1:8" ht="57.95" customHeight="1" x14ac:dyDescent="0.3">
      <c r="A12" s="1"/>
      <c r="B12" s="6"/>
      <c r="C12" s="6" t="s">
        <v>15</v>
      </c>
      <c r="D12" s="7" t="s">
        <v>7</v>
      </c>
      <c r="E12" s="7" t="s">
        <v>6</v>
      </c>
      <c r="F12" s="6"/>
      <c r="G12" s="22" t="s">
        <v>5</v>
      </c>
      <c r="H12" s="8"/>
    </row>
    <row r="13" spans="1:8" s="12" customFormat="1" ht="19.5" customHeight="1" x14ac:dyDescent="0.3">
      <c r="A13" s="11"/>
      <c r="B13" s="19">
        <f t="array" ref="B13:C13">DaysAndWeeks+DATE(CalendarYear,5,1)-WEEKDAY(DATE(CalendarYear,5,1),(WeekStart="Monday")+1)+36</f>
        <v>41791</v>
      </c>
      <c r="C13" s="19">
        <v>41792</v>
      </c>
      <c r="D13" s="29" t="s">
        <v>0</v>
      </c>
      <c r="E13" s="29"/>
      <c r="F13" s="29"/>
      <c r="G13" s="29"/>
      <c r="H13" s="29"/>
    </row>
    <row r="14" spans="1:8" ht="57.95" customHeight="1" x14ac:dyDescent="0.3">
      <c r="A14" s="1"/>
      <c r="B14" s="9"/>
      <c r="C14" s="9"/>
      <c r="D14" s="28"/>
      <c r="E14" s="28"/>
      <c r="F14" s="28"/>
      <c r="G14" s="28"/>
      <c r="H14" s="28"/>
    </row>
  </sheetData>
  <mergeCells count="3">
    <mergeCell ref="B1:D1"/>
    <mergeCell ref="D13:H13"/>
    <mergeCell ref="D14:H14"/>
  </mergeCells>
  <conditionalFormatting sqref="B11:H11 B13:C13">
    <cfRule type="expression" dxfId="15" priority="2">
      <formula>AND(DAY(B11)&gt;=1,DAY(B11)&lt;=15)</formula>
    </cfRule>
  </conditionalFormatting>
  <conditionalFormatting sqref="B3:G3">
    <cfRule type="expression" dxfId="14" priority="1">
      <formula>DAY(B3)&gt;8</formula>
    </cfRule>
  </conditionalFormatting>
  <dataValidations count="1">
    <dataValidation type="list" allowBlank="1" showInputMessage="1" showErrorMessage="1" sqref="B2">
      <formula1>"SUNDAY,MONDAY"</formula1>
    </dataValidation>
  </dataValidations>
  <printOptions horizontalCentered="1" verticalCentered="1"/>
  <pageMargins left="0.7" right="0.7" top="0.75" bottom="0.75" header="0.3" footer="0.3"/>
  <pageSetup scale="9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4" tint="0.79998168889431442"/>
    <pageSetUpPr fitToPage="1"/>
  </sheetPr>
  <dimension ref="A1:H14"/>
  <sheetViews>
    <sheetView showGridLines="0" workbookViewId="0">
      <selection activeCell="D14" sqref="D14:H14"/>
    </sheetView>
  </sheetViews>
  <sheetFormatPr defaultColWidth="8.85546875" defaultRowHeight="15" x14ac:dyDescent="0.3"/>
  <cols>
    <col min="1" max="1" width="2.42578125" customWidth="1"/>
    <col min="2" max="2" width="18.28515625" customWidth="1"/>
    <col min="3" max="8" width="17.7109375" customWidth="1"/>
    <col min="9" max="9" width="2.42578125" customWidth="1"/>
    <col min="10" max="10" width="13.7109375" customWidth="1"/>
  </cols>
  <sheetData>
    <row r="1" spans="1:8" s="1" customFormat="1" ht="59.25" customHeight="1" x14ac:dyDescent="0.3">
      <c r="B1" s="27">
        <f>B7</f>
        <v>41805</v>
      </c>
      <c r="C1" s="27"/>
      <c r="D1" s="27"/>
      <c r="E1" s="4"/>
      <c r="F1" s="4"/>
      <c r="G1" s="4"/>
      <c r="H1" s="5"/>
    </row>
    <row r="2" spans="1:8" s="3" customFormat="1" ht="21.75" customHeight="1" thickBot="1" x14ac:dyDescent="0.3">
      <c r="A2" s="2"/>
      <c r="B2" s="20" t="s">
        <v>1</v>
      </c>
      <c r="C2" s="20" t="str">
        <f t="shared" ref="C2:H2" si="0">UPPER(TEXT(C3,"dddd"))</f>
        <v>MONDAY</v>
      </c>
      <c r="D2" s="20" t="str">
        <f t="shared" si="0"/>
        <v>TUESDAY</v>
      </c>
      <c r="E2" s="20" t="str">
        <f t="shared" si="0"/>
        <v>WEDNESDAY</v>
      </c>
      <c r="F2" s="20" t="str">
        <f t="shared" si="0"/>
        <v>THURSDAY</v>
      </c>
      <c r="G2" s="20" t="str">
        <f t="shared" si="0"/>
        <v>FRIDAY</v>
      </c>
      <c r="H2" s="20" t="str">
        <f t="shared" si="0"/>
        <v>SATURDAY</v>
      </c>
    </row>
    <row r="3" spans="1:8" s="12" customFormat="1" ht="19.5" customHeight="1" x14ac:dyDescent="0.3">
      <c r="A3" s="11"/>
      <c r="B3" s="18">
        <f t="array" ref="B3:H3">DaysAndWeeks+DATE(CalendarYear,6,1)-WEEKDAY(DATE(CalendarYear,6,1),(WeekStart="Monday")+1)+1</f>
        <v>41791</v>
      </c>
      <c r="C3" s="18">
        <v>41792</v>
      </c>
      <c r="D3" s="18">
        <v>41793</v>
      </c>
      <c r="E3" s="18">
        <v>41794</v>
      </c>
      <c r="F3" s="18">
        <v>41795</v>
      </c>
      <c r="G3" s="18">
        <v>41796</v>
      </c>
      <c r="H3" s="18">
        <v>41797</v>
      </c>
    </row>
    <row r="4" spans="1:8" ht="57.95" customHeight="1" x14ac:dyDescent="0.3">
      <c r="A4" s="1"/>
      <c r="B4" s="6"/>
      <c r="C4" s="6"/>
      <c r="D4" s="7"/>
      <c r="E4" s="7"/>
      <c r="F4" s="7"/>
      <c r="G4" s="8"/>
      <c r="H4" s="8"/>
    </row>
    <row r="5" spans="1:8" s="12" customFormat="1" ht="19.5" customHeight="1" x14ac:dyDescent="0.3">
      <c r="A5" s="11"/>
      <c r="B5" s="19">
        <f t="array" ref="B5:H5">DaysAndWeeks+DATE(CalendarYear,6,1)-WEEKDAY(DATE(CalendarYear,6,1),(WeekStart="Monday")+1)+8</f>
        <v>41798</v>
      </c>
      <c r="C5" s="19">
        <v>41799</v>
      </c>
      <c r="D5" s="19">
        <v>41800</v>
      </c>
      <c r="E5" s="19">
        <v>41801</v>
      </c>
      <c r="F5" s="19">
        <v>41802</v>
      </c>
      <c r="G5" s="19">
        <v>41803</v>
      </c>
      <c r="H5" s="19">
        <v>41804</v>
      </c>
    </row>
    <row r="6" spans="1:8" ht="57.95" customHeight="1" x14ac:dyDescent="0.3">
      <c r="A6" s="1"/>
      <c r="B6" s="9"/>
      <c r="C6" s="9"/>
      <c r="D6" s="9"/>
      <c r="E6" s="9"/>
      <c r="F6" s="9"/>
      <c r="G6" s="10"/>
      <c r="H6" s="10"/>
    </row>
    <row r="7" spans="1:8" s="12" customFormat="1" ht="19.5" customHeight="1" x14ac:dyDescent="0.3">
      <c r="A7" s="11"/>
      <c r="B7" s="18">
        <f t="array" ref="B7:H7">DaysAndWeeks+DATE(CalendarYear,6,1)-WEEKDAY(DATE(CalendarYear,6,1),(WeekStart="Monday")+1)+15</f>
        <v>41805</v>
      </c>
      <c r="C7" s="18">
        <v>41806</v>
      </c>
      <c r="D7" s="18">
        <v>41807</v>
      </c>
      <c r="E7" s="18">
        <v>41808</v>
      </c>
      <c r="F7" s="18">
        <v>41809</v>
      </c>
      <c r="G7" s="18">
        <v>41810</v>
      </c>
      <c r="H7" s="18">
        <v>41811</v>
      </c>
    </row>
    <row r="8" spans="1:8" ht="57.95" customHeight="1" x14ac:dyDescent="0.3">
      <c r="A8" s="1"/>
      <c r="B8" s="6"/>
      <c r="C8" s="6"/>
      <c r="D8" s="7"/>
      <c r="E8" s="7"/>
      <c r="F8" s="7"/>
      <c r="G8" s="8"/>
      <c r="H8" s="8"/>
    </row>
    <row r="9" spans="1:8" s="12" customFormat="1" ht="19.5" customHeight="1" x14ac:dyDescent="0.3">
      <c r="A9" s="11"/>
      <c r="B9" s="19">
        <f t="array" ref="B9:H9">DaysAndWeeks+DATE(CalendarYear,6,1)-WEEKDAY(DATE(CalendarYear,6,1),(WeekStart="Monday")+1)+22</f>
        <v>41812</v>
      </c>
      <c r="C9" s="19">
        <v>41813</v>
      </c>
      <c r="D9" s="19">
        <v>41814</v>
      </c>
      <c r="E9" s="19">
        <v>41815</v>
      </c>
      <c r="F9" s="19">
        <v>41816</v>
      </c>
      <c r="G9" s="19">
        <v>41817</v>
      </c>
      <c r="H9" s="19">
        <v>41818</v>
      </c>
    </row>
    <row r="10" spans="1:8" ht="57.95" customHeight="1" x14ac:dyDescent="0.3">
      <c r="A10" s="1"/>
      <c r="B10" s="9"/>
      <c r="C10" s="9"/>
      <c r="D10" s="9" t="s">
        <v>10</v>
      </c>
      <c r="E10" s="9" t="s">
        <v>7</v>
      </c>
      <c r="F10" s="9" t="s">
        <v>6</v>
      </c>
      <c r="G10" s="10"/>
      <c r="H10" s="10"/>
    </row>
    <row r="11" spans="1:8" s="12" customFormat="1" ht="19.5" customHeight="1" x14ac:dyDescent="0.3">
      <c r="A11" s="11"/>
      <c r="B11" s="18">
        <f t="array" ref="B11:H11">DaysAndWeeks+DATE(CalendarYear,6,1)-WEEKDAY(DATE(CalendarYear,6,1),(WeekStart="Monday")+1)+29</f>
        <v>41819</v>
      </c>
      <c r="C11" s="18">
        <v>41820</v>
      </c>
      <c r="D11" s="18">
        <v>41821</v>
      </c>
      <c r="E11" s="18">
        <v>41822</v>
      </c>
      <c r="F11" s="18">
        <v>41823</v>
      </c>
      <c r="G11" s="18">
        <v>41824</v>
      </c>
      <c r="H11" s="18">
        <v>41825</v>
      </c>
    </row>
    <row r="12" spans="1:8" ht="57.95" customHeight="1" x14ac:dyDescent="0.3">
      <c r="A12" s="1"/>
      <c r="B12" s="6"/>
      <c r="C12" s="22" t="s">
        <v>5</v>
      </c>
      <c r="D12" s="7"/>
      <c r="E12" s="7"/>
      <c r="F12" s="6"/>
      <c r="G12" s="8"/>
      <c r="H12" s="8"/>
    </row>
    <row r="13" spans="1:8" s="12" customFormat="1" ht="19.5" customHeight="1" x14ac:dyDescent="0.3">
      <c r="A13" s="11"/>
      <c r="B13" s="19">
        <f t="array" ref="B13:C13">DaysAndWeeks+DATE(CalendarYear,6,1)-WEEKDAY(DATE(CalendarYear,6,1),(WeekStart="Monday")+1)+36</f>
        <v>41826</v>
      </c>
      <c r="C13" s="19">
        <v>41827</v>
      </c>
      <c r="D13" s="29" t="s">
        <v>0</v>
      </c>
      <c r="E13" s="29"/>
      <c r="F13" s="29"/>
      <c r="G13" s="29"/>
      <c r="H13" s="29"/>
    </row>
    <row r="14" spans="1:8" ht="57.95" customHeight="1" x14ac:dyDescent="0.3">
      <c r="A14" s="1"/>
      <c r="B14" s="9"/>
      <c r="C14" s="9"/>
      <c r="D14" s="28"/>
      <c r="E14" s="28"/>
      <c r="F14" s="28"/>
      <c r="G14" s="28"/>
      <c r="H14" s="28"/>
    </row>
  </sheetData>
  <mergeCells count="3">
    <mergeCell ref="B1:D1"/>
    <mergeCell ref="D13:H13"/>
    <mergeCell ref="D14:H14"/>
  </mergeCells>
  <conditionalFormatting sqref="B11:H11 B13:C13">
    <cfRule type="expression" dxfId="13" priority="2">
      <formula>AND(DAY(B11)&gt;=1,DAY(B11)&lt;=15)</formula>
    </cfRule>
  </conditionalFormatting>
  <conditionalFormatting sqref="B3:G3">
    <cfRule type="expression" dxfId="12" priority="1">
      <formula>DAY(B3)&gt;8</formula>
    </cfRule>
  </conditionalFormatting>
  <dataValidations count="1">
    <dataValidation type="list" allowBlank="1" showInputMessage="1" showErrorMessage="1" sqref="B2">
      <formula1>"SUNDAY,MONDAY"</formula1>
    </dataValidation>
  </dataValidations>
  <printOptions horizontalCentered="1" verticalCentered="1"/>
  <pageMargins left="0.7" right="0.7" top="0.75" bottom="0.75" header="0.3" footer="0.3"/>
  <pageSetup scale="9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2"/>
    <pageSetUpPr fitToPage="1"/>
  </sheetPr>
  <dimension ref="A1:H14"/>
  <sheetViews>
    <sheetView showGridLines="0" zoomScaleNormal="100" workbookViewId="0">
      <selection activeCell="F12" sqref="F12"/>
    </sheetView>
  </sheetViews>
  <sheetFormatPr defaultColWidth="8.85546875" defaultRowHeight="15" x14ac:dyDescent="0.3"/>
  <cols>
    <col min="1" max="1" width="2.42578125" customWidth="1"/>
    <col min="2" max="2" width="18.28515625" customWidth="1"/>
    <col min="3" max="8" width="17.7109375" customWidth="1"/>
    <col min="9" max="9" width="2.42578125" customWidth="1"/>
    <col min="10" max="10" width="13.7109375" customWidth="1"/>
  </cols>
  <sheetData>
    <row r="1" spans="1:8" s="1" customFormat="1" ht="59.25" customHeight="1" x14ac:dyDescent="0.3">
      <c r="B1" s="27">
        <f>B7</f>
        <v>41833</v>
      </c>
      <c r="C1" s="27"/>
      <c r="D1" s="27"/>
      <c r="E1" s="4"/>
      <c r="F1" s="4"/>
      <c r="G1" s="4"/>
      <c r="H1" s="5"/>
    </row>
    <row r="2" spans="1:8" s="3" customFormat="1" ht="21.75" customHeight="1" thickBot="1" x14ac:dyDescent="0.3">
      <c r="A2" s="2"/>
      <c r="B2" s="20" t="s">
        <v>1</v>
      </c>
      <c r="C2" s="20" t="str">
        <f t="shared" ref="C2:H2" si="0">UPPER(TEXT(C3,"dddd"))</f>
        <v>MONDAY</v>
      </c>
      <c r="D2" s="20" t="str">
        <f t="shared" si="0"/>
        <v>TUESDAY</v>
      </c>
      <c r="E2" s="20" t="str">
        <f t="shared" si="0"/>
        <v>WEDNESDAY</v>
      </c>
      <c r="F2" s="20" t="str">
        <f t="shared" si="0"/>
        <v>THURSDAY</v>
      </c>
      <c r="G2" s="20" t="str">
        <f t="shared" si="0"/>
        <v>FRIDAY</v>
      </c>
      <c r="H2" s="20" t="str">
        <f t="shared" si="0"/>
        <v>SATURDAY</v>
      </c>
    </row>
    <row r="3" spans="1:8" s="12" customFormat="1" ht="19.5" customHeight="1" x14ac:dyDescent="0.3">
      <c r="A3" s="11"/>
      <c r="B3" s="18">
        <f t="array" ref="B3:H3">DaysAndWeeks+DATE(CalendarYear,7,1)-WEEKDAY(DATE(CalendarYear,7,1),(WeekStart="Monday")+1)+1</f>
        <v>41819</v>
      </c>
      <c r="C3" s="18">
        <v>41820</v>
      </c>
      <c r="D3" s="18">
        <v>41821</v>
      </c>
      <c r="E3" s="18">
        <v>41822</v>
      </c>
      <c r="F3" s="18">
        <v>41823</v>
      </c>
      <c r="G3" s="18">
        <v>41824</v>
      </c>
      <c r="H3" s="18">
        <v>41825</v>
      </c>
    </row>
    <row r="4" spans="1:8" ht="57.95" customHeight="1" x14ac:dyDescent="0.3">
      <c r="A4" s="1"/>
      <c r="B4" s="6"/>
      <c r="C4" s="6"/>
      <c r="D4" s="7"/>
      <c r="E4" s="7"/>
      <c r="F4" s="7"/>
      <c r="G4" s="22" t="s">
        <v>16</v>
      </c>
      <c r="H4" s="8"/>
    </row>
    <row r="5" spans="1:8" s="12" customFormat="1" ht="19.5" customHeight="1" x14ac:dyDescent="0.3">
      <c r="A5" s="11"/>
      <c r="B5" s="19">
        <f t="array" ref="B5:H5">DaysAndWeeks+DATE(CalendarYear,7,1)-WEEKDAY(DATE(CalendarYear,7,1),(WeekStart="Monday")+1)+8</f>
        <v>41826</v>
      </c>
      <c r="C5" s="19">
        <v>41827</v>
      </c>
      <c r="D5" s="19">
        <v>41828</v>
      </c>
      <c r="E5" s="19">
        <v>41829</v>
      </c>
      <c r="F5" s="19">
        <v>41830</v>
      </c>
      <c r="G5" s="19">
        <v>41831</v>
      </c>
      <c r="H5" s="19">
        <v>41832</v>
      </c>
    </row>
    <row r="6" spans="1:8" ht="57.95" customHeight="1" x14ac:dyDescent="0.3">
      <c r="A6" s="1"/>
      <c r="B6" s="9"/>
      <c r="C6" s="9"/>
      <c r="D6" s="9"/>
      <c r="E6" s="9"/>
      <c r="F6" s="9"/>
      <c r="G6" s="10"/>
      <c r="H6" s="10"/>
    </row>
    <row r="7" spans="1:8" s="12" customFormat="1" ht="19.5" customHeight="1" x14ac:dyDescent="0.3">
      <c r="A7" s="11"/>
      <c r="B7" s="18">
        <f t="array" ref="B7:H7">DaysAndWeeks+DATE(CalendarYear,7,1)-WEEKDAY(DATE(CalendarYear,7,1),(WeekStart="Monday")+1)+15</f>
        <v>41833</v>
      </c>
      <c r="C7" s="18">
        <v>41834</v>
      </c>
      <c r="D7" s="18">
        <v>41835</v>
      </c>
      <c r="E7" s="18">
        <v>41836</v>
      </c>
      <c r="F7" s="18">
        <v>41837</v>
      </c>
      <c r="G7" s="18">
        <v>41838</v>
      </c>
      <c r="H7" s="18">
        <v>41839</v>
      </c>
    </row>
    <row r="8" spans="1:8" ht="57.95" customHeight="1" x14ac:dyDescent="0.3">
      <c r="A8" s="1"/>
      <c r="B8" s="6"/>
      <c r="C8" s="6"/>
      <c r="D8" s="7"/>
      <c r="E8" s="7"/>
      <c r="F8" s="7"/>
      <c r="G8" s="8"/>
      <c r="H8" s="8"/>
    </row>
    <row r="9" spans="1:8" s="12" customFormat="1" ht="19.5" customHeight="1" x14ac:dyDescent="0.3">
      <c r="A9" s="11"/>
      <c r="B9" s="19">
        <f t="array" ref="B9:H9">DaysAndWeeks+DATE(CalendarYear,7,1)-WEEKDAY(DATE(CalendarYear,7,1),(WeekStart="Monday")+1)+22</f>
        <v>41840</v>
      </c>
      <c r="C9" s="19">
        <v>41841</v>
      </c>
      <c r="D9" s="19">
        <v>41842</v>
      </c>
      <c r="E9" s="19">
        <v>41843</v>
      </c>
      <c r="F9" s="19">
        <v>41844</v>
      </c>
      <c r="G9" s="19">
        <v>41845</v>
      </c>
      <c r="H9" s="19">
        <v>41846</v>
      </c>
    </row>
    <row r="10" spans="1:8" ht="57.95" customHeight="1" x14ac:dyDescent="0.3">
      <c r="A10" s="1"/>
      <c r="B10" s="9"/>
      <c r="C10" s="9"/>
      <c r="D10" s="9"/>
      <c r="E10" s="9"/>
      <c r="F10" s="9"/>
      <c r="G10" s="9" t="s">
        <v>10</v>
      </c>
      <c r="H10" s="10"/>
    </row>
    <row r="11" spans="1:8" s="12" customFormat="1" ht="19.5" customHeight="1" x14ac:dyDescent="0.3">
      <c r="A11" s="11"/>
      <c r="B11" s="18">
        <f t="array" ref="B11:H11">DaysAndWeeks+DATE(CalendarYear,7,1)-WEEKDAY(DATE(CalendarYear,7,1),(WeekStart="Monday")+1)+29</f>
        <v>41847</v>
      </c>
      <c r="C11" s="18">
        <v>41848</v>
      </c>
      <c r="D11" s="18">
        <v>41849</v>
      </c>
      <c r="E11" s="18">
        <v>41850</v>
      </c>
      <c r="F11" s="18">
        <v>41851</v>
      </c>
      <c r="G11" s="18">
        <v>41852</v>
      </c>
      <c r="H11" s="18">
        <v>41853</v>
      </c>
    </row>
    <row r="12" spans="1:8" ht="57.95" customHeight="1" x14ac:dyDescent="0.3">
      <c r="A12" s="1"/>
      <c r="B12" s="6"/>
      <c r="C12" s="7" t="s">
        <v>7</v>
      </c>
      <c r="D12" s="7" t="s">
        <v>6</v>
      </c>
      <c r="E12" s="7"/>
      <c r="F12" s="22" t="s">
        <v>5</v>
      </c>
      <c r="G12" s="8"/>
      <c r="H12" s="8"/>
    </row>
    <row r="13" spans="1:8" s="12" customFormat="1" ht="19.5" customHeight="1" x14ac:dyDescent="0.3">
      <c r="A13" s="11"/>
      <c r="B13" s="19">
        <f t="array" ref="B13:C13">DaysAndWeeks+DATE(CalendarYear,7,1)-WEEKDAY(DATE(CalendarYear,7,1),(WeekStart="Monday")+1)+36</f>
        <v>41854</v>
      </c>
      <c r="C13" s="19">
        <v>41855</v>
      </c>
      <c r="D13" s="29" t="s">
        <v>0</v>
      </c>
      <c r="E13" s="29"/>
      <c r="F13" s="29"/>
      <c r="G13" s="29"/>
      <c r="H13" s="29"/>
    </row>
    <row r="14" spans="1:8" ht="57.95" customHeight="1" x14ac:dyDescent="0.3">
      <c r="A14" s="1"/>
      <c r="B14" s="9"/>
      <c r="C14" s="9"/>
      <c r="D14" s="28"/>
      <c r="E14" s="28"/>
      <c r="F14" s="28"/>
      <c r="G14" s="28"/>
      <c r="H14" s="28"/>
    </row>
  </sheetData>
  <mergeCells count="3">
    <mergeCell ref="B1:D1"/>
    <mergeCell ref="D13:H13"/>
    <mergeCell ref="D14:H14"/>
  </mergeCells>
  <conditionalFormatting sqref="B11:H11 B13:C13">
    <cfRule type="expression" dxfId="11" priority="2">
      <formula>AND(DAY(B11)&gt;=1,DAY(B11)&lt;=15)</formula>
    </cfRule>
  </conditionalFormatting>
  <conditionalFormatting sqref="B3:G3">
    <cfRule type="expression" dxfId="10" priority="1">
      <formula>DAY(B3)&gt;8</formula>
    </cfRule>
  </conditionalFormatting>
  <dataValidations count="1">
    <dataValidation type="list" allowBlank="1" showInputMessage="1" showErrorMessage="1" sqref="B2">
      <formula1>"SUNDAY,MONDAY"</formula1>
    </dataValidation>
  </dataValidations>
  <printOptions horizontalCentered="1" verticalCentered="1"/>
  <pageMargins left="0.7" right="0.7" top="0.75" bottom="0.75" header="0.3" footer="0.3"/>
  <pageSetup scale="9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2" tint="-9.9978637043366805E-2"/>
    <pageSetUpPr fitToPage="1"/>
  </sheetPr>
  <dimension ref="A1:H14"/>
  <sheetViews>
    <sheetView showGridLines="0" workbookViewId="0">
      <selection activeCell="C12" sqref="C12"/>
    </sheetView>
  </sheetViews>
  <sheetFormatPr defaultColWidth="8.85546875" defaultRowHeight="15" x14ac:dyDescent="0.3"/>
  <cols>
    <col min="1" max="1" width="2.42578125" customWidth="1"/>
    <col min="2" max="2" width="18.28515625" customWidth="1"/>
    <col min="3" max="8" width="17.7109375" customWidth="1"/>
    <col min="9" max="9" width="2.42578125" customWidth="1"/>
    <col min="10" max="10" width="13.7109375" customWidth="1"/>
  </cols>
  <sheetData>
    <row r="1" spans="1:8" s="1" customFormat="1" ht="59.25" customHeight="1" x14ac:dyDescent="0.3">
      <c r="B1" s="27">
        <f>B7</f>
        <v>41861</v>
      </c>
      <c r="C1" s="27"/>
      <c r="D1" s="27"/>
      <c r="E1" s="4"/>
      <c r="F1" s="4"/>
      <c r="G1" s="4"/>
      <c r="H1" s="5"/>
    </row>
    <row r="2" spans="1:8" s="3" customFormat="1" ht="21.75" customHeight="1" thickBot="1" x14ac:dyDescent="0.3">
      <c r="A2" s="2"/>
      <c r="B2" s="20" t="s">
        <v>1</v>
      </c>
      <c r="C2" s="20" t="str">
        <f t="shared" ref="C2:H2" si="0">UPPER(TEXT(C3,"dddd"))</f>
        <v>MONDAY</v>
      </c>
      <c r="D2" s="20" t="str">
        <f t="shared" si="0"/>
        <v>TUESDAY</v>
      </c>
      <c r="E2" s="20" t="str">
        <f t="shared" si="0"/>
        <v>WEDNESDAY</v>
      </c>
      <c r="F2" s="20" t="str">
        <f t="shared" si="0"/>
        <v>THURSDAY</v>
      </c>
      <c r="G2" s="20" t="str">
        <f t="shared" si="0"/>
        <v>FRIDAY</v>
      </c>
      <c r="H2" s="20" t="str">
        <f t="shared" si="0"/>
        <v>SATURDAY</v>
      </c>
    </row>
    <row r="3" spans="1:8" s="12" customFormat="1" ht="19.5" customHeight="1" x14ac:dyDescent="0.3">
      <c r="A3" s="11"/>
      <c r="B3" s="18">
        <f t="array" ref="B3:H3">DaysAndWeeks+DATE(CalendarYear,8,1)-WEEKDAY(DATE(CalendarYear,8,1),(WeekStart="Monday")+1)+1</f>
        <v>41847</v>
      </c>
      <c r="C3" s="18">
        <v>41848</v>
      </c>
      <c r="D3" s="18">
        <v>41849</v>
      </c>
      <c r="E3" s="18">
        <v>41850</v>
      </c>
      <c r="F3" s="18">
        <v>41851</v>
      </c>
      <c r="G3" s="18">
        <v>41852</v>
      </c>
      <c r="H3" s="18">
        <v>41853</v>
      </c>
    </row>
    <row r="4" spans="1:8" ht="57.95" customHeight="1" x14ac:dyDescent="0.3">
      <c r="A4" s="1"/>
      <c r="B4" s="6"/>
      <c r="C4" s="6"/>
      <c r="D4" s="7"/>
      <c r="E4" s="7"/>
      <c r="F4" s="7"/>
      <c r="G4" s="8"/>
      <c r="H4" s="8"/>
    </row>
    <row r="5" spans="1:8" s="12" customFormat="1" ht="19.5" customHeight="1" x14ac:dyDescent="0.3">
      <c r="A5" s="11"/>
      <c r="B5" s="19">
        <f t="array" ref="B5:H5">DaysAndWeeks+DATE(CalendarYear,8,1)-WEEKDAY(DATE(CalendarYear,8,1),(WeekStart="Monday")+1)+8</f>
        <v>41854</v>
      </c>
      <c r="C5" s="19">
        <v>41855</v>
      </c>
      <c r="D5" s="19">
        <v>41856</v>
      </c>
      <c r="E5" s="19">
        <v>41857</v>
      </c>
      <c r="F5" s="19">
        <v>41858</v>
      </c>
      <c r="G5" s="19">
        <v>41859</v>
      </c>
      <c r="H5" s="19">
        <v>41860</v>
      </c>
    </row>
    <row r="6" spans="1:8" ht="57.95" customHeight="1" x14ac:dyDescent="0.3">
      <c r="A6" s="1"/>
      <c r="B6" s="9"/>
      <c r="C6" s="9"/>
      <c r="D6" s="9"/>
      <c r="E6" s="9"/>
      <c r="F6" s="9"/>
      <c r="G6" s="10"/>
      <c r="H6" s="10"/>
    </row>
    <row r="7" spans="1:8" s="12" customFormat="1" ht="19.5" customHeight="1" x14ac:dyDescent="0.3">
      <c r="A7" s="11"/>
      <c r="B7" s="18">
        <f t="array" ref="B7:H7">DaysAndWeeks+DATE(CalendarYear,8,1)-WEEKDAY(DATE(CalendarYear,8,1),(WeekStart="Monday")+1)+15</f>
        <v>41861</v>
      </c>
      <c r="C7" s="18">
        <v>41862</v>
      </c>
      <c r="D7" s="18">
        <v>41863</v>
      </c>
      <c r="E7" s="18">
        <v>41864</v>
      </c>
      <c r="F7" s="18">
        <v>41865</v>
      </c>
      <c r="G7" s="18">
        <v>41866</v>
      </c>
      <c r="H7" s="18">
        <v>41867</v>
      </c>
    </row>
    <row r="8" spans="1:8" ht="57.95" customHeight="1" x14ac:dyDescent="0.3">
      <c r="A8" s="1"/>
      <c r="B8" s="6"/>
      <c r="C8" s="6"/>
      <c r="D8" s="7"/>
      <c r="E8" s="7"/>
      <c r="F8" s="7"/>
      <c r="G8" s="8"/>
      <c r="H8" s="8"/>
    </row>
    <row r="9" spans="1:8" s="12" customFormat="1" ht="19.5" customHeight="1" x14ac:dyDescent="0.3">
      <c r="A9" s="11"/>
      <c r="B9" s="19">
        <f t="array" ref="B9:H9">DaysAndWeeks+DATE(CalendarYear,8,1)-WEEKDAY(DATE(CalendarYear,8,1),(WeekStart="Monday")+1)+22</f>
        <v>41868</v>
      </c>
      <c r="C9" s="19">
        <v>41869</v>
      </c>
      <c r="D9" s="19">
        <v>41870</v>
      </c>
      <c r="E9" s="19">
        <v>41871</v>
      </c>
      <c r="F9" s="19">
        <v>41872</v>
      </c>
      <c r="G9" s="19">
        <v>41873</v>
      </c>
      <c r="H9" s="19">
        <v>41874</v>
      </c>
    </row>
    <row r="10" spans="1:8" ht="57.95" customHeight="1" x14ac:dyDescent="0.3">
      <c r="A10" s="1"/>
      <c r="B10" s="9"/>
      <c r="C10" s="9"/>
      <c r="D10" s="9"/>
      <c r="E10" s="9"/>
      <c r="F10" s="9"/>
      <c r="G10" s="10"/>
      <c r="H10" s="10"/>
    </row>
    <row r="11" spans="1:8" s="12" customFormat="1" ht="19.5" customHeight="1" x14ac:dyDescent="0.3">
      <c r="A11" s="11"/>
      <c r="B11" s="18">
        <f t="array" ref="B11:H11">DaysAndWeeks+DATE(CalendarYear,8,1)-WEEKDAY(DATE(CalendarYear,8,1),(WeekStart="Monday")+1)+29</f>
        <v>41875</v>
      </c>
      <c r="C11" s="18">
        <v>41876</v>
      </c>
      <c r="D11" s="18">
        <v>41877</v>
      </c>
      <c r="E11" s="18">
        <v>41878</v>
      </c>
      <c r="F11" s="18">
        <v>41879</v>
      </c>
      <c r="G11" s="18">
        <v>41880</v>
      </c>
      <c r="H11" s="18">
        <v>41881</v>
      </c>
    </row>
    <row r="12" spans="1:8" ht="57.95" customHeight="1" x14ac:dyDescent="0.3">
      <c r="A12" s="1"/>
      <c r="B12" s="6"/>
      <c r="C12" s="6" t="s">
        <v>10</v>
      </c>
      <c r="D12" s="7" t="s">
        <v>7</v>
      </c>
      <c r="E12" s="7" t="s">
        <v>6</v>
      </c>
      <c r="F12" s="6"/>
      <c r="G12" s="8" t="s">
        <v>5</v>
      </c>
      <c r="H12" s="8"/>
    </row>
    <row r="13" spans="1:8" s="12" customFormat="1" ht="19.5" customHeight="1" x14ac:dyDescent="0.3">
      <c r="A13" s="11"/>
      <c r="B13" s="19">
        <f t="array" ref="B13:C13">DaysAndWeeks+DATE(CalendarYear,8,1)-WEEKDAY(DATE(CalendarYear,8,1),(WeekStart="Monday")+1)+36</f>
        <v>41882</v>
      </c>
      <c r="C13" s="19">
        <v>41883</v>
      </c>
      <c r="D13" s="29" t="s">
        <v>0</v>
      </c>
      <c r="E13" s="29"/>
      <c r="F13" s="29"/>
      <c r="G13" s="29"/>
      <c r="H13" s="29"/>
    </row>
    <row r="14" spans="1:8" ht="57.95" customHeight="1" x14ac:dyDescent="0.3">
      <c r="A14" s="1"/>
      <c r="B14" s="9"/>
      <c r="C14" s="9"/>
      <c r="D14" s="28"/>
      <c r="E14" s="28"/>
      <c r="F14" s="28"/>
      <c r="G14" s="28"/>
      <c r="H14" s="28"/>
    </row>
  </sheetData>
  <mergeCells count="3">
    <mergeCell ref="B1:D1"/>
    <mergeCell ref="D13:H13"/>
    <mergeCell ref="D14:H14"/>
  </mergeCells>
  <conditionalFormatting sqref="B11:H11 B13:C13">
    <cfRule type="expression" dxfId="9" priority="2">
      <formula>AND(DAY(B11)&gt;=1,DAY(B11)&lt;=15)</formula>
    </cfRule>
  </conditionalFormatting>
  <conditionalFormatting sqref="B3:G3">
    <cfRule type="expression" dxfId="8" priority="1">
      <formula>DAY(B3)&gt;8</formula>
    </cfRule>
  </conditionalFormatting>
  <dataValidations count="1">
    <dataValidation type="list" allowBlank="1" showInputMessage="1" showErrorMessage="1" sqref="B2">
      <formula1>"SUNDAY,MONDAY"</formula1>
    </dataValidation>
  </dataValidations>
  <printOptions horizontalCentered="1" verticalCentered="1"/>
  <pageMargins left="0.7" right="0.7" top="0.75" bottom="0.75" header="0.3" footer="0.3"/>
  <pageSetup scale="9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2" tint="-0.249977111117893"/>
    <pageSetUpPr fitToPage="1"/>
  </sheetPr>
  <dimension ref="A1:H14"/>
  <sheetViews>
    <sheetView showGridLines="0" workbookViewId="0">
      <selection activeCell="D12" sqref="D12"/>
    </sheetView>
  </sheetViews>
  <sheetFormatPr defaultColWidth="8.85546875" defaultRowHeight="15" x14ac:dyDescent="0.3"/>
  <cols>
    <col min="1" max="1" width="2.42578125" customWidth="1"/>
    <col min="2" max="2" width="18.28515625" customWidth="1"/>
    <col min="3" max="8" width="17.7109375" customWidth="1"/>
    <col min="9" max="9" width="2.42578125" customWidth="1"/>
    <col min="10" max="10" width="13.7109375" customWidth="1"/>
  </cols>
  <sheetData>
    <row r="1" spans="1:8" s="1" customFormat="1" ht="59.25" customHeight="1" x14ac:dyDescent="0.3">
      <c r="B1" s="27">
        <f>B7</f>
        <v>41896</v>
      </c>
      <c r="C1" s="27"/>
      <c r="D1" s="27"/>
      <c r="E1" s="4"/>
      <c r="F1" s="4"/>
      <c r="G1" s="4"/>
      <c r="H1" s="5"/>
    </row>
    <row r="2" spans="1:8" s="3" customFormat="1" ht="21.75" customHeight="1" thickBot="1" x14ac:dyDescent="0.3">
      <c r="A2" s="2"/>
      <c r="B2" s="20" t="s">
        <v>1</v>
      </c>
      <c r="C2" s="20" t="str">
        <f t="shared" ref="C2:H2" si="0">UPPER(TEXT(C3,"dddd"))</f>
        <v>MONDAY</v>
      </c>
      <c r="D2" s="20" t="str">
        <f t="shared" si="0"/>
        <v>TUESDAY</v>
      </c>
      <c r="E2" s="20" t="str">
        <f t="shared" si="0"/>
        <v>WEDNESDAY</v>
      </c>
      <c r="F2" s="20" t="str">
        <f t="shared" si="0"/>
        <v>THURSDAY</v>
      </c>
      <c r="G2" s="20" t="str">
        <f t="shared" si="0"/>
        <v>FRIDAY</v>
      </c>
      <c r="H2" s="20" t="str">
        <f t="shared" si="0"/>
        <v>SATURDAY</v>
      </c>
    </row>
    <row r="3" spans="1:8" s="12" customFormat="1" ht="19.5" customHeight="1" x14ac:dyDescent="0.3">
      <c r="A3" s="11"/>
      <c r="B3" s="18">
        <f t="array" ref="B3:H3">DaysAndWeeks+DATE(CalendarYear,9,1)-WEEKDAY(DATE(CalendarYear,9,1),(WeekStart="Monday")+1)+1</f>
        <v>41882</v>
      </c>
      <c r="C3" s="18">
        <v>41883</v>
      </c>
      <c r="D3" s="18">
        <v>41884</v>
      </c>
      <c r="E3" s="18">
        <v>41885</v>
      </c>
      <c r="F3" s="18">
        <v>41886</v>
      </c>
      <c r="G3" s="18">
        <v>41887</v>
      </c>
      <c r="H3" s="18">
        <v>41888</v>
      </c>
    </row>
    <row r="4" spans="1:8" ht="57.95" customHeight="1" x14ac:dyDescent="0.3">
      <c r="A4" s="1"/>
      <c r="B4" s="6"/>
      <c r="C4" s="23" t="s">
        <v>18</v>
      </c>
      <c r="D4" s="7"/>
      <c r="E4" s="7"/>
      <c r="F4" s="7"/>
      <c r="G4" s="8"/>
      <c r="H4" s="8"/>
    </row>
    <row r="5" spans="1:8" s="12" customFormat="1" ht="19.5" customHeight="1" x14ac:dyDescent="0.3">
      <c r="A5" s="11"/>
      <c r="B5" s="19">
        <f t="array" ref="B5:H5">DaysAndWeeks+DATE(CalendarYear,9,1)-WEEKDAY(DATE(CalendarYear,9,1),(WeekStart="Monday")+1)+8</f>
        <v>41889</v>
      </c>
      <c r="C5" s="19">
        <v>41890</v>
      </c>
      <c r="D5" s="19">
        <v>41891</v>
      </c>
      <c r="E5" s="19">
        <v>41892</v>
      </c>
      <c r="F5" s="19">
        <v>41893</v>
      </c>
      <c r="G5" s="19">
        <v>41894</v>
      </c>
      <c r="H5" s="19">
        <v>41895</v>
      </c>
    </row>
    <row r="6" spans="1:8" ht="57.95" customHeight="1" x14ac:dyDescent="0.3">
      <c r="A6" s="1"/>
      <c r="B6" s="9"/>
      <c r="C6" s="9"/>
      <c r="D6" s="9"/>
      <c r="E6" s="9"/>
      <c r="F6" s="9"/>
      <c r="G6" s="10"/>
      <c r="H6" s="10"/>
    </row>
    <row r="7" spans="1:8" s="12" customFormat="1" ht="19.5" customHeight="1" x14ac:dyDescent="0.3">
      <c r="A7" s="11"/>
      <c r="B7" s="18">
        <f t="array" ref="B7:H7">DaysAndWeeks+DATE(CalendarYear,9,1)-WEEKDAY(DATE(CalendarYear,9,1),(WeekStart="Monday")+1)+15</f>
        <v>41896</v>
      </c>
      <c r="C7" s="18">
        <v>41897</v>
      </c>
      <c r="D7" s="18">
        <v>41898</v>
      </c>
      <c r="E7" s="18">
        <v>41899</v>
      </c>
      <c r="F7" s="18">
        <v>41900</v>
      </c>
      <c r="G7" s="18">
        <v>41901</v>
      </c>
      <c r="H7" s="18">
        <v>41902</v>
      </c>
    </row>
    <row r="8" spans="1:8" ht="57.95" customHeight="1" x14ac:dyDescent="0.3">
      <c r="A8" s="1"/>
      <c r="B8" s="6"/>
      <c r="C8" s="6"/>
      <c r="D8" s="7"/>
      <c r="E8" s="7"/>
      <c r="F8" s="7"/>
      <c r="G8" s="8"/>
      <c r="H8" s="8"/>
    </row>
    <row r="9" spans="1:8" s="12" customFormat="1" ht="19.5" customHeight="1" x14ac:dyDescent="0.3">
      <c r="A9" s="11"/>
      <c r="B9" s="19">
        <f t="array" ref="B9:H9">DaysAndWeeks+DATE(CalendarYear,9,1)-WEEKDAY(DATE(CalendarYear,9,1),(WeekStart="Monday")+1)+22</f>
        <v>41903</v>
      </c>
      <c r="C9" s="19">
        <v>41904</v>
      </c>
      <c r="D9" s="19">
        <v>41905</v>
      </c>
      <c r="E9" s="19">
        <v>41906</v>
      </c>
      <c r="F9" s="19">
        <v>41907</v>
      </c>
      <c r="G9" s="19">
        <v>41908</v>
      </c>
      <c r="H9" s="19">
        <v>41909</v>
      </c>
    </row>
    <row r="10" spans="1:8" ht="57.95" customHeight="1" x14ac:dyDescent="0.3">
      <c r="A10" s="1"/>
      <c r="B10" s="9"/>
      <c r="C10" s="9"/>
      <c r="D10" s="9"/>
      <c r="E10" s="9" t="s">
        <v>10</v>
      </c>
      <c r="F10" s="9" t="s">
        <v>7</v>
      </c>
      <c r="G10" s="9" t="s">
        <v>6</v>
      </c>
      <c r="H10" s="10"/>
    </row>
    <row r="11" spans="1:8" s="12" customFormat="1" ht="19.5" customHeight="1" x14ac:dyDescent="0.3">
      <c r="A11" s="11"/>
      <c r="B11" s="18">
        <f t="array" ref="B11:H11">DaysAndWeeks+DATE(CalendarYear,9,1)-WEEKDAY(DATE(CalendarYear,9,1),(WeekStart="Monday")+1)+29</f>
        <v>41910</v>
      </c>
      <c r="C11" s="18">
        <v>41911</v>
      </c>
      <c r="D11" s="18">
        <v>41912</v>
      </c>
      <c r="E11" s="18">
        <v>41913</v>
      </c>
      <c r="F11" s="18">
        <v>41914</v>
      </c>
      <c r="G11" s="18">
        <v>41915</v>
      </c>
      <c r="H11" s="18">
        <v>41916</v>
      </c>
    </row>
    <row r="12" spans="1:8" ht="57.95" customHeight="1" x14ac:dyDescent="0.3">
      <c r="A12" s="1"/>
      <c r="B12" s="6"/>
      <c r="C12" s="6"/>
      <c r="D12" s="22" t="s">
        <v>5</v>
      </c>
      <c r="E12" s="7"/>
      <c r="F12" s="6"/>
      <c r="G12" s="8"/>
      <c r="H12" s="8"/>
    </row>
    <row r="13" spans="1:8" s="12" customFormat="1" ht="19.5" customHeight="1" x14ac:dyDescent="0.3">
      <c r="A13" s="11"/>
      <c r="B13" s="19">
        <f t="array" ref="B13:C13">DaysAndWeeks+DATE(CalendarYear,9,1)-WEEKDAY(DATE(CalendarYear,9,1),(WeekStart="Monday")+1)+36</f>
        <v>41917</v>
      </c>
      <c r="C13" s="19">
        <v>41918</v>
      </c>
      <c r="D13" s="29" t="s">
        <v>0</v>
      </c>
      <c r="E13" s="29"/>
      <c r="F13" s="29"/>
      <c r="G13" s="29"/>
      <c r="H13" s="29"/>
    </row>
    <row r="14" spans="1:8" ht="57.95" customHeight="1" x14ac:dyDescent="0.3">
      <c r="A14" s="1"/>
      <c r="B14" s="9"/>
      <c r="C14" s="9"/>
      <c r="D14" s="28"/>
      <c r="E14" s="28"/>
      <c r="F14" s="28"/>
      <c r="G14" s="28"/>
      <c r="H14" s="28"/>
    </row>
  </sheetData>
  <mergeCells count="3">
    <mergeCell ref="B1:D1"/>
    <mergeCell ref="D13:H13"/>
    <mergeCell ref="D14:H14"/>
  </mergeCells>
  <conditionalFormatting sqref="B11:H11 B13:C13">
    <cfRule type="expression" dxfId="7" priority="2">
      <formula>AND(DAY(B11)&gt;=1,DAY(B11)&lt;=15)</formula>
    </cfRule>
  </conditionalFormatting>
  <conditionalFormatting sqref="B3:G3">
    <cfRule type="expression" dxfId="6" priority="1">
      <formula>DAY(B3)&gt;8</formula>
    </cfRule>
  </conditionalFormatting>
  <dataValidations count="1">
    <dataValidation type="list" allowBlank="1" showInputMessage="1" showErrorMessage="1" sqref="B2">
      <formula1>"SUNDAY,MONDAY"</formula1>
    </dataValidation>
  </dataValidations>
  <printOptions horizontalCentered="1" verticalCentered="1"/>
  <pageMargins left="0.7" right="0.7" top="0.75" bottom="0.75" header="0.3" footer="0.3"/>
  <pageSetup scale="9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2" tint="-0.499984740745262"/>
    <pageSetUpPr fitToPage="1"/>
  </sheetPr>
  <dimension ref="A1:H14"/>
  <sheetViews>
    <sheetView showGridLines="0" workbookViewId="0">
      <selection activeCell="C9" sqref="C9"/>
    </sheetView>
  </sheetViews>
  <sheetFormatPr defaultColWidth="8.85546875" defaultRowHeight="15" x14ac:dyDescent="0.3"/>
  <cols>
    <col min="1" max="1" width="2.42578125" customWidth="1"/>
    <col min="2" max="2" width="18.28515625" customWidth="1"/>
    <col min="3" max="8" width="17.7109375" customWidth="1"/>
    <col min="9" max="9" width="2.42578125" customWidth="1"/>
    <col min="10" max="10" width="13.7109375" customWidth="1"/>
  </cols>
  <sheetData>
    <row r="1" spans="1:8" s="1" customFormat="1" ht="59.25" customHeight="1" x14ac:dyDescent="0.3">
      <c r="B1" s="27">
        <f>B7</f>
        <v>41924</v>
      </c>
      <c r="C1" s="27"/>
      <c r="D1" s="27"/>
      <c r="E1" s="4"/>
      <c r="F1" s="4"/>
      <c r="G1" s="4"/>
      <c r="H1" s="5"/>
    </row>
    <row r="2" spans="1:8" s="3" customFormat="1" ht="21.75" customHeight="1" thickBot="1" x14ac:dyDescent="0.3">
      <c r="A2" s="2"/>
      <c r="B2" s="20" t="s">
        <v>1</v>
      </c>
      <c r="C2" s="20" t="str">
        <f t="shared" ref="C2:H2" si="0">UPPER(TEXT(C3,"dddd"))</f>
        <v>MONDAY</v>
      </c>
      <c r="D2" s="20" t="str">
        <f t="shared" si="0"/>
        <v>TUESDAY</v>
      </c>
      <c r="E2" s="20" t="str">
        <f t="shared" si="0"/>
        <v>WEDNESDAY</v>
      </c>
      <c r="F2" s="20" t="str">
        <f t="shared" si="0"/>
        <v>THURSDAY</v>
      </c>
      <c r="G2" s="20" t="str">
        <f t="shared" si="0"/>
        <v>FRIDAY</v>
      </c>
      <c r="H2" s="20" t="str">
        <f t="shared" si="0"/>
        <v>SATURDAY</v>
      </c>
    </row>
    <row r="3" spans="1:8" s="12" customFormat="1" ht="19.5" customHeight="1" x14ac:dyDescent="0.3">
      <c r="A3" s="11"/>
      <c r="B3" s="18">
        <f t="array" ref="B3:H3">DaysAndWeeks+DATE(CalendarYear,10,1)-WEEKDAY(DATE(CalendarYear,10,1),(WeekStart="Monday")+1)+1</f>
        <v>41910</v>
      </c>
      <c r="C3" s="18">
        <v>41911</v>
      </c>
      <c r="D3" s="18">
        <v>41912</v>
      </c>
      <c r="E3" s="18">
        <v>41913</v>
      </c>
      <c r="F3" s="18">
        <v>41914</v>
      </c>
      <c r="G3" s="18">
        <v>41915</v>
      </c>
      <c r="H3" s="18">
        <v>41916</v>
      </c>
    </row>
    <row r="4" spans="1:8" ht="57.95" customHeight="1" x14ac:dyDescent="0.3">
      <c r="A4" s="1"/>
      <c r="B4" s="6"/>
      <c r="C4" s="6"/>
      <c r="D4" s="7"/>
      <c r="E4" s="7"/>
      <c r="F4" s="7"/>
      <c r="G4" s="8"/>
      <c r="H4" s="8"/>
    </row>
    <row r="5" spans="1:8" s="12" customFormat="1" ht="19.5" customHeight="1" x14ac:dyDescent="0.3">
      <c r="A5" s="11"/>
      <c r="B5" s="19">
        <f t="array" ref="B5:H5">DaysAndWeeks+DATE(CalendarYear,10,1)-WEEKDAY(DATE(CalendarYear,10,1),(WeekStart="Monday")+1)+8</f>
        <v>41917</v>
      </c>
      <c r="C5" s="19">
        <v>41918</v>
      </c>
      <c r="D5" s="19">
        <v>41919</v>
      </c>
      <c r="E5" s="19">
        <v>41920</v>
      </c>
      <c r="F5" s="19">
        <v>41921</v>
      </c>
      <c r="G5" s="19">
        <v>41922</v>
      </c>
      <c r="H5" s="19">
        <v>41923</v>
      </c>
    </row>
    <row r="6" spans="1:8" ht="57.95" customHeight="1" x14ac:dyDescent="0.3">
      <c r="A6" s="1"/>
      <c r="B6" s="9"/>
      <c r="C6" s="9"/>
      <c r="D6" s="9"/>
      <c r="E6" s="9"/>
      <c r="F6" s="9"/>
      <c r="G6" s="10"/>
      <c r="H6" s="10"/>
    </row>
    <row r="7" spans="1:8" s="12" customFormat="1" ht="19.5" customHeight="1" x14ac:dyDescent="0.3">
      <c r="A7" s="11"/>
      <c r="B7" s="18">
        <f t="array" ref="B7:H7">DaysAndWeeks+DATE(CalendarYear,10,1)-WEEKDAY(DATE(CalendarYear,10,1),(WeekStart="Monday")+1)+15</f>
        <v>41924</v>
      </c>
      <c r="C7" s="18">
        <v>41925</v>
      </c>
      <c r="D7" s="18">
        <v>41926</v>
      </c>
      <c r="E7" s="18">
        <v>41927</v>
      </c>
      <c r="F7" s="18">
        <v>41928</v>
      </c>
      <c r="G7" s="18">
        <v>41929</v>
      </c>
      <c r="H7" s="18">
        <v>41930</v>
      </c>
    </row>
    <row r="8" spans="1:8" ht="57.95" customHeight="1" x14ac:dyDescent="0.3">
      <c r="A8" s="1"/>
      <c r="B8" s="6"/>
      <c r="C8" s="6" t="s">
        <v>19</v>
      </c>
      <c r="D8" s="7"/>
      <c r="E8" s="7"/>
      <c r="F8" s="7"/>
      <c r="G8" s="8"/>
      <c r="H8" s="8"/>
    </row>
    <row r="9" spans="1:8" s="12" customFormat="1" ht="19.5" customHeight="1" x14ac:dyDescent="0.3">
      <c r="A9" s="11"/>
      <c r="B9" s="19">
        <f t="array" ref="B9:H9">DaysAndWeeks+DATE(CalendarYear,10,1)-WEEKDAY(DATE(CalendarYear,10,1),(WeekStart="Monday")+1)+22</f>
        <v>41931</v>
      </c>
      <c r="C9" s="19">
        <v>41932</v>
      </c>
      <c r="D9" s="19">
        <v>41933</v>
      </c>
      <c r="E9" s="19">
        <v>41934</v>
      </c>
      <c r="F9" s="19">
        <v>41935</v>
      </c>
      <c r="G9" s="19">
        <v>41936</v>
      </c>
      <c r="H9" s="19">
        <v>41937</v>
      </c>
    </row>
    <row r="10" spans="1:8" ht="57.95" customHeight="1" x14ac:dyDescent="0.3">
      <c r="A10" s="1"/>
      <c r="B10" s="9"/>
      <c r="C10" s="9"/>
      <c r="D10" s="9"/>
      <c r="E10" s="9"/>
      <c r="F10" s="9"/>
      <c r="G10" s="10"/>
      <c r="H10" s="10"/>
    </row>
    <row r="11" spans="1:8" s="12" customFormat="1" ht="19.5" customHeight="1" x14ac:dyDescent="0.3">
      <c r="A11" s="11"/>
      <c r="B11" s="18">
        <f t="array" ref="B11:H11">DaysAndWeeks+DATE(CalendarYear,10,1)-WEEKDAY(DATE(CalendarYear,10,1),(WeekStart="Monday")+1)+29</f>
        <v>41938</v>
      </c>
      <c r="C11" s="18">
        <v>41939</v>
      </c>
      <c r="D11" s="18">
        <v>41940</v>
      </c>
      <c r="E11" s="18">
        <v>41941</v>
      </c>
      <c r="F11" s="18">
        <v>41942</v>
      </c>
      <c r="G11" s="18">
        <v>41943</v>
      </c>
      <c r="H11" s="18">
        <v>41944</v>
      </c>
    </row>
    <row r="12" spans="1:8" ht="57.95" customHeight="1" x14ac:dyDescent="0.3">
      <c r="A12" s="1"/>
      <c r="B12" s="6"/>
      <c r="C12" s="6" t="s">
        <v>10</v>
      </c>
      <c r="D12" s="7" t="s">
        <v>7</v>
      </c>
      <c r="E12" s="7" t="s">
        <v>6</v>
      </c>
      <c r="F12" s="6"/>
      <c r="G12" s="22" t="s">
        <v>5</v>
      </c>
      <c r="H12" s="8"/>
    </row>
    <row r="13" spans="1:8" s="12" customFormat="1" ht="19.5" customHeight="1" x14ac:dyDescent="0.3">
      <c r="A13" s="11"/>
      <c r="B13" s="19">
        <f t="array" ref="B13:C13">DaysAndWeeks+DATE(CalendarYear,10,1)-WEEKDAY(DATE(CalendarYear,10,1),(WeekStart="Monday")+1)+36</f>
        <v>41945</v>
      </c>
      <c r="C13" s="19">
        <v>41946</v>
      </c>
      <c r="D13" s="29" t="s">
        <v>0</v>
      </c>
      <c r="E13" s="29"/>
      <c r="F13" s="29"/>
      <c r="G13" s="29"/>
      <c r="H13" s="29"/>
    </row>
    <row r="14" spans="1:8" ht="57.95" customHeight="1" x14ac:dyDescent="0.3">
      <c r="A14" s="1"/>
      <c r="B14" s="9"/>
      <c r="C14" s="9"/>
      <c r="D14" s="28"/>
      <c r="E14" s="28"/>
      <c r="F14" s="28"/>
      <c r="G14" s="28"/>
      <c r="H14" s="28"/>
    </row>
  </sheetData>
  <mergeCells count="3">
    <mergeCell ref="B1:D1"/>
    <mergeCell ref="D13:H13"/>
    <mergeCell ref="D14:H14"/>
  </mergeCells>
  <conditionalFormatting sqref="B11:H11 B13:C13">
    <cfRule type="expression" dxfId="5" priority="2">
      <formula>AND(DAY(B11)&gt;=1,DAY(B11)&lt;=15)</formula>
    </cfRule>
  </conditionalFormatting>
  <conditionalFormatting sqref="B3:G3">
    <cfRule type="expression" dxfId="4" priority="1">
      <formula>DAY(B3)&gt;8</formula>
    </cfRule>
  </conditionalFormatting>
  <dataValidations count="1">
    <dataValidation type="list" allowBlank="1" showInputMessage="1" showErrorMessage="1" sqref="B2">
      <formula1>"SUNDAY,MONDAY"</formula1>
    </dataValidation>
  </dataValidations>
  <printOptions horizontalCentered="1" verticalCentered="1"/>
  <pageMargins left="0.7" right="0.7" top="0.75" bottom="0.75" header="0.3" footer="0.3"/>
  <pageSetup scale="9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2" tint="-0.89999084444715716"/>
    <pageSetUpPr fitToPage="1"/>
  </sheetPr>
  <dimension ref="A1:H14"/>
  <sheetViews>
    <sheetView showGridLines="0" workbookViewId="0">
      <selection activeCell="H8" sqref="H8"/>
    </sheetView>
  </sheetViews>
  <sheetFormatPr defaultColWidth="8.85546875" defaultRowHeight="15" x14ac:dyDescent="0.3"/>
  <cols>
    <col min="1" max="1" width="2.42578125" customWidth="1"/>
    <col min="2" max="2" width="18.28515625" customWidth="1"/>
    <col min="3" max="8" width="17.7109375" customWidth="1"/>
    <col min="9" max="9" width="2.42578125" customWidth="1"/>
    <col min="10" max="10" width="13.7109375" customWidth="1"/>
  </cols>
  <sheetData>
    <row r="1" spans="1:8" s="1" customFormat="1" ht="59.25" customHeight="1" x14ac:dyDescent="0.3">
      <c r="B1" s="27">
        <f>B7</f>
        <v>41952</v>
      </c>
      <c r="C1" s="27"/>
      <c r="D1" s="27"/>
      <c r="E1" s="4"/>
      <c r="F1" s="4"/>
      <c r="G1" s="4"/>
      <c r="H1" s="5"/>
    </row>
    <row r="2" spans="1:8" s="3" customFormat="1" ht="21.75" customHeight="1" thickBot="1" x14ac:dyDescent="0.3">
      <c r="A2" s="2"/>
      <c r="B2" s="20" t="s">
        <v>1</v>
      </c>
      <c r="C2" s="20" t="str">
        <f t="shared" ref="C2:H2" si="0">UPPER(TEXT(C3,"dddd"))</f>
        <v>MONDAY</v>
      </c>
      <c r="D2" s="20" t="str">
        <f t="shared" si="0"/>
        <v>TUESDAY</v>
      </c>
      <c r="E2" s="20" t="str">
        <f t="shared" si="0"/>
        <v>WEDNESDAY</v>
      </c>
      <c r="F2" s="20" t="str">
        <f t="shared" si="0"/>
        <v>THURSDAY</v>
      </c>
      <c r="G2" s="20" t="str">
        <f t="shared" si="0"/>
        <v>FRIDAY</v>
      </c>
      <c r="H2" s="20" t="str">
        <f t="shared" si="0"/>
        <v>SATURDAY</v>
      </c>
    </row>
    <row r="3" spans="1:8" s="12" customFormat="1" ht="19.5" customHeight="1" x14ac:dyDescent="0.3">
      <c r="A3" s="11"/>
      <c r="B3" s="18">
        <f t="array" ref="B3:H3">DaysAndWeeks+DATE(CalendarYear,11,1)-WEEKDAY(DATE(CalendarYear,11,1),(WeekStart="Monday")+1)+1</f>
        <v>41938</v>
      </c>
      <c r="C3" s="18">
        <v>41939</v>
      </c>
      <c r="D3" s="18">
        <v>41940</v>
      </c>
      <c r="E3" s="18">
        <v>41941</v>
      </c>
      <c r="F3" s="18">
        <v>41942</v>
      </c>
      <c r="G3" s="18">
        <v>41943</v>
      </c>
      <c r="H3" s="18">
        <v>41944</v>
      </c>
    </row>
    <row r="4" spans="1:8" ht="57.95" customHeight="1" x14ac:dyDescent="0.3">
      <c r="A4" s="1"/>
      <c r="B4" s="6"/>
      <c r="C4" s="6"/>
      <c r="D4" s="7"/>
      <c r="E4" s="7"/>
      <c r="F4" s="7"/>
      <c r="G4" s="8"/>
      <c r="H4" s="8"/>
    </row>
    <row r="5" spans="1:8" s="12" customFormat="1" ht="19.5" customHeight="1" x14ac:dyDescent="0.3">
      <c r="A5" s="11"/>
      <c r="B5" s="19">
        <f t="array" ref="B5:H5">DaysAndWeeks+DATE(CalendarYear,11,1)-WEEKDAY(DATE(CalendarYear,11,1),(WeekStart="Monday")+1)+8</f>
        <v>41945</v>
      </c>
      <c r="C5" s="19">
        <v>41946</v>
      </c>
      <c r="D5" s="19">
        <v>41947</v>
      </c>
      <c r="E5" s="19">
        <v>41948</v>
      </c>
      <c r="F5" s="19">
        <v>41949</v>
      </c>
      <c r="G5" s="19">
        <v>41950</v>
      </c>
      <c r="H5" s="19">
        <v>41951</v>
      </c>
    </row>
    <row r="6" spans="1:8" ht="57.95" customHeight="1" x14ac:dyDescent="0.3">
      <c r="A6" s="1"/>
      <c r="B6" s="9"/>
      <c r="C6" s="9"/>
      <c r="D6" s="9"/>
      <c r="E6" s="9"/>
      <c r="F6" s="9"/>
      <c r="G6" s="10"/>
      <c r="H6" s="10"/>
    </row>
    <row r="7" spans="1:8" s="12" customFormat="1" ht="19.5" customHeight="1" x14ac:dyDescent="0.3">
      <c r="A7" s="11"/>
      <c r="B7" s="18">
        <f t="array" ref="B7:H7">DaysAndWeeks+DATE(CalendarYear,11,1)-WEEKDAY(DATE(CalendarYear,11,1),(WeekStart="Monday")+1)+15</f>
        <v>41952</v>
      </c>
      <c r="C7" s="18">
        <v>41953</v>
      </c>
      <c r="D7" s="18">
        <v>41954</v>
      </c>
      <c r="E7" s="18">
        <v>41955</v>
      </c>
      <c r="F7" s="18">
        <v>41956</v>
      </c>
      <c r="G7" s="18">
        <v>41957</v>
      </c>
      <c r="H7" s="18">
        <v>41958</v>
      </c>
    </row>
    <row r="8" spans="1:8" ht="57.95" customHeight="1" x14ac:dyDescent="0.3">
      <c r="A8" s="1"/>
      <c r="B8" s="6"/>
      <c r="C8" s="6"/>
      <c r="D8" s="21" t="s">
        <v>14</v>
      </c>
      <c r="E8" s="7"/>
      <c r="F8" s="7"/>
      <c r="G8" s="8"/>
      <c r="H8" s="8"/>
    </row>
    <row r="9" spans="1:8" s="12" customFormat="1" ht="19.5" customHeight="1" x14ac:dyDescent="0.3">
      <c r="A9" s="11"/>
      <c r="B9" s="19">
        <f t="array" ref="B9:H9">DaysAndWeeks+DATE(CalendarYear,11,1)-WEEKDAY(DATE(CalendarYear,11,1),(WeekStart="Monday")+1)+22</f>
        <v>41959</v>
      </c>
      <c r="C9" s="19">
        <v>41960</v>
      </c>
      <c r="D9" s="19">
        <v>41961</v>
      </c>
      <c r="E9" s="19">
        <v>41962</v>
      </c>
      <c r="F9" s="19">
        <v>41963</v>
      </c>
      <c r="G9" s="19">
        <v>41964</v>
      </c>
      <c r="H9" s="19">
        <v>41965</v>
      </c>
    </row>
    <row r="10" spans="1:8" ht="57.95" customHeight="1" x14ac:dyDescent="0.3">
      <c r="A10" s="1"/>
      <c r="B10" s="9"/>
      <c r="C10" s="9"/>
      <c r="D10" s="9"/>
      <c r="E10" s="9"/>
      <c r="F10" s="9" t="s">
        <v>10</v>
      </c>
      <c r="G10" s="9" t="s">
        <v>7</v>
      </c>
      <c r="H10" s="10"/>
    </row>
    <row r="11" spans="1:8" s="12" customFormat="1" ht="19.5" customHeight="1" x14ac:dyDescent="0.3">
      <c r="A11" s="11"/>
      <c r="B11" s="18">
        <f t="array" ref="B11:H11">DaysAndWeeks+DATE(CalendarYear,11,1)-WEEKDAY(DATE(CalendarYear,11,1),(WeekStart="Monday")+1)+29</f>
        <v>41966</v>
      </c>
      <c r="C11" s="18">
        <v>41967</v>
      </c>
      <c r="D11" s="18">
        <v>41968</v>
      </c>
      <c r="E11" s="18">
        <v>41969</v>
      </c>
      <c r="F11" s="18">
        <v>41970</v>
      </c>
      <c r="G11" s="18">
        <v>41971</v>
      </c>
      <c r="H11" s="18">
        <v>41972</v>
      </c>
    </row>
    <row r="12" spans="1:8" ht="57.95" customHeight="1" x14ac:dyDescent="0.3">
      <c r="A12" s="1"/>
      <c r="B12" s="6"/>
      <c r="C12" s="7" t="s">
        <v>6</v>
      </c>
      <c r="D12" s="7"/>
      <c r="E12" s="22" t="s">
        <v>5</v>
      </c>
      <c r="F12" s="23" t="s">
        <v>11</v>
      </c>
      <c r="G12" s="22" t="s">
        <v>12</v>
      </c>
      <c r="H12" s="8"/>
    </row>
    <row r="13" spans="1:8" s="12" customFormat="1" ht="19.5" customHeight="1" x14ac:dyDescent="0.3">
      <c r="A13" s="11"/>
      <c r="B13" s="19">
        <f t="array" ref="B13:C13">DaysAndWeeks+DATE(CalendarYear,11,1)-WEEKDAY(DATE(CalendarYear,11,1),(WeekStart="Monday")+1)+36</f>
        <v>41973</v>
      </c>
      <c r="C13" s="19">
        <v>41974</v>
      </c>
      <c r="D13" s="29" t="s">
        <v>0</v>
      </c>
      <c r="E13" s="29"/>
      <c r="F13" s="29"/>
      <c r="G13" s="29"/>
      <c r="H13" s="29"/>
    </row>
    <row r="14" spans="1:8" ht="57.95" customHeight="1" x14ac:dyDescent="0.3">
      <c r="A14" s="1"/>
      <c r="B14" s="9"/>
      <c r="C14" s="9"/>
      <c r="D14" s="28"/>
      <c r="E14" s="28"/>
      <c r="F14" s="28"/>
      <c r="G14" s="28"/>
      <c r="H14" s="28"/>
    </row>
  </sheetData>
  <mergeCells count="3">
    <mergeCell ref="B1:D1"/>
    <mergeCell ref="D13:H13"/>
    <mergeCell ref="D14:H14"/>
  </mergeCells>
  <conditionalFormatting sqref="B11:H11 B13:C13">
    <cfRule type="expression" dxfId="3" priority="2">
      <formula>AND(DAY(B11)&gt;=1,DAY(B11)&lt;=15)</formula>
    </cfRule>
  </conditionalFormatting>
  <conditionalFormatting sqref="B3:G3">
    <cfRule type="expression" dxfId="2" priority="1">
      <formula>DAY(B3)&gt;8</formula>
    </cfRule>
  </conditionalFormatting>
  <dataValidations count="1">
    <dataValidation type="list" allowBlank="1" showInputMessage="1" showErrorMessage="1" sqref="B2">
      <formula1>"SUNDAY,MONDAY"</formula1>
    </dataValidation>
  </dataValidations>
  <printOptions horizontalCentered="1" verticalCentered="1"/>
  <pageMargins left="0.7" right="0.7" top="0.75" bottom="0.75" header="0.3" footer="0.3"/>
  <pageSetup scale="9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theme="1" tint="4.9989318521683403E-2"/>
    <pageSetUpPr fitToPage="1"/>
  </sheetPr>
  <dimension ref="A1:H14"/>
  <sheetViews>
    <sheetView showGridLines="0" workbookViewId="0">
      <selection activeCell="H12" sqref="H12"/>
    </sheetView>
  </sheetViews>
  <sheetFormatPr defaultColWidth="8.85546875" defaultRowHeight="15" x14ac:dyDescent="0.3"/>
  <cols>
    <col min="1" max="1" width="2.42578125" customWidth="1"/>
    <col min="2" max="2" width="18.28515625" customWidth="1"/>
    <col min="3" max="8" width="17.7109375" customWidth="1"/>
    <col min="9" max="9" width="2.42578125" customWidth="1"/>
    <col min="10" max="10" width="13.7109375" customWidth="1"/>
  </cols>
  <sheetData>
    <row r="1" spans="1:8" s="1" customFormat="1" ht="59.25" customHeight="1" x14ac:dyDescent="0.3">
      <c r="B1" s="27">
        <f>B7</f>
        <v>41987</v>
      </c>
      <c r="C1" s="27"/>
      <c r="D1" s="27"/>
      <c r="E1" s="4"/>
      <c r="F1" s="4"/>
      <c r="G1" s="4"/>
      <c r="H1" s="5"/>
    </row>
    <row r="2" spans="1:8" s="3" customFormat="1" ht="21.75" customHeight="1" thickBot="1" x14ac:dyDescent="0.3">
      <c r="A2" s="2"/>
      <c r="B2" s="20" t="s">
        <v>1</v>
      </c>
      <c r="C2" s="20" t="str">
        <f t="shared" ref="C2:H2" si="0">UPPER(TEXT(C3,"dddd"))</f>
        <v>MONDAY</v>
      </c>
      <c r="D2" s="20" t="str">
        <f t="shared" si="0"/>
        <v>TUESDAY</v>
      </c>
      <c r="E2" s="20" t="str">
        <f t="shared" si="0"/>
        <v>WEDNESDAY</v>
      </c>
      <c r="F2" s="20" t="str">
        <f t="shared" si="0"/>
        <v>THURSDAY</v>
      </c>
      <c r="G2" s="20" t="str">
        <f t="shared" si="0"/>
        <v>FRIDAY</v>
      </c>
      <c r="H2" s="20" t="str">
        <f t="shared" si="0"/>
        <v>SATURDAY</v>
      </c>
    </row>
    <row r="3" spans="1:8" s="12" customFormat="1" ht="19.5" customHeight="1" x14ac:dyDescent="0.3">
      <c r="A3" s="11"/>
      <c r="B3" s="18">
        <f t="array" ref="B3:H3">DaysAndWeeks+DATE(CalendarYear,12,1)-WEEKDAY(DATE(CalendarYear,12,1),(WeekStart="Monday")+1)+1</f>
        <v>41973</v>
      </c>
      <c r="C3" s="18">
        <v>41974</v>
      </c>
      <c r="D3" s="18">
        <v>41975</v>
      </c>
      <c r="E3" s="18">
        <v>41976</v>
      </c>
      <c r="F3" s="18">
        <v>41977</v>
      </c>
      <c r="G3" s="18">
        <v>41978</v>
      </c>
      <c r="H3" s="18">
        <v>41979</v>
      </c>
    </row>
    <row r="4" spans="1:8" ht="57.95" customHeight="1" x14ac:dyDescent="0.3">
      <c r="A4" s="1"/>
      <c r="B4" s="6"/>
      <c r="C4" s="6"/>
      <c r="D4" s="7"/>
      <c r="E4" s="7"/>
      <c r="F4" s="7"/>
      <c r="G4" s="8"/>
      <c r="H4" s="8"/>
    </row>
    <row r="5" spans="1:8" s="12" customFormat="1" ht="19.5" customHeight="1" x14ac:dyDescent="0.3">
      <c r="A5" s="11"/>
      <c r="B5" s="19">
        <f t="array" ref="B5:H5">DaysAndWeeks+DATE(CalendarYear,12,1)-WEEKDAY(DATE(CalendarYear,12,1),(WeekStart="Monday")+1)+8</f>
        <v>41980</v>
      </c>
      <c r="C5" s="19">
        <v>41981</v>
      </c>
      <c r="D5" s="19">
        <v>41982</v>
      </c>
      <c r="E5" s="19">
        <v>41983</v>
      </c>
      <c r="F5" s="19">
        <v>41984</v>
      </c>
      <c r="G5" s="19">
        <v>41985</v>
      </c>
      <c r="H5" s="19">
        <v>41986</v>
      </c>
    </row>
    <row r="6" spans="1:8" ht="57.95" customHeight="1" x14ac:dyDescent="0.3">
      <c r="A6" s="1"/>
      <c r="B6" s="9"/>
      <c r="C6" s="9"/>
      <c r="D6" s="9"/>
      <c r="E6" s="9"/>
      <c r="F6" s="9"/>
      <c r="G6" s="10"/>
      <c r="H6" s="10"/>
    </row>
    <row r="7" spans="1:8" s="12" customFormat="1" ht="19.5" customHeight="1" x14ac:dyDescent="0.3">
      <c r="A7" s="11"/>
      <c r="B7" s="18">
        <f t="array" ref="B7:H7">DaysAndWeeks+DATE(CalendarYear,12,1)-WEEKDAY(DATE(CalendarYear,12,1),(WeekStart="Monday")+1)+15</f>
        <v>41987</v>
      </c>
      <c r="C7" s="18">
        <v>41988</v>
      </c>
      <c r="D7" s="18">
        <v>41989</v>
      </c>
      <c r="E7" s="18">
        <v>41990</v>
      </c>
      <c r="F7" s="18">
        <v>41991</v>
      </c>
      <c r="G7" s="18">
        <v>41992</v>
      </c>
      <c r="H7" s="18">
        <v>41993</v>
      </c>
    </row>
    <row r="8" spans="1:8" ht="57.95" customHeight="1" x14ac:dyDescent="0.3">
      <c r="A8" s="1"/>
      <c r="B8" s="6"/>
      <c r="C8" s="6"/>
      <c r="D8" s="7"/>
      <c r="E8" s="7"/>
      <c r="F8" s="7"/>
      <c r="G8" s="8"/>
      <c r="H8" s="8"/>
    </row>
    <row r="9" spans="1:8" s="12" customFormat="1" ht="19.5" customHeight="1" x14ac:dyDescent="0.3">
      <c r="A9" s="11"/>
      <c r="B9" s="19">
        <f t="array" ref="B9:H9">DaysAndWeeks+DATE(CalendarYear,12,1)-WEEKDAY(DATE(CalendarYear,12,1),(WeekStart="Monday")+1)+22</f>
        <v>41994</v>
      </c>
      <c r="C9" s="19">
        <v>41995</v>
      </c>
      <c r="D9" s="19">
        <v>41996</v>
      </c>
      <c r="E9" s="19">
        <v>41997</v>
      </c>
      <c r="F9" s="19">
        <v>41998</v>
      </c>
      <c r="G9" s="19">
        <v>41999</v>
      </c>
      <c r="H9" s="19">
        <v>42000</v>
      </c>
    </row>
    <row r="10" spans="1:8" ht="57.95" customHeight="1" x14ac:dyDescent="0.3">
      <c r="A10" s="1"/>
      <c r="B10" s="9"/>
      <c r="C10" s="9"/>
      <c r="D10" s="9"/>
      <c r="E10" s="9" t="s">
        <v>10</v>
      </c>
      <c r="F10" s="24" t="s">
        <v>13</v>
      </c>
      <c r="G10" s="9" t="s">
        <v>7</v>
      </c>
      <c r="H10" s="10"/>
    </row>
    <row r="11" spans="1:8" s="12" customFormat="1" ht="19.5" customHeight="1" x14ac:dyDescent="0.3">
      <c r="A11" s="11"/>
      <c r="B11" s="18">
        <f t="array" ref="B11:H11">DaysAndWeeks+DATE(CalendarYear,12,1)-WEEKDAY(DATE(CalendarYear,12,1),(WeekStart="Monday")+1)+29</f>
        <v>42001</v>
      </c>
      <c r="C11" s="18">
        <v>42002</v>
      </c>
      <c r="D11" s="18">
        <v>42003</v>
      </c>
      <c r="E11" s="18">
        <v>42004</v>
      </c>
      <c r="F11" s="18">
        <v>42005</v>
      </c>
      <c r="G11" s="18">
        <v>42006</v>
      </c>
      <c r="H11" s="18">
        <v>42007</v>
      </c>
    </row>
    <row r="12" spans="1:8" ht="57.95" customHeight="1" x14ac:dyDescent="0.3">
      <c r="A12" s="1"/>
      <c r="B12" s="6"/>
      <c r="C12" s="7" t="s">
        <v>6</v>
      </c>
      <c r="D12" s="7"/>
      <c r="E12" s="22" t="s">
        <v>5</v>
      </c>
      <c r="F12" s="6"/>
      <c r="G12" s="8"/>
      <c r="H12" s="8"/>
    </row>
    <row r="13" spans="1:8" s="12" customFormat="1" ht="19.5" customHeight="1" x14ac:dyDescent="0.3">
      <c r="A13" s="11"/>
      <c r="B13" s="19">
        <f t="array" ref="B13:C13">DaysAndWeeks+DATE(CalendarYear,12,1)-WEEKDAY(DATE(CalendarYear,12,1),(WeekStart="Monday")+1)+36</f>
        <v>42008</v>
      </c>
      <c r="C13" s="19">
        <v>42009</v>
      </c>
      <c r="D13" s="29" t="s">
        <v>0</v>
      </c>
      <c r="E13" s="29"/>
      <c r="F13" s="29"/>
      <c r="G13" s="29"/>
      <c r="H13" s="29"/>
    </row>
    <row r="14" spans="1:8" ht="57.95" customHeight="1" x14ac:dyDescent="0.3">
      <c r="A14" s="1"/>
      <c r="B14" s="9"/>
      <c r="C14" s="9"/>
      <c r="D14" s="28"/>
      <c r="E14" s="28"/>
      <c r="F14" s="28"/>
      <c r="G14" s="28"/>
      <c r="H14" s="28"/>
    </row>
  </sheetData>
  <mergeCells count="3">
    <mergeCell ref="B1:D1"/>
    <mergeCell ref="D13:H13"/>
    <mergeCell ref="D14:H14"/>
  </mergeCells>
  <conditionalFormatting sqref="B11:H11 B13:C13">
    <cfRule type="expression" dxfId="1" priority="2">
      <formula>AND(DAY(B11)&gt;=1,DAY(B11)&lt;=15)</formula>
    </cfRule>
  </conditionalFormatting>
  <conditionalFormatting sqref="B3:G3">
    <cfRule type="expression" dxfId="0" priority="1">
      <formula>DAY(B3)&gt;8</formula>
    </cfRule>
  </conditionalFormatting>
  <dataValidations count="1">
    <dataValidation type="list" allowBlank="1" showInputMessage="1" showErrorMessage="1" sqref="B2">
      <formula1>"SUNDAY,MONDAY"</formula1>
    </dataValidation>
  </dataValidations>
  <printOptions horizontalCentered="1" verticalCentered="1"/>
  <pageMargins left="0.7" right="0.7" top="0.75" bottom="0.75" header="0.3" footer="0.3"/>
  <pageSetup scale="9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2A33E401-ABB1-4EC4-B31C-A2F5D503A3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14</vt:i4>
      </vt:variant>
    </vt:vector>
  </HeadingPairs>
  <TitlesOfParts>
    <vt:vector size="26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CalendarYear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  <vt:lpstr>WeekStart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Craven, John</dc:creator>
  <cp:lastModifiedBy>mcgaught</cp:lastModifiedBy>
  <dcterms:created xsi:type="dcterms:W3CDTF">2013-10-25T21:52:54Z</dcterms:created>
  <dcterms:modified xsi:type="dcterms:W3CDTF">2014-03-26T15:17:51Z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TC029300519991</vt:lpwstr>
  </property>
</Properties>
</file>