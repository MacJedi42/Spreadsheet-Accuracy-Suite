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-15" windowWidth="15600" windowHeight="9405" activeTab="1"/>
  </bookViews>
  <sheets>
    <sheet name="Summary" sheetId="4" r:id="rId1"/>
    <sheet name="Calculations" sheetId="5" r:id="rId2"/>
    <sheet name="Cost Factor" sheetId="1" r:id="rId3"/>
    <sheet name="Data" sheetId="3" r:id="rId4"/>
  </sheets>
  <externalReferences>
    <externalReference r:id="rId5"/>
  </externalReferences>
  <calcPr calcId="145621"/>
</workbook>
</file>

<file path=xl/calcChain.xml><?xml version="1.0" encoding="utf-8"?>
<calcChain xmlns="http://schemas.openxmlformats.org/spreadsheetml/2006/main">
  <c r="C2" i="1" l="1"/>
  <c r="C11" i="4" l="1"/>
  <c r="C10" i="4"/>
  <c r="C9" i="4"/>
  <c r="C8" i="4"/>
  <c r="C6" i="4"/>
  <c r="C16" i="1"/>
  <c r="C19" i="1"/>
  <c r="E10" i="1"/>
  <c r="E14" i="1"/>
  <c r="E28" i="1"/>
  <c r="E22" i="1"/>
  <c r="C29" i="1"/>
  <c r="E26" i="1"/>
  <c r="E21" i="1"/>
  <c r="E27" i="1"/>
  <c r="C21" i="1"/>
  <c r="E17" i="1"/>
  <c r="C12" i="1"/>
  <c r="C18" i="1"/>
  <c r="C13" i="1"/>
  <c r="E11" i="1"/>
  <c r="C22" i="1"/>
  <c r="C30" i="1"/>
  <c r="C25" i="1"/>
  <c r="C31" i="1"/>
  <c r="E20" i="1"/>
  <c r="E23" i="1"/>
  <c r="E18" i="1"/>
  <c r="E13" i="1"/>
  <c r="E19" i="1"/>
  <c r="C14" i="1"/>
  <c r="C28" i="1"/>
  <c r="C15" i="1"/>
  <c r="E31" i="1"/>
  <c r="C11" i="1"/>
  <c r="C24" i="1"/>
  <c r="C27" i="1"/>
  <c r="E16" i="1"/>
  <c r="C17" i="1"/>
  <c r="C23" i="1"/>
  <c r="E12" i="1"/>
  <c r="E15" i="1"/>
  <c r="E29" i="1"/>
  <c r="C10" i="1"/>
  <c r="E24" i="1"/>
  <c r="E30" i="1"/>
  <c r="E25" i="1"/>
  <c r="C20" i="1"/>
  <c r="C26" i="1"/>
  <c r="E13" i="3" l="1"/>
  <c r="E27" i="3"/>
  <c r="E26" i="3"/>
  <c r="F23" i="3"/>
  <c r="E23" i="3"/>
  <c r="E22" i="3"/>
  <c r="E20" i="3"/>
  <c r="E21" i="3"/>
  <c r="E19" i="3"/>
  <c r="G19" i="3" s="1"/>
  <c r="E18" i="3"/>
  <c r="E17" i="3"/>
  <c r="G17" i="3" s="1"/>
  <c r="E16" i="3"/>
  <c r="E14" i="3"/>
  <c r="H23" i="3"/>
  <c r="E15" i="3"/>
  <c r="E12" i="3"/>
  <c r="E11" i="3"/>
  <c r="G11" i="3" s="1"/>
  <c r="E10" i="3"/>
  <c r="G10" i="3" s="1"/>
  <c r="H9" i="3"/>
  <c r="J9" i="3" s="1"/>
  <c r="E9" i="3"/>
  <c r="E8" i="3"/>
  <c r="G27" i="3"/>
  <c r="G26" i="3"/>
  <c r="G25" i="3"/>
  <c r="G24" i="3"/>
  <c r="K24" i="3" s="1"/>
  <c r="G23" i="3"/>
  <c r="G22" i="3"/>
  <c r="G21" i="3"/>
  <c r="G20" i="3"/>
  <c r="G18" i="3"/>
  <c r="G16" i="3"/>
  <c r="G15" i="3"/>
  <c r="G14" i="3"/>
  <c r="G13" i="3"/>
  <c r="G12" i="3"/>
  <c r="G9" i="3"/>
  <c r="G8" i="3"/>
  <c r="G7" i="3"/>
  <c r="K25" i="3"/>
  <c r="K6" i="3"/>
  <c r="H7" i="3"/>
  <c r="E7" i="3"/>
  <c r="E6" i="3"/>
  <c r="G6" i="3" s="1"/>
  <c r="J27" i="3"/>
  <c r="J26" i="3"/>
  <c r="J25" i="3"/>
  <c r="J24" i="3"/>
  <c r="J23" i="3"/>
  <c r="K23" i="3" s="1"/>
  <c r="J22" i="3"/>
  <c r="J21" i="3"/>
  <c r="J20" i="3"/>
  <c r="J19" i="3"/>
  <c r="J18" i="3"/>
  <c r="J17" i="3"/>
  <c r="J16" i="3"/>
  <c r="J15" i="3"/>
  <c r="J14" i="3"/>
  <c r="J13" i="3"/>
  <c r="K13" i="3" s="1"/>
  <c r="J12" i="3"/>
  <c r="J11" i="3"/>
  <c r="J10" i="3"/>
  <c r="J8" i="3"/>
  <c r="J7" i="3"/>
  <c r="K7" i="3" s="1"/>
  <c r="J6" i="3"/>
  <c r="P13" i="5"/>
  <c r="P12" i="5"/>
  <c r="P11" i="5"/>
  <c r="P10" i="5"/>
  <c r="P8" i="5"/>
  <c r="E35" i="5"/>
  <c r="D11" i="4"/>
  <c r="E6" i="4"/>
  <c r="E8" i="4"/>
  <c r="F35" i="5"/>
  <c r="D34" i="4"/>
  <c r="D8" i="4"/>
  <c r="D6" i="4"/>
  <c r="C34" i="4"/>
  <c r="E11" i="4"/>
  <c r="F34" i="4"/>
  <c r="D35" i="5"/>
  <c r="D7" i="4"/>
  <c r="D9" i="4"/>
  <c r="C35" i="5"/>
  <c r="D10" i="4"/>
  <c r="E34" i="4"/>
  <c r="E9" i="4"/>
  <c r="E10" i="4"/>
  <c r="J35" i="5" l="1"/>
  <c r="I35" i="5"/>
  <c r="K27" i="3"/>
  <c r="K26" i="3"/>
  <c r="K22" i="3"/>
  <c r="K20" i="3"/>
  <c r="K21" i="3"/>
  <c r="K19" i="3"/>
  <c r="K18" i="3"/>
  <c r="K17" i="3"/>
  <c r="K16" i="3"/>
  <c r="K14" i="3"/>
  <c r="K15" i="3"/>
  <c r="K12" i="3"/>
  <c r="K11" i="3"/>
  <c r="K10" i="3"/>
  <c r="K9" i="3"/>
  <c r="K8" i="3"/>
  <c r="H35" i="5"/>
  <c r="M35" i="5" l="1"/>
  <c r="K18" i="1" l="1"/>
  <c r="D14" i="3"/>
  <c r="D27" i="3"/>
  <c r="D11" i="3"/>
  <c r="D15" i="3"/>
  <c r="L31" i="1" l="1"/>
  <c r="N31" i="1" s="1"/>
  <c r="L30" i="1"/>
  <c r="N30" i="1" s="1"/>
  <c r="L29" i="1"/>
  <c r="N29" i="1" s="1"/>
  <c r="L28" i="1"/>
  <c r="N28" i="1" s="1"/>
  <c r="L27" i="1"/>
  <c r="N27" i="1" s="1"/>
  <c r="L26" i="1"/>
  <c r="N26" i="1" s="1"/>
  <c r="L25" i="1"/>
  <c r="N25" i="1" s="1"/>
  <c r="L24" i="1"/>
  <c r="N24" i="1" s="1"/>
  <c r="L23" i="1"/>
  <c r="N23" i="1" s="1"/>
  <c r="L22" i="1"/>
  <c r="N22" i="1" s="1"/>
  <c r="L21" i="1"/>
  <c r="N21" i="1" s="1"/>
  <c r="L20" i="1"/>
  <c r="N20" i="1" s="1"/>
  <c r="L19" i="1"/>
  <c r="N19" i="1" s="1"/>
  <c r="L18" i="1"/>
  <c r="N18" i="1" s="1"/>
  <c r="L17" i="1"/>
  <c r="N17" i="1" s="1"/>
  <c r="L16" i="1"/>
  <c r="N16" i="1" s="1"/>
  <c r="L15" i="1"/>
  <c r="N15" i="1" s="1"/>
  <c r="L14" i="1"/>
  <c r="N14" i="1" s="1"/>
  <c r="L13" i="1"/>
  <c r="N13" i="1" s="1"/>
  <c r="L12" i="1"/>
  <c r="N12" i="1" s="1"/>
  <c r="L11" i="1"/>
  <c r="N11" i="1" s="1"/>
  <c r="L10" i="1"/>
  <c r="Q13" i="5" l="1"/>
  <c r="M10" i="1"/>
  <c r="M12" i="1"/>
  <c r="M14" i="1"/>
  <c r="M16" i="1"/>
  <c r="M18" i="1"/>
  <c r="M20" i="1"/>
  <c r="M22" i="1"/>
  <c r="M24" i="1"/>
  <c r="M26" i="1"/>
  <c r="M28" i="1"/>
  <c r="M30" i="1"/>
  <c r="M11" i="1"/>
  <c r="M13" i="1"/>
  <c r="M15" i="1"/>
  <c r="M17" i="1"/>
  <c r="M19" i="1"/>
  <c r="M21" i="1"/>
  <c r="M23" i="1"/>
  <c r="M25" i="1"/>
  <c r="M27" i="1"/>
  <c r="M29" i="1"/>
  <c r="M31" i="1"/>
  <c r="P31" i="1"/>
  <c r="R31" i="1" s="1"/>
  <c r="P30" i="1"/>
  <c r="R30" i="1" s="1"/>
  <c r="P29" i="1"/>
  <c r="R29" i="1" s="1"/>
  <c r="P28" i="1"/>
  <c r="R28" i="1" s="1"/>
  <c r="P27" i="1"/>
  <c r="R27" i="1" s="1"/>
  <c r="P26" i="1"/>
  <c r="R26" i="1" s="1"/>
  <c r="P25" i="1"/>
  <c r="R25" i="1" s="1"/>
  <c r="P24" i="1"/>
  <c r="R24" i="1" s="1"/>
  <c r="P23" i="1"/>
  <c r="R23" i="1" s="1"/>
  <c r="P22" i="1"/>
  <c r="R22" i="1" s="1"/>
  <c r="P21" i="1"/>
  <c r="R21" i="1" s="1"/>
  <c r="P20" i="1"/>
  <c r="R20" i="1" s="1"/>
  <c r="P19" i="1"/>
  <c r="R19" i="1" s="1"/>
  <c r="P18" i="1"/>
  <c r="R18" i="1" s="1"/>
  <c r="P17" i="1"/>
  <c r="R17" i="1" s="1"/>
  <c r="P16" i="1"/>
  <c r="R16" i="1" s="1"/>
  <c r="P15" i="1"/>
  <c r="R15" i="1" s="1"/>
  <c r="P14" i="1"/>
  <c r="R14" i="1" s="1"/>
  <c r="P13" i="1"/>
  <c r="R13" i="1" s="1"/>
  <c r="P12" i="1"/>
  <c r="R12" i="1" s="1"/>
  <c r="P11" i="1"/>
  <c r="R11" i="1" s="1"/>
  <c r="P10" i="1"/>
  <c r="F11" i="4"/>
  <c r="Q30" i="1" l="1"/>
  <c r="Q26" i="1"/>
  <c r="Q22" i="1"/>
  <c r="Q18" i="1"/>
  <c r="Q14" i="1"/>
  <c r="Q10" i="1"/>
  <c r="Q29" i="1"/>
  <c r="Q25" i="1"/>
  <c r="Q21" i="1"/>
  <c r="Q17" i="1"/>
  <c r="Q13" i="1"/>
  <c r="Q31" i="1"/>
  <c r="Q27" i="1"/>
  <c r="Q23" i="1"/>
  <c r="Q19" i="1"/>
  <c r="Q15" i="1"/>
  <c r="Q11" i="1"/>
  <c r="Q28" i="1"/>
  <c r="Q24" i="1"/>
  <c r="Q20" i="1"/>
  <c r="Q16" i="1"/>
  <c r="Q12" i="1"/>
  <c r="H11" i="4"/>
  <c r="Q12" i="5"/>
  <c r="Q11" i="5"/>
  <c r="Q10" i="5"/>
  <c r="Q8" i="5"/>
  <c r="D33" i="1"/>
  <c r="D29" i="3"/>
  <c r="C29" i="3"/>
  <c r="F8" i="4"/>
  <c r="F9" i="4"/>
  <c r="F6" i="4"/>
  <c r="F10" i="4"/>
  <c r="H8" i="4" l="1"/>
  <c r="H10" i="4"/>
  <c r="H9" i="4"/>
  <c r="H6" i="4"/>
  <c r="G12" i="1"/>
  <c r="G28" i="1"/>
  <c r="G25" i="1"/>
  <c r="G16" i="1"/>
  <c r="G24" i="1"/>
  <c r="G13" i="1"/>
  <c r="G21" i="1"/>
  <c r="G29" i="1"/>
  <c r="G11" i="1"/>
  <c r="G18" i="1"/>
  <c r="G26" i="1"/>
  <c r="G15" i="1"/>
  <c r="G23" i="1"/>
  <c r="G31" i="1"/>
  <c r="G20" i="1"/>
  <c r="G17" i="1"/>
  <c r="G14" i="1"/>
  <c r="G22" i="1"/>
  <c r="G30" i="1"/>
  <c r="G19" i="1"/>
  <c r="G27" i="1"/>
  <c r="F11" i="1"/>
  <c r="F12" i="1"/>
  <c r="F14" i="1"/>
  <c r="F16" i="1"/>
  <c r="F18" i="1"/>
  <c r="F20" i="1"/>
  <c r="F22" i="1"/>
  <c r="F24" i="1"/>
  <c r="F26" i="1"/>
  <c r="F28" i="1"/>
  <c r="F30" i="1"/>
  <c r="F13" i="1"/>
  <c r="F15" i="1"/>
  <c r="F17" i="1"/>
  <c r="F19" i="1"/>
  <c r="F21" i="1"/>
  <c r="F23" i="1"/>
  <c r="F25" i="1"/>
  <c r="F27" i="1"/>
  <c r="F29" i="1"/>
  <c r="F31" i="1"/>
  <c r="F10" i="1"/>
  <c r="N10" i="1" l="1"/>
  <c r="C33" i="1"/>
  <c r="C5" i="1" s="1"/>
  <c r="G10" i="1"/>
  <c r="I29" i="1"/>
  <c r="I25" i="1"/>
  <c r="I21" i="1"/>
  <c r="I17" i="1"/>
  <c r="I13" i="1"/>
  <c r="I28" i="1"/>
  <c r="I24" i="1"/>
  <c r="I20" i="1"/>
  <c r="I16" i="1"/>
  <c r="I12" i="1"/>
  <c r="I31" i="1"/>
  <c r="I27" i="1"/>
  <c r="I23" i="1"/>
  <c r="I19" i="1"/>
  <c r="I15" i="1"/>
  <c r="I30" i="1"/>
  <c r="I26" i="1"/>
  <c r="I22" i="1"/>
  <c r="I18" i="1"/>
  <c r="I14" i="1"/>
  <c r="I11" i="1"/>
  <c r="I10" i="1"/>
  <c r="C6" i="1" l="1"/>
  <c r="R10" i="1"/>
  <c r="H29" i="1" l="1"/>
  <c r="H25" i="1"/>
  <c r="H21" i="1"/>
  <c r="H17" i="1"/>
  <c r="H13" i="1"/>
  <c r="H28" i="1"/>
  <c r="H24" i="1"/>
  <c r="H20" i="1"/>
  <c r="H16" i="1"/>
  <c r="H12" i="1"/>
  <c r="H31" i="1"/>
  <c r="H27" i="1"/>
  <c r="H23" i="1"/>
  <c r="H19" i="1"/>
  <c r="H15" i="1"/>
  <c r="H30" i="1"/>
  <c r="H26" i="1"/>
  <c r="H22" i="1"/>
  <c r="H18" i="1"/>
  <c r="H14" i="1"/>
  <c r="H11" i="1"/>
  <c r="H10" i="1"/>
  <c r="O21" i="1"/>
  <c r="S21" i="1" s="1"/>
  <c r="U21" i="1" s="1"/>
  <c r="O12" i="1"/>
  <c r="S12" i="1" s="1"/>
  <c r="U12" i="1" s="1"/>
  <c r="O20" i="1"/>
  <c r="S20" i="1" s="1"/>
  <c r="U20" i="1" s="1"/>
  <c r="O30" i="1"/>
  <c r="S30" i="1" s="1"/>
  <c r="U30" i="1" s="1"/>
  <c r="O25" i="1"/>
  <c r="S25" i="1" s="1"/>
  <c r="U25" i="1" s="1"/>
  <c r="O26" i="1"/>
  <c r="S26" i="1" s="1"/>
  <c r="U26" i="1" s="1"/>
  <c r="O29" i="1"/>
  <c r="S29" i="1" s="1"/>
  <c r="U29" i="1" s="1"/>
  <c r="O18" i="1"/>
  <c r="S18" i="1" s="1"/>
  <c r="O28" i="1"/>
  <c r="S28" i="1" s="1"/>
  <c r="U28" i="1" s="1"/>
  <c r="O23" i="1"/>
  <c r="S23" i="1" s="1"/>
  <c r="U23" i="1" s="1"/>
  <c r="O13" i="1"/>
  <c r="S13" i="1" s="1"/>
  <c r="U13" i="1" s="1"/>
  <c r="O11" i="1"/>
  <c r="S11" i="1" s="1"/>
  <c r="U11" i="1" s="1"/>
  <c r="O16" i="1"/>
  <c r="S16" i="1" s="1"/>
  <c r="O24" i="1"/>
  <c r="S24" i="1" s="1"/>
  <c r="O19" i="1"/>
  <c r="S19" i="1" s="1"/>
  <c r="U19" i="1" s="1"/>
  <c r="O31" i="1"/>
  <c r="S31" i="1" s="1"/>
  <c r="O17" i="1"/>
  <c r="S17" i="1" s="1"/>
  <c r="U17" i="1" s="1"/>
  <c r="O14" i="1"/>
  <c r="S14" i="1" s="1"/>
  <c r="U14" i="1" s="1"/>
  <c r="O22" i="1"/>
  <c r="S22" i="1" s="1"/>
  <c r="U22" i="1" s="1"/>
  <c r="O15" i="1"/>
  <c r="S15" i="1" s="1"/>
  <c r="U15" i="1" s="1"/>
  <c r="O27" i="1"/>
  <c r="S27" i="1" s="1"/>
  <c r="U27" i="1" s="1"/>
  <c r="O10" i="1"/>
  <c r="S10" i="1" s="1"/>
  <c r="U24" i="1"/>
  <c r="U16" i="1"/>
  <c r="U18" i="1"/>
  <c r="F16" i="5"/>
  <c r="C28" i="5"/>
  <c r="E27" i="5"/>
  <c r="D22" i="5"/>
  <c r="E18" i="5"/>
  <c r="C34" i="5"/>
  <c r="D29" i="5"/>
  <c r="E26" i="5"/>
  <c r="D20" i="5"/>
  <c r="F19" i="5"/>
  <c r="D30" i="5"/>
  <c r="C25" i="5"/>
  <c r="C22" i="5"/>
  <c r="F32" i="5"/>
  <c r="D23" i="5"/>
  <c r="F15" i="5"/>
  <c r="D33" i="5"/>
  <c r="F20" i="5"/>
  <c r="E23" i="5"/>
  <c r="E21" i="5"/>
  <c r="C18" i="5"/>
  <c r="C17" i="5"/>
  <c r="D25" i="5"/>
  <c r="E20" i="5"/>
  <c r="E22" i="5"/>
  <c r="C19" i="5"/>
  <c r="C16" i="5"/>
  <c r="E33" i="5"/>
  <c r="C32" i="5"/>
  <c r="C21" i="5"/>
  <c r="C26" i="5"/>
  <c r="D34" i="5"/>
  <c r="D17" i="5"/>
  <c r="C31" i="5"/>
  <c r="E29" i="5"/>
  <c r="F29" i="5"/>
  <c r="F30" i="5"/>
  <c r="E16" i="5"/>
  <c r="C20" i="5"/>
  <c r="D24" i="5"/>
  <c r="C29" i="5"/>
  <c r="C15" i="5"/>
  <c r="F34" i="5"/>
  <c r="D21" i="5"/>
  <c r="D32" i="5"/>
  <c r="F28" i="5"/>
  <c r="D18" i="5"/>
  <c r="E30" i="5"/>
  <c r="F25" i="5"/>
  <c r="E32" i="5"/>
  <c r="E28" i="5"/>
  <c r="D19" i="5"/>
  <c r="D15" i="5"/>
  <c r="C33" i="5"/>
  <c r="D26" i="5"/>
  <c r="F26" i="5"/>
  <c r="E31" i="5"/>
  <c r="F18" i="5"/>
  <c r="E17" i="5"/>
  <c r="F21" i="5"/>
  <c r="D28" i="5"/>
  <c r="F24" i="5"/>
  <c r="E19" i="5"/>
  <c r="D16" i="5"/>
  <c r="E25" i="5"/>
  <c r="F27" i="5"/>
  <c r="F31" i="5"/>
  <c r="D31" i="5"/>
  <c r="E34" i="5"/>
  <c r="F33" i="5"/>
  <c r="C27" i="5"/>
  <c r="C23" i="5"/>
  <c r="F23" i="5"/>
  <c r="C30" i="5"/>
  <c r="F17" i="5"/>
  <c r="C24" i="5"/>
  <c r="D27" i="5"/>
  <c r="E24" i="5"/>
  <c r="E15" i="5"/>
  <c r="F22" i="5"/>
  <c r="O19" i="5" l="1"/>
  <c r="G19" i="5"/>
  <c r="H19" i="5"/>
  <c r="I19" i="5"/>
  <c r="J19" i="5"/>
  <c r="O18" i="5"/>
  <c r="G18" i="5"/>
  <c r="H18" i="5"/>
  <c r="J18" i="5"/>
  <c r="I18" i="5"/>
  <c r="J15" i="5"/>
  <c r="G15" i="5"/>
  <c r="O15" i="5"/>
  <c r="H15" i="5"/>
  <c r="I15" i="5"/>
  <c r="H30" i="5"/>
  <c r="J30" i="5"/>
  <c r="I30" i="5"/>
  <c r="O30" i="5"/>
  <c r="G30" i="5"/>
  <c r="O34" i="5"/>
  <c r="G34" i="5"/>
  <c r="H34" i="5"/>
  <c r="J34" i="5"/>
  <c r="I34" i="5"/>
  <c r="J16" i="5"/>
  <c r="G16" i="5"/>
  <c r="O16" i="5"/>
  <c r="I16" i="5"/>
  <c r="L16" i="5" s="1"/>
  <c r="H16" i="5"/>
  <c r="J17" i="5"/>
  <c r="O17" i="5"/>
  <c r="G17" i="5"/>
  <c r="H17" i="5"/>
  <c r="I17" i="5"/>
  <c r="J33" i="5"/>
  <c r="H33" i="5"/>
  <c r="I33" i="5"/>
  <c r="O33" i="5"/>
  <c r="G33" i="5"/>
  <c r="L33" i="5" s="1"/>
  <c r="I25" i="5"/>
  <c r="O25" i="5"/>
  <c r="G25" i="5"/>
  <c r="L25" i="5" s="1"/>
  <c r="H25" i="5"/>
  <c r="J25" i="5"/>
  <c r="L30" i="5"/>
  <c r="M16" i="5"/>
  <c r="M19" i="5"/>
  <c r="J23" i="5"/>
  <c r="I23" i="5"/>
  <c r="J31" i="5"/>
  <c r="I31" i="5"/>
  <c r="J29" i="5"/>
  <c r="I29" i="5"/>
  <c r="J26" i="5"/>
  <c r="I26" i="5"/>
  <c r="J20" i="5"/>
  <c r="I20" i="5"/>
  <c r="J28" i="5"/>
  <c r="I28" i="5"/>
  <c r="J27" i="5"/>
  <c r="I27" i="5"/>
  <c r="J24" i="5"/>
  <c r="I24" i="5"/>
  <c r="J22" i="5"/>
  <c r="I22" i="5"/>
  <c r="J32" i="5"/>
  <c r="I32" i="5"/>
  <c r="J21" i="5"/>
  <c r="I21" i="5"/>
  <c r="H31" i="5"/>
  <c r="H29" i="5"/>
  <c r="H26" i="5"/>
  <c r="H20" i="5"/>
  <c r="H21" i="5"/>
  <c r="H24" i="5"/>
  <c r="H23" i="5"/>
  <c r="H22" i="5"/>
  <c r="H32" i="5"/>
  <c r="H28" i="5"/>
  <c r="H27" i="5"/>
  <c r="G35" i="5"/>
  <c r="O35" i="5"/>
  <c r="O31" i="5"/>
  <c r="G31" i="5"/>
  <c r="O26" i="5"/>
  <c r="G26" i="5"/>
  <c r="O20" i="5"/>
  <c r="G20" i="5"/>
  <c r="O21" i="5"/>
  <c r="G21" i="5"/>
  <c r="O24" i="5"/>
  <c r="G24" i="5"/>
  <c r="O29" i="5"/>
  <c r="G29" i="5"/>
  <c r="O23" i="5"/>
  <c r="G23" i="5"/>
  <c r="O22" i="5"/>
  <c r="G22" i="5"/>
  <c r="O32" i="5"/>
  <c r="G32" i="5"/>
  <c r="O28" i="5"/>
  <c r="G28" i="5"/>
  <c r="O27" i="5"/>
  <c r="G27" i="5"/>
  <c r="D18" i="4"/>
  <c r="D15" i="4"/>
  <c r="D19" i="4"/>
  <c r="D32" i="4"/>
  <c r="D26" i="4"/>
  <c r="D31" i="4"/>
  <c r="D28" i="4"/>
  <c r="D33" i="4"/>
  <c r="D27" i="4"/>
  <c r="D22" i="4"/>
  <c r="D16" i="4"/>
  <c r="D13" i="4"/>
  <c r="D24" i="4"/>
  <c r="D17" i="4"/>
  <c r="D21" i="4"/>
  <c r="D29" i="4"/>
  <c r="D14" i="4"/>
  <c r="D23" i="4"/>
  <c r="D20" i="4"/>
  <c r="D25" i="4"/>
  <c r="D30" i="4"/>
  <c r="L34" i="5" l="1"/>
  <c r="L19" i="5"/>
  <c r="N19" i="5" s="1"/>
  <c r="M33" i="5"/>
  <c r="M17" i="5"/>
  <c r="M34" i="5"/>
  <c r="M30" i="5"/>
  <c r="N30" i="5" s="1"/>
  <c r="L15" i="5"/>
  <c r="K19" i="5"/>
  <c r="K18" i="5"/>
  <c r="M18" i="5"/>
  <c r="M28" i="5"/>
  <c r="M22" i="5"/>
  <c r="M24" i="5"/>
  <c r="M20" i="5"/>
  <c r="M29" i="5"/>
  <c r="K16" i="5"/>
  <c r="K34" i="5"/>
  <c r="L18" i="5"/>
  <c r="N18" i="5" s="1"/>
  <c r="L17" i="5"/>
  <c r="L27" i="5"/>
  <c r="L28" i="5"/>
  <c r="L32" i="5"/>
  <c r="L22" i="5"/>
  <c r="L23" i="5"/>
  <c r="L29" i="5"/>
  <c r="L24" i="5"/>
  <c r="L21" i="5"/>
  <c r="L20" i="5"/>
  <c r="L26" i="5"/>
  <c r="L31" i="5"/>
  <c r="K33" i="5"/>
  <c r="K30" i="5"/>
  <c r="K17" i="5"/>
  <c r="K15" i="5"/>
  <c r="K25" i="5"/>
  <c r="P25" i="5" s="1"/>
  <c r="M25" i="5"/>
  <c r="N25" i="5" s="1"/>
  <c r="M15" i="5"/>
  <c r="N15" i="5" s="1"/>
  <c r="M27" i="5"/>
  <c r="M32" i="5"/>
  <c r="M23" i="5"/>
  <c r="M21" i="5"/>
  <c r="M26" i="5"/>
  <c r="M31" i="5"/>
  <c r="K35" i="5"/>
  <c r="L35" i="5"/>
  <c r="N35" i="5" s="1"/>
  <c r="K28" i="5"/>
  <c r="K22" i="5"/>
  <c r="K24" i="5"/>
  <c r="K20" i="5"/>
  <c r="K29" i="5"/>
  <c r="K27" i="5"/>
  <c r="K32" i="5"/>
  <c r="K23" i="5"/>
  <c r="K21" i="5"/>
  <c r="K26" i="5"/>
  <c r="K31" i="5"/>
  <c r="N33" i="5"/>
  <c r="N34" i="5"/>
  <c r="N16" i="5"/>
  <c r="J18" i="1"/>
  <c r="C13" i="4"/>
  <c r="C33" i="4"/>
  <c r="C16" i="4"/>
  <c r="J12" i="1"/>
  <c r="J26" i="1"/>
  <c r="J25" i="1"/>
  <c r="J21" i="1"/>
  <c r="J15" i="1"/>
  <c r="J19" i="1"/>
  <c r="C31" i="4"/>
  <c r="J31" i="1"/>
  <c r="C14" i="4"/>
  <c r="J28" i="1"/>
  <c r="C23" i="4"/>
  <c r="C17" i="4"/>
  <c r="J13" i="1"/>
  <c r="J14" i="1"/>
  <c r="J23" i="1"/>
  <c r="J11" i="1"/>
  <c r="J16" i="1"/>
  <c r="C32" i="4"/>
  <c r="J22" i="1"/>
  <c r="J30" i="1"/>
  <c r="J20" i="1"/>
  <c r="J24" i="1"/>
  <c r="J27" i="1"/>
  <c r="C28" i="4"/>
  <c r="J17" i="1"/>
  <c r="E23" i="4"/>
  <c r="J29" i="1"/>
  <c r="P19" i="5" l="1"/>
  <c r="N17" i="5"/>
  <c r="P18" i="5"/>
  <c r="P16" i="5"/>
  <c r="P30" i="5"/>
  <c r="Q30" i="5" s="1"/>
  <c r="P15" i="5"/>
  <c r="Q15" i="5" s="1"/>
  <c r="P34" i="5"/>
  <c r="Q34" i="5" s="1"/>
  <c r="P17" i="5"/>
  <c r="Q17" i="5" s="1"/>
  <c r="N24" i="5"/>
  <c r="N31" i="5"/>
  <c r="Q25" i="5"/>
  <c r="P35" i="5"/>
  <c r="Q35" i="5" s="1"/>
  <c r="P31" i="5"/>
  <c r="P24" i="5"/>
  <c r="Q18" i="5"/>
  <c r="N27" i="5"/>
  <c r="N20" i="5"/>
  <c r="P20" i="5" s="1"/>
  <c r="P33" i="5"/>
  <c r="N23" i="5"/>
  <c r="P23" i="5" s="1"/>
  <c r="N32" i="5"/>
  <c r="N28" i="5"/>
  <c r="P28" i="5" s="1"/>
  <c r="Q16" i="5"/>
  <c r="N29" i="5"/>
  <c r="P29" i="5" s="1"/>
  <c r="N22" i="5"/>
  <c r="P22" i="5" s="1"/>
  <c r="N26" i="5"/>
  <c r="P26" i="5" s="1"/>
  <c r="N21" i="5"/>
  <c r="P21" i="5" s="1"/>
  <c r="Q19" i="5"/>
  <c r="C15" i="4"/>
  <c r="C18" i="4"/>
  <c r="F23" i="4"/>
  <c r="C30" i="4"/>
  <c r="E29" i="4"/>
  <c r="C22" i="4"/>
  <c r="E14" i="4"/>
  <c r="E32" i="4"/>
  <c r="C27" i="4"/>
  <c r="C26" i="4"/>
  <c r="E31" i="4"/>
  <c r="C24" i="4"/>
  <c r="E19" i="4"/>
  <c r="E21" i="4"/>
  <c r="E16" i="4"/>
  <c r="F15" i="4"/>
  <c r="F28" i="4"/>
  <c r="F17" i="4"/>
  <c r="E18" i="4"/>
  <c r="E17" i="4"/>
  <c r="F32" i="4"/>
  <c r="E15" i="4"/>
  <c r="F13" i="4"/>
  <c r="E13" i="4"/>
  <c r="E20" i="4"/>
  <c r="E24" i="4"/>
  <c r="E22" i="4"/>
  <c r="C19" i="4"/>
  <c r="C21" i="4"/>
  <c r="E28" i="4"/>
  <c r="F16" i="4"/>
  <c r="C20" i="4"/>
  <c r="E27" i="4"/>
  <c r="E26" i="4"/>
  <c r="F14" i="4"/>
  <c r="C25" i="4"/>
  <c r="F33" i="4"/>
  <c r="C29" i="4"/>
  <c r="E33" i="4"/>
  <c r="Q31" i="5" l="1"/>
  <c r="H23" i="4"/>
  <c r="H33" i="4"/>
  <c r="H13" i="4"/>
  <c r="H28" i="4"/>
  <c r="H32" i="4"/>
  <c r="H15" i="4"/>
  <c r="H17" i="4"/>
  <c r="H16" i="4"/>
  <c r="H14" i="4"/>
  <c r="Q33" i="5"/>
  <c r="Q26" i="5"/>
  <c r="P32" i="5"/>
  <c r="Q32" i="5" s="1"/>
  <c r="Q23" i="5"/>
  <c r="P27" i="5"/>
  <c r="Q27" i="5" s="1"/>
  <c r="Q28" i="5"/>
  <c r="Q24" i="5"/>
  <c r="Q21" i="5"/>
  <c r="Q22" i="5"/>
  <c r="Q20" i="5"/>
  <c r="Q29" i="5"/>
  <c r="U10" i="1"/>
  <c r="F29" i="4"/>
  <c r="F24" i="4"/>
  <c r="F19" i="4"/>
  <c r="F26" i="4"/>
  <c r="E14" i="5"/>
  <c r="E25" i="4"/>
  <c r="F21" i="4"/>
  <c r="C14" i="5"/>
  <c r="F18" i="4"/>
  <c r="E30" i="4"/>
  <c r="F14" i="5"/>
  <c r="D14" i="5"/>
  <c r="F27" i="4"/>
  <c r="F30" i="4"/>
  <c r="F25" i="4"/>
  <c r="F20" i="4"/>
  <c r="F22" i="4"/>
  <c r="F31" i="4"/>
  <c r="H29" i="4" l="1"/>
  <c r="H22" i="4"/>
  <c r="H18" i="4"/>
  <c r="H31" i="4"/>
  <c r="H30" i="4"/>
  <c r="H25" i="4"/>
  <c r="H24" i="4"/>
  <c r="H20" i="4"/>
  <c r="H21" i="4"/>
  <c r="H27" i="4"/>
  <c r="H26" i="4"/>
  <c r="H19" i="4"/>
  <c r="J14" i="5"/>
  <c r="I14" i="5"/>
  <c r="H14" i="5"/>
  <c r="O14" i="5"/>
  <c r="G14" i="5"/>
  <c r="D12" i="4"/>
  <c r="L14" i="5" l="1"/>
  <c r="M14" i="5"/>
  <c r="K14" i="5"/>
  <c r="J10" i="1"/>
  <c r="N14" i="5" l="1"/>
  <c r="P14" i="5" s="1"/>
  <c r="E12" i="4"/>
  <c r="C12" i="4"/>
  <c r="C7" i="4" l="1"/>
  <c r="P9" i="5"/>
  <c r="Q14" i="5"/>
  <c r="F12" i="4"/>
  <c r="E7" i="4"/>
  <c r="H12" i="4" l="1"/>
  <c r="Q9" i="5"/>
  <c r="F7" i="4"/>
  <c r="H7" i="4" l="1"/>
</calcChain>
</file>

<file path=xl/comments1.xml><?xml version="1.0" encoding="utf-8"?>
<comments xmlns="http://schemas.openxmlformats.org/spreadsheetml/2006/main">
  <authors>
    <author>Angelo State University</author>
  </authors>
  <commentList>
    <comment ref="C9" authorId="0">
      <text>
        <r>
          <rPr>
            <b/>
            <sz val="8"/>
            <color indexed="81"/>
            <rFont val="Tahoma"/>
            <family val="2"/>
          </rPr>
          <t>Angelo State University:</t>
        </r>
        <r>
          <rPr>
            <sz val="8"/>
            <color indexed="81"/>
            <rFont val="Tahoma"/>
            <family val="2"/>
          </rPr>
          <t xml:space="preserve">
Includes faculty compensation
</t>
        </r>
      </text>
    </comment>
    <comment ref="K9" authorId="0">
      <text>
        <r>
          <rPr>
            <b/>
            <sz val="8"/>
            <color indexed="81"/>
            <rFont val="Tahoma"/>
            <family val="2"/>
          </rPr>
          <t xml:space="preserve">TCC report provided by Academic Affairs
based on fall fte
</t>
        </r>
      </text>
    </comment>
  </commentList>
</comments>
</file>

<file path=xl/sharedStrings.xml><?xml version="1.0" encoding="utf-8"?>
<sst xmlns="http://schemas.openxmlformats.org/spreadsheetml/2006/main" count="227" uniqueCount="143">
  <si>
    <t>Agriculture</t>
  </si>
  <si>
    <t>Art &amp; Music</t>
  </si>
  <si>
    <t>Biology</t>
  </si>
  <si>
    <t>Chemistry &amp; Biochemistry</t>
  </si>
  <si>
    <t>Communication, Mass Media, &amp; Theatre</t>
  </si>
  <si>
    <t>English &amp; Modern Langagues</t>
  </si>
  <si>
    <t>Pol Science &amp; Criminal Justice</t>
  </si>
  <si>
    <t>History &amp; Political Science</t>
  </si>
  <si>
    <t>Mathematics &amp; Computer Science</t>
  </si>
  <si>
    <t>Physics</t>
  </si>
  <si>
    <t>Accounting, Economics, &amp; Finance</t>
  </si>
  <si>
    <t>Aerospace Studies</t>
  </si>
  <si>
    <t>Management &amp; marketing</t>
  </si>
  <si>
    <t>Security Studies &amp; Criminal Justice</t>
  </si>
  <si>
    <t>Teacher Education</t>
  </si>
  <si>
    <t>Curriculum &amp; Instruction</t>
  </si>
  <si>
    <t>Kinesiology</t>
  </si>
  <si>
    <t>Nursing</t>
  </si>
  <si>
    <t>Athletic Training</t>
  </si>
  <si>
    <t>Physical Therapy</t>
  </si>
  <si>
    <t>Psychology, Sociology &amp; Social Work</t>
  </si>
  <si>
    <t>Academic Affairs</t>
  </si>
  <si>
    <t>2010/11
Expenditures</t>
  </si>
  <si>
    <t>2010/11
Instructional Compensation</t>
  </si>
  <si>
    <t>Instructional Cost per Credit</t>
  </si>
  <si>
    <t>Departmental Cost per Credit</t>
  </si>
  <si>
    <t>Institutional Cost per Credit</t>
  </si>
  <si>
    <t>Departmental Overhead %</t>
  </si>
  <si>
    <t>Budget Division</t>
  </si>
  <si>
    <t>2009-10 Credits</t>
  </si>
  <si>
    <t>2010-11 Credits</t>
  </si>
  <si>
    <t>Total Credits</t>
  </si>
  <si>
    <t>Total Adjusted Revenues</t>
  </si>
  <si>
    <t>Administrative $</t>
  </si>
  <si>
    <t>Facility $ (prior yr facilities allocation)</t>
  </si>
  <si>
    <t>Instructional Funding</t>
  </si>
  <si>
    <t>Inst. Overhead Factor</t>
  </si>
  <si>
    <t>2010/11</t>
  </si>
  <si>
    <t>Total</t>
  </si>
  <si>
    <t>Not Needed</t>
  </si>
  <si>
    <t>BUDGET DIVISION</t>
  </si>
  <si>
    <t>President</t>
  </si>
  <si>
    <t xml:space="preserve">Provost </t>
  </si>
  <si>
    <t>Finance &amp; Aministration</t>
  </si>
  <si>
    <t>Strategy, Planning &amp; Policy</t>
  </si>
  <si>
    <t>Student Services &amp; Enrollment Management</t>
  </si>
  <si>
    <t>Development</t>
  </si>
  <si>
    <t>Facilities</t>
  </si>
  <si>
    <t>Projected 2011/12</t>
  </si>
  <si>
    <t>ADMIN &amp; SUPPORT</t>
  </si>
  <si>
    <t>OPERATING</t>
  </si>
  <si>
    <t>TOTAL ALLOCATION</t>
  </si>
  <si>
    <t>10/11 Expenditure</t>
  </si>
  <si>
    <t>+/- last year</t>
  </si>
  <si>
    <t>Required</t>
  </si>
  <si>
    <t>2011/12 Projected</t>
  </si>
  <si>
    <t>HeadCount Driven</t>
  </si>
  <si>
    <t>2011/12</t>
  </si>
  <si>
    <t>HOLD HARMLESS</t>
  </si>
  <si>
    <t>DIFFERENCE</t>
  </si>
  <si>
    <t>Variables</t>
  </si>
  <si>
    <t>Faculty (full time)</t>
  </si>
  <si>
    <t>Faculty (adjunct)</t>
  </si>
  <si>
    <t>Academic Operating</t>
  </si>
  <si>
    <t>FTE/Support Factor</t>
  </si>
  <si>
    <t>Support Operating</t>
  </si>
  <si>
    <t>Headcount Factor</t>
  </si>
  <si>
    <t>Support for Head Count</t>
  </si>
  <si>
    <t>Faculty (full time) Compensation</t>
  </si>
  <si>
    <t>Faculty (adjunct) Compensation</t>
  </si>
  <si>
    <t>Administrative Compensation</t>
  </si>
  <si>
    <t>Support Salary</t>
  </si>
  <si>
    <t>Facilities Funding per Sq.Ft</t>
  </si>
  <si>
    <t>Total Institutional Sq. Ft.</t>
  </si>
  <si>
    <t>Total Institutional Headcount</t>
  </si>
  <si>
    <t>Student Credit Hour Operating</t>
  </si>
  <si>
    <t>Calculated Faculty FTE</t>
  </si>
  <si>
    <t>Faculty Instructional Hours</t>
  </si>
  <si>
    <t>IH_Cost</t>
  </si>
  <si>
    <t>Actual Faculty FTE</t>
  </si>
  <si>
    <t>Department IH_Cost</t>
  </si>
  <si>
    <t>Institutional IH_Cost</t>
  </si>
  <si>
    <t>Revenue per Credit Hour</t>
  </si>
  <si>
    <t>Instructional Break-Even Class Size</t>
  </si>
  <si>
    <t>Departmental Break-Even Class Size</t>
  </si>
  <si>
    <t>Institutional Break-Even Class Size</t>
  </si>
  <si>
    <t>Restricted Class Size</t>
  </si>
  <si>
    <t>Cost Factor</t>
  </si>
  <si>
    <t xml:space="preserve">SALARIES </t>
  </si>
  <si>
    <t>Actual 2012</t>
  </si>
  <si>
    <t>BUDGET</t>
  </si>
  <si>
    <t>USTD 1101 is fee based course</t>
  </si>
  <si>
    <t>USTD 1201 is tuition based</t>
  </si>
  <si>
    <t>Undergrad</t>
  </si>
  <si>
    <t>Graduate</t>
  </si>
  <si>
    <t>2011-12 SCH</t>
  </si>
  <si>
    <t>UG SCH</t>
  </si>
  <si>
    <t>G SCH</t>
  </si>
  <si>
    <t>Required Class Size (Grad)</t>
  </si>
  <si>
    <t>Required Class Size (UG)</t>
  </si>
  <si>
    <t>G Fac. FTE</t>
  </si>
  <si>
    <t>UG Fac. FTE</t>
  </si>
  <si>
    <t>Required UG Faculty Teaching Load</t>
  </si>
  <si>
    <t>Required Grad Faculty Teaching Load</t>
  </si>
  <si>
    <t xml:space="preserve">2011/12 UG </t>
  </si>
  <si>
    <t>2011/12 Grad</t>
  </si>
  <si>
    <t>Faculty Salaries</t>
  </si>
  <si>
    <t>Formula Allocation</t>
  </si>
  <si>
    <t>AG</t>
  </si>
  <si>
    <t xml:space="preserve">Total </t>
  </si>
  <si>
    <t>Faculty</t>
  </si>
  <si>
    <t>Instructional SCH</t>
  </si>
  <si>
    <t>Lab SCH</t>
  </si>
  <si>
    <t>2011-12 HC</t>
  </si>
  <si>
    <t>total</t>
  </si>
  <si>
    <t>Required UG Lab (HC)</t>
  </si>
  <si>
    <t>Required Grad Lab (HC)</t>
  </si>
  <si>
    <t xml:space="preserve">Required </t>
  </si>
  <si>
    <t>UG Lab Fac</t>
  </si>
  <si>
    <t>G Lab Fac</t>
  </si>
  <si>
    <t>UG Lab (HC)</t>
  </si>
  <si>
    <t>G Lab (HC)</t>
  </si>
  <si>
    <t>AM</t>
  </si>
  <si>
    <t>BIO</t>
  </si>
  <si>
    <t>BCHM</t>
  </si>
  <si>
    <t>CMMT</t>
  </si>
  <si>
    <t>EML</t>
  </si>
  <si>
    <t>POLS</t>
  </si>
  <si>
    <t>PHYS</t>
  </si>
  <si>
    <t>NRS</t>
  </si>
  <si>
    <t>MCS</t>
  </si>
  <si>
    <t>AEF</t>
  </si>
  <si>
    <t>AS</t>
  </si>
  <si>
    <t>MM</t>
  </si>
  <si>
    <t>SSCJ</t>
  </si>
  <si>
    <t>CI</t>
  </si>
  <si>
    <t>ED</t>
  </si>
  <si>
    <t>KIN</t>
  </si>
  <si>
    <t>PSS</t>
  </si>
  <si>
    <t>HONR/USTD</t>
  </si>
  <si>
    <t>HIP</t>
  </si>
  <si>
    <t>Management &amp; Marketing</t>
  </si>
  <si>
    <t>2011/12
Total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</si>
</sst>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4"/>
    <xf numFmtId="0" fontId="4" fillId="0" borderId="0" xfId="4" applyFont="1"/>
    <xf numFmtId="0" fontId="4" fillId="0" borderId="0" xfId="4" applyFont="1" applyFill="1"/>
    <xf numFmtId="9" fontId="0" fillId="0" borderId="0" xfId="2" applyFont="1"/>
    <xf numFmtId="0" fontId="4" fillId="0" borderId="0" xfId="4" applyFont="1" applyFill="1" applyAlignment="1">
      <alignment horizontal="right" indent="1"/>
    </xf>
    <xf numFmtId="0" fontId="4" fillId="0" borderId="0" xfId="4" applyFont="1" applyFill="1" applyAlignment="1">
      <alignment horizontal="right"/>
    </xf>
    <xf numFmtId="0" fontId="3" fillId="0" borderId="0" xfId="4" applyAlignment="1">
      <alignment horizontal="center" wrapText="1"/>
    </xf>
    <xf numFmtId="8" fontId="3" fillId="0" borderId="0" xfId="4" applyNumberFormat="1" applyAlignment="1">
      <alignment horizontal="center" wrapText="1"/>
    </xf>
    <xf numFmtId="44" fontId="4" fillId="0" borderId="0" xfId="4" applyNumberFormat="1" applyFont="1" applyAlignment="1">
      <alignment horizontal="center" wrapText="1"/>
    </xf>
    <xf numFmtId="39" fontId="4" fillId="0" borderId="0" xfId="4" applyNumberFormat="1" applyFont="1" applyAlignment="1">
      <alignment horizontal="center" wrapText="1"/>
    </xf>
    <xf numFmtId="0" fontId="4" fillId="0" borderId="0" xfId="4" applyFont="1" applyAlignment="1">
      <alignment horizontal="center" wrapText="1"/>
    </xf>
    <xf numFmtId="0" fontId="5" fillId="0" borderId="0" xfId="4" applyFont="1"/>
    <xf numFmtId="0" fontId="4" fillId="0" borderId="0" xfId="4" applyFont="1"/>
    <xf numFmtId="0" fontId="5" fillId="0" borderId="0" xfId="4" applyFont="1" applyAlignment="1">
      <alignment horizontal="center" wrapText="1"/>
    </xf>
    <xf numFmtId="0" fontId="4" fillId="0" borderId="0" xfId="4" applyFont="1" applyFill="1"/>
    <xf numFmtId="44" fontId="0" fillId="0" borderId="0" xfId="0" applyNumberFormat="1"/>
    <xf numFmtId="0" fontId="3" fillId="0" borderId="0" xfId="4"/>
    <xf numFmtId="0" fontId="4" fillId="0" borderId="0" xfId="4" applyFont="1"/>
    <xf numFmtId="44" fontId="4" fillId="6" borderId="0" xfId="7" applyFont="1" applyFill="1"/>
    <xf numFmtId="0" fontId="4" fillId="0" borderId="0" xfId="4" applyFont="1" applyFill="1"/>
    <xf numFmtId="44" fontId="0" fillId="0" borderId="0" xfId="1" applyFont="1"/>
    <xf numFmtId="0" fontId="3" fillId="0" borderId="0" xfId="4"/>
    <xf numFmtId="10" fontId="3" fillId="0" borderId="0" xfId="4" applyNumberFormat="1"/>
    <xf numFmtId="44" fontId="3" fillId="0" borderId="0" xfId="4" applyNumberFormat="1"/>
    <xf numFmtId="0" fontId="4" fillId="0" borderId="0" xfId="4" applyFont="1" applyAlignment="1">
      <alignment horizontal="center"/>
    </xf>
    <xf numFmtId="0" fontId="3" fillId="0" borderId="0" xfId="4"/>
    <xf numFmtId="0" fontId="5" fillId="0" borderId="0" xfId="4" applyFont="1"/>
    <xf numFmtId="0" fontId="3" fillId="0" borderId="0" xfId="4" applyFill="1"/>
    <xf numFmtId="0" fontId="4" fillId="0" borderId="0" xfId="4" applyFont="1"/>
    <xf numFmtId="0" fontId="4" fillId="0" borderId="0" xfId="4" applyFont="1" applyFill="1"/>
    <xf numFmtId="0" fontId="3" fillId="0" borderId="0" xfId="4"/>
    <xf numFmtId="44" fontId="3" fillId="0" borderId="0" xfId="4" applyNumberFormat="1" applyAlignment="1">
      <alignment horizontal="center"/>
    </xf>
    <xf numFmtId="13" fontId="3" fillId="0" borderId="0" xfId="4" quotePrefix="1" applyNumberFormat="1" applyAlignment="1">
      <alignment horizontal="center"/>
    </xf>
    <xf numFmtId="0" fontId="7" fillId="7" borderId="0" xfId="4" quotePrefix="1" applyFont="1" applyFill="1" applyAlignment="1">
      <alignment horizontal="center"/>
    </xf>
    <xf numFmtId="44" fontId="4" fillId="0" borderId="0" xfId="4" applyNumberFormat="1" applyFont="1" applyAlignment="1">
      <alignment horizontal="center"/>
    </xf>
    <xf numFmtId="44" fontId="4" fillId="0" borderId="0" xfId="7" applyNumberFormat="1" applyFont="1" applyAlignment="1">
      <alignment horizontal="center"/>
    </xf>
    <xf numFmtId="0" fontId="3" fillId="0" borderId="0" xfId="4"/>
    <xf numFmtId="0" fontId="5" fillId="0" borderId="0" xfId="4" applyFont="1"/>
    <xf numFmtId="0" fontId="3" fillId="0" borderId="0" xfId="4" applyFill="1"/>
    <xf numFmtId="0" fontId="4" fillId="0" borderId="0" xfId="4" applyFont="1"/>
    <xf numFmtId="0" fontId="4" fillId="0" borderId="0" xfId="4" applyFont="1" applyFill="1"/>
    <xf numFmtId="0" fontId="5" fillId="0" borderId="0" xfId="4" applyFont="1"/>
    <xf numFmtId="0" fontId="5" fillId="0" borderId="0" xfId="4" applyFont="1" applyAlignment="1">
      <alignment horizontal="center"/>
    </xf>
    <xf numFmtId="0" fontId="3" fillId="0" borderId="0" xfId="4"/>
    <xf numFmtId="0" fontId="3" fillId="0" borderId="0" xfId="4" applyAlignment="1">
      <alignment horizontal="center"/>
    </xf>
    <xf numFmtId="44" fontId="3" fillId="0" borderId="0" xfId="4" applyNumberFormat="1"/>
    <xf numFmtId="44" fontId="3" fillId="0" borderId="0" xfId="4" applyNumberFormat="1" applyAlignment="1">
      <alignment horizontal="center"/>
    </xf>
    <xf numFmtId="0" fontId="4" fillId="0" borderId="0" xfId="4" applyFont="1" applyAlignment="1">
      <alignment horizontal="center"/>
    </xf>
    <xf numFmtId="164" fontId="4" fillId="0" borderId="0" xfId="4" applyNumberFormat="1" applyFont="1" applyAlignment="1">
      <alignment horizontal="center"/>
    </xf>
    <xf numFmtId="0" fontId="4" fillId="0" borderId="0" xfId="4" applyNumberFormat="1" applyFont="1" applyAlignment="1">
      <alignment horizontal="center"/>
    </xf>
    <xf numFmtId="0" fontId="7" fillId="0" borderId="0" xfId="4" applyFont="1" applyAlignment="1">
      <alignment horizontal="center"/>
    </xf>
    <xf numFmtId="0" fontId="3" fillId="0" borderId="0" xfId="4"/>
    <xf numFmtId="0" fontId="5" fillId="0" borderId="0" xfId="4" applyFont="1"/>
    <xf numFmtId="0" fontId="3" fillId="3" borderId="0" xfId="4" applyFill="1"/>
    <xf numFmtId="0" fontId="3" fillId="5" borderId="0" xfId="4" applyFill="1"/>
    <xf numFmtId="1" fontId="0" fillId="0" borderId="0" xfId="0" applyNumberFormat="1"/>
    <xf numFmtId="0" fontId="4" fillId="0" borderId="1" xfId="4" applyFont="1" applyBorder="1"/>
    <xf numFmtId="0" fontId="0" fillId="0" borderId="1" xfId="0" applyBorder="1"/>
    <xf numFmtId="0" fontId="4" fillId="0" borderId="1" xfId="4" applyFont="1" applyFill="1" applyBorder="1"/>
    <xf numFmtId="44" fontId="3" fillId="3" borderId="0" xfId="7" applyFont="1" applyFill="1"/>
    <xf numFmtId="0" fontId="3" fillId="0" borderId="0" xfId="4" applyFill="1" applyAlignment="1">
      <alignment horizontal="center" wrapText="1"/>
    </xf>
    <xf numFmtId="44" fontId="3" fillId="0" borderId="0" xfId="1" applyFont="1"/>
    <xf numFmtId="0" fontId="3" fillId="4" borderId="0" xfId="4" applyFill="1" applyAlignment="1">
      <alignment horizontal="center" wrapText="1"/>
    </xf>
    <xf numFmtId="44" fontId="0" fillId="0" borderId="1" xfId="0" applyNumberFormat="1" applyBorder="1"/>
    <xf numFmtId="2" fontId="3" fillId="0" borderId="0" xfId="4" applyNumberFormat="1" applyFill="1" applyAlignment="1">
      <alignment horizontal="center" wrapText="1"/>
    </xf>
    <xf numFmtId="2" fontId="2" fillId="2" borderId="0" xfId="3" applyNumberFormat="1"/>
    <xf numFmtId="44" fontId="4" fillId="8" borderId="0" xfId="4" applyNumberFormat="1" applyFont="1" applyFill="1"/>
    <xf numFmtId="44" fontId="6" fillId="8" borderId="0" xfId="1" applyFont="1" applyFill="1"/>
    <xf numFmtId="43" fontId="0" fillId="0" borderId="1" xfId="10" applyFont="1" applyBorder="1"/>
    <xf numFmtId="43" fontId="0" fillId="0" borderId="0" xfId="10" applyFont="1"/>
    <xf numFmtId="0" fontId="0" fillId="0" borderId="0" xfId="0" applyAlignment="1">
      <alignment horizontal="center" wrapText="1"/>
    </xf>
    <xf numFmtId="0" fontId="0" fillId="9" borderId="0" xfId="0" applyFill="1"/>
    <xf numFmtId="44" fontId="0" fillId="0" borderId="0" xfId="1" applyFont="1" applyBorder="1"/>
    <xf numFmtId="0" fontId="0" fillId="10" borderId="0" xfId="0" applyFill="1"/>
    <xf numFmtId="165" fontId="0" fillId="0" borderId="0" xfId="0" applyNumberFormat="1"/>
    <xf numFmtId="0" fontId="5" fillId="0" borderId="0" xfId="4" applyFont="1" applyFill="1"/>
    <xf numFmtId="44" fontId="0" fillId="0" borderId="0" xfId="1" applyFont="1"/>
    <xf numFmtId="1" fontId="0" fillId="0" borderId="0" xfId="0" applyNumberFormat="1"/>
    <xf numFmtId="43" fontId="0" fillId="0" borderId="1" xfId="10" applyFont="1" applyBorder="1"/>
    <xf numFmtId="43" fontId="0" fillId="0" borderId="0" xfId="10" applyFont="1"/>
    <xf numFmtId="44" fontId="0" fillId="0" borderId="0" xfId="1" applyFont="1"/>
    <xf numFmtId="44" fontId="4" fillId="0" borderId="0" xfId="1" applyFont="1" applyFill="1"/>
    <xf numFmtId="44" fontId="4" fillId="0" borderId="1" xfId="1" applyFont="1" applyFill="1" applyBorder="1"/>
    <xf numFmtId="0" fontId="0" fillId="0" borderId="0" xfId="0"/>
    <xf numFmtId="0" fontId="4" fillId="0" borderId="0" xfId="4" applyFont="1" applyFill="1"/>
    <xf numFmtId="0" fontId="5" fillId="0" borderId="0" xfId="4" applyFont="1"/>
    <xf numFmtId="44" fontId="0" fillId="0" borderId="0" xfId="0" applyNumberFormat="1"/>
    <xf numFmtId="44" fontId="0" fillId="0" borderId="0" xfId="1" applyFont="1"/>
    <xf numFmtId="0" fontId="5" fillId="0" borderId="0" xfId="4" applyFont="1" applyAlignment="1">
      <alignment horizontal="center"/>
    </xf>
    <xf numFmtId="0" fontId="3" fillId="5" borderId="0" xfId="4" applyFill="1"/>
    <xf numFmtId="1" fontId="0" fillId="0" borderId="0" xfId="0" applyNumberFormat="1"/>
    <xf numFmtId="44" fontId="0" fillId="0" borderId="1" xfId="1" applyFont="1" applyBorder="1"/>
    <xf numFmtId="0" fontId="0" fillId="0" borderId="1" xfId="0" applyBorder="1"/>
    <xf numFmtId="43" fontId="0" fillId="0" borderId="1" xfId="10" applyFont="1" applyBorder="1"/>
    <xf numFmtId="43" fontId="0" fillId="0" borderId="0" xfId="10" applyFont="1"/>
    <xf numFmtId="9" fontId="0" fillId="0" borderId="0" xfId="0" applyNumberFormat="1"/>
    <xf numFmtId="1" fontId="0" fillId="0" borderId="1" xfId="0" applyNumberFormat="1" applyBorder="1"/>
    <xf numFmtId="165" fontId="0" fillId="0" borderId="1" xfId="0" applyNumberFormat="1" applyBorder="1"/>
    <xf numFmtId="43" fontId="0" fillId="0" borderId="0" xfId="0" applyNumberFormat="1"/>
    <xf numFmtId="166" fontId="3" fillId="3" borderId="0" xfId="10" applyNumberFormat="1" applyFont="1" applyFill="1"/>
  </cellXfs>
  <cellStyles count="11">
    <cellStyle name="Comma" xfId="10" builtinId="3"/>
    <cellStyle name="Comma 2" xfId="6"/>
    <cellStyle name="Comma 3" xfId="5"/>
    <cellStyle name="Currency" xfId="1" builtinId="4"/>
    <cellStyle name="Currency 2" xfId="7"/>
    <cellStyle name="Neutral" xfId="3" builtinId="28"/>
    <cellStyle name="Normal" xfId="0" builtinId="0"/>
    <cellStyle name="Normal 2" xfId="8"/>
    <cellStyle name="Normal 3" xfId="4"/>
    <cellStyle name="Percent" xfId="2" builtinId="5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pt.angelo.edu/budget/Shared%20Documents/FY11%20reven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heet1"/>
      <sheetName val="Sheet2"/>
      <sheetName val="Sheet3"/>
    </sheetNames>
    <sheetDataSet>
      <sheetData sheetId="0">
        <row r="54">
          <cell r="M54">
            <v>46865588.559999995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I60"/>
  <sheetViews>
    <sheetView topLeftCell="A2" workbookViewId="0">
      <pane ySplit="1500" activePane="bottomLeft"/>
      <selection activeCell="A2" sqref="A1:XFD1048576"/>
      <selection pane="bottomLeft" activeCell="C23" sqref="C23"/>
    </sheetView>
  </sheetViews>
  <sheetFormatPr defaultColWidth="28.85546875" defaultRowHeight="15" x14ac:dyDescent="0.25"/>
  <cols>
    <col min="1" max="1" width="38.5703125" bestFit="1" customWidth="1"/>
    <col min="2" max="2" width="15.5703125" customWidth="1"/>
    <col min="3" max="3" width="18.85546875" customWidth="1"/>
    <col min="4" max="4" width="19.28515625" customWidth="1"/>
    <col min="5" max="5" width="16.5703125" customWidth="1"/>
    <col min="6" max="6" width="18.140625" customWidth="1"/>
    <col min="7" max="7" width="17.5703125" customWidth="1"/>
    <col min="8" max="8" width="18.42578125" customWidth="1"/>
  </cols>
  <sheetData>
    <row r="3" spans="1:9" x14ac:dyDescent="0.25">
      <c r="A3" s="26"/>
      <c r="B3" t="s">
        <v>89</v>
      </c>
      <c r="C3" s="35" t="s">
        <v>48</v>
      </c>
      <c r="D3" s="31"/>
      <c r="E3" s="31"/>
      <c r="F3" s="33">
        <v>0.91666666666666663</v>
      </c>
      <c r="G3" s="31"/>
      <c r="H3" s="31"/>
    </row>
    <row r="4" spans="1:9" x14ac:dyDescent="0.25">
      <c r="A4" s="27" t="s">
        <v>40</v>
      </c>
      <c r="B4" t="s">
        <v>90</v>
      </c>
      <c r="C4" s="47" t="s">
        <v>88</v>
      </c>
      <c r="D4" s="32" t="s">
        <v>49</v>
      </c>
      <c r="E4" s="32" t="s">
        <v>50</v>
      </c>
      <c r="F4" s="32" t="s">
        <v>107</v>
      </c>
      <c r="G4" s="36" t="s">
        <v>52</v>
      </c>
      <c r="H4" s="34" t="s">
        <v>53</v>
      </c>
    </row>
    <row r="5" spans="1:9" x14ac:dyDescent="0.25">
      <c r="A5" s="26"/>
    </row>
    <row r="6" spans="1:9" x14ac:dyDescent="0.25">
      <c r="A6" s="26" t="s">
        <v>41</v>
      </c>
      <c r="B6" s="80">
        <v>1715950</v>
      </c>
      <c r="C6" s="77">
        <f>Calculations!N8</f>
        <v>1033479</v>
      </c>
      <c r="D6" s="21">
        <f ca="1">INDIRECT(ADDRESS(MATCH(A6,Calculations!B:B,0),15,1,1,"Calculations"))</f>
        <v>0</v>
      </c>
      <c r="E6" s="21">
        <f ca="1">INDIRECT(ADDRESS(MATCH(A6,Calculations!B:B,0),16,1,1,"Calculations"))</f>
        <v>281541.73922333209</v>
      </c>
      <c r="F6" s="21">
        <f ca="1">INDIRECT(ADDRESS(MATCH(A6,Calculations!B:B,0),17,1,1,"Calculations"))</f>
        <v>1315020.7392233321</v>
      </c>
      <c r="G6" s="95">
        <v>1866754.5899999999</v>
      </c>
      <c r="H6" s="16">
        <f ca="1">F6-B6</f>
        <v>-400929.26077666786</v>
      </c>
      <c r="I6" s="4"/>
    </row>
    <row r="7" spans="1:9" x14ac:dyDescent="0.25">
      <c r="A7" s="29" t="s">
        <v>42</v>
      </c>
      <c r="B7" s="80">
        <v>5616538</v>
      </c>
      <c r="C7" s="77">
        <f>Calculations!N9</f>
        <v>2932244.71</v>
      </c>
      <c r="D7" s="88">
        <f ca="1">INDIRECT(ADDRESS(MATCH(A7,Calculations!B:B,0),15,1,1,"Calculations"))</f>
        <v>0</v>
      </c>
      <c r="E7" s="88">
        <f ca="1">INDIRECT(ADDRESS(MATCH(A7,Calculations!B:B,0),16,1,1,"Calculations"))</f>
        <v>798806.0478072752</v>
      </c>
      <c r="F7" s="88">
        <f ca="1">INDIRECT(ADDRESS(MATCH(A7,Calculations!B:B,0),17,1,1,"Calculations"))</f>
        <v>3731050.7578072753</v>
      </c>
      <c r="G7" s="95">
        <v>5326965.1599999927</v>
      </c>
      <c r="H7" s="87">
        <f t="shared" ref="H7:H33" ca="1" si="0">F7-B7</f>
        <v>-1885487.2421927247</v>
      </c>
      <c r="I7" s="4"/>
    </row>
    <row r="8" spans="1:9" x14ac:dyDescent="0.25">
      <c r="A8" s="28" t="s">
        <v>43</v>
      </c>
      <c r="B8" s="80">
        <v>8646125</v>
      </c>
      <c r="C8" s="77">
        <f>Calculations!N10</f>
        <v>6191740</v>
      </c>
      <c r="D8" s="88">
        <f ca="1">INDIRECT(ADDRESS(MATCH(A8,Calculations!B:B,0),15,1,1,"Calculations"))</f>
        <v>0</v>
      </c>
      <c r="E8" s="88">
        <f ca="1">INDIRECT(ADDRESS(MATCH(A8,Calculations!B:B,0),16,1,1,"Calculations"))</f>
        <v>1686762.1387746381</v>
      </c>
      <c r="F8" s="88">
        <f ca="1">INDIRECT(ADDRESS(MATCH(A8,Calculations!B:B,0),17,1,1,"Calculations"))</f>
        <v>7878502.1387746381</v>
      </c>
      <c r="G8" s="95">
        <v>5800432.320000004</v>
      </c>
      <c r="H8" s="87">
        <f t="shared" ca="1" si="0"/>
        <v>-767622.86122536194</v>
      </c>
      <c r="I8" s="4"/>
    </row>
    <row r="9" spans="1:9" x14ac:dyDescent="0.25">
      <c r="A9" s="30" t="s">
        <v>44</v>
      </c>
      <c r="B9" s="80">
        <v>1760002</v>
      </c>
      <c r="C9" s="77">
        <f>Calculations!N11</f>
        <v>1253406</v>
      </c>
      <c r="D9" s="88">
        <f ca="1">INDIRECT(ADDRESS(MATCH(A9,Calculations!B:B,0),15,1,1,"Calculations"))</f>
        <v>0</v>
      </c>
      <c r="E9" s="88">
        <f ca="1">INDIRECT(ADDRESS(MATCH(A9,Calculations!B:B,0),16,1,1,"Calculations"))</f>
        <v>341454.54836814274</v>
      </c>
      <c r="F9" s="88">
        <f ca="1">INDIRECT(ADDRESS(MATCH(A9,Calculations!B:B,0),17,1,1,"Calculations"))</f>
        <v>1594860.5483681427</v>
      </c>
      <c r="G9" s="95">
        <v>1953311.1800000002</v>
      </c>
      <c r="H9" s="87">
        <f t="shared" ca="1" si="0"/>
        <v>-165141.45163185732</v>
      </c>
      <c r="I9" s="4"/>
    </row>
    <row r="10" spans="1:9" x14ac:dyDescent="0.25">
      <c r="A10" s="30" t="s">
        <v>45</v>
      </c>
      <c r="B10" s="80">
        <v>2665119</v>
      </c>
      <c r="C10" s="77">
        <f>Calculations!N12</f>
        <v>1087604</v>
      </c>
      <c r="D10" s="73">
        <f ca="1">INDIRECT(ADDRESS(MATCH(A10,Calculations!B:B,0),15,1,1,"Calculations"))</f>
        <v>0</v>
      </c>
      <c r="E10" s="73">
        <f ca="1">INDIRECT(ADDRESS(MATCH(A10,Calculations!B:B,0),16,1,1,"Calculations"))</f>
        <v>296286.54452219431</v>
      </c>
      <c r="F10" s="73">
        <f ca="1">INDIRECT(ADDRESS(MATCH(A10,Calculations!B:B,0),17,1,1,"Calculations"))</f>
        <v>1383890.5445221942</v>
      </c>
      <c r="G10" s="95">
        <v>2802905.0100000002</v>
      </c>
      <c r="H10" s="87">
        <f t="shared" ca="1" si="0"/>
        <v>-1281228.4554778058</v>
      </c>
      <c r="I10" s="4"/>
    </row>
    <row r="11" spans="1:9" ht="15.75" thickBot="1" x14ac:dyDescent="0.3">
      <c r="A11" s="59" t="s">
        <v>46</v>
      </c>
      <c r="B11" s="79">
        <v>449832</v>
      </c>
      <c r="C11" s="92">
        <f>Calculations!N13</f>
        <v>362804</v>
      </c>
      <c r="D11" s="92">
        <f ca="1">INDIRECT(ADDRESS(MATCH(A11,Calculations!B:B,0),15,1,1,"Calculations"))</f>
        <v>0</v>
      </c>
      <c r="E11" s="92">
        <f ca="1">INDIRECT(ADDRESS(MATCH(A11,Calculations!B:B,0),16,1,1,"Calculations"))</f>
        <v>98835.553656321776</v>
      </c>
      <c r="F11" s="92">
        <f ca="1">INDIRECT(ADDRESS(MATCH(A11,Calculations!B:B,0),17,1,1,"Calculations"))</f>
        <v>461639.55365632178</v>
      </c>
      <c r="G11" s="94">
        <v>237428.81</v>
      </c>
      <c r="H11" s="87">
        <f t="shared" ca="1" si="0"/>
        <v>11807.553656321776</v>
      </c>
      <c r="I11" s="4"/>
    </row>
    <row r="12" spans="1:9" x14ac:dyDescent="0.25">
      <c r="A12" s="26" t="s">
        <v>0</v>
      </c>
      <c r="B12" s="70">
        <v>591449</v>
      </c>
      <c r="C12" s="21">
        <f ca="1">INDIRECT(ADDRESS(MATCH(A12,Calculations!B:B,0),14,1,1,"Calculations"))</f>
        <v>514875.19748062076</v>
      </c>
      <c r="D12" s="88">
        <f ca="1">INDIRECT(ADDRESS(MATCH(A12,Calculations!B:B,0),15,1,1,"Calculations"))</f>
        <v>98265.774333333335</v>
      </c>
      <c r="E12" s="88">
        <f ca="1">INDIRECT(ADDRESS(MATCH(A12,Calculations!B:B,0),16,1,1,"Calculations"))</f>
        <v>57533.288172043009</v>
      </c>
      <c r="F12" s="88">
        <f ca="1">INDIRECT(ADDRESS(MATCH(A12,Calculations!B:B,0),17,1,1,"Calculations"))</f>
        <v>670674.25998599711</v>
      </c>
      <c r="G12" s="70">
        <v>609114.74</v>
      </c>
      <c r="H12" s="87">
        <f t="shared" ca="1" si="0"/>
        <v>79225.259985997109</v>
      </c>
      <c r="I12" s="4"/>
    </row>
    <row r="13" spans="1:9" x14ac:dyDescent="0.25">
      <c r="A13" s="26" t="s">
        <v>1</v>
      </c>
      <c r="B13" s="70">
        <v>1229055</v>
      </c>
      <c r="C13" s="88">
        <f ca="1">INDIRECT(ADDRESS(MATCH(A13,Calculations!B:B,0),14,1,1,"Calculations"))</f>
        <v>732473.2453713835</v>
      </c>
      <c r="D13" s="88">
        <f ca="1">INDIRECT(ADDRESS(MATCH(A13,Calculations!B:B,0),15,1,1,"Calculations"))</f>
        <v>98519.838666666663</v>
      </c>
      <c r="E13" s="88">
        <f ca="1">INDIRECT(ADDRESS(MATCH(A13,Calculations!B:B,0),16,1,1,"Calculations"))</f>
        <v>58628.963440860214</v>
      </c>
      <c r="F13" s="88">
        <f ca="1">INDIRECT(ADDRESS(MATCH(A13,Calculations!B:B,0),17,1,1,"Calculations"))</f>
        <v>889622.0474789103</v>
      </c>
      <c r="G13" s="95">
        <v>1224074.26</v>
      </c>
      <c r="H13" s="87">
        <f t="shared" ca="1" si="0"/>
        <v>-339432.9525210897</v>
      </c>
      <c r="I13" s="4"/>
    </row>
    <row r="14" spans="1:9" x14ac:dyDescent="0.25">
      <c r="A14" s="26" t="s">
        <v>2</v>
      </c>
      <c r="B14" s="70">
        <v>1043296</v>
      </c>
      <c r="C14" s="88">
        <f ca="1">INDIRECT(ADDRESS(MATCH(A14,Calculations!B:B,0),14,1,1,"Calculations"))</f>
        <v>914846.36621398968</v>
      </c>
      <c r="D14" s="88">
        <f ca="1">INDIRECT(ADDRESS(MATCH(A14,Calculations!B:B,0),15,1,1,"Calculations"))</f>
        <v>111218.26166666666</v>
      </c>
      <c r="E14" s="88">
        <f ca="1">INDIRECT(ADDRESS(MATCH(A14,Calculations!B:B,0),16,1,1,"Calculations"))</f>
        <v>113392.05376344085</v>
      </c>
      <c r="F14" s="88">
        <f ca="1">INDIRECT(ADDRESS(MATCH(A14,Calculations!B:B,0),17,1,1,"Calculations"))</f>
        <v>1139456.6816440972</v>
      </c>
      <c r="G14" s="95">
        <v>1166095.81</v>
      </c>
      <c r="H14" s="87">
        <f t="shared" ca="1" si="0"/>
        <v>96160.681644097203</v>
      </c>
      <c r="I14" s="4"/>
    </row>
    <row r="15" spans="1:9" x14ac:dyDescent="0.25">
      <c r="A15" s="26" t="s">
        <v>3</v>
      </c>
      <c r="B15" s="70">
        <v>531545</v>
      </c>
      <c r="C15" s="88">
        <f ca="1">INDIRECT(ADDRESS(MATCH(A15,Calculations!B:B,0),14,1,1,"Calculations"))</f>
        <v>458454.07596772502</v>
      </c>
      <c r="D15" s="88">
        <f ca="1">INDIRECT(ADDRESS(MATCH(A15,Calculations!B:B,0),15,1,1,"Calculations"))</f>
        <v>97187.199333333338</v>
      </c>
      <c r="E15" s="88">
        <f ca="1">INDIRECT(ADDRESS(MATCH(A15,Calculations!B:B,0),16,1,1,"Calculations"))</f>
        <v>52881.836559139781</v>
      </c>
      <c r="F15" s="88">
        <f ca="1">INDIRECT(ADDRESS(MATCH(A15,Calculations!B:B,0),17,1,1,"Calculations"))</f>
        <v>608523.11186019809</v>
      </c>
      <c r="G15" s="95">
        <v>593342.57999999996</v>
      </c>
      <c r="H15" s="87">
        <f t="shared" ca="1" si="0"/>
        <v>76978.111860198085</v>
      </c>
      <c r="I15" s="4"/>
    </row>
    <row r="16" spans="1:9" x14ac:dyDescent="0.25">
      <c r="A16" s="26" t="s">
        <v>4</v>
      </c>
      <c r="B16" s="70">
        <v>989795</v>
      </c>
      <c r="C16" s="88">
        <f ca="1">INDIRECT(ADDRESS(MATCH(A16,Calculations!B:B,0),14,1,1,"Calculations"))</f>
        <v>814244.53442928032</v>
      </c>
      <c r="D16" s="88">
        <f ca="1">INDIRECT(ADDRESS(MATCH(A16,Calculations!B:B,0),15,1,1,"Calculations"))</f>
        <v>107927.40949999999</v>
      </c>
      <c r="E16" s="88">
        <f ca="1">INDIRECT(ADDRESS(MATCH(A16,Calculations!B:B,0),16,1,1,"Calculations"))</f>
        <v>99199.958064516119</v>
      </c>
      <c r="F16" s="88">
        <f ca="1">INDIRECT(ADDRESS(MATCH(A16,Calculations!B:B,0),17,1,1,"Calculations"))</f>
        <v>1021371.9019937963</v>
      </c>
      <c r="G16" s="95">
        <v>1270127.6099999999</v>
      </c>
      <c r="H16" s="87">
        <f t="shared" ca="1" si="0"/>
        <v>31576.901993796346</v>
      </c>
      <c r="I16" s="4"/>
    </row>
    <row r="17" spans="1:9" x14ac:dyDescent="0.25">
      <c r="A17" s="26" t="s">
        <v>5</v>
      </c>
      <c r="B17" s="70">
        <v>1663079</v>
      </c>
      <c r="C17" s="88">
        <f ca="1">INDIRECT(ADDRESS(MATCH(A17,Calculations!B:B,0),14,1,1,"Calculations"))</f>
        <v>1326468.0502481388</v>
      </c>
      <c r="D17" s="88">
        <f ca="1">INDIRECT(ADDRESS(MATCH(A17,Calculations!B:B,0),15,1,1,"Calculations"))</f>
        <v>124544.655</v>
      </c>
      <c r="E17" s="88">
        <f ca="1">INDIRECT(ADDRESS(MATCH(A17,Calculations!B:B,0),16,1,1,"Calculations"))</f>
        <v>170863.32258064518</v>
      </c>
      <c r="F17" s="88">
        <f ca="1">INDIRECT(ADDRESS(MATCH(A17,Calculations!B:B,0),17,1,1,"Calculations"))</f>
        <v>1621876.027828784</v>
      </c>
      <c r="G17" s="95">
        <v>1561307.4100000001</v>
      </c>
      <c r="H17" s="87">
        <f t="shared" ca="1" si="0"/>
        <v>-41202.972171216039</v>
      </c>
      <c r="I17" s="4"/>
    </row>
    <row r="18" spans="1:9" x14ac:dyDescent="0.25">
      <c r="A18" s="30" t="s">
        <v>6</v>
      </c>
      <c r="B18" s="70">
        <v>0</v>
      </c>
      <c r="C18" s="88">
        <f ca="1">INDIRECT(ADDRESS(MATCH(A18,Calculations!B:B,0),14,1,1,"Calculations"))</f>
        <v>265553.625</v>
      </c>
      <c r="D18" s="88">
        <f ca="1">INDIRECT(ADDRESS(MATCH(A18,Calculations!B:B,0),15,1,1,"Calculations"))</f>
        <v>93172.503500000006</v>
      </c>
      <c r="E18" s="88">
        <f ca="1">INDIRECT(ADDRESS(MATCH(A18,Calculations!B:B,0),16,1,1,"Calculations"))</f>
        <v>35568.1</v>
      </c>
      <c r="F18" s="88">
        <f ca="1">INDIRECT(ADDRESS(MATCH(A18,Calculations!B:B,0),17,1,1,"Calculations"))</f>
        <v>394294.22849999997</v>
      </c>
      <c r="G18" s="95">
        <v>810604.71</v>
      </c>
      <c r="H18" s="87">
        <f t="shared" ca="1" si="0"/>
        <v>394294.22849999997</v>
      </c>
      <c r="I18" s="4"/>
    </row>
    <row r="19" spans="1:9" x14ac:dyDescent="0.25">
      <c r="A19" s="30" t="s">
        <v>7</v>
      </c>
      <c r="B19" s="70">
        <v>1224668</v>
      </c>
      <c r="C19" s="88">
        <f ca="1">INDIRECT(ADDRESS(MATCH(A19,Calculations!B:B,0),14,1,1,"Calculations"))</f>
        <v>993969.48014888342</v>
      </c>
      <c r="D19" s="88">
        <f ca="1">INDIRECT(ADDRESS(MATCH(A19,Calculations!B:B,0),15,1,1,"Calculations"))</f>
        <v>115383.95800000001</v>
      </c>
      <c r="E19" s="88">
        <f ca="1">INDIRECT(ADDRESS(MATCH(A19,Calculations!B:B,0),16,1,1,"Calculations"))</f>
        <v>131356.99354838711</v>
      </c>
      <c r="F19" s="88">
        <f ca="1">INDIRECT(ADDRESS(MATCH(A19,Calculations!B:B,0),17,1,1,"Calculations"))</f>
        <v>1240710.4316972706</v>
      </c>
      <c r="G19" s="95">
        <v>747226.05</v>
      </c>
      <c r="H19" s="87">
        <f t="shared" ca="1" si="0"/>
        <v>16042.4316972706</v>
      </c>
      <c r="I19" s="4"/>
    </row>
    <row r="20" spans="1:9" x14ac:dyDescent="0.25">
      <c r="A20" s="30" t="s">
        <v>8</v>
      </c>
      <c r="B20" s="70">
        <v>1259999</v>
      </c>
      <c r="C20" s="88">
        <f ca="1">INDIRECT(ADDRESS(MATCH(A20,Calculations!B:B,0),14,1,1,"Calculations"))</f>
        <v>1290107.5120967741</v>
      </c>
      <c r="D20" s="88">
        <f ca="1">INDIRECT(ADDRESS(MATCH(A20,Calculations!B:B,0),15,1,1,"Calculations"))</f>
        <v>124992.86283333335</v>
      </c>
      <c r="E20" s="88">
        <f ca="1">INDIRECT(ADDRESS(MATCH(A20,Calculations!B:B,0),16,1,1,"Calculations"))</f>
        <v>172796.25913978496</v>
      </c>
      <c r="F20" s="88">
        <f ca="1">INDIRECT(ADDRESS(MATCH(A20,Calculations!B:B,0),17,1,1,"Calculations"))</f>
        <v>1587896.6340698926</v>
      </c>
      <c r="G20" s="95">
        <v>1641555.22</v>
      </c>
      <c r="H20" s="87">
        <f t="shared" ca="1" si="0"/>
        <v>327897.63406989258</v>
      </c>
      <c r="I20" s="4"/>
    </row>
    <row r="21" spans="1:9" x14ac:dyDescent="0.25">
      <c r="A21" s="30" t="s">
        <v>9</v>
      </c>
      <c r="B21" s="70">
        <v>810053</v>
      </c>
      <c r="C21" s="88">
        <f ca="1">INDIRECT(ADDRESS(MATCH(A21,Calculations!B:B,0),14,1,1,"Calculations"))</f>
        <v>624510.92292204651</v>
      </c>
      <c r="D21" s="88">
        <f ca="1">INDIRECT(ADDRESS(MATCH(A21,Calculations!B:B,0),15,1,1,"Calculations"))</f>
        <v>100590.70266666666</v>
      </c>
      <c r="E21" s="88">
        <f ca="1">INDIRECT(ADDRESS(MATCH(A21,Calculations!B:B,0),16,1,1,"Calculations"))</f>
        <v>67559.750537634405</v>
      </c>
      <c r="F21" s="88">
        <f ca="1">INDIRECT(ADDRESS(MATCH(A21,Calculations!B:B,0),17,1,1,"Calculations"))</f>
        <v>792661.37612634758</v>
      </c>
      <c r="G21" s="95">
        <v>699416.9</v>
      </c>
      <c r="H21" s="87">
        <f t="shared" ca="1" si="0"/>
        <v>-17391.623873652425</v>
      </c>
      <c r="I21" s="4"/>
    </row>
    <row r="22" spans="1:9" x14ac:dyDescent="0.25">
      <c r="A22" s="30" t="s">
        <v>10</v>
      </c>
      <c r="B22" s="70">
        <v>1066854</v>
      </c>
      <c r="C22" s="88">
        <f ca="1">INDIRECT(ADDRESS(MATCH(A22,Calculations!B:B,0),14,1,1,"Calculations"))</f>
        <v>701791.03660049627</v>
      </c>
      <c r="D22" s="88">
        <f ca="1">INDIRECT(ADDRESS(MATCH(A22,Calculations!B:B,0),15,1,1,"Calculations"))</f>
        <v>103634.681</v>
      </c>
      <c r="E22" s="88">
        <f ca="1">INDIRECT(ADDRESS(MATCH(A22,Calculations!B:B,0),16,1,1,"Calculations"))</f>
        <v>80687.180645161294</v>
      </c>
      <c r="F22" s="88">
        <f ca="1">INDIRECT(ADDRESS(MATCH(A22,Calculations!B:B,0),17,1,1,"Calculations"))</f>
        <v>886112.89824565756</v>
      </c>
      <c r="G22" s="95">
        <v>1231240.44</v>
      </c>
      <c r="H22" s="87">
        <f t="shared" ca="1" si="0"/>
        <v>-180741.10175434244</v>
      </c>
      <c r="I22" s="4"/>
    </row>
    <row r="23" spans="1:9" x14ac:dyDescent="0.25">
      <c r="A23" s="30" t="s">
        <v>11</v>
      </c>
      <c r="B23" s="70">
        <v>44068</v>
      </c>
      <c r="C23" s="88">
        <f ca="1">INDIRECT(ADDRESS(MATCH(A23,Calculations!B:B,0),14,1,1,"Calculations"))</f>
        <v>21299.854838709674</v>
      </c>
      <c r="D23" s="88">
        <f ca="1">INDIRECT(ADDRESS(MATCH(A23,Calculations!B:B,0),15,1,1,"Calculations"))</f>
        <v>85586.525999999998</v>
      </c>
      <c r="E23" s="88">
        <f ca="1">INDIRECT(ADDRESS(MATCH(A23,Calculations!B:B,0),16,1,1,"Calculations"))</f>
        <v>2852.8903225806453</v>
      </c>
      <c r="F23" s="88">
        <f ca="1">INDIRECT(ADDRESS(MATCH(A23,Calculations!B:B,0),17,1,1,"Calculations"))</f>
        <v>109739.27116129032</v>
      </c>
      <c r="G23" s="95">
        <v>45671.08</v>
      </c>
      <c r="H23" s="87">
        <f t="shared" ca="1" si="0"/>
        <v>65671.271161290322</v>
      </c>
      <c r="I23" s="4"/>
    </row>
    <row r="24" spans="1:9" x14ac:dyDescent="0.25">
      <c r="A24" s="30" t="s">
        <v>141</v>
      </c>
      <c r="B24" s="70">
        <v>1102526</v>
      </c>
      <c r="C24" s="88">
        <f ca="1">INDIRECT(ADDRESS(MATCH(A24,Calculations!B:B,0),14,1,1,"Calculations"))</f>
        <v>601756.51767990075</v>
      </c>
      <c r="D24" s="88">
        <f ca="1">INDIRECT(ADDRESS(MATCH(A24,Calculations!B:B,0),15,1,1,"Calculations"))</f>
        <v>99773.382500000007</v>
      </c>
      <c r="E24" s="88">
        <f ca="1">INDIRECT(ADDRESS(MATCH(A24,Calculations!B:B,0),16,1,1,"Calculations"))</f>
        <v>64034.983870967742</v>
      </c>
      <c r="F24" s="88">
        <f ca="1">INDIRECT(ADDRESS(MATCH(A24,Calculations!B:B,0),17,1,1,"Calculations"))</f>
        <v>765564.88405086845</v>
      </c>
      <c r="G24" s="95">
        <v>1224074.26</v>
      </c>
      <c r="H24" s="87">
        <f t="shared" ca="1" si="0"/>
        <v>-336961.11594913155</v>
      </c>
      <c r="I24" s="4"/>
    </row>
    <row r="25" spans="1:9" x14ac:dyDescent="0.25">
      <c r="A25" s="30" t="s">
        <v>13</v>
      </c>
      <c r="B25" s="70">
        <v>193510</v>
      </c>
      <c r="C25" s="88">
        <f ca="1">INDIRECT(ADDRESS(MATCH(A25,Calculations!B:B,0),14,1,1,"Calculations"))</f>
        <v>387968.42617866013</v>
      </c>
      <c r="D25" s="88">
        <f ca="1">INDIRECT(ADDRESS(MATCH(A25,Calculations!B:B,0),15,1,1,"Calculations"))</f>
        <v>93865.188333333324</v>
      </c>
      <c r="E25" s="88">
        <f ca="1">INDIRECT(ADDRESS(MATCH(A25,Calculations!B:B,0),16,1,1,"Calculations"))</f>
        <v>38555.365591397851</v>
      </c>
      <c r="F25" s="88">
        <f ca="1">INDIRECT(ADDRESS(MATCH(A25,Calculations!B:B,0),17,1,1,"Calculations"))</f>
        <v>520388.98010339134</v>
      </c>
      <c r="G25" s="95"/>
      <c r="H25" s="87">
        <f t="shared" ca="1" si="0"/>
        <v>326878.98010339134</v>
      </c>
      <c r="I25" s="4"/>
    </row>
    <row r="26" spans="1:9" x14ac:dyDescent="0.25">
      <c r="A26" s="30" t="s">
        <v>14</v>
      </c>
      <c r="B26" s="70">
        <v>763138</v>
      </c>
      <c r="C26" s="88">
        <f ca="1">INDIRECT(ADDRESS(MATCH(A26,Calculations!B:B,0),14,1,1,"Calculations"))</f>
        <v>317414.14112903224</v>
      </c>
      <c r="D26" s="88">
        <f ca="1">INDIRECT(ADDRESS(MATCH(A26,Calculations!B:B,0),15,1,1,"Calculations"))</f>
        <v>92108.309500000003</v>
      </c>
      <c r="E26" s="88">
        <f ca="1">INDIRECT(ADDRESS(MATCH(A26,Calculations!B:B,0),16,1,1,"Calculations"))</f>
        <v>30978.667741935486</v>
      </c>
      <c r="F26" s="88">
        <f ca="1">INDIRECT(ADDRESS(MATCH(A26,Calculations!B:B,0),17,1,1,"Calculations"))</f>
        <v>440501.11837096768</v>
      </c>
      <c r="G26" s="95">
        <v>872026.21</v>
      </c>
      <c r="H26" s="87">
        <f t="shared" ca="1" si="0"/>
        <v>-322636.88162903232</v>
      </c>
      <c r="I26" s="4"/>
    </row>
    <row r="27" spans="1:9" x14ac:dyDescent="0.25">
      <c r="A27" s="26" t="s">
        <v>15</v>
      </c>
      <c r="B27" s="70">
        <v>459814</v>
      </c>
      <c r="C27" s="88">
        <f ca="1">INDIRECT(ADDRESS(MATCH(A27,Calculations!B:B,0),14,1,1,"Calculations"))</f>
        <v>977121.93610421824</v>
      </c>
      <c r="D27" s="88">
        <f ca="1">INDIRECT(ADDRESS(MATCH(A27,Calculations!B:B,0),15,1,1,"Calculations"))</f>
        <v>87700.532999999996</v>
      </c>
      <c r="E27" s="88">
        <f ca="1">INDIRECT(ADDRESS(MATCH(A27,Calculations!B:B,0),16,1,1,"Calculations"))</f>
        <v>11969.735483870967</v>
      </c>
      <c r="F27" s="88">
        <f ca="1">INDIRECT(ADDRESS(MATCH(A27,Calculations!B:B,0),17,1,1,"Calculations"))</f>
        <v>1076792.2045880894</v>
      </c>
      <c r="G27" s="95">
        <v>933895.04</v>
      </c>
      <c r="H27" s="87">
        <f t="shared" ca="1" si="0"/>
        <v>616978.20458808937</v>
      </c>
      <c r="I27" s="4"/>
    </row>
    <row r="28" spans="1:9" x14ac:dyDescent="0.25">
      <c r="A28" s="26" t="s">
        <v>16</v>
      </c>
      <c r="B28" s="70">
        <v>578599</v>
      </c>
      <c r="C28" s="88">
        <f ca="1">INDIRECT(ADDRESS(MATCH(A28,Calculations!B:B,0),14,1,1,"Calculations"))</f>
        <v>443402.66377171216</v>
      </c>
      <c r="D28" s="88">
        <f ca="1">INDIRECT(ADDRESS(MATCH(A28,Calculations!B:B,0),15,1,1,"Calculations"))</f>
        <v>95106.747999999992</v>
      </c>
      <c r="E28" s="88">
        <f ca="1">INDIRECT(ADDRESS(MATCH(A28,Calculations!B:B,0),16,1,1,"Calculations"))</f>
        <v>43909.703225806457</v>
      </c>
      <c r="F28" s="88">
        <f ca="1">INDIRECT(ADDRESS(MATCH(A28,Calculations!B:B,0),17,1,1,"Calculations"))</f>
        <v>582419.1149975186</v>
      </c>
      <c r="G28" s="95">
        <v>836218.02</v>
      </c>
      <c r="H28" s="87">
        <f t="shared" ca="1" si="0"/>
        <v>3820.1149975185981</v>
      </c>
      <c r="I28" s="4"/>
    </row>
    <row r="29" spans="1:9" x14ac:dyDescent="0.25">
      <c r="A29" s="26" t="s">
        <v>17</v>
      </c>
      <c r="B29" s="70">
        <v>2203128</v>
      </c>
      <c r="C29" s="88">
        <f ca="1">INDIRECT(ADDRESS(MATCH(A29,Calculations!B:B,0),14,1,1,"Calculations"))</f>
        <v>1302907.6941901986</v>
      </c>
      <c r="D29" s="88">
        <f ca="1">INDIRECT(ADDRESS(MATCH(A29,Calculations!B:B,0),15,1,1,"Calculations"))</f>
        <v>104643.74783333333</v>
      </c>
      <c r="E29" s="88">
        <f ca="1">INDIRECT(ADDRESS(MATCH(A29,Calculations!B:B,0),16,1,1,"Calculations"))</f>
        <v>85038.87204301075</v>
      </c>
      <c r="F29" s="88">
        <f ca="1">INDIRECT(ADDRESS(MATCH(A29,Calculations!B:B,0),17,1,1,"Calculations"))</f>
        <v>1492590.3140665428</v>
      </c>
      <c r="G29" s="95">
        <v>2598646.27</v>
      </c>
      <c r="H29" s="87">
        <f t="shared" ca="1" si="0"/>
        <v>-710537.68593345722</v>
      </c>
      <c r="I29" s="4"/>
    </row>
    <row r="30" spans="1:9" x14ac:dyDescent="0.25">
      <c r="A30" s="26" t="s">
        <v>18</v>
      </c>
      <c r="B30" s="70">
        <v>0</v>
      </c>
      <c r="C30" s="88">
        <f ca="1">INDIRECT(ADDRESS(MATCH(A30,Calculations!B:B,0),14,1,1,"Calculations"))</f>
        <v>0</v>
      </c>
      <c r="D30" s="88">
        <f ca="1">INDIRECT(ADDRESS(MATCH(A30,Calculations!B:B,0),15,1,1,"Calculations"))</f>
        <v>84925</v>
      </c>
      <c r="E30" s="88">
        <f ca="1">INDIRECT(ADDRESS(MATCH(A30,Calculations!B:B,0),16,1,1,"Calculations"))</f>
        <v>0</v>
      </c>
      <c r="F30" s="88">
        <f ca="1">INDIRECT(ADDRESS(MATCH(A30,Calculations!B:B,0),17,1,1,"Calculations"))</f>
        <v>84925</v>
      </c>
      <c r="G30" s="95"/>
      <c r="H30" s="87">
        <f t="shared" ca="1" si="0"/>
        <v>84925</v>
      </c>
      <c r="I30" s="4"/>
    </row>
    <row r="31" spans="1:9" x14ac:dyDescent="0.25">
      <c r="A31" s="26" t="s">
        <v>19</v>
      </c>
      <c r="B31" s="70">
        <v>1082098</v>
      </c>
      <c r="C31" s="73">
        <f ca="1">INDIRECT(ADDRESS(MATCH(A31,Calculations!B:B,0),14,1,1,"Calculations"))</f>
        <v>0</v>
      </c>
      <c r="D31" s="73">
        <f ca="1">INDIRECT(ADDRESS(MATCH(A31,Calculations!B:B,0),15,1,1,"Calculations"))</f>
        <v>84925</v>
      </c>
      <c r="E31" s="73">
        <f ca="1">INDIRECT(ADDRESS(MATCH(A31,Calculations!B:B,0),16,1,1,"Calculations"))</f>
        <v>0</v>
      </c>
      <c r="F31" s="73">
        <f ca="1">INDIRECT(ADDRESS(MATCH(A31,Calculations!B:B,0),17,1,1,"Calculations"))</f>
        <v>84925</v>
      </c>
      <c r="G31" s="95">
        <v>1025297.34</v>
      </c>
      <c r="H31" s="87">
        <f t="shared" ca="1" si="0"/>
        <v>-997173</v>
      </c>
      <c r="I31" s="4"/>
    </row>
    <row r="32" spans="1:9" x14ac:dyDescent="0.25">
      <c r="A32" s="26" t="s">
        <v>20</v>
      </c>
      <c r="B32" s="70">
        <v>1137342</v>
      </c>
      <c r="C32" s="73">
        <f ca="1">INDIRECT(ADDRESS(MATCH(A32,Calculations!B:B,0),14,1,1,"Calculations"))</f>
        <v>1220224.041873449</v>
      </c>
      <c r="D32" s="73">
        <f ca="1">INDIRECT(ADDRESS(MATCH(A32,Calculations!B:B,0),15,1,1,"Calculations"))</f>
        <v>113334.6655</v>
      </c>
      <c r="E32" s="73">
        <f ca="1">INDIRECT(ADDRESS(MATCH(A32,Calculations!B:B,0),16,1,1,"Calculations"))</f>
        <v>122519.23548387097</v>
      </c>
      <c r="F32" s="73">
        <f ca="1">INDIRECT(ADDRESS(MATCH(A32,Calculations!B:B,0),17,1,1,"Calculations"))</f>
        <v>1456077.9428573202</v>
      </c>
      <c r="G32" s="95">
        <v>1229276.1599999999</v>
      </c>
      <c r="H32" s="87">
        <f t="shared" ca="1" si="0"/>
        <v>318735.94285732019</v>
      </c>
      <c r="I32" s="4"/>
    </row>
    <row r="33" spans="1:9" ht="15.75" thickBot="1" x14ac:dyDescent="0.3">
      <c r="A33" s="57" t="s">
        <v>21</v>
      </c>
      <c r="B33" s="69"/>
      <c r="C33" s="92">
        <f ca="1">INDIRECT(ADDRESS(MATCH(A33,Calculations!B:B,0),14,1,1,"Calculations"))</f>
        <v>150025.06451612903</v>
      </c>
      <c r="D33" s="92">
        <f ca="1">INDIRECT(ADDRESS(MATCH(A33,Calculations!B:B,0),15,1,1,"Calculations"))</f>
        <v>89584.444000000003</v>
      </c>
      <c r="E33" s="92">
        <f ca="1">INDIRECT(ADDRESS(MATCH(A33,Calculations!B:B,0),16,1,1,"Calculations"))</f>
        <v>20094.270967741937</v>
      </c>
      <c r="F33" s="92">
        <f ca="1">INDIRECT(ADDRESS(MATCH(A33,Calculations!B:B,0),17,1,1,"Calculations"))</f>
        <v>259703.77948387098</v>
      </c>
      <c r="G33" s="95">
        <v>0</v>
      </c>
      <c r="H33" s="87">
        <f t="shared" ca="1" si="0"/>
        <v>259703.77948387098</v>
      </c>
      <c r="I33" s="4"/>
    </row>
    <row r="34" spans="1:9" x14ac:dyDescent="0.25">
      <c r="A34" s="26" t="s">
        <v>47</v>
      </c>
      <c r="B34" s="70"/>
      <c r="C34" s="21">
        <f ca="1">INDIRECT(ADDRESS(MATCH(A34,Calculations!B:B,0),10,1,1,"Calculations"))</f>
        <v>0</v>
      </c>
      <c r="D34" s="88">
        <f ca="1">INDIRECT(ADDRESS(MATCH(A34,Calculations!B:B,0),15,1,1,"Calculations"))</f>
        <v>0</v>
      </c>
      <c r="E34" s="88">
        <f ca="1">INDIRECT(ADDRESS(MATCH(A34,Calculations!B:B,0),16,1,1,"Calculations"))</f>
        <v>0</v>
      </c>
      <c r="F34" s="88">
        <f ca="1">INDIRECT(ADDRESS(MATCH(A34,Calculations!B:B,0),17,1,1,"Calculations"))</f>
        <v>0</v>
      </c>
      <c r="G34" s="62">
        <v>4656768.75</v>
      </c>
      <c r="H34" s="87"/>
      <c r="I34" s="4"/>
    </row>
    <row r="35" spans="1:9" x14ac:dyDescent="0.25">
      <c r="G35" s="99"/>
      <c r="I35" s="96"/>
    </row>
    <row r="39" spans="1:9" x14ac:dyDescent="0.25">
      <c r="A39" s="53" t="s">
        <v>60</v>
      </c>
    </row>
    <row r="40" spans="1:9" x14ac:dyDescent="0.25">
      <c r="A40" s="52" t="s">
        <v>61</v>
      </c>
      <c r="B40" s="4">
        <v>0.85</v>
      </c>
    </row>
    <row r="41" spans="1:9" x14ac:dyDescent="0.25">
      <c r="A41" s="52" t="s">
        <v>62</v>
      </c>
      <c r="B41" s="4">
        <v>0.15</v>
      </c>
    </row>
    <row r="42" spans="1:9" x14ac:dyDescent="0.25">
      <c r="A42" s="55" t="s">
        <v>63</v>
      </c>
      <c r="B42" s="21">
        <v>6500</v>
      </c>
    </row>
    <row r="43" spans="1:9" x14ac:dyDescent="0.25">
      <c r="A43" s="55" t="s">
        <v>99</v>
      </c>
      <c r="B43">
        <v>31</v>
      </c>
    </row>
    <row r="44" spans="1:9" x14ac:dyDescent="0.25">
      <c r="A44" s="55" t="s">
        <v>98</v>
      </c>
      <c r="B44">
        <v>13</v>
      </c>
    </row>
    <row r="45" spans="1:9" x14ac:dyDescent="0.25">
      <c r="A45" s="55" t="s">
        <v>102</v>
      </c>
      <c r="B45">
        <v>24</v>
      </c>
    </row>
    <row r="46" spans="1:9" x14ac:dyDescent="0.25">
      <c r="A46" s="55" t="s">
        <v>103</v>
      </c>
      <c r="B46">
        <v>18</v>
      </c>
    </row>
    <row r="47" spans="1:9" s="84" customFormat="1" x14ac:dyDescent="0.25">
      <c r="A47" s="90" t="s">
        <v>115</v>
      </c>
      <c r="B47" s="84">
        <v>22</v>
      </c>
    </row>
    <row r="48" spans="1:9" s="84" customFormat="1" x14ac:dyDescent="0.25">
      <c r="A48" s="90" t="s">
        <v>116</v>
      </c>
      <c r="B48" s="84">
        <v>11</v>
      </c>
    </row>
    <row r="49" spans="1:3" x14ac:dyDescent="0.25">
      <c r="A49" s="55" t="s">
        <v>64</v>
      </c>
      <c r="B49">
        <v>400</v>
      </c>
    </row>
    <row r="50" spans="1:3" x14ac:dyDescent="0.25">
      <c r="A50" s="55" t="s">
        <v>65</v>
      </c>
      <c r="B50" s="21">
        <v>15300</v>
      </c>
    </row>
    <row r="51" spans="1:3" x14ac:dyDescent="0.25">
      <c r="A51" s="55" t="s">
        <v>66</v>
      </c>
      <c r="B51">
        <v>300</v>
      </c>
    </row>
    <row r="52" spans="1:3" x14ac:dyDescent="0.25">
      <c r="A52" s="54" t="s">
        <v>67</v>
      </c>
      <c r="B52" s="60">
        <v>40676</v>
      </c>
    </row>
    <row r="53" spans="1:3" x14ac:dyDescent="0.25">
      <c r="A53" s="54" t="s">
        <v>68</v>
      </c>
      <c r="B53" s="60">
        <v>62355</v>
      </c>
      <c r="C53" s="16"/>
    </row>
    <row r="54" spans="1:3" x14ac:dyDescent="0.25">
      <c r="A54" s="54" t="s">
        <v>69</v>
      </c>
      <c r="B54" s="60">
        <v>29435</v>
      </c>
    </row>
    <row r="55" spans="1:3" x14ac:dyDescent="0.25">
      <c r="A55" s="54" t="s">
        <v>70</v>
      </c>
      <c r="B55" s="60">
        <v>56163</v>
      </c>
    </row>
    <row r="56" spans="1:3" x14ac:dyDescent="0.25">
      <c r="A56" s="54" t="s">
        <v>71</v>
      </c>
      <c r="B56" s="60">
        <v>28762</v>
      </c>
    </row>
    <row r="57" spans="1:3" x14ac:dyDescent="0.25">
      <c r="A57" s="52" t="s">
        <v>72</v>
      </c>
      <c r="B57" s="60">
        <v>6.25</v>
      </c>
    </row>
    <row r="58" spans="1:3" x14ac:dyDescent="0.25">
      <c r="A58" s="52" t="s">
        <v>73</v>
      </c>
      <c r="B58" s="100">
        <v>539529</v>
      </c>
    </row>
    <row r="59" spans="1:3" x14ac:dyDescent="0.25">
      <c r="A59" s="52" t="s">
        <v>74</v>
      </c>
      <c r="B59" s="60">
        <v>7000</v>
      </c>
    </row>
    <row r="60" spans="1:3" x14ac:dyDescent="0.25">
      <c r="A60" s="52" t="s">
        <v>75</v>
      </c>
      <c r="B60" s="21">
        <v>800</v>
      </c>
    </row>
  </sheetData>
  <pageMargins left="0.7" right="0.7" top="0.75" bottom="0.75" header="0.3" footer="0.3"/>
  <pageSetup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S39"/>
  <sheetViews>
    <sheetView tabSelected="1" workbookViewId="0">
      <selection activeCell="Q14" sqref="Q14"/>
    </sheetView>
  </sheetViews>
  <sheetFormatPr defaultRowHeight="15" x14ac:dyDescent="0.25"/>
  <cols>
    <col min="2" max="2" width="43.28515625" customWidth="1"/>
    <col min="3" max="4" width="15.5703125" customWidth="1"/>
    <col min="5" max="6" width="15.5703125" style="84" customWidth="1"/>
    <col min="7" max="7" width="14.28515625" customWidth="1"/>
    <col min="8" max="8" width="13" customWidth="1"/>
    <col min="9" max="10" width="13" style="84" customWidth="1"/>
    <col min="12" max="13" width="14.7109375" bestFit="1" customWidth="1"/>
    <col min="14" max="14" width="22" bestFit="1" customWidth="1"/>
    <col min="15" max="15" width="19.5703125" bestFit="1" customWidth="1"/>
    <col min="16" max="16" width="19" customWidth="1"/>
    <col min="17" max="17" width="19" bestFit="1" customWidth="1"/>
    <col min="18" max="18" width="17" bestFit="1" customWidth="1"/>
    <col min="19" max="19" width="12.7109375" bestFit="1" customWidth="1"/>
  </cols>
  <sheetData>
    <row r="5" spans="2:19" x14ac:dyDescent="0.25">
      <c r="B5" s="37"/>
      <c r="C5" s="43">
        <v>2012</v>
      </c>
      <c r="D5" s="43">
        <v>2012</v>
      </c>
      <c r="E5" s="89"/>
      <c r="F5" s="89"/>
      <c r="G5" s="42" t="s">
        <v>54</v>
      </c>
      <c r="H5" s="53" t="s">
        <v>54</v>
      </c>
      <c r="I5" s="86" t="s">
        <v>117</v>
      </c>
      <c r="J5" s="86" t="s">
        <v>54</v>
      </c>
      <c r="K5" t="s">
        <v>109</v>
      </c>
      <c r="L5" t="s">
        <v>104</v>
      </c>
      <c r="M5" t="s">
        <v>105</v>
      </c>
      <c r="N5" s="49" t="s">
        <v>55</v>
      </c>
      <c r="O5" s="47" t="s">
        <v>56</v>
      </c>
      <c r="P5" s="50" t="s">
        <v>57</v>
      </c>
      <c r="Q5" s="44"/>
      <c r="R5" s="48"/>
      <c r="S5" s="44"/>
    </row>
    <row r="6" spans="2:19" x14ac:dyDescent="0.25">
      <c r="B6" s="38" t="s">
        <v>40</v>
      </c>
      <c r="C6" s="43" t="s">
        <v>96</v>
      </c>
      <c r="D6" s="43" t="s">
        <v>97</v>
      </c>
      <c r="E6" s="89" t="s">
        <v>120</v>
      </c>
      <c r="F6" s="89" t="s">
        <v>121</v>
      </c>
      <c r="G6" s="42" t="s">
        <v>101</v>
      </c>
      <c r="H6" s="53" t="s">
        <v>100</v>
      </c>
      <c r="I6" s="86" t="s">
        <v>118</v>
      </c>
      <c r="J6" s="86" t="s">
        <v>119</v>
      </c>
      <c r="K6" s="76" t="s">
        <v>110</v>
      </c>
      <c r="L6" t="s">
        <v>106</v>
      </c>
      <c r="M6" t="s">
        <v>106</v>
      </c>
      <c r="N6" s="49" t="s">
        <v>88</v>
      </c>
      <c r="O6" s="46" t="s">
        <v>49</v>
      </c>
      <c r="P6" s="47" t="s">
        <v>50</v>
      </c>
      <c r="Q6" s="45" t="s">
        <v>51</v>
      </c>
      <c r="R6" s="45" t="s">
        <v>58</v>
      </c>
      <c r="S6" s="51" t="s">
        <v>59</v>
      </c>
    </row>
    <row r="7" spans="2:19" x14ac:dyDescent="0.25">
      <c r="B7" s="37"/>
    </row>
    <row r="8" spans="2:19" x14ac:dyDescent="0.25">
      <c r="B8" s="37" t="s">
        <v>41</v>
      </c>
      <c r="N8" s="81">
        <v>1033479</v>
      </c>
      <c r="P8" s="21">
        <f>IF(ISERROR(IF(K8&gt;0,(K8*Summary!$B$42)+((Calculations!C8+D8)/500*Summary!$B$60),Calculations!N8/Summary!$B$55*Summary!$B$50)),"",IF(G8&gt;0,(G8*Summary!$B$42)+(Calculations!C8/500*Summary!$B$60),Calculations!N8/Summary!$B$55*Summary!$B$50))</f>
        <v>281541.73922333209</v>
      </c>
      <c r="Q8" s="16">
        <f>SUM(N8:P8)</f>
        <v>1315020.7392233321</v>
      </c>
    </row>
    <row r="9" spans="2:19" x14ac:dyDescent="0.25">
      <c r="B9" s="40" t="s">
        <v>42</v>
      </c>
      <c r="N9" s="81">
        <v>2932244.71</v>
      </c>
      <c r="P9" s="81">
        <f>IF(ISERROR(IF(K9&gt;0,(K9*Summary!$B$42)+((Calculations!C9+D9)/500*Summary!$B$60),Calculations!N9/Summary!$B$55*Summary!$B$50)),"",IF(G9&gt;0,(G9*Summary!$B$42)+(Calculations!C9/500*Summary!$B$60),Calculations!N9/Summary!$B$55*Summary!$B$50))</f>
        <v>798806.0478072752</v>
      </c>
      <c r="Q9" s="16">
        <f t="shared" ref="Q9:Q35" si="0">SUM(N9:P9)</f>
        <v>3731050.7578072753</v>
      </c>
    </row>
    <row r="10" spans="2:19" x14ac:dyDescent="0.25">
      <c r="B10" s="39" t="s">
        <v>43</v>
      </c>
      <c r="N10" s="82">
        <v>6191740</v>
      </c>
      <c r="P10" s="81">
        <f>IF(ISERROR(IF(K10&gt;0,(K10*Summary!$B$42)+((Calculations!C10+D10)/500*Summary!$B$60),Calculations!N10/Summary!$B$55*Summary!$B$50)),"",IF(G10&gt;0,(G10*Summary!$B$42)+(Calculations!C10/500*Summary!$B$60),Calculations!N10/Summary!$B$55*Summary!$B$50))</f>
        <v>1686762.1387746381</v>
      </c>
      <c r="Q10" s="16">
        <f t="shared" si="0"/>
        <v>7878502.1387746381</v>
      </c>
    </row>
    <row r="11" spans="2:19" x14ac:dyDescent="0.25">
      <c r="B11" s="41" t="s">
        <v>44</v>
      </c>
      <c r="N11" s="82">
        <v>1253406</v>
      </c>
      <c r="P11" s="81">
        <f>IF(ISERROR(IF(K11&gt;0,(K11*Summary!$B$42)+((Calculations!C11+D11)/500*Summary!$B$60),Calculations!N11/Summary!$B$55*Summary!$B$50)),"",IF(G11&gt;0,(G11*Summary!$B$42)+(Calculations!C11/500*Summary!$B$60),Calculations!N11/Summary!$B$55*Summary!$B$50))</f>
        <v>341454.54836814274</v>
      </c>
      <c r="Q11" s="16">
        <f t="shared" si="0"/>
        <v>1594860.5483681427</v>
      </c>
      <c r="R11" s="16"/>
    </row>
    <row r="12" spans="2:19" x14ac:dyDescent="0.25">
      <c r="B12" s="41" t="s">
        <v>45</v>
      </c>
      <c r="N12" s="82">
        <v>1087604</v>
      </c>
      <c r="P12" s="81">
        <f>IF(ISERROR(IF(K12&gt;0,(K12*Summary!$B$42)+((Calculations!C12+D12)/500*Summary!$B$60),Calculations!N12/Summary!$B$55*Summary!$B$50)),"",IF(G12&gt;0,(G12*Summary!$B$42)+(Calculations!C12/500*Summary!$B$60),Calculations!N12/Summary!$B$55*Summary!$B$50))</f>
        <v>296286.54452219431</v>
      </c>
      <c r="Q12" s="16">
        <f t="shared" si="0"/>
        <v>1383890.5445221942</v>
      </c>
    </row>
    <row r="13" spans="2:19" ht="15.75" thickBot="1" x14ac:dyDescent="0.3">
      <c r="B13" s="59" t="s">
        <v>46</v>
      </c>
      <c r="C13" s="58"/>
      <c r="D13" s="58"/>
      <c r="E13" s="93"/>
      <c r="F13" s="93"/>
      <c r="G13" s="58"/>
      <c r="H13" s="58"/>
      <c r="I13" s="93"/>
      <c r="J13" s="93"/>
      <c r="K13" s="58"/>
      <c r="L13" s="58"/>
      <c r="M13" s="58"/>
      <c r="N13" s="83">
        <v>362804</v>
      </c>
      <c r="O13" s="58"/>
      <c r="P13" s="92">
        <f>IF(ISERROR(IF(K13&gt;0,(K13*Summary!$B$42)+((Calculations!C13+D13)/500*Summary!$B$60),Calculations!N13/Summary!$B$55*Summary!$B$50)),"",IF(G13&gt;0,(G13*Summary!$B$42)+(Calculations!C13/500*Summary!$B$60),Calculations!N13/Summary!$B$55*Summary!$B$50))</f>
        <v>98835.553656321776</v>
      </c>
      <c r="Q13" s="64">
        <f t="shared" ref="Q13" si="1">SUM(N13:P13)</f>
        <v>461639.55365632178</v>
      </c>
      <c r="R13" s="58"/>
      <c r="S13" s="58"/>
    </row>
    <row r="14" spans="2:19" x14ac:dyDescent="0.25">
      <c r="B14" s="37" t="s">
        <v>0</v>
      </c>
      <c r="C14" s="56">
        <f ca="1">IF(ISERROR(INDIRECT(ADDRESS(MATCH(B14,Data!B:B,0),5,1,1,"Data"))*INDIRECT(ADDRESS(MATCH(B14,'Cost Factor'!B:B,0),21,1,1,"Cost Factor"))),"",INDIRECT(ADDRESS(MATCH(B14,Data!B:B,0),5,1,1,"Data"))*INDIRECT(ADDRESS(MATCH(B14,'Cost Factor'!B:B,0),21,1,1,"Cost Factor")))</f>
        <v>5566</v>
      </c>
      <c r="D14" s="56">
        <f ca="1">IF(ISERROR(INDIRECT(ADDRESS(MATCH(B14,Data!B:B,0),6,1,1,"Data"))*INDIRECT(ADDRESS(MATCH(B14,'Cost Factor'!B:B,0),21,1,1,"Cost Factor"))),"",INDIRECT(ADDRESS(MATCH(B14,Data!B:B,0),6,1,1,"Data"))*INDIRECT(ADDRESS(MATCH(B14,'Cost Factor'!B:B,0),21,1,1,"Cost Factor")))</f>
        <v>316</v>
      </c>
      <c r="E14" s="91">
        <f ca="1">IF(ISERROR(INDIRECT(ADDRESS(MATCH(B14,Data!B:B,0),8,1,1,"Data"))*INDIRECT(ADDRESS(MATCH(B14,'Cost Factor'!B:B,0),21,1,1,"Cost Factor"))),"",INDIRECT(ADDRESS(MATCH(B14,Data!B:B,0),8,1,1,"Data"))*INDIRECT(ADDRESS(MATCH(B14,'Cost Factor'!B:B,0),21,1,1,"Cost Factor")))</f>
        <v>48</v>
      </c>
      <c r="F14" s="91">
        <f ca="1">IF(ISERROR(INDIRECT(ADDRESS(MATCH(B14,Data!B:B,0),9,1,1,"Data"))*INDIRECT(ADDRESS(MATCH(B14,'Cost Factor'!B:B,0),21,1,1,"Cost Factor"))),"",INDIRECT(ADDRESS(MATCH(B14,Data!B:B,0),9,1,1,"Data"))*INDIRECT(ADDRESS(MATCH(B14,'Cost Factor'!B:B,0),21,1,1,"Cost Factor")))</f>
        <v>0</v>
      </c>
      <c r="G14" s="56">
        <f ca="1">IF(ISERROR(C14/(Summary!$B$43*Summary!$B$45)),"",C14/(Summary!$B$43*Summary!$B$45))</f>
        <v>7.481182795698925</v>
      </c>
      <c r="H14" s="56">
        <f ca="1">IF(ISERROR(D14/(Summary!$B$44*Summary!$B$46)),"",D14/(Summary!$B$44*Summary!$B$46))</f>
        <v>1.3504273504273505</v>
      </c>
      <c r="I14" s="75">
        <f ca="1">E14/(Summary!$B$47*Summary!$B$45*0.67)</f>
        <v>0.13568521031207598</v>
      </c>
      <c r="J14" s="75">
        <f ca="1">F14/(Summary!$B$46*Summary!$B$48*0.67)</f>
        <v>0</v>
      </c>
      <c r="K14" s="78">
        <f ca="1">H14+G14+I14+J14</f>
        <v>8.9672953564383509</v>
      </c>
      <c r="L14" s="21">
        <f ca="1">IF(ISERROR(((G14+I14)*Summary!$B$40*Summary!$B$53)+((Calculations!G14+I14)*Summary!$B$41*Summary!$B$54)),"",((G14+I14)*Summary!$B$40*Summary!$B$53)+((Calculations!G14+I14)*Summary!$B$41*Summary!$B$54))</f>
        <v>437337.71030113357</v>
      </c>
      <c r="M14" s="21">
        <f ca="1">IF(ISERROR(((H14+J14)*Summary!$B$40*Summary!$B$53)+((H14+J14)*Summary!$B$41*Summary!$B$54)),"",((H14+J14)*Summary!$B$40*Summary!$B$53)+((H14+J14)*Summary!$B$41*Summary!$B$54))</f>
        <v>77537.487179487187</v>
      </c>
      <c r="N14" s="16">
        <f ca="1">L14+M14</f>
        <v>514875.19748062076</v>
      </c>
      <c r="O14" s="16">
        <f ca="1">IF(ISERROR(Summary!$B$55+Summary!$B$56+((Calculations!C14/30)/Summary!$B$49*Summary!$B$56)),"",Summary!$B$55+Summary!$B$56+((Calculations!C14/30)/Summary!$B$49*Summary!$B$56))</f>
        <v>98265.774333333335</v>
      </c>
      <c r="P14" s="81">
        <f ca="1">IF(ISERROR(IF(K14&gt;0,(K14*Summary!$B$42)+((Calculations!C14+D14)/500*Summary!$B$60),Calculations!N14/Summary!$B$55*Summary!$B$50)),"",IF(G14&gt;0,(G14*Summary!$B$42)+(Calculations!C14/500*Summary!$B$60),Calculations!N14/Summary!$B$55*Summary!$B$50))</f>
        <v>57533.288172043009</v>
      </c>
      <c r="Q14" s="16">
        <f t="shared" ca="1" si="0"/>
        <v>670674.25998599711</v>
      </c>
    </row>
    <row r="15" spans="2:19" x14ac:dyDescent="0.25">
      <c r="B15" s="37" t="s">
        <v>1</v>
      </c>
      <c r="C15" s="56">
        <f ca="1">IF(ISERROR(INDIRECT(ADDRESS(MATCH(B15,Data!B:B,0),5,1,1,"Data"))*INDIRECT(ADDRESS(MATCH(B15,'Cost Factor'!B:B,0),21,1,1,"Cost Factor"))),"",INDIRECT(ADDRESS(MATCH(B15,Data!B:B,0),5,1,1,"Data"))*INDIRECT(ADDRESS(MATCH(B15,'Cost Factor'!B:B,0),21,1,1,"Cost Factor")))</f>
        <v>5672</v>
      </c>
      <c r="D15" s="56">
        <f ca="1">IF(ISERROR(INDIRECT(ADDRESS(MATCH(B15,Data!B:B,0),6,1,1,"Data"))*INDIRECT(ADDRESS(MATCH(B15,'Cost Factor'!B:B,0),21,1,1,"Cost Factor"))),"",INDIRECT(ADDRESS(MATCH(B15,Data!B:B,0),6,1,1,"Data"))*INDIRECT(ADDRESS(MATCH(B15,'Cost Factor'!B:B,0),21,1,1,"Cost Factor")))</f>
        <v>0</v>
      </c>
      <c r="E15" s="91">
        <f ca="1">IF(ISERROR(INDIRECT(ADDRESS(MATCH(B15,Data!B:B,0),8,1,1,"Data"))*INDIRECT(ADDRESS(MATCH(B15,'Cost Factor'!B:B,0),21,1,1,"Cost Factor"))),"",INDIRECT(ADDRESS(MATCH(B15,Data!B:B,0),8,1,1,"Data"))*INDIRECT(ADDRESS(MATCH(B15,'Cost Factor'!B:B,0),21,1,1,"Cost Factor")))</f>
        <v>1816</v>
      </c>
      <c r="F15" s="91">
        <f ca="1">IF(ISERROR(INDIRECT(ADDRESS(MATCH(B15,Data!B:B,0),9,1,1,"Data"))*INDIRECT(ADDRESS(MATCH(B15,'Cost Factor'!B:B,0),21,1,1,"Cost Factor"))),"",INDIRECT(ADDRESS(MATCH(B15,Data!B:B,0),9,1,1,"Data"))*INDIRECT(ADDRESS(MATCH(B15,'Cost Factor'!B:B,0),21,1,1,"Cost Factor")))</f>
        <v>0</v>
      </c>
      <c r="G15" s="56">
        <f ca="1">IF(ISERROR(C15/(Summary!$B$43*Summary!$B$45)),"",C15/(Summary!$B$43*Summary!$B$45))</f>
        <v>7.623655913978495</v>
      </c>
      <c r="H15" s="56">
        <f ca="1">IF(ISERROR(D15/(Summary!$B$44*Summary!$B$46)),"",D15/(Summary!$B$44*Summary!$B$46))</f>
        <v>0</v>
      </c>
      <c r="I15" s="75">
        <f ca="1">E15/(Summary!$B$47*Summary!$B$45*0.67)</f>
        <v>5.1334237901402071</v>
      </c>
      <c r="J15" s="75">
        <f ca="1">F15/(Summary!$B$46*Summary!$B$48*0.67)</f>
        <v>0</v>
      </c>
      <c r="K15" s="91">
        <f t="shared" ref="K15:K35" ca="1" si="2">H15+G15+I15+J15</f>
        <v>12.757079704118702</v>
      </c>
      <c r="L15" s="88">
        <f ca="1">IF(ISERROR(((G15+I15)*Summary!$B$40*Summary!$B$53)+((Calculations!G15+I15)*Summary!$B$41*Summary!$B$54)),"",((G15+I15)*Summary!$B$40*Summary!$B$53)+((Calculations!G15+I15)*Summary!$B$41*Summary!$B$54))</f>
        <v>732473.2453713835</v>
      </c>
      <c r="M15" s="88">
        <f ca="1">IF(ISERROR(((H15+J15)*Summary!$B$40*Summary!$B$53)+((H15+J15)*Summary!$B$41*Summary!$B$54)),"",((H15+J15)*Summary!$B$40*Summary!$B$53)+((H15+J15)*Summary!$B$41*Summary!$B$54))</f>
        <v>0</v>
      </c>
      <c r="N15" s="16">
        <f t="shared" ref="N15:N35" ca="1" si="3">L15+M15</f>
        <v>732473.2453713835</v>
      </c>
      <c r="O15" s="16">
        <f ca="1">IF(ISERROR(Summary!$B$55+Summary!$B$56+((Calculations!C15/30)/Summary!$B$49*Summary!$B$56)),"",Summary!$B$55+Summary!$B$56+((Calculations!C15/30)/Summary!$B$49*Summary!$B$56))</f>
        <v>98519.838666666663</v>
      </c>
      <c r="P15" s="81">
        <f ca="1">IF(ISERROR(IF(K15&gt;0,(K15*Summary!$B$42)+((Calculations!C15+D15)/500*Summary!$B$60),Calculations!N15/Summary!$B$55*Summary!$B$50)),"",IF(G15&gt;0,(G15*Summary!$B$42)+(Calculations!C15/500*Summary!$B$60),Calculations!N15/Summary!$B$55*Summary!$B$50))</f>
        <v>58628.963440860214</v>
      </c>
      <c r="Q15" s="16">
        <f t="shared" ca="1" si="0"/>
        <v>889622.0474789103</v>
      </c>
    </row>
    <row r="16" spans="2:19" x14ac:dyDescent="0.25">
      <c r="B16" s="37" t="s">
        <v>2</v>
      </c>
      <c r="C16" s="56">
        <f ca="1">IF(ISERROR(INDIRECT(ADDRESS(MATCH(B16,Data!B:B,0),5,1,1,"Data"))*INDIRECT(ADDRESS(MATCH(B16,'Cost Factor'!B:B,0),21,1,1,"Cost Factor"))),"",INDIRECT(ADDRESS(MATCH(B16,Data!B:B,0),5,1,1,"Data"))*INDIRECT(ADDRESS(MATCH(B16,'Cost Factor'!B:B,0),21,1,1,"Cost Factor")))</f>
        <v>10970</v>
      </c>
      <c r="D16" s="56">
        <f ca="1">IF(ISERROR(INDIRECT(ADDRESS(MATCH(B16,Data!B:B,0),6,1,1,"Data"))*INDIRECT(ADDRESS(MATCH(B16,'Cost Factor'!B:B,0),21,1,1,"Cost Factor"))),"",INDIRECT(ADDRESS(MATCH(B16,Data!B:B,0),6,1,1,"Data"))*INDIRECT(ADDRESS(MATCH(B16,'Cost Factor'!B:B,0),21,1,1,"Cost Factor")))</f>
        <v>257</v>
      </c>
      <c r="E16" s="91">
        <f ca="1">IF(ISERROR(INDIRECT(ADDRESS(MATCH(B16,Data!B:B,0),8,1,1,"Data"))*INDIRECT(ADDRESS(MATCH(B16,'Cost Factor'!B:B,0),21,1,1,"Cost Factor"))),"",INDIRECT(ADDRESS(MATCH(B16,Data!B:B,0),8,1,1,"Data"))*INDIRECT(ADDRESS(MATCH(B16,'Cost Factor'!B:B,0),21,1,1,"Cost Factor")))</f>
        <v>32</v>
      </c>
      <c r="F16" s="91">
        <f ca="1">IF(ISERROR(INDIRECT(ADDRESS(MATCH(B16,Data!B:B,0),9,1,1,"Data"))*INDIRECT(ADDRESS(MATCH(B16,'Cost Factor'!B:B,0),21,1,1,"Cost Factor"))),"",INDIRECT(ADDRESS(MATCH(B16,Data!B:B,0),9,1,1,"Data"))*INDIRECT(ADDRESS(MATCH(B16,'Cost Factor'!B:B,0),21,1,1,"Cost Factor")))</f>
        <v>0</v>
      </c>
      <c r="G16" s="56">
        <f ca="1">IF(ISERROR(C16/(Summary!$B$43*Summary!$B$45)),"",C16/(Summary!$B$43*Summary!$B$45))</f>
        <v>14.744623655913978</v>
      </c>
      <c r="H16" s="56">
        <f ca="1">IF(ISERROR(D16/(Summary!$B$44*Summary!$B$46)),"",D16/(Summary!$B$44*Summary!$B$46))</f>
        <v>1.0982905982905984</v>
      </c>
      <c r="I16" s="75">
        <f ca="1">E16/(Summary!$B$47*Summary!$B$45*0.67)</f>
        <v>9.0456806874717313E-2</v>
      </c>
      <c r="J16" s="75">
        <f ca="1">F16/(Summary!$B$46*Summary!$B$48*0.67)</f>
        <v>0</v>
      </c>
      <c r="K16" s="91">
        <f t="shared" ca="1" si="2"/>
        <v>15.933371061079294</v>
      </c>
      <c r="L16" s="88">
        <f ca="1">IF(ISERROR(((G16+I16)*Summary!$B$40*Summary!$B$53)+((Calculations!G16+I16)*Summary!$B$41*Summary!$B$54)),"",((G16+I16)*Summary!$B$40*Summary!$B$53)+((Calculations!G16+I16)*Summary!$B$41*Summary!$B$54))</f>
        <v>851785.81493193842</v>
      </c>
      <c r="M16" s="88">
        <f ca="1">IF(ISERROR(((H16+J16)*Summary!$B$40*Summary!$B$53)+((H16+J16)*Summary!$B$41*Summary!$B$54)),"",((H16+J16)*Summary!$B$40*Summary!$B$53)+((H16+J16)*Summary!$B$41*Summary!$B$54))</f>
        <v>63060.551282051281</v>
      </c>
      <c r="N16" s="16">
        <f t="shared" ca="1" si="3"/>
        <v>914846.36621398968</v>
      </c>
      <c r="O16" s="16">
        <f ca="1">IF(ISERROR(Summary!$B$55+Summary!$B$56+((Calculations!C16/30)/Summary!$B$49*Summary!$B$56)),"",Summary!$B$55+Summary!$B$56+((Calculations!C16/30)/Summary!$B$49*Summary!$B$56))</f>
        <v>111218.26166666666</v>
      </c>
      <c r="P16" s="81">
        <f ca="1">IF(ISERROR(IF(K16&gt;0,(K16*Summary!$B$42)+((Calculations!C16+D16)/500*Summary!$B$60),Calculations!N16/Summary!$B$55*Summary!$B$50)),"",IF(G16&gt;0,(G16*Summary!$B$42)+(Calculations!C16/500*Summary!$B$60),Calculations!N16/Summary!$B$55*Summary!$B$50))</f>
        <v>113392.05376344085</v>
      </c>
      <c r="Q16" s="16">
        <f t="shared" ca="1" si="0"/>
        <v>1139456.6816440972</v>
      </c>
    </row>
    <row r="17" spans="2:17" x14ac:dyDescent="0.25">
      <c r="B17" s="37" t="s">
        <v>3</v>
      </c>
      <c r="C17" s="56">
        <f ca="1">IF(ISERROR(INDIRECT(ADDRESS(MATCH(B17,Data!B:B,0),5,1,1,"Data"))*INDIRECT(ADDRESS(MATCH(B17,'Cost Factor'!B:B,0),21,1,1,"Cost Factor"))),"",INDIRECT(ADDRESS(MATCH(B17,Data!B:B,0),5,1,1,"Data"))*INDIRECT(ADDRESS(MATCH(B17,'Cost Factor'!B:B,0),21,1,1,"Cost Factor")))</f>
        <v>5116</v>
      </c>
      <c r="D17" s="56">
        <f ca="1">IF(ISERROR(INDIRECT(ADDRESS(MATCH(B17,Data!B:B,0),6,1,1,"Data"))*INDIRECT(ADDRESS(MATCH(B17,'Cost Factor'!B:B,0),21,1,1,"Cost Factor"))),"",INDIRECT(ADDRESS(MATCH(B17,Data!B:B,0),6,1,1,"Data"))*INDIRECT(ADDRESS(MATCH(B17,'Cost Factor'!B:B,0),21,1,1,"Cost Factor")))</f>
        <v>6</v>
      </c>
      <c r="E17" s="91">
        <f ca="1">IF(ISERROR(INDIRECT(ADDRESS(MATCH(B17,Data!B:B,0),8,1,1,"Data"))*INDIRECT(ADDRESS(MATCH(B17,'Cost Factor'!B:B,0),21,1,1,"Cost Factor"))),"",INDIRECT(ADDRESS(MATCH(B17,Data!B:B,0),8,1,1,"Data"))*INDIRECT(ADDRESS(MATCH(B17,'Cost Factor'!B:B,0),21,1,1,"Cost Factor")))</f>
        <v>383</v>
      </c>
      <c r="F17" s="91">
        <f ca="1">IF(ISERROR(INDIRECT(ADDRESS(MATCH(B17,Data!B:B,0),9,1,1,"Data"))*INDIRECT(ADDRESS(MATCH(B17,'Cost Factor'!B:B,0),21,1,1,"Cost Factor"))),"",INDIRECT(ADDRESS(MATCH(B17,Data!B:B,0),9,1,1,"Data"))*INDIRECT(ADDRESS(MATCH(B17,'Cost Factor'!B:B,0),21,1,1,"Cost Factor")))</f>
        <v>0</v>
      </c>
      <c r="G17" s="56">
        <f ca="1">IF(ISERROR(C17/(Summary!$B$43*Summary!$B$45)),"",C17/(Summary!$B$43*Summary!$B$45))</f>
        <v>6.876344086021505</v>
      </c>
      <c r="H17" s="56">
        <f ca="1">IF(ISERROR(D17/(Summary!$B$44*Summary!$B$46)),"",D17/(Summary!$B$44*Summary!$B$46))</f>
        <v>2.564102564102564E-2</v>
      </c>
      <c r="I17" s="75">
        <f ca="1">E17/(Summary!$B$47*Summary!$B$45*0.67)</f>
        <v>1.0826549072817728</v>
      </c>
      <c r="J17" s="75">
        <f ca="1">F17/(Summary!$B$46*Summary!$B$48*0.67)</f>
        <v>0</v>
      </c>
      <c r="K17" s="91">
        <f t="shared" ca="1" si="2"/>
        <v>7.9846400189443036</v>
      </c>
      <c r="L17" s="88">
        <f ca="1">IF(ISERROR(((G17+I17)*Summary!$B$40*Summary!$B$53)+((Calculations!G17+I17)*Summary!$B$41*Summary!$B$54)),"",((G17+I17)*Summary!$B$40*Summary!$B$53)+((Calculations!G17+I17)*Summary!$B$41*Summary!$B$54))</f>
        <v>456981.84519849427</v>
      </c>
      <c r="M17" s="88">
        <f ca="1">IF(ISERROR(((H17+J17)*Summary!$B$40*Summary!$B$53)+((H17+J17)*Summary!$B$41*Summary!$B$54)),"",((H17+J17)*Summary!$B$40*Summary!$B$53)+((H17+J17)*Summary!$B$41*Summary!$B$54))</f>
        <v>1472.2307692307691</v>
      </c>
      <c r="N17" s="16">
        <f t="shared" ca="1" si="3"/>
        <v>458454.07596772502</v>
      </c>
      <c r="O17" s="16">
        <f ca="1">IF(ISERROR(Summary!$B$55+Summary!$B$56+((Calculations!C17/30)/Summary!$B$49*Summary!$B$56)),"",Summary!$B$55+Summary!$B$56+((Calculations!C17/30)/Summary!$B$49*Summary!$B$56))</f>
        <v>97187.199333333338</v>
      </c>
      <c r="P17" s="81">
        <f ca="1">IF(ISERROR(IF(K17&gt;0,(K17*Summary!$B$42)+((Calculations!C17+D17)/500*Summary!$B$60),Calculations!N17/Summary!$B$55*Summary!$B$50)),"",IF(G17&gt;0,(G17*Summary!$B$42)+(Calculations!C17/500*Summary!$B$60),Calculations!N17/Summary!$B$55*Summary!$B$50))</f>
        <v>52881.836559139781</v>
      </c>
      <c r="Q17" s="16">
        <f t="shared" ca="1" si="0"/>
        <v>608523.11186019809</v>
      </c>
    </row>
    <row r="18" spans="2:17" x14ac:dyDescent="0.25">
      <c r="B18" s="37" t="s">
        <v>4</v>
      </c>
      <c r="C18" s="56">
        <f ca="1">IF(ISERROR(INDIRECT(ADDRESS(MATCH(B18,Data!B:B,0),5,1,1,"Data"))*INDIRECT(ADDRESS(MATCH(B18,'Cost Factor'!B:B,0),21,1,1,"Cost Factor"))),"",INDIRECT(ADDRESS(MATCH(B18,Data!B:B,0),5,1,1,"Data"))*INDIRECT(ADDRESS(MATCH(B18,'Cost Factor'!B:B,0),21,1,1,"Cost Factor")))</f>
        <v>9597</v>
      </c>
      <c r="D18" s="56">
        <f ca="1">IF(ISERROR(INDIRECT(ADDRESS(MATCH(B18,Data!B:B,0),6,1,1,"Data"))*INDIRECT(ADDRESS(MATCH(B18,'Cost Factor'!B:B,0),21,1,1,"Cost Factor"))),"",INDIRECT(ADDRESS(MATCH(B18,Data!B:B,0),6,1,1,"Data"))*INDIRECT(ADDRESS(MATCH(B18,'Cost Factor'!B:B,0),21,1,1,"Cost Factor")))</f>
        <v>300</v>
      </c>
      <c r="E18" s="91">
        <f ca="1">IF(ISERROR(INDIRECT(ADDRESS(MATCH(B18,Data!B:B,0),8,1,1,"Data"))*INDIRECT(ADDRESS(MATCH(B18,'Cost Factor'!B:B,0),21,1,1,"Cost Factor"))),"",INDIRECT(ADDRESS(MATCH(B18,Data!B:B,0),8,1,1,"Data"))*INDIRECT(ADDRESS(MATCH(B18,'Cost Factor'!B:B,0),21,1,1,"Cost Factor")))</f>
        <v>0</v>
      </c>
      <c r="F18" s="91">
        <f ca="1">IF(ISERROR(INDIRECT(ADDRESS(MATCH(B18,Data!B:B,0),9,1,1,"Data"))*INDIRECT(ADDRESS(MATCH(B18,'Cost Factor'!B:B,0),21,1,1,"Cost Factor"))),"",INDIRECT(ADDRESS(MATCH(B18,Data!B:B,0),9,1,1,"Data"))*INDIRECT(ADDRESS(MATCH(B18,'Cost Factor'!B:B,0),21,1,1,"Cost Factor")))</f>
        <v>0</v>
      </c>
      <c r="G18" s="56">
        <f ca="1">IF(ISERROR(C18/(Summary!$B$43*Summary!$B$45)),"",C18/(Summary!$B$43*Summary!$B$45))</f>
        <v>12.899193548387096</v>
      </c>
      <c r="H18" s="56">
        <f ca="1">IF(ISERROR(D18/(Summary!$B$44*Summary!$B$46)),"",D18/(Summary!$B$44*Summary!$B$46))</f>
        <v>1.2820512820512822</v>
      </c>
      <c r="I18" s="75">
        <f ca="1">E18/(Summary!$B$47*Summary!$B$45*0.67)</f>
        <v>0</v>
      </c>
      <c r="J18" s="75">
        <f ca="1">F18/(Summary!$B$46*Summary!$B$48*0.67)</f>
        <v>0</v>
      </c>
      <c r="K18" s="91">
        <f t="shared" ca="1" si="2"/>
        <v>14.181244830438379</v>
      </c>
      <c r="L18" s="88">
        <f ca="1">IF(ISERROR(((G18+I18)*Summary!$B$40*Summary!$B$53)+((Calculations!G18+I18)*Summary!$B$41*Summary!$B$54)),"",((G18+I18)*Summary!$B$40*Summary!$B$53)+((Calculations!G18+I18)*Summary!$B$41*Summary!$B$54))</f>
        <v>740632.99596774182</v>
      </c>
      <c r="M18" s="88">
        <f ca="1">IF(ISERROR(((H18+J18)*Summary!$B$40*Summary!$B$53)+((H18+J18)*Summary!$B$41*Summary!$B$54)),"",((H18+J18)*Summary!$B$40*Summary!$B$53)+((H18+J18)*Summary!$B$41*Summary!$B$54))</f>
        <v>73611.538461538468</v>
      </c>
      <c r="N18" s="16">
        <f t="shared" ca="1" si="3"/>
        <v>814244.53442928032</v>
      </c>
      <c r="O18" s="16">
        <f ca="1">IF(ISERROR(Summary!$B$55+Summary!$B$56+((Calculations!C18/30)/Summary!$B$49*Summary!$B$56)),"",Summary!$B$55+Summary!$B$56+((Calculations!C18/30)/Summary!$B$49*Summary!$B$56))</f>
        <v>107927.40949999999</v>
      </c>
      <c r="P18" s="81">
        <f ca="1">IF(ISERROR(IF(K18&gt;0,(K18*Summary!$B$42)+((Calculations!C18+D18)/500*Summary!$B$60),Calculations!N18/Summary!$B$55*Summary!$B$50)),"",IF(G18&gt;0,(G18*Summary!$B$42)+(Calculations!C18/500*Summary!$B$60),Calculations!N18/Summary!$B$55*Summary!$B$50))</f>
        <v>99199.958064516119</v>
      </c>
      <c r="Q18" s="16">
        <f t="shared" ca="1" si="0"/>
        <v>1021371.9019937963</v>
      </c>
    </row>
    <row r="19" spans="2:17" x14ac:dyDescent="0.25">
      <c r="B19" s="37" t="s">
        <v>5</v>
      </c>
      <c r="C19" s="56">
        <f ca="1">IF(ISERROR(INDIRECT(ADDRESS(MATCH(B19,Data!B:B,0),5,1,1,"Data"))*INDIRECT(ADDRESS(MATCH(B19,'Cost Factor'!B:B,0),21,1,1,"Cost Factor"))),"",INDIRECT(ADDRESS(MATCH(B19,Data!B:B,0),5,1,1,"Data"))*INDIRECT(ADDRESS(MATCH(B19,'Cost Factor'!B:B,0),21,1,1,"Cost Factor")))</f>
        <v>16530</v>
      </c>
      <c r="D19" s="56">
        <f ca="1">IF(ISERROR(INDIRECT(ADDRESS(MATCH(B19,Data!B:B,0),6,1,1,"Data"))*INDIRECT(ADDRESS(MATCH(B19,'Cost Factor'!B:B,0),21,1,1,"Cost Factor"))),"",INDIRECT(ADDRESS(MATCH(B19,Data!B:B,0),6,1,1,"Data"))*INDIRECT(ADDRESS(MATCH(B19,'Cost Factor'!B:B,0),21,1,1,"Cost Factor")))</f>
        <v>207</v>
      </c>
      <c r="E19" s="91">
        <f ca="1">IF(ISERROR(INDIRECT(ADDRESS(MATCH(B19,Data!B:B,0),8,1,1,"Data"))*INDIRECT(ADDRESS(MATCH(B19,'Cost Factor'!B:B,0),21,1,1,"Cost Factor"))),"",INDIRECT(ADDRESS(MATCH(B19,Data!B:B,0),8,1,1,"Data"))*INDIRECT(ADDRESS(MATCH(B19,'Cost Factor'!B:B,0),21,1,1,"Cost Factor")))</f>
        <v>0</v>
      </c>
      <c r="F19" s="91">
        <f ca="1">IF(ISERROR(INDIRECT(ADDRESS(MATCH(B19,Data!B:B,0),9,1,1,"Data"))*INDIRECT(ADDRESS(MATCH(B19,'Cost Factor'!B:B,0),21,1,1,"Cost Factor"))),"",INDIRECT(ADDRESS(MATCH(B19,Data!B:B,0),9,1,1,"Data"))*INDIRECT(ADDRESS(MATCH(B19,'Cost Factor'!B:B,0),21,1,1,"Cost Factor")))</f>
        <v>0</v>
      </c>
      <c r="G19" s="56">
        <f ca="1">IF(ISERROR(C19/(Summary!$B$43*Summary!$B$45)),"",C19/(Summary!$B$43*Summary!$B$45))</f>
        <v>22.217741935483872</v>
      </c>
      <c r="H19" s="56">
        <f ca="1">IF(ISERROR(D19/(Summary!$B$44*Summary!$B$46)),"",D19/(Summary!$B$44*Summary!$B$46))</f>
        <v>0.88461538461538458</v>
      </c>
      <c r="I19" s="75">
        <f ca="1">E19/(Summary!$B$47*Summary!$B$45*0.67)</f>
        <v>0</v>
      </c>
      <c r="J19" s="75">
        <f ca="1">F19/(Summary!$B$46*Summary!$B$48*0.67)</f>
        <v>0</v>
      </c>
      <c r="K19" s="91">
        <f t="shared" ca="1" si="2"/>
        <v>23.102357320099255</v>
      </c>
      <c r="L19" s="88">
        <f ca="1">IF(ISERROR(((G19+I19)*Summary!$B$40*Summary!$B$53)+((Calculations!G19+I19)*Summary!$B$41*Summary!$B$54)),"",((G19+I19)*Summary!$B$40*Summary!$B$53)+((Calculations!G19+I19)*Summary!$B$41*Summary!$B$54))</f>
        <v>1275676.0887096773</v>
      </c>
      <c r="M19" s="88">
        <f ca="1">IF(ISERROR(((H19+J19)*Summary!$B$40*Summary!$B$53)+((H19+J19)*Summary!$B$41*Summary!$B$54)),"",((H19+J19)*Summary!$B$40*Summary!$B$53)+((H19+J19)*Summary!$B$41*Summary!$B$54))</f>
        <v>50791.961538461539</v>
      </c>
      <c r="N19" s="16">
        <f t="shared" ca="1" si="3"/>
        <v>1326468.0502481388</v>
      </c>
      <c r="O19" s="16">
        <f ca="1">IF(ISERROR(Summary!$B$55+Summary!$B$56+((Calculations!C19/30)/Summary!$B$49*Summary!$B$56)),"",Summary!$B$55+Summary!$B$56+((Calculations!C19/30)/Summary!$B$49*Summary!$B$56))</f>
        <v>124544.655</v>
      </c>
      <c r="P19" s="81">
        <f ca="1">IF(ISERROR(IF(K19&gt;0,(K19*Summary!$B$42)+((Calculations!C19+D19)/500*Summary!$B$60),Calculations!N19/Summary!$B$55*Summary!$B$50)),"",IF(G19&gt;0,(G19*Summary!$B$42)+(Calculations!C19/500*Summary!$B$60),Calculations!N19/Summary!$B$55*Summary!$B$50))</f>
        <v>170863.32258064518</v>
      </c>
      <c r="Q19" s="16">
        <f t="shared" ca="1" si="0"/>
        <v>1621876.027828784</v>
      </c>
    </row>
    <row r="20" spans="2:17" x14ac:dyDescent="0.25">
      <c r="B20" s="41" t="s">
        <v>6</v>
      </c>
      <c r="C20" s="56">
        <f ca="1">IF(ISERROR(INDIRECT(ADDRESS(MATCH(B20,Data!B:B,0),5,1,1,"Data"))*INDIRECT(ADDRESS(MATCH(B20,'Cost Factor'!B:B,0),21,1,1,"Cost Factor"))),"",INDIRECT(ADDRESS(MATCH(B20,Data!B:B,0),5,1,1,"Data"))*INDIRECT(ADDRESS(MATCH(B20,'Cost Factor'!B:B,0),21,1,1,"Cost Factor")))</f>
        <v>3441</v>
      </c>
      <c r="D20" s="56">
        <f ca="1">IF(ISERROR(INDIRECT(ADDRESS(MATCH(B20,Data!B:B,0),6,1,1,"Data"))*INDIRECT(ADDRESS(MATCH(B20,'Cost Factor'!B:B,0),21,1,1,"Cost Factor"))),"",INDIRECT(ADDRESS(MATCH(B20,Data!B:B,0),6,1,1,"Data"))*INDIRECT(ADDRESS(MATCH(B20,'Cost Factor'!B:B,0),21,1,1,"Cost Factor")))</f>
        <v>0</v>
      </c>
      <c r="E20" s="91">
        <f ca="1">IF(ISERROR(INDIRECT(ADDRESS(MATCH(B20,Data!B:B,0),8,1,1,"Data"))*INDIRECT(ADDRESS(MATCH(B20,'Cost Factor'!B:B,0),21,1,1,"Cost Factor"))),"",INDIRECT(ADDRESS(MATCH(B20,Data!B:B,0),8,1,1,"Data"))*INDIRECT(ADDRESS(MATCH(B20,'Cost Factor'!B:B,0),21,1,1,"Cost Factor")))</f>
        <v>0</v>
      </c>
      <c r="F20" s="91">
        <f ca="1">IF(ISERROR(INDIRECT(ADDRESS(MATCH(B20,Data!B:B,0),9,1,1,"Data"))*INDIRECT(ADDRESS(MATCH(B20,'Cost Factor'!B:B,0),21,1,1,"Cost Factor"))),"",INDIRECT(ADDRESS(MATCH(B20,Data!B:B,0),9,1,1,"Data"))*INDIRECT(ADDRESS(MATCH(B20,'Cost Factor'!B:B,0),21,1,1,"Cost Factor")))</f>
        <v>0</v>
      </c>
      <c r="G20" s="56">
        <f ca="1">IF(ISERROR(C20/(Summary!$B$43*Summary!$B$45)),"",C20/(Summary!$B$43*Summary!$B$45))</f>
        <v>4.625</v>
      </c>
      <c r="H20" s="56">
        <f ca="1">IF(ISERROR(D20/(Summary!$B$44*Summary!$B$46)),"",D20/(Summary!$B$44*Summary!$B$46))</f>
        <v>0</v>
      </c>
      <c r="I20" s="75">
        <f ca="1">E20/(Summary!$B$47*Summary!$B$45*0.67)</f>
        <v>0</v>
      </c>
      <c r="J20" s="75">
        <f ca="1">F20/(Summary!$B$46*Summary!$B$48*0.67)</f>
        <v>0</v>
      </c>
      <c r="K20" s="91">
        <f t="shared" ca="1" si="2"/>
        <v>4.625</v>
      </c>
      <c r="L20" s="88">
        <f ca="1">IF(ISERROR(((G20+I20)*Summary!$B$40*Summary!$B$53)+((Calculations!G20+I20)*Summary!$B$41*Summary!$B$54)),"",((G20+I20)*Summary!$B$40*Summary!$B$53)+((Calculations!G20+I20)*Summary!$B$41*Summary!$B$54))</f>
        <v>265553.625</v>
      </c>
      <c r="M20" s="88">
        <f ca="1">IF(ISERROR(((H20+J20)*Summary!$B$40*Summary!$B$53)+((H20+J20)*Summary!$B$41*Summary!$B$54)),"",((H20+J20)*Summary!$B$40*Summary!$B$53)+((H20+J20)*Summary!$B$41*Summary!$B$54))</f>
        <v>0</v>
      </c>
      <c r="N20" s="16">
        <f t="shared" ca="1" si="3"/>
        <v>265553.625</v>
      </c>
      <c r="O20" s="16">
        <f ca="1">IF(ISERROR(Summary!$B$55+Summary!$B$56+((Calculations!C20/30)/Summary!$B$49*Summary!$B$56)),"",Summary!$B$55+Summary!$B$56+((Calculations!C20/30)/Summary!$B$49*Summary!$B$56))</f>
        <v>93172.503500000006</v>
      </c>
      <c r="P20" s="81">
        <f ca="1">IF(ISERROR(IF(K20&gt;0,(K20*Summary!$B$42)+((Calculations!C20+D20)/500*Summary!$B$60),Calculations!N20/Summary!$B$55*Summary!$B$50)),"",IF(G20&gt;0,(G20*Summary!$B$42)+(Calculations!C20/500*Summary!$B$60),Calculations!N20/Summary!$B$55*Summary!$B$50))</f>
        <v>35568.1</v>
      </c>
      <c r="Q20" s="16">
        <f t="shared" ca="1" si="0"/>
        <v>394294.22849999997</v>
      </c>
    </row>
    <row r="21" spans="2:17" x14ac:dyDescent="0.25">
      <c r="B21" s="41" t="s">
        <v>7</v>
      </c>
      <c r="C21" s="56">
        <f ca="1">IF(ISERROR(INDIRECT(ADDRESS(MATCH(B21,Data!B:B,0),5,1,1,"Data"))*INDIRECT(ADDRESS(MATCH(B21,'Cost Factor'!B:B,0),21,1,1,"Cost Factor"))),"",INDIRECT(ADDRESS(MATCH(B21,Data!B:B,0),5,1,1,"Data"))*INDIRECT(ADDRESS(MATCH(B21,'Cost Factor'!B:B,0),21,1,1,"Cost Factor")))</f>
        <v>12708</v>
      </c>
      <c r="D21" s="56">
        <f ca="1">IF(ISERROR(INDIRECT(ADDRESS(MATCH(B21,Data!B:B,0),6,1,1,"Data"))*INDIRECT(ADDRESS(MATCH(B21,'Cost Factor'!B:B,0),21,1,1,"Cost Factor"))),"",INDIRECT(ADDRESS(MATCH(B21,Data!B:B,0),6,1,1,"Data"))*INDIRECT(ADDRESS(MATCH(B21,'Cost Factor'!B:B,0),21,1,1,"Cost Factor")))</f>
        <v>54</v>
      </c>
      <c r="E21" s="91">
        <f ca="1">IF(ISERROR(INDIRECT(ADDRESS(MATCH(B21,Data!B:B,0),8,1,1,"Data"))*INDIRECT(ADDRESS(MATCH(B21,'Cost Factor'!B:B,0),21,1,1,"Cost Factor"))),"",INDIRECT(ADDRESS(MATCH(B21,Data!B:B,0),8,1,1,"Data"))*INDIRECT(ADDRESS(MATCH(B21,'Cost Factor'!B:B,0),21,1,1,"Cost Factor")))</f>
        <v>0</v>
      </c>
      <c r="F21" s="91">
        <f ca="1">IF(ISERROR(INDIRECT(ADDRESS(MATCH(B21,Data!B:B,0),9,1,1,"Data"))*INDIRECT(ADDRESS(MATCH(B21,'Cost Factor'!B:B,0),21,1,1,"Cost Factor"))),"",INDIRECT(ADDRESS(MATCH(B21,Data!B:B,0),9,1,1,"Data"))*INDIRECT(ADDRESS(MATCH(B21,'Cost Factor'!B:B,0),21,1,1,"Cost Factor")))</f>
        <v>0</v>
      </c>
      <c r="G21" s="56">
        <f ca="1">IF(ISERROR(C21/(Summary!$B$43*Summary!$B$45)),"",C21/(Summary!$B$43*Summary!$B$45))</f>
        <v>17.080645161290324</v>
      </c>
      <c r="H21" s="56">
        <f ca="1">IF(ISERROR(D21/(Summary!$B$44*Summary!$B$46)),"",D21/(Summary!$B$44*Summary!$B$46))</f>
        <v>0.23076923076923078</v>
      </c>
      <c r="I21" s="75">
        <f ca="1">E21/(Summary!$B$47*Summary!$B$45*0.67)</f>
        <v>0</v>
      </c>
      <c r="J21" s="75">
        <f ca="1">F21/(Summary!$B$46*Summary!$B$48*0.67)</f>
        <v>0</v>
      </c>
      <c r="K21" s="91">
        <f t="shared" ca="1" si="2"/>
        <v>17.311414392059554</v>
      </c>
      <c r="L21" s="88">
        <f ca="1">IF(ISERROR(((G21+I21)*Summary!$B$40*Summary!$B$53)+((Calculations!G21+I21)*Summary!$B$41*Summary!$B$54)),"",((G21+I21)*Summary!$B$40*Summary!$B$53)+((Calculations!G21+I21)*Summary!$B$41*Summary!$B$54))</f>
        <v>980719.40322580654</v>
      </c>
      <c r="M21" s="88">
        <f ca="1">IF(ISERROR(((H21+J21)*Summary!$B$40*Summary!$B$53)+((H21+J21)*Summary!$B$41*Summary!$B$54)),"",((H21+J21)*Summary!$B$40*Summary!$B$53)+((H21+J21)*Summary!$B$41*Summary!$B$54))</f>
        <v>13250.076923076922</v>
      </c>
      <c r="N21" s="16">
        <f t="shared" ca="1" si="3"/>
        <v>993969.48014888342</v>
      </c>
      <c r="O21" s="16">
        <f ca="1">IF(ISERROR(Summary!$B$55+Summary!$B$56+((Calculations!C21/30)/Summary!$B$49*Summary!$B$56)),"",Summary!$B$55+Summary!$B$56+((Calculations!C21/30)/Summary!$B$49*Summary!$B$56))</f>
        <v>115383.95800000001</v>
      </c>
      <c r="P21" s="81">
        <f ca="1">IF(ISERROR(IF(K21&gt;0,(K21*Summary!$B$42)+((Calculations!C21+D21)/500*Summary!$B$60),Calculations!N21/Summary!$B$55*Summary!$B$50)),"",IF(G21&gt;0,(G21*Summary!$B$42)+(Calculations!C21/500*Summary!$B$60),Calculations!N21/Summary!$B$55*Summary!$B$50))</f>
        <v>131356.99354838711</v>
      </c>
      <c r="Q21" s="16">
        <f t="shared" ca="1" si="0"/>
        <v>1240710.4316972706</v>
      </c>
    </row>
    <row r="22" spans="2:17" x14ac:dyDescent="0.25">
      <c r="B22" s="41" t="s">
        <v>8</v>
      </c>
      <c r="C22" s="56">
        <f ca="1">IF(ISERROR(INDIRECT(ADDRESS(MATCH(B22,Data!B:B,0),5,1,1,"Data"))*INDIRECT(ADDRESS(MATCH(B22,'Cost Factor'!B:B,0),21,1,1,"Cost Factor"))),"",INDIRECT(ADDRESS(MATCH(B22,Data!B:B,0),5,1,1,"Data"))*INDIRECT(ADDRESS(MATCH(B22,'Cost Factor'!B:B,0),21,1,1,"Cost Factor")))</f>
        <v>16717</v>
      </c>
      <c r="D22" s="56">
        <f ca="1">IF(ISERROR(INDIRECT(ADDRESS(MATCH(B22,Data!B:B,0),6,1,1,"Data"))*INDIRECT(ADDRESS(MATCH(B22,'Cost Factor'!B:B,0),21,1,1,"Cost Factor"))),"",INDIRECT(ADDRESS(MATCH(B22,Data!B:B,0),6,1,1,"Data"))*INDIRECT(ADDRESS(MATCH(B22,'Cost Factor'!B:B,0),21,1,1,"Cost Factor")))</f>
        <v>0</v>
      </c>
      <c r="E22" s="91">
        <f ca="1">IF(ISERROR(INDIRECT(ADDRESS(MATCH(B22,Data!B:B,0),8,1,1,"Data"))*INDIRECT(ADDRESS(MATCH(B22,'Cost Factor'!B:B,0),21,1,1,"Cost Factor"))),"",INDIRECT(ADDRESS(MATCH(B22,Data!B:B,0),8,1,1,"Data"))*INDIRECT(ADDRESS(MATCH(B22,'Cost Factor'!B:B,0),21,1,1,"Cost Factor")))</f>
        <v>0</v>
      </c>
      <c r="F22" s="91">
        <f ca="1">IF(ISERROR(INDIRECT(ADDRESS(MATCH(B22,Data!B:B,0),9,1,1,"Data"))*INDIRECT(ADDRESS(MATCH(B22,'Cost Factor'!B:B,0),21,1,1,"Cost Factor"))),"",INDIRECT(ADDRESS(MATCH(B22,Data!B:B,0),9,1,1,"Data"))*INDIRECT(ADDRESS(MATCH(B22,'Cost Factor'!B:B,0),21,1,1,"Cost Factor")))</f>
        <v>0</v>
      </c>
      <c r="G22" s="56">
        <f ca="1">IF(ISERROR(C22/(Summary!$B$43*Summary!$B$45)),"",C22/(Summary!$B$43*Summary!$B$45))</f>
        <v>22.469086021505376</v>
      </c>
      <c r="H22" s="56">
        <f ca="1">IF(ISERROR(D22/(Summary!$B$44*Summary!$B$46)),"",D22/(Summary!$B$44*Summary!$B$46))</f>
        <v>0</v>
      </c>
      <c r="I22" s="75">
        <f ca="1">E22/(Summary!$B$47*Summary!$B$45*0.67)</f>
        <v>0</v>
      </c>
      <c r="J22" s="75">
        <f ca="1">F22/(Summary!$B$46*Summary!$B$48*0.67)</f>
        <v>0</v>
      </c>
      <c r="K22" s="91">
        <f t="shared" ca="1" si="2"/>
        <v>22.469086021505376</v>
      </c>
      <c r="L22" s="88">
        <f ca="1">IF(ISERROR(((G22+I22)*Summary!$B$40*Summary!$B$53)+((Calculations!G22+I22)*Summary!$B$41*Summary!$B$54)),"",((G22+I22)*Summary!$B$40*Summary!$B$53)+((Calculations!G22+I22)*Summary!$B$41*Summary!$B$54))</f>
        <v>1290107.5120967741</v>
      </c>
      <c r="M22" s="88">
        <f ca="1">IF(ISERROR(((H22+J22)*Summary!$B$40*Summary!$B$53)+((H22+J22)*Summary!$B$41*Summary!$B$54)),"",((H22+J22)*Summary!$B$40*Summary!$B$53)+((H22+J22)*Summary!$B$41*Summary!$B$54))</f>
        <v>0</v>
      </c>
      <c r="N22" s="16">
        <f t="shared" ca="1" si="3"/>
        <v>1290107.5120967741</v>
      </c>
      <c r="O22" s="16">
        <f ca="1">IF(ISERROR(Summary!$B$55+Summary!$B$56+((Calculations!C22/30)/Summary!$B$49*Summary!$B$56)),"",Summary!$B$55+Summary!$B$56+((Calculations!C22/30)/Summary!$B$49*Summary!$B$56))</f>
        <v>124992.86283333335</v>
      </c>
      <c r="P22" s="81">
        <f ca="1">IF(ISERROR(IF(K22&gt;0,(K22*Summary!$B$42)+((Calculations!C22+D22)/500*Summary!$B$60),Calculations!N22/Summary!$B$55*Summary!$B$50)),"",IF(G22&gt;0,(G22*Summary!$B$42)+(Calculations!C22/500*Summary!$B$60),Calculations!N22/Summary!$B$55*Summary!$B$50))</f>
        <v>172796.25913978496</v>
      </c>
      <c r="Q22" s="16">
        <f t="shared" ca="1" si="0"/>
        <v>1587896.6340698926</v>
      </c>
    </row>
    <row r="23" spans="2:17" x14ac:dyDescent="0.25">
      <c r="B23" s="41" t="s">
        <v>9</v>
      </c>
      <c r="C23" s="56">
        <f ca="1">IF(ISERROR(INDIRECT(ADDRESS(MATCH(B23,Data!B:B,0),5,1,1,"Data"))*INDIRECT(ADDRESS(MATCH(B23,'Cost Factor'!B:B,0),21,1,1,"Cost Factor"))),"",INDIRECT(ADDRESS(MATCH(B23,Data!B:B,0),5,1,1,"Data"))*INDIRECT(ADDRESS(MATCH(B23,'Cost Factor'!B:B,0),21,1,1,"Cost Factor")))</f>
        <v>6536</v>
      </c>
      <c r="D23" s="56">
        <f ca="1">IF(ISERROR(INDIRECT(ADDRESS(MATCH(B23,Data!B:B,0),6,1,1,"Data"))*INDIRECT(ADDRESS(MATCH(B23,'Cost Factor'!B:B,0),21,1,1,"Cost Factor"))),"",INDIRECT(ADDRESS(MATCH(B23,Data!B:B,0),6,1,1,"Data"))*INDIRECT(ADDRESS(MATCH(B23,'Cost Factor'!B:B,0),21,1,1,"Cost Factor")))</f>
        <v>0</v>
      </c>
      <c r="E23" s="91">
        <f ca="1">IF(ISERROR(INDIRECT(ADDRESS(MATCH(B23,Data!B:B,0),8,1,1,"Data"))*INDIRECT(ADDRESS(MATCH(B23,'Cost Factor'!B:B,0),21,1,1,"Cost Factor"))),"",INDIRECT(ADDRESS(MATCH(B23,Data!B:B,0),8,1,1,"Data"))*INDIRECT(ADDRESS(MATCH(B23,'Cost Factor'!B:B,0),21,1,1,"Cost Factor")))</f>
        <v>740</v>
      </c>
      <c r="F23" s="91">
        <f ca="1">IF(ISERROR(INDIRECT(ADDRESS(MATCH(B23,Data!B:B,0),9,1,1,"Data"))*INDIRECT(ADDRESS(MATCH(B23,'Cost Factor'!B:B,0),21,1,1,"Cost Factor"))),"",INDIRECT(ADDRESS(MATCH(B23,Data!B:B,0),9,1,1,"Data"))*INDIRECT(ADDRESS(MATCH(B23,'Cost Factor'!B:B,0),21,1,1,"Cost Factor")))</f>
        <v>0</v>
      </c>
      <c r="G23" s="56">
        <f ca="1">IF(ISERROR(C23/(Summary!$B$43*Summary!$B$45)),"",C23/(Summary!$B$43*Summary!$B$45))</f>
        <v>8.78494623655914</v>
      </c>
      <c r="H23" s="56">
        <f ca="1">IF(ISERROR(D23/(Summary!$B$44*Summary!$B$46)),"",D23/(Summary!$B$44*Summary!$B$46))</f>
        <v>0</v>
      </c>
      <c r="I23" s="75">
        <f ca="1">E23/(Summary!$B$47*Summary!$B$45*0.67)</f>
        <v>2.0918136589778378</v>
      </c>
      <c r="J23" s="75">
        <f ca="1">F23/(Summary!$B$46*Summary!$B$48*0.67)</f>
        <v>0</v>
      </c>
      <c r="K23" s="91">
        <f t="shared" ca="1" si="2"/>
        <v>10.876759895536978</v>
      </c>
      <c r="L23" s="88">
        <f ca="1">IF(ISERROR(((G23+I23)*Summary!$B$40*Summary!$B$53)+((Calculations!G23+I23)*Summary!$B$41*Summary!$B$54)),"",((G23+I23)*Summary!$B$40*Summary!$B$53)+((Calculations!G23+I23)*Summary!$B$41*Summary!$B$54))</f>
        <v>624510.92292204651</v>
      </c>
      <c r="M23" s="88">
        <f ca="1">IF(ISERROR(((H23+J23)*Summary!$B$40*Summary!$B$53)+((H23+J23)*Summary!$B$41*Summary!$B$54)),"",((H23+J23)*Summary!$B$40*Summary!$B$53)+((H23+J23)*Summary!$B$41*Summary!$B$54))</f>
        <v>0</v>
      </c>
      <c r="N23" s="16">
        <f t="shared" ca="1" si="3"/>
        <v>624510.92292204651</v>
      </c>
      <c r="O23" s="16">
        <f ca="1">IF(ISERROR(Summary!$B$55+Summary!$B$56+((Calculations!C23/30)/Summary!$B$49*Summary!$B$56)),"",Summary!$B$55+Summary!$B$56+((Calculations!C23/30)/Summary!$B$49*Summary!$B$56))</f>
        <v>100590.70266666666</v>
      </c>
      <c r="P23" s="81">
        <f ca="1">IF(ISERROR(IF(K23&gt;0,(K23*Summary!$B$42)+((Calculations!C23+D23)/500*Summary!$B$60),Calculations!N23/Summary!$B$55*Summary!$B$50)),"",IF(G23&gt;0,(G23*Summary!$B$42)+(Calculations!C23/500*Summary!$B$60),Calculations!N23/Summary!$B$55*Summary!$B$50))</f>
        <v>67559.750537634405</v>
      </c>
      <c r="Q23" s="16">
        <f t="shared" ca="1" si="0"/>
        <v>792661.37612634758</v>
      </c>
    </row>
    <row r="24" spans="2:17" x14ac:dyDescent="0.25">
      <c r="B24" s="41" t="s">
        <v>10</v>
      </c>
      <c r="C24" s="56">
        <f ca="1">IF(ISERROR(INDIRECT(ADDRESS(MATCH(B24,Data!B:B,0),5,1,1,"Data"))*INDIRECT(ADDRESS(MATCH(B24,'Cost Factor'!B:B,0),21,1,1,"Cost Factor"))),"",INDIRECT(ADDRESS(MATCH(B24,Data!B:B,0),5,1,1,"Data"))*INDIRECT(ADDRESS(MATCH(B24,'Cost Factor'!B:B,0),21,1,1,"Cost Factor")))</f>
        <v>7806</v>
      </c>
      <c r="D24" s="56">
        <f ca="1">IF(ISERROR(INDIRECT(ADDRESS(MATCH(B24,Data!B:B,0),6,1,1,"Data"))*INDIRECT(ADDRESS(MATCH(B24,'Cost Factor'!B:B,0),21,1,1,"Cost Factor"))),"",INDIRECT(ADDRESS(MATCH(B24,Data!B:B,0),6,1,1,"Data"))*INDIRECT(ADDRESS(MATCH(B24,'Cost Factor'!B:B,0),21,1,1,"Cost Factor")))</f>
        <v>405</v>
      </c>
      <c r="E24" s="91">
        <f ca="1">IF(ISERROR(INDIRECT(ADDRESS(MATCH(B24,Data!B:B,0),8,1,1,"Data"))*INDIRECT(ADDRESS(MATCH(B24,'Cost Factor'!B:B,0),21,1,1,"Cost Factor"))),"",INDIRECT(ADDRESS(MATCH(B24,Data!B:B,0),8,1,1,"Data"))*INDIRECT(ADDRESS(MATCH(B24,'Cost Factor'!B:B,0),21,1,1,"Cost Factor")))</f>
        <v>0</v>
      </c>
      <c r="F24" s="91">
        <f ca="1">IF(ISERROR(INDIRECT(ADDRESS(MATCH(B24,Data!B:B,0),9,1,1,"Data"))*INDIRECT(ADDRESS(MATCH(B24,'Cost Factor'!B:B,0),21,1,1,"Cost Factor"))),"",INDIRECT(ADDRESS(MATCH(B24,Data!B:B,0),9,1,1,"Data"))*INDIRECT(ADDRESS(MATCH(B24,'Cost Factor'!B:B,0),21,1,1,"Cost Factor")))</f>
        <v>0</v>
      </c>
      <c r="G24" s="56">
        <f ca="1">IF(ISERROR(C24/(Summary!$B$43*Summary!$B$45)),"",C24/(Summary!$B$43*Summary!$B$45))</f>
        <v>10.491935483870968</v>
      </c>
      <c r="H24" s="56">
        <f ca="1">IF(ISERROR(D24/(Summary!$B$44*Summary!$B$46)),"",D24/(Summary!$B$44*Summary!$B$46))</f>
        <v>1.7307692307692308</v>
      </c>
      <c r="I24" s="75">
        <f ca="1">E24/(Summary!$B$47*Summary!$B$45*0.67)</f>
        <v>0</v>
      </c>
      <c r="J24" s="75">
        <f ca="1">F24/(Summary!$B$46*Summary!$B$48*0.67)</f>
        <v>0</v>
      </c>
      <c r="K24" s="91">
        <f t="shared" ca="1" si="2"/>
        <v>12.222704714640198</v>
      </c>
      <c r="L24" s="88">
        <f ca="1">IF(ISERROR(((G24+I24)*Summary!$B$40*Summary!$B$53)+((Calculations!G24+I24)*Summary!$B$41*Summary!$B$54)),"",((G24+I24)*Summary!$B$40*Summary!$B$53)+((Calculations!G24+I24)*Summary!$B$41*Summary!$B$54))</f>
        <v>602415.45967741939</v>
      </c>
      <c r="M24" s="88">
        <f ca="1">IF(ISERROR(((H24+J24)*Summary!$B$40*Summary!$B$53)+((H24+J24)*Summary!$B$41*Summary!$B$54)),"",((H24+J24)*Summary!$B$40*Summary!$B$53)+((H24+J24)*Summary!$B$41*Summary!$B$54))</f>
        <v>99375.576923076922</v>
      </c>
      <c r="N24" s="16">
        <f t="shared" ca="1" si="3"/>
        <v>701791.03660049627</v>
      </c>
      <c r="O24" s="16">
        <f ca="1">IF(ISERROR(Summary!$B$55+Summary!$B$56+((Calculations!C24/30)/Summary!$B$49*Summary!$B$56)),"",Summary!$B$55+Summary!$B$56+((Calculations!C24/30)/Summary!$B$49*Summary!$B$56))</f>
        <v>103634.681</v>
      </c>
      <c r="P24" s="81">
        <f ca="1">IF(ISERROR(IF(K24&gt;0,(K24*Summary!$B$42)+((Calculations!C24+D24)/500*Summary!$B$60),Calculations!N24/Summary!$B$55*Summary!$B$50)),"",IF(G24&gt;0,(G24*Summary!$B$42)+(Calculations!C24/500*Summary!$B$60),Calculations!N24/Summary!$B$55*Summary!$B$50))</f>
        <v>80687.180645161294</v>
      </c>
      <c r="Q24" s="16">
        <f t="shared" ca="1" si="0"/>
        <v>886112.89824565756</v>
      </c>
    </row>
    <row r="25" spans="2:17" x14ac:dyDescent="0.25">
      <c r="B25" s="41" t="s">
        <v>11</v>
      </c>
      <c r="C25" s="56">
        <f ca="1">IF(ISERROR(INDIRECT(ADDRESS(MATCH(B25,Data!B:B,0),5,1,1,"Data"))*INDIRECT(ADDRESS(MATCH(B25,'Cost Factor'!B:B,0),21,1,1,"Cost Factor"))),"",INDIRECT(ADDRESS(MATCH(B25,Data!B:B,0),5,1,1,"Data"))*INDIRECT(ADDRESS(MATCH(B25,'Cost Factor'!B:B,0),21,1,1,"Cost Factor")))</f>
        <v>276</v>
      </c>
      <c r="D25" s="56">
        <f ca="1">IF(ISERROR(INDIRECT(ADDRESS(MATCH(B25,Data!B:B,0),6,1,1,"Data"))*INDIRECT(ADDRESS(MATCH(B25,'Cost Factor'!B:B,0),21,1,1,"Cost Factor"))),"",INDIRECT(ADDRESS(MATCH(B25,Data!B:B,0),6,1,1,"Data"))*INDIRECT(ADDRESS(MATCH(B25,'Cost Factor'!B:B,0),21,1,1,"Cost Factor")))</f>
        <v>0</v>
      </c>
      <c r="E25" s="91">
        <f ca="1">IF(ISERROR(INDIRECT(ADDRESS(MATCH(B25,Data!B:B,0),8,1,1,"Data"))*INDIRECT(ADDRESS(MATCH(B25,'Cost Factor'!B:B,0),21,1,1,"Cost Factor"))),"",INDIRECT(ADDRESS(MATCH(B25,Data!B:B,0),8,1,1,"Data"))*INDIRECT(ADDRESS(MATCH(B25,'Cost Factor'!B:B,0),21,1,1,"Cost Factor")))</f>
        <v>0</v>
      </c>
      <c r="F25" s="91">
        <f ca="1">IF(ISERROR(INDIRECT(ADDRESS(MATCH(B25,Data!B:B,0),9,1,1,"Data"))*INDIRECT(ADDRESS(MATCH(B25,'Cost Factor'!B:B,0),21,1,1,"Cost Factor"))),"",INDIRECT(ADDRESS(MATCH(B25,Data!B:B,0),9,1,1,"Data"))*INDIRECT(ADDRESS(MATCH(B25,'Cost Factor'!B:B,0),21,1,1,"Cost Factor")))</f>
        <v>0</v>
      </c>
      <c r="G25" s="56">
        <f ca="1">IF(ISERROR(C25/(Summary!$B$43*Summary!$B$45)),"",C25/(Summary!$B$43*Summary!$B$45))</f>
        <v>0.37096774193548387</v>
      </c>
      <c r="H25" s="56">
        <f ca="1">IF(ISERROR(D25/(Summary!$B$44*Summary!$B$46)),"",D25/(Summary!$B$44*Summary!$B$46))</f>
        <v>0</v>
      </c>
      <c r="I25" s="75">
        <f ca="1">E25/(Summary!$B$47*Summary!$B$45*0.67)</f>
        <v>0</v>
      </c>
      <c r="J25" s="75">
        <f ca="1">F25/(Summary!$B$46*Summary!$B$48*0.67)</f>
        <v>0</v>
      </c>
      <c r="K25" s="91">
        <f t="shared" ca="1" si="2"/>
        <v>0.37096774193548387</v>
      </c>
      <c r="L25" s="88">
        <f ca="1">IF(ISERROR(((G25+I25)*Summary!$B$40*Summary!$B$53)+((Calculations!G25+I25)*Summary!$B$41*Summary!$B$54)),"",((G25+I25)*Summary!$B$40*Summary!$B$53)+((Calculations!G25+I25)*Summary!$B$41*Summary!$B$54))</f>
        <v>21299.854838709674</v>
      </c>
      <c r="M25" s="88">
        <f ca="1">IF(ISERROR(((H25+J25)*Summary!$B$40*Summary!$B$53)+((H25+J25)*Summary!$B$41*Summary!$B$54)),"",((H25+J25)*Summary!$B$40*Summary!$B$53)+((H25+J25)*Summary!$B$41*Summary!$B$54))</f>
        <v>0</v>
      </c>
      <c r="N25" s="16">
        <f t="shared" ca="1" si="3"/>
        <v>21299.854838709674</v>
      </c>
      <c r="O25" s="16">
        <f ca="1">IF(ISERROR(Summary!$B$55+Summary!$B$56+((Calculations!C25/30)/Summary!$B$49*Summary!$B$56)),"",Summary!$B$55+Summary!$B$56+((Calculations!C25/30)/Summary!$B$49*Summary!$B$56))</f>
        <v>85586.525999999998</v>
      </c>
      <c r="P25" s="81">
        <f ca="1">IF(ISERROR(IF(K25&gt;0,(K25*Summary!$B$42)+((Calculations!C25+D25)/500*Summary!$B$60),Calculations!N25/Summary!$B$55*Summary!$B$50)),"",IF(G25&gt;0,(G25*Summary!$B$42)+(Calculations!C25/500*Summary!$B$60),Calculations!N25/Summary!$B$55*Summary!$B$50))</f>
        <v>2852.8903225806453</v>
      </c>
      <c r="Q25" s="16">
        <f t="shared" ca="1" si="0"/>
        <v>109739.27116129032</v>
      </c>
    </row>
    <row r="26" spans="2:17" x14ac:dyDescent="0.25">
      <c r="B26" s="41" t="s">
        <v>12</v>
      </c>
      <c r="C26" s="56">
        <f ca="1">IF(ISERROR(INDIRECT(ADDRESS(MATCH(B26,Data!B:B,0),5,1,1,"Data"))*INDIRECT(ADDRESS(MATCH(B26,'Cost Factor'!B:B,0),21,1,1,"Cost Factor"))),"",INDIRECT(ADDRESS(MATCH(B26,Data!B:B,0),5,1,1,"Data"))*INDIRECT(ADDRESS(MATCH(B26,'Cost Factor'!B:B,0),21,1,1,"Cost Factor")))</f>
        <v>6195</v>
      </c>
      <c r="D26" s="56">
        <f ca="1">IF(ISERROR(INDIRECT(ADDRESS(MATCH(B26,Data!B:B,0),6,1,1,"Data"))*INDIRECT(ADDRESS(MATCH(B26,'Cost Factor'!B:B,0),21,1,1,"Cost Factor"))),"",INDIRECT(ADDRESS(MATCH(B26,Data!B:B,0),6,1,1,"Data"))*INDIRECT(ADDRESS(MATCH(B26,'Cost Factor'!B:B,0),21,1,1,"Cost Factor")))</f>
        <v>504</v>
      </c>
      <c r="E26" s="91">
        <f ca="1">IF(ISERROR(INDIRECT(ADDRESS(MATCH(B26,Data!B:B,0),8,1,1,"Data"))*INDIRECT(ADDRESS(MATCH(B26,'Cost Factor'!B:B,0),21,1,1,"Cost Factor"))),"",INDIRECT(ADDRESS(MATCH(B26,Data!B:B,0),8,1,1,"Data"))*INDIRECT(ADDRESS(MATCH(B26,'Cost Factor'!B:B,0),21,1,1,"Cost Factor")))</f>
        <v>0</v>
      </c>
      <c r="F26" s="91">
        <f ca="1">IF(ISERROR(INDIRECT(ADDRESS(MATCH(B26,Data!B:B,0),9,1,1,"Data"))*INDIRECT(ADDRESS(MATCH(B26,'Cost Factor'!B:B,0),21,1,1,"Cost Factor"))),"",INDIRECT(ADDRESS(MATCH(B26,Data!B:B,0),9,1,1,"Data"))*INDIRECT(ADDRESS(MATCH(B26,'Cost Factor'!B:B,0),21,1,1,"Cost Factor")))</f>
        <v>0</v>
      </c>
      <c r="G26" s="56">
        <f ca="1">IF(ISERROR(C26/(Summary!$B$43*Summary!$B$45)),"",C26/(Summary!$B$43*Summary!$B$45))</f>
        <v>8.3266129032258061</v>
      </c>
      <c r="H26" s="56">
        <f ca="1">IF(ISERROR(D26/(Summary!$B$44*Summary!$B$46)),"",D26/(Summary!$B$44*Summary!$B$46))</f>
        <v>2.1538461538461537</v>
      </c>
      <c r="I26" s="75">
        <f ca="1">E26/(Summary!$B$47*Summary!$B$45*0.67)</f>
        <v>0</v>
      </c>
      <c r="J26" s="75">
        <f ca="1">F26/(Summary!$B$46*Summary!$B$48*0.67)</f>
        <v>0</v>
      </c>
      <c r="K26" s="91">
        <f t="shared" ca="1" si="2"/>
        <v>10.480459057071959</v>
      </c>
      <c r="L26" s="88">
        <f ca="1">IF(ISERROR(((G26+I26)*Summary!$B$40*Summary!$B$53)+((Calculations!G26+I26)*Summary!$B$41*Summary!$B$54)),"",((G26+I26)*Summary!$B$40*Summary!$B$53)+((Calculations!G26+I26)*Summary!$B$41*Summary!$B$54))</f>
        <v>478089.13306451612</v>
      </c>
      <c r="M26" s="88">
        <f ca="1">IF(ISERROR(((H26+J26)*Summary!$B$40*Summary!$B$53)+((H26+J26)*Summary!$B$41*Summary!$B$54)),"",((H26+J26)*Summary!$B$40*Summary!$B$53)+((H26+J26)*Summary!$B$41*Summary!$B$54))</f>
        <v>123667.38461538461</v>
      </c>
      <c r="N26" s="16">
        <f t="shared" ca="1" si="3"/>
        <v>601756.51767990075</v>
      </c>
      <c r="O26" s="16">
        <f ca="1">IF(ISERROR(Summary!$B$55+Summary!$B$56+((Calculations!C26/30)/Summary!$B$49*Summary!$B$56)),"",Summary!$B$55+Summary!$B$56+((Calculations!C26/30)/Summary!$B$49*Summary!$B$56))</f>
        <v>99773.382500000007</v>
      </c>
      <c r="P26" s="81">
        <f ca="1">IF(ISERROR(IF(K26&gt;0,(K26*Summary!$B$42)+((Calculations!C26+D26)/500*Summary!$B$60),Calculations!N26/Summary!$B$55*Summary!$B$50)),"",IF(G26&gt;0,(G26*Summary!$B$42)+(Calculations!C26/500*Summary!$B$60),Calculations!N26/Summary!$B$55*Summary!$B$50))</f>
        <v>64034.983870967742</v>
      </c>
      <c r="Q26" s="16">
        <f t="shared" ca="1" si="0"/>
        <v>765564.88405086845</v>
      </c>
    </row>
    <row r="27" spans="2:17" x14ac:dyDescent="0.25">
      <c r="B27" s="41" t="s">
        <v>13</v>
      </c>
      <c r="C27" s="56">
        <f ca="1">IF(ISERROR(INDIRECT(ADDRESS(MATCH(B27,Data!B:B,0),5,1,1,"Data"))*INDIRECT(ADDRESS(MATCH(B27,'Cost Factor'!B:B,0),21,1,1,"Cost Factor"))),"",INDIRECT(ADDRESS(MATCH(B27,Data!B:B,0),5,1,1,"Data"))*INDIRECT(ADDRESS(MATCH(B27,'Cost Factor'!B:B,0),21,1,1,"Cost Factor")))</f>
        <v>3730</v>
      </c>
      <c r="D27" s="56">
        <f ca="1">IF(ISERROR(INDIRECT(ADDRESS(MATCH(B27,Data!B:B,0),6,1,1,"Data"))*INDIRECT(ADDRESS(MATCH(B27,'Cost Factor'!B:B,0),21,1,1,"Cost Factor"))),"",INDIRECT(ADDRESS(MATCH(B27,Data!B:B,0),6,1,1,"Data"))*INDIRECT(ADDRESS(MATCH(B27,'Cost Factor'!B:B,0),21,1,1,"Cost Factor")))</f>
        <v>408</v>
      </c>
      <c r="E27" s="91">
        <f ca="1">IF(ISERROR(INDIRECT(ADDRESS(MATCH(B27,Data!B:B,0),8,1,1,"Data"))*INDIRECT(ADDRESS(MATCH(B27,'Cost Factor'!B:B,0),21,1,1,"Cost Factor"))),"",INDIRECT(ADDRESS(MATCH(B27,Data!B:B,0),8,1,1,"Data"))*INDIRECT(ADDRESS(MATCH(B27,'Cost Factor'!B:B,0),21,1,1,"Cost Factor")))</f>
        <v>0</v>
      </c>
      <c r="F27" s="91">
        <f ca="1">IF(ISERROR(INDIRECT(ADDRESS(MATCH(B27,Data!B:B,0),9,1,1,"Data"))*INDIRECT(ADDRESS(MATCH(B27,'Cost Factor'!B:B,0),21,1,1,"Cost Factor"))),"",INDIRECT(ADDRESS(MATCH(B27,Data!B:B,0),9,1,1,"Data"))*INDIRECT(ADDRESS(MATCH(B27,'Cost Factor'!B:B,0),21,1,1,"Cost Factor")))</f>
        <v>0</v>
      </c>
      <c r="G27" s="56">
        <f ca="1">IF(ISERROR(C27/(Summary!$B$43*Summary!$B$45)),"",C27/(Summary!$B$43*Summary!$B$45))</f>
        <v>5.013440860215054</v>
      </c>
      <c r="H27" s="56">
        <f ca="1">IF(ISERROR(D27/(Summary!$B$44*Summary!$B$46)),"",D27/(Summary!$B$44*Summary!$B$46))</f>
        <v>1.7435897435897436</v>
      </c>
      <c r="I27" s="75">
        <f ca="1">E27/(Summary!$B$47*Summary!$B$45*0.67)</f>
        <v>0</v>
      </c>
      <c r="J27" s="75">
        <f ca="1">F27/(Summary!$B$46*Summary!$B$48*0.67)</f>
        <v>0</v>
      </c>
      <c r="K27" s="91">
        <f t="shared" ca="1" si="2"/>
        <v>6.7570306038047976</v>
      </c>
      <c r="L27" s="88">
        <f ca="1">IF(ISERROR(((G27+I27)*Summary!$B$40*Summary!$B$53)+((Calculations!G27+I27)*Summary!$B$41*Summary!$B$54)),"",((G27+I27)*Summary!$B$40*Summary!$B$53)+((Calculations!G27+I27)*Summary!$B$41*Summary!$B$54))</f>
        <v>287856.73387096782</v>
      </c>
      <c r="M27" s="88">
        <f ca="1">IF(ISERROR(((H27+J27)*Summary!$B$40*Summary!$B$53)+((H27+J27)*Summary!$B$41*Summary!$B$54)),"",((H27+J27)*Summary!$B$40*Summary!$B$53)+((H27+J27)*Summary!$B$41*Summary!$B$54))</f>
        <v>100111.69230769231</v>
      </c>
      <c r="N27" s="16">
        <f t="shared" ca="1" si="3"/>
        <v>387968.42617866013</v>
      </c>
      <c r="O27" s="16">
        <f ca="1">IF(ISERROR(Summary!$B$55+Summary!$B$56+((Calculations!C27/30)/Summary!$B$49*Summary!$B$56)),"",Summary!$B$55+Summary!$B$56+((Calculations!C27/30)/Summary!$B$49*Summary!$B$56))</f>
        <v>93865.188333333324</v>
      </c>
      <c r="P27" s="81">
        <f ca="1">IF(ISERROR(IF(K27&gt;0,(K27*Summary!$B$42)+((Calculations!C27+D27)/500*Summary!$B$60),Calculations!N27/Summary!$B$55*Summary!$B$50)),"",IF(G27&gt;0,(G27*Summary!$B$42)+(Calculations!C27/500*Summary!$B$60),Calculations!N27/Summary!$B$55*Summary!$B$50))</f>
        <v>38555.365591397851</v>
      </c>
      <c r="Q27" s="16">
        <f t="shared" ca="1" si="0"/>
        <v>520388.98010339134</v>
      </c>
    </row>
    <row r="28" spans="2:17" x14ac:dyDescent="0.25">
      <c r="B28" s="41" t="s">
        <v>14</v>
      </c>
      <c r="C28" s="56">
        <f ca="1">IF(ISERROR(INDIRECT(ADDRESS(MATCH(B28,Data!B:B,0),5,1,1,"Data"))*INDIRECT(ADDRESS(MATCH(B28,'Cost Factor'!B:B,0),21,1,1,"Cost Factor"))),"",INDIRECT(ADDRESS(MATCH(B28,Data!B:B,0),5,1,1,"Data"))*INDIRECT(ADDRESS(MATCH(B28,'Cost Factor'!B:B,0),21,1,1,"Cost Factor")))</f>
        <v>2997</v>
      </c>
      <c r="D28" s="56">
        <f ca="1">IF(ISERROR(INDIRECT(ADDRESS(MATCH(B28,Data!B:B,0),6,1,1,"Data"))*INDIRECT(ADDRESS(MATCH(B28,'Cost Factor'!B:B,0),21,1,1,"Cost Factor"))),"",INDIRECT(ADDRESS(MATCH(B28,Data!B:B,0),6,1,1,"Data"))*INDIRECT(ADDRESS(MATCH(B28,'Cost Factor'!B:B,0),21,1,1,"Cost Factor")))</f>
        <v>351</v>
      </c>
      <c r="E28" s="91">
        <f ca="1">IF(ISERROR(INDIRECT(ADDRESS(MATCH(B28,Data!B:B,0),8,1,1,"Data"))*INDIRECT(ADDRESS(MATCH(B28,'Cost Factor'!B:B,0),21,1,1,"Cost Factor"))),"",INDIRECT(ADDRESS(MATCH(B28,Data!B:B,0),8,1,1,"Data"))*INDIRECT(ADDRESS(MATCH(B28,'Cost Factor'!B:B,0),21,1,1,"Cost Factor")))</f>
        <v>0</v>
      </c>
      <c r="F28" s="91">
        <f ca="1">IF(ISERROR(INDIRECT(ADDRESS(MATCH(B28,Data!B:B,0),9,1,1,"Data"))*INDIRECT(ADDRESS(MATCH(B28,'Cost Factor'!B:B,0),21,1,1,"Cost Factor"))),"",INDIRECT(ADDRESS(MATCH(B28,Data!B:B,0),9,1,1,"Data"))*INDIRECT(ADDRESS(MATCH(B28,'Cost Factor'!B:B,0),21,1,1,"Cost Factor")))</f>
        <v>0</v>
      </c>
      <c r="G28" s="56">
        <f ca="1">IF(ISERROR(C28/(Summary!$B$43*Summary!$B$45)),"",C28/(Summary!$B$43*Summary!$B$45))</f>
        <v>4.028225806451613</v>
      </c>
      <c r="H28" s="56">
        <f ca="1">IF(ISERROR(D28/(Summary!$B$44*Summary!$B$46)),"",D28/(Summary!$B$44*Summary!$B$46))</f>
        <v>1.5</v>
      </c>
      <c r="I28" s="75">
        <f ca="1">E28/(Summary!$B$47*Summary!$B$45*0.67)</f>
        <v>0</v>
      </c>
      <c r="J28" s="75">
        <f ca="1">F28/(Summary!$B$46*Summary!$B$48*0.67)</f>
        <v>0</v>
      </c>
      <c r="K28" s="91">
        <f t="shared" ca="1" si="2"/>
        <v>5.528225806451613</v>
      </c>
      <c r="L28" s="88">
        <f ca="1">IF(ISERROR(((G28+I28)*Summary!$B$40*Summary!$B$53)+((Calculations!G28+I28)*Summary!$B$41*Summary!$B$54)),"",((G28+I28)*Summary!$B$40*Summary!$B$53)+((Calculations!G28+I28)*Summary!$B$41*Summary!$B$54))</f>
        <v>231288.64112903224</v>
      </c>
      <c r="M28" s="88">
        <f ca="1">IF(ISERROR(((H28+J28)*Summary!$B$40*Summary!$B$53)+((H28+J28)*Summary!$B$41*Summary!$B$54)),"",((H28+J28)*Summary!$B$40*Summary!$B$53)+((H28+J28)*Summary!$B$41*Summary!$B$54))</f>
        <v>86125.5</v>
      </c>
      <c r="N28" s="16">
        <f t="shared" ca="1" si="3"/>
        <v>317414.14112903224</v>
      </c>
      <c r="O28" s="16">
        <f ca="1">IF(ISERROR(Summary!$B$55+Summary!$B$56+((Calculations!C28/30)/Summary!$B$49*Summary!$B$56)),"",Summary!$B$55+Summary!$B$56+((Calculations!C28/30)/Summary!$B$49*Summary!$B$56))</f>
        <v>92108.309500000003</v>
      </c>
      <c r="P28" s="81">
        <f ca="1">IF(ISERROR(IF(K28&gt;0,(K28*Summary!$B$42)+((Calculations!C28+D28)/500*Summary!$B$60),Calculations!N28/Summary!$B$55*Summary!$B$50)),"",IF(G28&gt;0,(G28*Summary!$B$42)+(Calculations!C28/500*Summary!$B$60),Calculations!N28/Summary!$B$55*Summary!$B$50))</f>
        <v>30978.667741935486</v>
      </c>
      <c r="Q28" s="16">
        <f t="shared" ca="1" si="0"/>
        <v>440501.11837096768</v>
      </c>
    </row>
    <row r="29" spans="2:17" x14ac:dyDescent="0.25">
      <c r="B29" s="37" t="s">
        <v>15</v>
      </c>
      <c r="C29" s="56">
        <f ca="1">IF(ISERROR(INDIRECT(ADDRESS(MATCH(B29,Data!B:B,0),5,1,1,"Data"))*INDIRECT(ADDRESS(MATCH(B29,'Cost Factor'!B:B,0),21,1,1,"Cost Factor"))),"",INDIRECT(ADDRESS(MATCH(B29,Data!B:B,0),5,1,1,"Data"))*INDIRECT(ADDRESS(MATCH(B29,'Cost Factor'!B:B,0),21,1,1,"Cost Factor")))</f>
        <v>1158</v>
      </c>
      <c r="D29" s="56">
        <f ca="1">IF(ISERROR(INDIRECT(ADDRESS(MATCH(B29,Data!B:B,0),6,1,1,"Data"))*INDIRECT(ADDRESS(MATCH(B29,'Cost Factor'!B:B,0),21,1,1,"Cost Factor"))),"",INDIRECT(ADDRESS(MATCH(B29,Data!B:B,0),6,1,1,"Data"))*INDIRECT(ADDRESS(MATCH(B29,'Cost Factor'!B:B,0),21,1,1,"Cost Factor")))</f>
        <v>3618</v>
      </c>
      <c r="E29" s="91">
        <f ca="1">IF(ISERROR(INDIRECT(ADDRESS(MATCH(B29,Data!B:B,0),8,1,1,"Data"))*INDIRECT(ADDRESS(MATCH(B29,'Cost Factor'!B:B,0),21,1,1,"Cost Factor"))),"",INDIRECT(ADDRESS(MATCH(B29,Data!B:B,0),8,1,1,"Data"))*INDIRECT(ADDRESS(MATCH(B29,'Cost Factor'!B:B,0),21,1,1,"Cost Factor")))</f>
        <v>0</v>
      </c>
      <c r="F29" s="91">
        <f ca="1">IF(ISERROR(INDIRECT(ADDRESS(MATCH(B29,Data!B:B,0),9,1,1,"Data"))*INDIRECT(ADDRESS(MATCH(B29,'Cost Factor'!B:B,0),21,1,1,"Cost Factor"))),"",INDIRECT(ADDRESS(MATCH(B29,Data!B:B,0),9,1,1,"Data"))*INDIRECT(ADDRESS(MATCH(B29,'Cost Factor'!B:B,0),21,1,1,"Cost Factor")))</f>
        <v>0</v>
      </c>
      <c r="G29" s="56">
        <f ca="1">IF(ISERROR(C29/(Summary!$B$43*Summary!$B$45)),"",C29/(Summary!$B$43*Summary!$B$45))</f>
        <v>1.5564516129032258</v>
      </c>
      <c r="H29" s="56">
        <f ca="1">IF(ISERROR(D29/(Summary!$B$44*Summary!$B$46)),"",D29/(Summary!$B$44*Summary!$B$46))</f>
        <v>15.461538461538462</v>
      </c>
      <c r="I29" s="75">
        <f ca="1">E29/(Summary!$B$47*Summary!$B$45*0.67)</f>
        <v>0</v>
      </c>
      <c r="J29" s="75">
        <f ca="1">F29/(Summary!$B$46*Summary!$B$48*0.67)</f>
        <v>0</v>
      </c>
      <c r="K29" s="91">
        <f t="shared" ca="1" si="2"/>
        <v>17.017990074441688</v>
      </c>
      <c r="L29" s="88">
        <f ca="1">IF(ISERROR(((G29+I29)*Summary!$B$40*Summary!$B$53)+((Calculations!G29+I29)*Summary!$B$41*Summary!$B$54)),"",((G29+I29)*Summary!$B$40*Summary!$B$53)+((Calculations!G29+I29)*Summary!$B$41*Summary!$B$54))</f>
        <v>89366.782258064515</v>
      </c>
      <c r="M29" s="88">
        <f ca="1">IF(ISERROR(((H29+J29)*Summary!$B$40*Summary!$B$53)+((H29+J29)*Summary!$B$41*Summary!$B$54)),"",((H29+J29)*Summary!$B$40*Summary!$B$53)+((H29+J29)*Summary!$B$41*Summary!$B$54))</f>
        <v>887755.15384615376</v>
      </c>
      <c r="N29" s="16">
        <f t="shared" ca="1" si="3"/>
        <v>977121.93610421824</v>
      </c>
      <c r="O29" s="16">
        <f ca="1">IF(ISERROR(Summary!$B$55+Summary!$B$56+((Calculations!C29/30)/Summary!$B$49*Summary!$B$56)),"",Summary!$B$55+Summary!$B$56+((Calculations!C29/30)/Summary!$B$49*Summary!$B$56))</f>
        <v>87700.532999999996</v>
      </c>
      <c r="P29" s="81">
        <f ca="1">IF(ISERROR(IF(K29&gt;0,(K29*Summary!$B$42)+((Calculations!C29+D29)/500*Summary!$B$60),Calculations!N29/Summary!$B$55*Summary!$B$50)),"",IF(G29&gt;0,(G29*Summary!$B$42)+(Calculations!C29/500*Summary!$B$60),Calculations!N29/Summary!$B$55*Summary!$B$50))</f>
        <v>11969.735483870967</v>
      </c>
      <c r="Q29" s="16">
        <f t="shared" ca="1" si="0"/>
        <v>1076792.2045880894</v>
      </c>
    </row>
    <row r="30" spans="2:17" x14ac:dyDescent="0.25">
      <c r="B30" s="37" t="s">
        <v>16</v>
      </c>
      <c r="C30" s="56">
        <f ca="1">IF(ISERROR(INDIRECT(ADDRESS(MATCH(B30,Data!B:B,0),5,1,1,"Data"))*INDIRECT(ADDRESS(MATCH(B30,'Cost Factor'!B:B,0),21,1,1,"Cost Factor"))),"",INDIRECT(ADDRESS(MATCH(B30,Data!B:B,0),5,1,1,"Data"))*INDIRECT(ADDRESS(MATCH(B30,'Cost Factor'!B:B,0),21,1,1,"Cost Factor")))</f>
        <v>4248</v>
      </c>
      <c r="D30" s="56">
        <f ca="1">IF(ISERROR(INDIRECT(ADDRESS(MATCH(B30,Data!B:B,0),6,1,1,"Data"))*INDIRECT(ADDRESS(MATCH(B30,'Cost Factor'!B:B,0),21,1,1,"Cost Factor"))),"",INDIRECT(ADDRESS(MATCH(B30,Data!B:B,0),6,1,1,"Data"))*INDIRECT(ADDRESS(MATCH(B30,'Cost Factor'!B:B,0),21,1,1,"Cost Factor")))</f>
        <v>471</v>
      </c>
      <c r="E30" s="91">
        <f ca="1">IF(ISERROR(INDIRECT(ADDRESS(MATCH(B30,Data!B:B,0),8,1,1,"Data"))*INDIRECT(ADDRESS(MATCH(B30,'Cost Factor'!B:B,0),21,1,1,"Cost Factor"))),"",INDIRECT(ADDRESS(MATCH(B30,Data!B:B,0),8,1,1,"Data"))*INDIRECT(ADDRESS(MATCH(B30,'Cost Factor'!B:B,0),21,1,1,"Cost Factor")))</f>
        <v>0</v>
      </c>
      <c r="F30" s="91">
        <f ca="1">IF(ISERROR(INDIRECT(ADDRESS(MATCH(B30,Data!B:B,0),9,1,1,"Data"))*INDIRECT(ADDRESS(MATCH(B30,'Cost Factor'!B:B,0),21,1,1,"Cost Factor"))),"",INDIRECT(ADDRESS(MATCH(B30,Data!B:B,0),9,1,1,"Data"))*INDIRECT(ADDRESS(MATCH(B30,'Cost Factor'!B:B,0),21,1,1,"Cost Factor")))</f>
        <v>0</v>
      </c>
      <c r="G30" s="56">
        <f ca="1">IF(ISERROR(C30/(Summary!$B$43*Summary!$B$45)),"",C30/(Summary!$B$43*Summary!$B$45))</f>
        <v>5.709677419354839</v>
      </c>
      <c r="H30" s="56">
        <f ca="1">IF(ISERROR(D30/(Summary!$B$44*Summary!$B$46)),"",D30/(Summary!$B$44*Summary!$B$46))</f>
        <v>2.0128205128205128</v>
      </c>
      <c r="I30" s="75">
        <f ca="1">E30/(Summary!$B$47*Summary!$B$45*0.67)</f>
        <v>0</v>
      </c>
      <c r="J30" s="75">
        <f ca="1">F30/(Summary!$B$46*Summary!$B$48*0.67)</f>
        <v>0</v>
      </c>
      <c r="K30" s="91">
        <f t="shared" ca="1" si="2"/>
        <v>7.7224979321753517</v>
      </c>
      <c r="L30" s="88">
        <f ca="1">IF(ISERROR(((G30+I30)*Summary!$B$40*Summary!$B$53)+((Calculations!G30+I30)*Summary!$B$41*Summary!$B$54)),"",((G30+I30)*Summary!$B$40*Summary!$B$53)+((Calculations!G30+I30)*Summary!$B$41*Summary!$B$54))</f>
        <v>327832.54838709679</v>
      </c>
      <c r="M30" s="88">
        <f ca="1">IF(ISERROR(((H30+J30)*Summary!$B$40*Summary!$B$53)+((H30+J30)*Summary!$B$41*Summary!$B$54)),"",((H30+J30)*Summary!$B$40*Summary!$B$53)+((H30+J30)*Summary!$B$41*Summary!$B$54))</f>
        <v>115570.11538461538</v>
      </c>
      <c r="N30" s="16">
        <f t="shared" ca="1" si="3"/>
        <v>443402.66377171216</v>
      </c>
      <c r="O30" s="16">
        <f ca="1">IF(ISERROR(Summary!$B$55+Summary!$B$56+((Calculations!C30/30)/Summary!$B$49*Summary!$B$56)),"",Summary!$B$55+Summary!$B$56+((Calculations!C30/30)/Summary!$B$49*Summary!$B$56))</f>
        <v>95106.747999999992</v>
      </c>
      <c r="P30" s="81">
        <f ca="1">IF(ISERROR(IF(K30&gt;0,(K30*Summary!$B$42)+((Calculations!C30+D30)/500*Summary!$B$60),Calculations!N30/Summary!$B$55*Summary!$B$50)),"",IF(G30&gt;0,(G30*Summary!$B$42)+(Calculations!C30/500*Summary!$B$60),Calculations!N30/Summary!$B$55*Summary!$B$50))</f>
        <v>43909.703225806457</v>
      </c>
      <c r="Q30" s="16">
        <f t="shared" ca="1" si="0"/>
        <v>582419.1149975186</v>
      </c>
    </row>
    <row r="31" spans="2:17" x14ac:dyDescent="0.25">
      <c r="B31" s="37" t="s">
        <v>17</v>
      </c>
      <c r="C31" s="56">
        <f ca="1">IF(ISERROR(INDIRECT(ADDRESS(MATCH(B31,Data!B:B,0),5,1,1,"Data"))*INDIRECT(ADDRESS(MATCH(B31,'Cost Factor'!B:B,0),21,1,1,"Cost Factor"))),"",INDIRECT(ADDRESS(MATCH(B31,Data!B:B,0),5,1,1,"Data"))*INDIRECT(ADDRESS(MATCH(B31,'Cost Factor'!B:B,0),21,1,1,"Cost Factor")))</f>
        <v>8227</v>
      </c>
      <c r="D31" s="56">
        <f ca="1">IF(ISERROR(INDIRECT(ADDRESS(MATCH(B31,Data!B:B,0),6,1,1,"Data"))*INDIRECT(ADDRESS(MATCH(B31,'Cost Factor'!B:B,0),21,1,1,"Cost Factor"))),"",INDIRECT(ADDRESS(MATCH(B31,Data!B:B,0),6,1,1,"Data"))*INDIRECT(ADDRESS(MATCH(B31,'Cost Factor'!B:B,0),21,1,1,"Cost Factor")))</f>
        <v>2520</v>
      </c>
      <c r="E31" s="91">
        <f ca="1">IF(ISERROR(INDIRECT(ADDRESS(MATCH(B31,Data!B:B,0),8,1,1,"Data"))*INDIRECT(ADDRESS(MATCH(B31,'Cost Factor'!B:B,0),21,1,1,"Cost Factor"))),"",INDIRECT(ADDRESS(MATCH(B31,Data!B:B,0),8,1,1,"Data"))*INDIRECT(ADDRESS(MATCH(B31,'Cost Factor'!B:B,0),21,1,1,"Cost Factor")))</f>
        <v>306</v>
      </c>
      <c r="F31" s="91">
        <f ca="1">IF(ISERROR(INDIRECT(ADDRESS(MATCH(B31,Data!B:B,0),9,1,1,"Data"))*INDIRECT(ADDRESS(MATCH(B31,'Cost Factor'!B:B,0),21,1,1,"Cost Factor"))),"",INDIRECT(ADDRESS(MATCH(B31,Data!B:B,0),9,1,1,"Data"))*INDIRECT(ADDRESS(MATCH(B31,'Cost Factor'!B:B,0),21,1,1,"Cost Factor")))</f>
        <v>0</v>
      </c>
      <c r="G31" s="56">
        <f ca="1">IF(ISERROR(C31/(Summary!$B$43*Summary!$B$45)),"",C31/(Summary!$B$43*Summary!$B$45))</f>
        <v>11.057795698924732</v>
      </c>
      <c r="H31" s="56">
        <f ca="1">IF(ISERROR(D31/(Summary!$B$44*Summary!$B$46)),"",D31/(Summary!$B$44*Summary!$B$46))</f>
        <v>10.76923076923077</v>
      </c>
      <c r="I31" s="75">
        <f ca="1">E31/(Summary!$B$47*Summary!$B$45*0.67)</f>
        <v>0.86499321573948429</v>
      </c>
      <c r="J31" s="75">
        <f ca="1">F31/(Summary!$B$46*Summary!$B$48*0.67)</f>
        <v>0</v>
      </c>
      <c r="K31" s="91">
        <f t="shared" ca="1" si="2"/>
        <v>22.692019683894987</v>
      </c>
      <c r="L31" s="88">
        <f ca="1">IF(ISERROR(((G31+I31)*Summary!$B$40*Summary!$B$53)+((Calculations!G31+I31)*Summary!$B$41*Summary!$B$54)),"",((G31+I31)*Summary!$B$40*Summary!$B$53)+((Calculations!G31+I31)*Summary!$B$41*Summary!$B$54))</f>
        <v>684570.77111327532</v>
      </c>
      <c r="M31" s="88">
        <f ca="1">IF(ISERROR(((H31+J31)*Summary!$B$40*Summary!$B$53)+((H31+J31)*Summary!$B$41*Summary!$B$54)),"",((H31+J31)*Summary!$B$40*Summary!$B$53)+((H31+J31)*Summary!$B$41*Summary!$B$54))</f>
        <v>618336.92307692312</v>
      </c>
      <c r="N31" s="16">
        <f t="shared" ca="1" si="3"/>
        <v>1302907.6941901986</v>
      </c>
      <c r="O31" s="16">
        <f ca="1">IF(ISERROR(Summary!$B$55+Summary!$B$56+((Calculations!C31/30)/Summary!$B$49*Summary!$B$56)),"",Summary!$B$55+Summary!$B$56+((Calculations!C31/30)/Summary!$B$49*Summary!$B$56))</f>
        <v>104643.74783333333</v>
      </c>
      <c r="P31" s="81">
        <f ca="1">IF(ISERROR(IF(K31&gt;0,(K31*Summary!$B$42)+((Calculations!C31+D31)/500*Summary!$B$60),Calculations!N31/Summary!$B$55*Summary!$B$50)),"",IF(G31&gt;0,(G31*Summary!$B$42)+(Calculations!C31/500*Summary!$B$60),Calculations!N31/Summary!$B$55*Summary!$B$50))</f>
        <v>85038.87204301075</v>
      </c>
      <c r="Q31" s="16">
        <f t="shared" ca="1" si="0"/>
        <v>1492590.3140665428</v>
      </c>
    </row>
    <row r="32" spans="2:17" x14ac:dyDescent="0.25">
      <c r="B32" s="37" t="s">
        <v>18</v>
      </c>
      <c r="C32" s="56">
        <f ca="1">IF(ISERROR(INDIRECT(ADDRESS(MATCH(B32,Data!B:B,0),5,1,1,"Data"))*INDIRECT(ADDRESS(MATCH(B32,'Cost Factor'!B:B,0),21,1,1,"Cost Factor"))),"",INDIRECT(ADDRESS(MATCH(B32,Data!B:B,0),5,1,1,"Data"))*INDIRECT(ADDRESS(MATCH(B32,'Cost Factor'!B:B,0),21,1,1,"Cost Factor")))</f>
        <v>0</v>
      </c>
      <c r="D32" s="56">
        <f ca="1">IF(ISERROR(INDIRECT(ADDRESS(MATCH(B32,Data!B:B,0),6,1,1,"Data"))*INDIRECT(ADDRESS(MATCH(B32,'Cost Factor'!B:B,0),21,1,1,"Cost Factor"))),"",INDIRECT(ADDRESS(MATCH(B32,Data!B:B,0),6,1,1,"Data"))*INDIRECT(ADDRESS(MATCH(B32,'Cost Factor'!B:B,0),21,1,1,"Cost Factor")))</f>
        <v>0</v>
      </c>
      <c r="E32" s="91">
        <f ca="1">IF(ISERROR(INDIRECT(ADDRESS(MATCH(B32,Data!B:B,0),8,1,1,"Data"))*INDIRECT(ADDRESS(MATCH(B32,'Cost Factor'!B:B,0),21,1,1,"Cost Factor"))),"",INDIRECT(ADDRESS(MATCH(B32,Data!B:B,0),8,1,1,"Data"))*INDIRECT(ADDRESS(MATCH(B32,'Cost Factor'!B:B,0),21,1,1,"Cost Factor")))</f>
        <v>0</v>
      </c>
      <c r="F32" s="91">
        <f ca="1">IF(ISERROR(INDIRECT(ADDRESS(MATCH(B32,Data!B:B,0),9,1,1,"Data"))*INDIRECT(ADDRESS(MATCH(B32,'Cost Factor'!B:B,0),21,1,1,"Cost Factor"))),"",INDIRECT(ADDRESS(MATCH(B32,Data!B:B,0),9,1,1,"Data"))*INDIRECT(ADDRESS(MATCH(B32,'Cost Factor'!B:B,0),21,1,1,"Cost Factor")))</f>
        <v>0</v>
      </c>
      <c r="G32" s="56">
        <f ca="1">IF(ISERROR(C32/(Summary!$B$43*Summary!$B$45)),"",C32/(Summary!$B$43*Summary!$B$45))</f>
        <v>0</v>
      </c>
      <c r="H32" s="56">
        <f ca="1">IF(ISERROR(D32/(Summary!$B$44*Summary!$B$46)),"",D32/(Summary!$B$44*Summary!$B$46))</f>
        <v>0</v>
      </c>
      <c r="I32" s="75">
        <f ca="1">E32/(Summary!$B$47*Summary!$B$45*0.67)</f>
        <v>0</v>
      </c>
      <c r="J32" s="75">
        <f ca="1">F32/(Summary!$B$46*Summary!$B$48*0.67)</f>
        <v>0</v>
      </c>
      <c r="K32" s="91">
        <f t="shared" ca="1" si="2"/>
        <v>0</v>
      </c>
      <c r="L32" s="88">
        <f ca="1">IF(ISERROR(((G32+I32)*Summary!$B$40*Summary!$B$53)+((Calculations!G32+I32)*Summary!$B$41*Summary!$B$54)),"",((G32+I32)*Summary!$B$40*Summary!$B$53)+((Calculations!G32+I32)*Summary!$B$41*Summary!$B$54))</f>
        <v>0</v>
      </c>
      <c r="M32" s="88">
        <f ca="1">IF(ISERROR(((H32+J32)*Summary!$B$40*Summary!$B$53)+((H32+J32)*Summary!$B$41*Summary!$B$54)),"",((H32+J32)*Summary!$B$40*Summary!$B$53)+((H32+J32)*Summary!$B$41*Summary!$B$54))</f>
        <v>0</v>
      </c>
      <c r="N32" s="16">
        <f t="shared" ca="1" si="3"/>
        <v>0</v>
      </c>
      <c r="O32" s="16">
        <f ca="1">IF(ISERROR(Summary!$B$55+Summary!$B$56+((Calculations!C32/30)/Summary!$B$49*Summary!$B$56)),"",Summary!$B$55+Summary!$B$56+((Calculations!C32/30)/Summary!$B$49*Summary!$B$56))</f>
        <v>84925</v>
      </c>
      <c r="P32" s="81">
        <f ca="1">IF(ISERROR(IF(K32&gt;0,(K32*Summary!$B$42)+((Calculations!C32+D32)/500*Summary!$B$60),Calculations!N32/Summary!$B$55*Summary!$B$50)),"",IF(G32&gt;0,(G32*Summary!$B$42)+(Calculations!C32/500*Summary!$B$60),Calculations!N32/Summary!$B$55*Summary!$B$50))</f>
        <v>0</v>
      </c>
      <c r="Q32" s="16">
        <f t="shared" ca="1" si="0"/>
        <v>84925</v>
      </c>
    </row>
    <row r="33" spans="2:19" x14ac:dyDescent="0.25">
      <c r="B33" s="37" t="s">
        <v>19</v>
      </c>
      <c r="C33" s="56">
        <f ca="1">IF(ISERROR(INDIRECT(ADDRESS(MATCH(B33,Data!B:B,0),5,1,1,"Data"))*INDIRECT(ADDRESS(MATCH(B33,'Cost Factor'!B:B,0),21,1,1,"Cost Factor"))),"",INDIRECT(ADDRESS(MATCH(B33,Data!B:B,0),5,1,1,"Data"))*INDIRECT(ADDRESS(MATCH(B33,'Cost Factor'!B:B,0),21,1,1,"Cost Factor")))</f>
        <v>0</v>
      </c>
      <c r="D33" s="56">
        <f ca="1">IF(ISERROR(INDIRECT(ADDRESS(MATCH(B33,Data!B:B,0),6,1,1,"Data"))*INDIRECT(ADDRESS(MATCH(B33,'Cost Factor'!B:B,0),21,1,1,"Cost Factor"))),"",INDIRECT(ADDRESS(MATCH(B33,Data!B:B,0),6,1,1,"Data"))*INDIRECT(ADDRESS(MATCH(B33,'Cost Factor'!B:B,0),21,1,1,"Cost Factor")))</f>
        <v>0</v>
      </c>
      <c r="E33" s="91">
        <f ca="1">IF(ISERROR(INDIRECT(ADDRESS(MATCH(B33,Data!B:B,0),8,1,1,"Data"))*INDIRECT(ADDRESS(MATCH(B33,'Cost Factor'!B:B,0),21,1,1,"Cost Factor"))),"",INDIRECT(ADDRESS(MATCH(B33,Data!B:B,0),8,1,1,"Data"))*INDIRECT(ADDRESS(MATCH(B33,'Cost Factor'!B:B,0),21,1,1,"Cost Factor")))</f>
        <v>0</v>
      </c>
      <c r="F33" s="91">
        <f ca="1">IF(ISERROR(INDIRECT(ADDRESS(MATCH(B33,Data!B:B,0),9,1,1,"Data"))*INDIRECT(ADDRESS(MATCH(B33,'Cost Factor'!B:B,0),21,1,1,"Cost Factor"))),"",INDIRECT(ADDRESS(MATCH(B33,Data!B:B,0),9,1,1,"Data"))*INDIRECT(ADDRESS(MATCH(B33,'Cost Factor'!B:B,0),21,1,1,"Cost Factor")))</f>
        <v>0</v>
      </c>
      <c r="G33" s="56">
        <f ca="1">IF(ISERROR(C33/(Summary!$B$43*Summary!$B$45)),"",C33/(Summary!$B$43*Summary!$B$45))</f>
        <v>0</v>
      </c>
      <c r="H33" s="56">
        <f ca="1">IF(ISERROR(D33/(Summary!$B$44*Summary!$B$46)),"",D33/(Summary!$B$44*Summary!$B$46))</f>
        <v>0</v>
      </c>
      <c r="I33" s="75">
        <f ca="1">E33/(Summary!$B$47*Summary!$B$45*0.67)</f>
        <v>0</v>
      </c>
      <c r="J33" s="75">
        <f ca="1">F33/(Summary!$B$46*Summary!$B$48*0.67)</f>
        <v>0</v>
      </c>
      <c r="K33" s="91">
        <f t="shared" ca="1" si="2"/>
        <v>0</v>
      </c>
      <c r="L33" s="88">
        <f ca="1">IF(ISERROR(((G33+I33)*Summary!$B$40*Summary!$B$53)+((Calculations!G33+I33)*Summary!$B$41*Summary!$B$54)),"",((G33+I33)*Summary!$B$40*Summary!$B$53)+((Calculations!G33+I33)*Summary!$B$41*Summary!$B$54))</f>
        <v>0</v>
      </c>
      <c r="M33" s="88">
        <f ca="1">IF(ISERROR(((H33+J33)*Summary!$B$40*Summary!$B$53)+((H33+J33)*Summary!$B$41*Summary!$B$54)),"",((H33+J33)*Summary!$B$40*Summary!$B$53)+((H33+J33)*Summary!$B$41*Summary!$B$54))</f>
        <v>0</v>
      </c>
      <c r="N33" s="16">
        <f t="shared" ca="1" si="3"/>
        <v>0</v>
      </c>
      <c r="O33" s="16">
        <f ca="1">IF(ISERROR(Summary!$B$55+Summary!$B$56+((Calculations!C33/30)/Summary!$B$49*Summary!$B$56)),"",Summary!$B$55+Summary!$B$56+((Calculations!C33/30)/Summary!$B$49*Summary!$B$56))</f>
        <v>84925</v>
      </c>
      <c r="P33" s="81">
        <f ca="1">IF(ISERROR(IF(K33&gt;0,(K33*Summary!$B$42)+((Calculations!C33+D33)/500*Summary!$B$60),Calculations!N33/Summary!$B$55*Summary!$B$50)),"",IF(G33&gt;0,(G33*Summary!$B$42)+(Calculations!C33/500*Summary!$B$60),Calculations!N33/Summary!$B$55*Summary!$B$50))</f>
        <v>0</v>
      </c>
      <c r="Q33" s="16">
        <f t="shared" ca="1" si="0"/>
        <v>84925</v>
      </c>
    </row>
    <row r="34" spans="2:19" x14ac:dyDescent="0.25">
      <c r="B34" s="37" t="s">
        <v>20</v>
      </c>
      <c r="C34" s="56">
        <f ca="1">IF(ISERROR(INDIRECT(ADDRESS(MATCH(B34,Data!B:B,0),5,1,1,"Data"))*INDIRECT(ADDRESS(MATCH(B34,'Cost Factor'!B:B,0),21,1,1,"Cost Factor"))),"",INDIRECT(ADDRESS(MATCH(B34,Data!B:B,0),5,1,1,"Data"))*INDIRECT(ADDRESS(MATCH(B34,'Cost Factor'!B:B,0),21,1,1,"Cost Factor")))</f>
        <v>11853</v>
      </c>
      <c r="D34" s="56">
        <f ca="1">IF(ISERROR(INDIRECT(ADDRESS(MATCH(B34,Data!B:B,0),6,1,1,"Data"))*INDIRECT(ADDRESS(MATCH(B34,'Cost Factor'!B:B,0),21,1,1,"Cost Factor"))),"",INDIRECT(ADDRESS(MATCH(B34,Data!B:B,0),6,1,1,"Data"))*INDIRECT(ADDRESS(MATCH(B34,'Cost Factor'!B:B,0),21,1,1,"Cost Factor")))</f>
        <v>1245</v>
      </c>
      <c r="E34" s="91">
        <f ca="1">IF(ISERROR(INDIRECT(ADDRESS(MATCH(B34,Data!B:B,0),8,1,1,"Data"))*INDIRECT(ADDRESS(MATCH(B34,'Cost Factor'!B:B,0),21,1,1,"Cost Factor"))),"",INDIRECT(ADDRESS(MATCH(B34,Data!B:B,0),8,1,1,"Data"))*INDIRECT(ADDRESS(MATCH(B34,'Cost Factor'!B:B,0),21,1,1,"Cost Factor")))</f>
        <v>0</v>
      </c>
      <c r="F34" s="91">
        <f ca="1">IF(ISERROR(INDIRECT(ADDRESS(MATCH(B34,Data!B:B,0),9,1,1,"Data"))*INDIRECT(ADDRESS(MATCH(B34,'Cost Factor'!B:B,0),21,1,1,"Cost Factor"))),"",INDIRECT(ADDRESS(MATCH(B34,Data!B:B,0),9,1,1,"Data"))*INDIRECT(ADDRESS(MATCH(B34,'Cost Factor'!B:B,0),21,1,1,"Cost Factor")))</f>
        <v>0</v>
      </c>
      <c r="G34" s="56">
        <f ca="1">IF(ISERROR(C34/(Summary!$B$43*Summary!$B$45)),"",C34/(Summary!$B$43*Summary!$B$45))</f>
        <v>15.931451612903226</v>
      </c>
      <c r="H34" s="56">
        <f ca="1">IF(ISERROR(D34/(Summary!$B$44*Summary!$B$46)),"",D34/(Summary!$B$44*Summary!$B$46))</f>
        <v>5.3205128205128203</v>
      </c>
      <c r="I34" s="75">
        <f ca="1">E34/(Summary!$B$47*Summary!$B$45*0.67)</f>
        <v>0</v>
      </c>
      <c r="J34" s="75">
        <f ca="1">F34/(Summary!$B$46*Summary!$B$48*0.67)</f>
        <v>0</v>
      </c>
      <c r="K34" s="91">
        <f t="shared" ca="1" si="2"/>
        <v>21.251964433416045</v>
      </c>
      <c r="L34" s="88">
        <f ca="1">IF(ISERROR(((G34+I34)*Summary!$B$40*Summary!$B$53)+((Calculations!G34+I34)*Summary!$B$41*Summary!$B$54)),"",((G34+I34)*Summary!$B$40*Summary!$B$53)+((Calculations!G34+I34)*Summary!$B$41*Summary!$B$54))</f>
        <v>914736.15725806449</v>
      </c>
      <c r="M34" s="88">
        <f ca="1">IF(ISERROR(((H34+J34)*Summary!$B$40*Summary!$B$53)+((H34+J34)*Summary!$B$41*Summary!$B$54)),"",((H34+J34)*Summary!$B$40*Summary!$B$53)+((H34+J34)*Summary!$B$41*Summary!$B$54))</f>
        <v>305487.88461538462</v>
      </c>
      <c r="N34" s="16">
        <f t="shared" ca="1" si="3"/>
        <v>1220224.041873449</v>
      </c>
      <c r="O34" s="16">
        <f ca="1">IF(ISERROR(Summary!$B$55+Summary!$B$56+((Calculations!C34/30)/Summary!$B$49*Summary!$B$56)),"",Summary!$B$55+Summary!$B$56+((Calculations!C34/30)/Summary!$B$49*Summary!$B$56))</f>
        <v>113334.6655</v>
      </c>
      <c r="P34" s="81">
        <f ca="1">IF(ISERROR(IF(K34&gt;0,(K34*Summary!$B$42)+((Calculations!C34+D34)/500*Summary!$B$60),Calculations!N34/Summary!$B$55*Summary!$B$50)),"",IF(G34&gt;0,(G34*Summary!$B$42)+(Calculations!C34/500*Summary!$B$60),Calculations!N34/Summary!$B$55*Summary!$B$50))</f>
        <v>122519.23548387097</v>
      </c>
      <c r="Q34" s="16">
        <f t="shared" ca="1" si="0"/>
        <v>1456077.9428573202</v>
      </c>
    </row>
    <row r="35" spans="2:19" ht="15.75" thickBot="1" x14ac:dyDescent="0.3">
      <c r="B35" s="57" t="s">
        <v>21</v>
      </c>
      <c r="C35" s="97">
        <f ca="1">IF(ISERROR(INDIRECT(ADDRESS(MATCH(B35,Data!B:B,0),5,1,1,"Data"))*INDIRECT(ADDRESS(MATCH(B35,'Cost Factor'!B:B,0),21,1,1,"Cost Factor"))),"",INDIRECT(ADDRESS(MATCH(B35,Data!B:B,0),5,1,1,"Data"))*INDIRECT(ADDRESS(MATCH(B35,'Cost Factor'!B:B,0),21,1,1,"Cost Factor")))</f>
        <v>1944</v>
      </c>
      <c r="D35" s="97">
        <f ca="1">IF(ISERROR(INDIRECT(ADDRESS(MATCH(B35,Data!B:B,0),6,1,1,"Data"))*INDIRECT(ADDRESS(MATCH(B35,'Cost Factor'!B:B,0),21,1,1,"Cost Factor"))),"",INDIRECT(ADDRESS(MATCH(B35,Data!B:B,0),6,1,1,"Data"))*INDIRECT(ADDRESS(MATCH(B35,'Cost Factor'!B:B,0),21,1,1,"Cost Factor")))</f>
        <v>0</v>
      </c>
      <c r="E35" s="97">
        <f ca="1">IF(ISERROR(INDIRECT(ADDRESS(MATCH(B35,Data!B:B,0),8,1,1,"Data"))*INDIRECT(ADDRESS(MATCH(B35,'Cost Factor'!B:B,0),21,1,1,"Cost Factor"))),"",INDIRECT(ADDRESS(MATCH(B35,Data!B:B,0),8,1,1,"Data"))*INDIRECT(ADDRESS(MATCH(B35,'Cost Factor'!B:B,0),21,1,1,"Cost Factor")))</f>
        <v>0</v>
      </c>
      <c r="F35" s="97">
        <f ca="1">IF(ISERROR(INDIRECT(ADDRESS(MATCH(B35,Data!B:B,0),9,1,1,"Data"))*INDIRECT(ADDRESS(MATCH(B35,'Cost Factor'!B:B,0),21,1,1,"Cost Factor"))),"",INDIRECT(ADDRESS(MATCH(B35,Data!B:B,0),9,1,1,"Data"))*INDIRECT(ADDRESS(MATCH(B35,'Cost Factor'!B:B,0),21,1,1,"Cost Factor")))</f>
        <v>0</v>
      </c>
      <c r="G35" s="97">
        <f ca="1">IF(ISERROR(C35/(Summary!$B$43*Summary!$B$45)),"",C35/(Summary!$B$43*Summary!$B$45))</f>
        <v>2.6129032258064515</v>
      </c>
      <c r="H35" s="97">
        <f ca="1">IF(ISERROR(D35/(Summary!$B$44*Summary!$B$46)),"",D35/(Summary!$B$44*Summary!$B$46))</f>
        <v>0</v>
      </c>
      <c r="I35" s="98">
        <f ca="1">E35/(Summary!$B$47*Summary!$B$45*0.67)</f>
        <v>0</v>
      </c>
      <c r="J35" s="98">
        <f ca="1">F35/(Summary!$B$46*Summary!$B$48*0.67)</f>
        <v>0</v>
      </c>
      <c r="K35" s="97">
        <f t="shared" ca="1" si="2"/>
        <v>2.6129032258064515</v>
      </c>
      <c r="L35" s="92">
        <f ca="1">IF(ISERROR(((G35+I35)*Summary!$B$40*Summary!$B$53)+((Calculations!G35+I35)*Summary!$B$41*Summary!$B$54)),"",((G35+I35)*Summary!$B$40*Summary!$B$53)+((Calculations!G35+I35)*Summary!$B$41*Summary!$B$54))</f>
        <v>150025.06451612903</v>
      </c>
      <c r="M35" s="92">
        <f ca="1">IF(ISERROR(((H35+J35)*Summary!$B$40*Summary!$B$53)+((H35+J35)*Summary!$B$41*Summary!$B$54)),"",((H35+J35)*Summary!$B$40*Summary!$B$53)+((H35+J35)*Summary!$B$41*Summary!$B$54))</f>
        <v>0</v>
      </c>
      <c r="N35" s="64">
        <f t="shared" ca="1" si="3"/>
        <v>150025.06451612903</v>
      </c>
      <c r="O35" s="64">
        <f ca="1">IF(ISERROR(Summary!$B$55+Summary!$B$56+((Calculations!C35/30)/Summary!$B$49*Summary!$B$56)),"",Summary!$B$55+Summary!$B$56+((Calculations!C35/30)/Summary!$B$49*Summary!$B$56))</f>
        <v>89584.444000000003</v>
      </c>
      <c r="P35" s="92">
        <f ca="1">IF(ISERROR(IF(K35&gt;0,(K35*Summary!$B$42)+((Calculations!C35+D35)/500*Summary!$B$60),Calculations!N35/Summary!$B$55*Summary!$B$50)),"",IF(G35&gt;0,(G35*Summary!$B$42)+(Calculations!C35/500*Summary!$B$60),Calculations!N35/Summary!$B$55*Summary!$B$50))</f>
        <v>20094.270967741937</v>
      </c>
      <c r="Q35" s="64">
        <f t="shared" ca="1" si="0"/>
        <v>259703.77948387098</v>
      </c>
      <c r="R35" s="93"/>
      <c r="S35" s="93"/>
    </row>
    <row r="36" spans="2:19" x14ac:dyDescent="0.25">
      <c r="B36" s="52" t="s">
        <v>47</v>
      </c>
    </row>
    <row r="38" spans="2:19" x14ac:dyDescent="0.25">
      <c r="C38" s="74"/>
      <c r="D38" s="74"/>
      <c r="E38" s="74"/>
      <c r="F38" s="74"/>
      <c r="G38" s="74"/>
    </row>
    <row r="39" spans="2:19" x14ac:dyDescent="0.25">
      <c r="C39" s="74"/>
      <c r="D39" s="74"/>
      <c r="E39" s="74"/>
      <c r="F39" s="74"/>
      <c r="G39" s="74"/>
    </row>
  </sheetData>
  <pageMargins left="0.7" right="0.7" top="0.75" bottom="0.75" header="0.3" footer="0.3"/>
  <pageSetup scale="6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U33"/>
  <sheetViews>
    <sheetView topLeftCell="A22" workbookViewId="0">
      <pane xSplit="2" topLeftCell="C1" activePane="topRight" state="frozenSplit"/>
      <selection pane="topRight" activeCell="F4" sqref="F4"/>
    </sheetView>
  </sheetViews>
  <sheetFormatPr defaultRowHeight="15" x14ac:dyDescent="0.25"/>
  <cols>
    <col min="2" max="2" width="40.28515625" customWidth="1"/>
    <col min="3" max="3" width="19.42578125" customWidth="1"/>
    <col min="4" max="4" width="16" customWidth="1"/>
    <col min="5" max="5" width="9" customWidth="1"/>
    <col min="6" max="6" width="14.42578125" customWidth="1"/>
    <col min="7" max="7" width="14" customWidth="1"/>
    <col min="8" max="8" width="14.28515625" customWidth="1"/>
    <col min="9" max="9" width="14.85546875" customWidth="1"/>
    <col min="10" max="11" width="12.5703125" customWidth="1"/>
    <col min="12" max="12" width="11.85546875" customWidth="1"/>
    <col min="13" max="13" width="12" customWidth="1"/>
    <col min="14" max="14" width="11.85546875" customWidth="1"/>
    <col min="15" max="16" width="13.28515625" customWidth="1"/>
    <col min="17" max="17" width="12.7109375" customWidth="1"/>
    <col min="18" max="18" width="13.42578125" customWidth="1"/>
    <col min="19" max="19" width="12.85546875" customWidth="1"/>
  </cols>
  <sheetData>
    <row r="1" spans="2:21" x14ac:dyDescent="0.25">
      <c r="C1" s="25" t="s">
        <v>37</v>
      </c>
    </row>
    <row r="2" spans="2:21" x14ac:dyDescent="0.25">
      <c r="B2" s="22" t="s">
        <v>32</v>
      </c>
      <c r="C2" s="67">
        <f>[1]Sheet4!$M$54</f>
        <v>46865588.559999995</v>
      </c>
    </row>
    <row r="3" spans="2:21" x14ac:dyDescent="0.25">
      <c r="B3" s="22" t="s">
        <v>33</v>
      </c>
      <c r="C3" s="68"/>
    </row>
    <row r="4" spans="2:21" x14ac:dyDescent="0.25">
      <c r="B4" s="22" t="s">
        <v>34</v>
      </c>
      <c r="C4" s="68">
        <v>4206660</v>
      </c>
    </row>
    <row r="5" spans="2:21" x14ac:dyDescent="0.25">
      <c r="B5" s="22" t="s">
        <v>35</v>
      </c>
      <c r="C5" s="24">
        <f ca="1">C33</f>
        <v>20319210.109999999</v>
      </c>
    </row>
    <row r="6" spans="2:21" x14ac:dyDescent="0.25">
      <c r="B6" s="22" t="s">
        <v>36</v>
      </c>
      <c r="C6" s="23">
        <f ca="1">(C2-C4-C5)/C5</f>
        <v>1.0994383309716165</v>
      </c>
    </row>
    <row r="7" spans="2:21" x14ac:dyDescent="0.25">
      <c r="I7" t="s">
        <v>39</v>
      </c>
    </row>
    <row r="9" spans="2:21" ht="39" x14ac:dyDescent="0.25">
      <c r="C9" s="9" t="s">
        <v>22</v>
      </c>
      <c r="D9" s="10" t="s">
        <v>23</v>
      </c>
      <c r="E9" s="11" t="s">
        <v>142</v>
      </c>
      <c r="F9" s="8" t="s">
        <v>24</v>
      </c>
      <c r="G9" s="7" t="s">
        <v>25</v>
      </c>
      <c r="H9" s="7" t="s">
        <v>26</v>
      </c>
      <c r="I9" s="7" t="s">
        <v>27</v>
      </c>
      <c r="J9" s="61" t="s">
        <v>76</v>
      </c>
      <c r="K9" s="65" t="s">
        <v>79</v>
      </c>
      <c r="L9" s="61" t="s">
        <v>77</v>
      </c>
      <c r="M9" s="61" t="s">
        <v>78</v>
      </c>
      <c r="N9" s="61" t="s">
        <v>80</v>
      </c>
      <c r="O9" s="61" t="s">
        <v>81</v>
      </c>
      <c r="P9" s="61" t="s">
        <v>82</v>
      </c>
      <c r="Q9" s="63" t="s">
        <v>83</v>
      </c>
      <c r="R9" s="63" t="s">
        <v>84</v>
      </c>
      <c r="S9" s="63" t="s">
        <v>85</v>
      </c>
      <c r="T9" s="63" t="s">
        <v>86</v>
      </c>
      <c r="U9" s="63" t="s">
        <v>87</v>
      </c>
    </row>
    <row r="10" spans="2:21" x14ac:dyDescent="0.25">
      <c r="B10" s="1" t="s">
        <v>0</v>
      </c>
      <c r="C10" s="19">
        <f ca="1">INDIRECT(ADDRESS(MATCH(B10,Summary!A:A,0),7,1,1,"Summary"))</f>
        <v>609114.74</v>
      </c>
      <c r="D10" s="19">
        <v>404624.43</v>
      </c>
      <c r="E10">
        <f ca="1">INDIRECT(ADDRESS(MATCH(B10,Data!B:B,0),7,1,1,"Data"))</f>
        <v>5882</v>
      </c>
      <c r="F10" s="21">
        <f ca="1">IF(ISERROR(D10/E10),"",D10/E10)</f>
        <v>68.790280516831004</v>
      </c>
      <c r="G10" s="21">
        <f ca="1">IF(ISERROR((C10)/E10),"",(C10)/E10)</f>
        <v>103.55571914314859</v>
      </c>
      <c r="H10" s="21">
        <f ca="1">IF(ISERROR(G10*(1+$C$6)),"",G10*(1+$C$6))</f>
        <v>217.40884616045736</v>
      </c>
      <c r="I10" s="4">
        <f ca="1">IF(ISERROR((G10/F10)-1),"",(G10/F10)-1)</f>
        <v>0.50538300418489324</v>
      </c>
      <c r="J10" s="56">
        <f ca="1">INDIRECT(ADDRESS(MATCH(B10,Calculations!B:B,0),11,1,1,"Calculations"))</f>
        <v>8.9672953564383509</v>
      </c>
      <c r="K10" s="66">
        <v>3.2189999999999999</v>
      </c>
      <c r="L10" s="56">
        <f>IF(ISERROR(K10*Summary!$B$45),"",K10*Summary!$B$45)</f>
        <v>77.256</v>
      </c>
      <c r="M10" s="16">
        <f t="shared" ref="M10:M22" si="0">IF(ISERROR(D10/L10),"",D10/L10)</f>
        <v>5237.4499068033547</v>
      </c>
      <c r="N10" s="21">
        <f t="shared" ref="N10:N22" ca="1" si="1">IF(ISERROR((C10+D10)/L10),"",(C10+D10)/L10)</f>
        <v>13121.817981774877</v>
      </c>
      <c r="O10" s="21">
        <f ca="1">IF(ISERROR(N10*(1+$C$6)),"",N10*(1+$C$6))</f>
        <v>27548.447642970794</v>
      </c>
      <c r="P10" s="21">
        <f>((2425.05+135)/15)+64.99</f>
        <v>235.66000000000003</v>
      </c>
      <c r="Q10" s="56">
        <f>IF(ISERROR(M10/P10),"",M10/P10)</f>
        <v>22.224602846487965</v>
      </c>
      <c r="R10" s="56">
        <f ca="1">IF(ISERROR(N10/P10),"",N10/P10)</f>
        <v>55.681142246350149</v>
      </c>
      <c r="S10" s="56">
        <f ca="1">IF(ISERROR(O10/P10),"",O10/P10)</f>
        <v>116.89912434427052</v>
      </c>
      <c r="U10">
        <f ca="1">IF(T10&gt;0,Summary!$B$43/T10,IF(S10&lt;Summary!$B$43,'Cost Factor'!S10/Summary!$B$43,1))</f>
        <v>1</v>
      </c>
    </row>
    <row r="11" spans="2:21" x14ac:dyDescent="0.25">
      <c r="B11" s="1" t="s">
        <v>1</v>
      </c>
      <c r="C11" s="19">
        <f ca="1">INDIRECT(ADDRESS(MATCH(B11,Summary!A:A,0),7,1,1,"Summary"))</f>
        <v>1224074.26</v>
      </c>
      <c r="D11" s="19">
        <v>1124676.93</v>
      </c>
      <c r="E11" s="84">
        <f ca="1">INDIRECT(ADDRESS(MATCH(B11,Data!B:B,0),7,1,1,"Data"))</f>
        <v>5672</v>
      </c>
      <c r="F11" s="21">
        <f t="shared" ref="F11:F31" ca="1" si="2">IF(ISERROR(D11/E11),"",D11/E11)</f>
        <v>198.28577750352608</v>
      </c>
      <c r="G11" s="21">
        <f t="shared" ref="G11:G31" ca="1" si="3">IF(ISERROR((C11)/E11),"",(C11)/E11)</f>
        <v>215.80998942172073</v>
      </c>
      <c r="H11" s="21">
        <f t="shared" ref="H11:H31" ca="1" si="4">IF(ISERROR(G11*(1+$C$6)),"",G11*(1+$C$6))</f>
        <v>453.07976399853959</v>
      </c>
      <c r="I11" s="4">
        <f t="shared" ref="I11:I31" ca="1" si="5">IF(ISERROR((G11/F11)-1),"",(G11/F11)-1)</f>
        <v>8.8378562188521137E-2</v>
      </c>
      <c r="J11" s="91">
        <f ca="1">INDIRECT(ADDRESS(MATCH(B11,Calculations!B:B,0),11,1,1,"Calculations"))</f>
        <v>12.757079704118702</v>
      </c>
      <c r="K11" s="66">
        <v>18</v>
      </c>
      <c r="L11" s="56">
        <f>IF(ISERROR(K11*Summary!$B$45),"",K11*Summary!$B$45)</f>
        <v>432</v>
      </c>
      <c r="M11" s="16">
        <f t="shared" si="0"/>
        <v>2603.4188194444441</v>
      </c>
      <c r="N11" s="21">
        <f t="shared" ca="1" si="1"/>
        <v>5436.9240509259262</v>
      </c>
      <c r="O11" s="21">
        <f t="shared" ref="O11:O31" ca="1" si="6">IF(ISERROR(N11*(1+$C$6)),"",N11*(1+$C$6))</f>
        <v>11414.486755095366</v>
      </c>
      <c r="P11" s="21">
        <f t="shared" ref="P11:P31" si="7">((2425.05+135)/15)+64.99</f>
        <v>235.66000000000003</v>
      </c>
      <c r="Q11" s="56">
        <f t="shared" ref="Q11:Q31" si="8">IF(ISERROR(M11/P11),"",M11/P11)</f>
        <v>11.047351351287634</v>
      </c>
      <c r="R11" s="56">
        <f t="shared" ref="R11:R31" ca="1" si="9">IF(ISERROR(N11/P11),"",N11/P11)</f>
        <v>23.071051730993489</v>
      </c>
      <c r="S11" s="56">
        <f t="shared" ref="S11:S31" ca="1" si="10">IF(ISERROR(O11/P11),"",O11/P11)</f>
        <v>48.436250339876793</v>
      </c>
      <c r="U11">
        <f ca="1">IF(T11&gt;0,Summary!$B$43/T11,IF(S11&lt;Summary!$B$43,'Cost Factor'!S11/Summary!$B$43,1))</f>
        <v>1</v>
      </c>
    </row>
    <row r="12" spans="2:21" x14ac:dyDescent="0.25">
      <c r="B12" s="1" t="s">
        <v>2</v>
      </c>
      <c r="C12" s="19">
        <f ca="1">INDIRECT(ADDRESS(MATCH(B12,Summary!A:A,0),7,1,1,"Summary"))</f>
        <v>1166095.81</v>
      </c>
      <c r="D12" s="19">
        <v>996802.07</v>
      </c>
      <c r="E12" s="84">
        <f ca="1">INDIRECT(ADDRESS(MATCH(B12,Data!B:B,0),7,1,1,"Data"))</f>
        <v>11227</v>
      </c>
      <c r="F12" s="21">
        <f t="shared" ca="1" si="2"/>
        <v>88.78614678899082</v>
      </c>
      <c r="G12" s="21">
        <f t="shared" ca="1" si="3"/>
        <v>103.865307740269</v>
      </c>
      <c r="H12" s="21">
        <f t="shared" ca="1" si="4"/>
        <v>218.05880832808367</v>
      </c>
      <c r="I12" s="4">
        <f t="shared" ca="1" si="5"/>
        <v>0.16983686641019924</v>
      </c>
      <c r="J12" s="91">
        <f ca="1">INDIRECT(ADDRESS(MATCH(B12,Calculations!B:B,0),11,1,1,"Calculations"))</f>
        <v>15.933371061079294</v>
      </c>
      <c r="K12" s="66">
        <v>15.125</v>
      </c>
      <c r="L12" s="56">
        <f>IF(ISERROR(K12*Summary!$B$45),"",K12*Summary!$B$45)</f>
        <v>363</v>
      </c>
      <c r="M12" s="16">
        <f t="shared" si="0"/>
        <v>2746.0112121212119</v>
      </c>
      <c r="N12" s="21">
        <f t="shared" ca="1" si="1"/>
        <v>5958.3963636363633</v>
      </c>
      <c r="O12" s="21">
        <f t="shared" ca="1" si="6"/>
        <v>12509.285716940076</v>
      </c>
      <c r="P12" s="21">
        <f t="shared" si="7"/>
        <v>235.66000000000003</v>
      </c>
      <c r="Q12" s="56">
        <f t="shared" si="8"/>
        <v>11.652428125779561</v>
      </c>
      <c r="R12" s="56">
        <f t="shared" ca="1" si="9"/>
        <v>25.283868130511596</v>
      </c>
      <c r="S12" s="56">
        <f t="shared" ca="1" si="10"/>
        <v>53.081921908427709</v>
      </c>
      <c r="U12">
        <f ca="1">IF(T12&gt;0,Summary!$B$43/T12,IF(S12&lt;Summary!$B$43,'Cost Factor'!S12/Summary!$B$43,1))</f>
        <v>1</v>
      </c>
    </row>
    <row r="13" spans="2:21" x14ac:dyDescent="0.25">
      <c r="B13" s="1" t="s">
        <v>3</v>
      </c>
      <c r="C13" s="19">
        <f ca="1">INDIRECT(ADDRESS(MATCH(B13,Summary!A:A,0),7,1,1,"Summary"))</f>
        <v>593342.57999999996</v>
      </c>
      <c r="D13" s="19">
        <v>514254.34</v>
      </c>
      <c r="E13" s="84">
        <f ca="1">INDIRECT(ADDRESS(MATCH(B13,Data!B:B,0),7,1,1,"Data"))</f>
        <v>5122</v>
      </c>
      <c r="F13" s="21">
        <f t="shared" ca="1" si="2"/>
        <v>100.40108160874659</v>
      </c>
      <c r="G13" s="21">
        <f t="shared" ca="1" si="3"/>
        <v>115.84197188598203</v>
      </c>
      <c r="H13" s="21">
        <f t="shared" ca="1" si="4"/>
        <v>243.20307611276704</v>
      </c>
      <c r="I13" s="4">
        <f t="shared" ca="1" si="5"/>
        <v>0.15379207105962367</v>
      </c>
      <c r="J13" s="91">
        <f ca="1">INDIRECT(ADDRESS(MATCH(B13,Calculations!B:B,0),11,1,1,"Calculations"))</f>
        <v>7.9846400189443036</v>
      </c>
      <c r="K13" s="66">
        <v>8.875</v>
      </c>
      <c r="L13" s="56">
        <f>IF(ISERROR(K13*Summary!$B$45),"",K13*Summary!$B$45)</f>
        <v>213</v>
      </c>
      <c r="M13" s="16">
        <f t="shared" si="0"/>
        <v>2414.3396244131459</v>
      </c>
      <c r="N13" s="21">
        <f t="shared" ca="1" si="1"/>
        <v>5199.9855399061025</v>
      </c>
      <c r="O13" s="21">
        <f t="shared" ca="1" si="6"/>
        <v>10917.048962977007</v>
      </c>
      <c r="P13" s="21">
        <f t="shared" si="7"/>
        <v>235.66000000000003</v>
      </c>
      <c r="Q13" s="56">
        <f t="shared" si="8"/>
        <v>10.245012409459161</v>
      </c>
      <c r="R13" s="56">
        <f t="shared" ca="1" si="9"/>
        <v>22.065626495400586</v>
      </c>
      <c r="S13" s="56">
        <f t="shared" ca="1" si="10"/>
        <v>46.325422061346885</v>
      </c>
      <c r="U13">
        <f ca="1">IF(T13&gt;0,Summary!$B$43/T13,IF(S13&lt;Summary!$B$43,'Cost Factor'!S13/Summary!$B$43,1))</f>
        <v>1</v>
      </c>
    </row>
    <row r="14" spans="2:21" x14ac:dyDescent="0.25">
      <c r="B14" s="1" t="s">
        <v>4</v>
      </c>
      <c r="C14" s="19">
        <f ca="1">INDIRECT(ADDRESS(MATCH(B14,Summary!A:A,0),7,1,1,"Summary"))</f>
        <v>1270127.6099999999</v>
      </c>
      <c r="D14" s="19">
        <v>981628.61</v>
      </c>
      <c r="E14" s="84">
        <f ca="1">INDIRECT(ADDRESS(MATCH(B14,Data!B:B,0),7,1,1,"Data"))</f>
        <v>9897</v>
      </c>
      <c r="F14" s="21">
        <f t="shared" ca="1" si="2"/>
        <v>99.184460947761949</v>
      </c>
      <c r="G14" s="21">
        <f t="shared" ca="1" si="3"/>
        <v>128.33460745680509</v>
      </c>
      <c r="H14" s="21">
        <f t="shared" ca="1" si="4"/>
        <v>269.43059408501244</v>
      </c>
      <c r="I14" s="4">
        <f t="shared" ca="1" si="5"/>
        <v>0.29389832066936195</v>
      </c>
      <c r="J14" s="91">
        <f ca="1">INDIRECT(ADDRESS(MATCH(B14,Calculations!B:B,0),11,1,1,"Calculations"))</f>
        <v>14.181244830438379</v>
      </c>
      <c r="K14" s="66">
        <v>13.11</v>
      </c>
      <c r="L14" s="56">
        <f>IF(ISERROR(K14*Summary!$B$45),"",K14*Summary!$B$45)</f>
        <v>314.64</v>
      </c>
      <c r="M14" s="16">
        <f t="shared" si="0"/>
        <v>3119.8468408339691</v>
      </c>
      <c r="N14" s="21">
        <f t="shared" ca="1" si="1"/>
        <v>7156.6114289346551</v>
      </c>
      <c r="O14" s="21">
        <f t="shared" ca="1" si="6"/>
        <v>15024.864353774967</v>
      </c>
      <c r="P14" s="21">
        <f t="shared" si="7"/>
        <v>235.66000000000003</v>
      </c>
      <c r="Q14" s="56">
        <f t="shared" si="8"/>
        <v>13.238762797394418</v>
      </c>
      <c r="R14" s="56">
        <f t="shared" ca="1" si="9"/>
        <v>30.368375748683079</v>
      </c>
      <c r="S14" s="56">
        <f t="shared" ca="1" si="10"/>
        <v>63.756532096134116</v>
      </c>
      <c r="U14">
        <f ca="1">IF(T14&gt;0,Summary!$B$43/T14,IF(S14&lt;Summary!$B$43,'Cost Factor'!S14/Summary!$B$43,1))</f>
        <v>1</v>
      </c>
    </row>
    <row r="15" spans="2:21" x14ac:dyDescent="0.25">
      <c r="B15" s="1" t="s">
        <v>5</v>
      </c>
      <c r="C15" s="19">
        <f ca="1">INDIRECT(ADDRESS(MATCH(B15,Summary!A:A,0),7,1,1,"Summary"))</f>
        <v>1561307.4100000001</v>
      </c>
      <c r="D15" s="19">
        <v>1878453.29</v>
      </c>
      <c r="E15" s="84">
        <f ca="1">INDIRECT(ADDRESS(MATCH(B15,Data!B:B,0),7,1,1,"Data"))</f>
        <v>16737</v>
      </c>
      <c r="F15" s="21">
        <f t="shared" ca="1" si="2"/>
        <v>112.23357172731075</v>
      </c>
      <c r="G15" s="21">
        <f t="shared" ca="1" si="3"/>
        <v>93.284782816514323</v>
      </c>
      <c r="H15" s="21">
        <f t="shared" ca="1" si="4"/>
        <v>195.84564874135256</v>
      </c>
      <c r="I15" s="4">
        <f t="shared" ca="1" si="5"/>
        <v>-0.16883351941106806</v>
      </c>
      <c r="J15" s="91">
        <f ca="1">INDIRECT(ADDRESS(MATCH(B15,Calculations!B:B,0),11,1,1,"Calculations"))</f>
        <v>23.102357320099255</v>
      </c>
      <c r="K15" s="66">
        <v>7.5</v>
      </c>
      <c r="L15" s="56">
        <f>IF(ISERROR(K15*Summary!$B$45),"",K15*Summary!$B$45)</f>
        <v>180</v>
      </c>
      <c r="M15" s="16">
        <f t="shared" si="0"/>
        <v>10435.851611111111</v>
      </c>
      <c r="N15" s="21">
        <f t="shared" ca="1" si="1"/>
        <v>19109.781666666669</v>
      </c>
      <c r="O15" s="21">
        <f t="shared" ca="1" si="6"/>
        <v>40119.808127498669</v>
      </c>
      <c r="P15" s="21">
        <f t="shared" si="7"/>
        <v>235.66000000000003</v>
      </c>
      <c r="Q15" s="56">
        <f t="shared" si="8"/>
        <v>44.283508491517907</v>
      </c>
      <c r="R15" s="56">
        <f t="shared" ca="1" si="9"/>
        <v>81.090476392542939</v>
      </c>
      <c r="S15" s="56">
        <f t="shared" ca="1" si="10"/>
        <v>170.24445441525361</v>
      </c>
      <c r="U15">
        <f ca="1">IF(T15&gt;0,Summary!$B$43/T15,IF(S15&lt;Summary!$B$43,'Cost Factor'!S15/Summary!$B$43,1))</f>
        <v>1</v>
      </c>
    </row>
    <row r="16" spans="2:21" x14ac:dyDescent="0.25">
      <c r="B16" s="3" t="s">
        <v>6</v>
      </c>
      <c r="C16" s="19">
        <f ca="1">INDIRECT(ADDRESS(MATCH(B16,Summary!A:A,0),7,1,1,"Summary"))</f>
        <v>810604.71</v>
      </c>
      <c r="D16" s="19">
        <v>762164.38</v>
      </c>
      <c r="E16" s="84">
        <f ca="1">INDIRECT(ADDRESS(MATCH(B16,Data!B:B,0),7,1,1,"Data"))</f>
        <v>3441</v>
      </c>
      <c r="F16" s="21">
        <f t="shared" ca="1" si="2"/>
        <v>221.49502470212147</v>
      </c>
      <c r="G16" s="21">
        <f t="shared" ca="1" si="3"/>
        <v>235.5724237140366</v>
      </c>
      <c r="H16" s="21">
        <f t="shared" ca="1" si="4"/>
        <v>494.56977606513544</v>
      </c>
      <c r="I16" s="4">
        <f t="shared" ca="1" si="5"/>
        <v>6.3556276403260892E-2</v>
      </c>
      <c r="J16" s="91">
        <f ca="1">INDIRECT(ADDRESS(MATCH(B16,Calculations!B:B,0),11,1,1,"Calculations"))</f>
        <v>4.625</v>
      </c>
      <c r="K16" s="66">
        <v>10.75</v>
      </c>
      <c r="L16" s="56">
        <f>IF(ISERROR(K16*Summary!$B$45),"",K16*Summary!$B$45)</f>
        <v>258</v>
      </c>
      <c r="M16" s="16">
        <f t="shared" si="0"/>
        <v>2954.1255038759691</v>
      </c>
      <c r="N16" s="21">
        <f t="shared" ca="1" si="1"/>
        <v>6096.0042248062009</v>
      </c>
      <c r="O16" s="21">
        <f t="shared" ca="1" si="6"/>
        <v>12798.184935323054</v>
      </c>
      <c r="P16" s="21">
        <f t="shared" si="7"/>
        <v>235.66000000000003</v>
      </c>
      <c r="Q16" s="56">
        <f t="shared" si="8"/>
        <v>12.535540625799749</v>
      </c>
      <c r="R16" s="56">
        <f t="shared" ca="1" si="9"/>
        <v>25.86779353647713</v>
      </c>
      <c r="S16" s="56">
        <f t="shared" ca="1" si="10"/>
        <v>54.307837288139915</v>
      </c>
      <c r="U16">
        <f ca="1">IF(T16&gt;0,Summary!$B$43/T16,IF(S16&lt;Summary!$B$43,'Cost Factor'!S16/Summary!$B$43,1))</f>
        <v>1</v>
      </c>
    </row>
    <row r="17" spans="2:21" x14ac:dyDescent="0.25">
      <c r="B17" s="3" t="s">
        <v>7</v>
      </c>
      <c r="C17" s="19">
        <f ca="1">INDIRECT(ADDRESS(MATCH(B17,Summary!A:A,0),7,1,1,"Summary"))</f>
        <v>747226.05</v>
      </c>
      <c r="D17" s="19">
        <v>692558.3</v>
      </c>
      <c r="E17" s="84">
        <f ca="1">INDIRECT(ADDRESS(MATCH(B17,Data!B:B,0),7,1,1,"Data"))</f>
        <v>12762</v>
      </c>
      <c r="F17" s="21">
        <f t="shared" ca="1" si="2"/>
        <v>54.267223005798471</v>
      </c>
      <c r="G17" s="21">
        <f t="shared" ca="1" si="3"/>
        <v>58.550858015984957</v>
      </c>
      <c r="H17" s="21">
        <f t="shared" ca="1" si="4"/>
        <v>122.92391563003555</v>
      </c>
      <c r="I17" s="4">
        <f t="shared" ca="1" si="5"/>
        <v>7.8935953839553985E-2</v>
      </c>
      <c r="J17" s="91">
        <f ca="1">INDIRECT(ADDRESS(MATCH(B17,Calculations!B:B,0),11,1,1,"Calculations"))</f>
        <v>17.311414392059554</v>
      </c>
      <c r="K17" s="66">
        <v>10.625</v>
      </c>
      <c r="L17" s="56">
        <f>IF(ISERROR(K17*Summary!$B$45),"",K17*Summary!$B$45)</f>
        <v>255</v>
      </c>
      <c r="M17" s="16">
        <f t="shared" si="0"/>
        <v>2715.9149019607844</v>
      </c>
      <c r="N17" s="21">
        <f t="shared" ca="1" si="1"/>
        <v>5646.213137254902</v>
      </c>
      <c r="O17" s="21">
        <f t="shared" ca="1" si="6"/>
        <v>11853.876285188446</v>
      </c>
      <c r="P17" s="21">
        <f t="shared" si="7"/>
        <v>235.66000000000003</v>
      </c>
      <c r="Q17" s="56">
        <f t="shared" si="8"/>
        <v>11.524717397779785</v>
      </c>
      <c r="R17" s="56">
        <f t="shared" ca="1" si="9"/>
        <v>23.95914935608462</v>
      </c>
      <c r="S17" s="56">
        <f t="shared" ca="1" si="10"/>
        <v>50.300756535637973</v>
      </c>
      <c r="U17">
        <f ca="1">IF(T17&gt;0,Summary!$B$43/T17,IF(S17&lt;Summary!$B$43,'Cost Factor'!S17/Summary!$B$43,1))</f>
        <v>1</v>
      </c>
    </row>
    <row r="18" spans="2:21" x14ac:dyDescent="0.25">
      <c r="B18" s="3" t="s">
        <v>8</v>
      </c>
      <c r="C18" s="19">
        <f ca="1">INDIRECT(ADDRESS(MATCH(B18,Summary!A:A,0),7,1,1,"Summary"))</f>
        <v>1641555.22</v>
      </c>
      <c r="D18" s="19">
        <v>1448850.49</v>
      </c>
      <c r="E18" s="84">
        <f ca="1">INDIRECT(ADDRESS(MATCH(B18,Data!B:B,0),7,1,1,"Data"))</f>
        <v>16717</v>
      </c>
      <c r="F18" s="21">
        <f t="shared" ca="1" si="2"/>
        <v>86.669288149787647</v>
      </c>
      <c r="G18" s="21">
        <f t="shared" ca="1" si="3"/>
        <v>98.196758987856668</v>
      </c>
      <c r="H18" s="21">
        <f t="shared" ca="1" si="4"/>
        <v>206.15803979628788</v>
      </c>
      <c r="I18" s="4">
        <f t="shared" ca="1" si="5"/>
        <v>0.13300525577349243</v>
      </c>
      <c r="J18" s="91">
        <f ca="1">INDIRECT(ADDRESS(MATCH(B18,Calculations!B:B,0),11,1,1,"Calculations"))</f>
        <v>22.469086021505376</v>
      </c>
      <c r="K18" s="66">
        <f>4.5+19</f>
        <v>23.5</v>
      </c>
      <c r="L18" s="56">
        <f>IF(ISERROR(K18*Summary!$B$45),"",K18*Summary!$B$45)</f>
        <v>564</v>
      </c>
      <c r="M18" s="16">
        <f t="shared" si="0"/>
        <v>2568.8838475177304</v>
      </c>
      <c r="N18" s="21">
        <f t="shared" ca="1" si="1"/>
        <v>5479.4427482269502</v>
      </c>
      <c r="O18" s="21">
        <f t="shared" ca="1" si="6"/>
        <v>11503.752137992116</v>
      </c>
      <c r="P18" s="21">
        <f t="shared" si="7"/>
        <v>235.66000000000003</v>
      </c>
      <c r="Q18" s="56">
        <f t="shared" si="8"/>
        <v>10.90080559924353</v>
      </c>
      <c r="R18" s="56">
        <f t="shared" ca="1" si="9"/>
        <v>23.251475635351564</v>
      </c>
      <c r="S18" s="56">
        <f t="shared" ca="1" si="10"/>
        <v>48.815039200509695</v>
      </c>
      <c r="U18">
        <f ca="1">IF(T18&gt;0,Summary!$B$43/T18,IF(S18&lt;Summary!$B$43,'Cost Factor'!S18/Summary!$B$43,1))</f>
        <v>1</v>
      </c>
    </row>
    <row r="19" spans="2:21" x14ac:dyDescent="0.25">
      <c r="B19" s="3" t="s">
        <v>9</v>
      </c>
      <c r="C19" s="19">
        <f ca="1">INDIRECT(ADDRESS(MATCH(B19,Summary!A:A,0),7,1,1,"Summary"))</f>
        <v>699416.9</v>
      </c>
      <c r="D19" s="19">
        <v>604948.09</v>
      </c>
      <c r="E19" s="84">
        <f ca="1">INDIRECT(ADDRESS(MATCH(B19,Data!B:B,0),7,1,1,"Data"))</f>
        <v>6536</v>
      </c>
      <c r="F19" s="21">
        <f t="shared" ca="1" si="2"/>
        <v>92.556317319461442</v>
      </c>
      <c r="G19" s="21">
        <f t="shared" ca="1" si="3"/>
        <v>107.00992962056304</v>
      </c>
      <c r="H19" s="21">
        <f t="shared" ca="1" si="4"/>
        <v>224.66074803998501</v>
      </c>
      <c r="I19" s="4">
        <f t="shared" ca="1" si="5"/>
        <v>0.15616019219103583</v>
      </c>
      <c r="J19" s="91">
        <f ca="1">INDIRECT(ADDRESS(MATCH(B19,Calculations!B:B,0),11,1,1,"Calculations"))</f>
        <v>10.876759895536978</v>
      </c>
      <c r="K19" s="66">
        <v>8</v>
      </c>
      <c r="L19" s="56">
        <f>IF(ISERROR(K19*Summary!$B$45),"",K19*Summary!$B$45)</f>
        <v>192</v>
      </c>
      <c r="M19" s="16">
        <f t="shared" si="0"/>
        <v>3150.771302083333</v>
      </c>
      <c r="N19" s="21">
        <f t="shared" ca="1" si="1"/>
        <v>6793.5676562500003</v>
      </c>
      <c r="O19" s="21">
        <f t="shared" ca="1" si="6"/>
        <v>14262.676341580256</v>
      </c>
      <c r="P19" s="21">
        <f t="shared" si="7"/>
        <v>235.66000000000003</v>
      </c>
      <c r="Q19" s="56">
        <f t="shared" si="8"/>
        <v>13.369987702976037</v>
      </c>
      <c r="R19" s="56">
        <f t="shared" ca="1" si="9"/>
        <v>28.827835255240601</v>
      </c>
      <c r="S19" s="56">
        <f t="shared" ca="1" si="10"/>
        <v>60.52226233378704</v>
      </c>
      <c r="U19">
        <f ca="1">IF(T19&gt;0,Summary!$B$43/T19,IF(S19&lt;Summary!$B$43,'Cost Factor'!S19/Summary!$B$43,1))</f>
        <v>1</v>
      </c>
    </row>
    <row r="20" spans="2:21" x14ac:dyDescent="0.25">
      <c r="B20" s="3" t="s">
        <v>10</v>
      </c>
      <c r="C20" s="19">
        <f ca="1">INDIRECT(ADDRESS(MATCH(B20,Summary!A:A,0),7,1,1,"Summary"))</f>
        <v>1231240.44</v>
      </c>
      <c r="D20" s="19">
        <v>1169666.8600000001</v>
      </c>
      <c r="E20" s="84">
        <f ca="1">INDIRECT(ADDRESS(MATCH(B20,Data!B:B,0),7,1,1,"Data"))</f>
        <v>8211</v>
      </c>
      <c r="F20" s="21">
        <f t="shared" ca="1" si="2"/>
        <v>142.45120691754965</v>
      </c>
      <c r="G20" s="21">
        <f t="shared" ca="1" si="3"/>
        <v>149.95012056996711</v>
      </c>
      <c r="H20" s="21">
        <f t="shared" ca="1" si="4"/>
        <v>314.81103085840442</v>
      </c>
      <c r="I20" s="4">
        <f t="shared" ca="1" si="5"/>
        <v>5.2641980469549932E-2</v>
      </c>
      <c r="J20" s="91">
        <f ca="1">INDIRECT(ADDRESS(MATCH(B20,Calculations!B:B,0),11,1,1,"Calculations"))</f>
        <v>12.222704714640198</v>
      </c>
      <c r="K20" s="66">
        <v>15</v>
      </c>
      <c r="L20" s="56">
        <f>IF(ISERROR(K20*Summary!$B$45),"",K20*Summary!$B$45)</f>
        <v>360</v>
      </c>
      <c r="M20" s="16">
        <f t="shared" si="0"/>
        <v>3249.0746111111116</v>
      </c>
      <c r="N20" s="21">
        <f t="shared" ca="1" si="1"/>
        <v>6669.1869444444437</v>
      </c>
      <c r="O20" s="21">
        <f t="shared" ca="1" si="6"/>
        <v>14001.546707582138</v>
      </c>
      <c r="P20" s="21">
        <f t="shared" si="7"/>
        <v>235.66000000000003</v>
      </c>
      <c r="Q20" s="56">
        <f t="shared" si="8"/>
        <v>13.787128113006498</v>
      </c>
      <c r="R20" s="56">
        <f t="shared" ca="1" si="9"/>
        <v>28.300037954869062</v>
      </c>
      <c r="S20" s="56">
        <f t="shared" ca="1" si="10"/>
        <v>59.414184450403702</v>
      </c>
      <c r="U20">
        <f ca="1">IF(T20&gt;0,Summary!$B$43/T20,IF(S20&lt;Summary!$B$43,'Cost Factor'!S20/Summary!$B$43,1))</f>
        <v>1</v>
      </c>
    </row>
    <row r="21" spans="2:21" x14ac:dyDescent="0.25">
      <c r="B21" s="3" t="s">
        <v>11</v>
      </c>
      <c r="C21" s="19">
        <f ca="1">INDIRECT(ADDRESS(MATCH(B21,Summary!A:A,0),7,1,1,"Summary"))</f>
        <v>45671.08</v>
      </c>
      <c r="D21" s="19"/>
      <c r="E21" s="84">
        <f ca="1">INDIRECT(ADDRESS(MATCH(B21,Data!B:B,0),7,1,1,"Data"))</f>
        <v>276</v>
      </c>
      <c r="F21" s="21">
        <f t="shared" ca="1" si="2"/>
        <v>0</v>
      </c>
      <c r="G21" s="21">
        <f t="shared" ca="1" si="3"/>
        <v>165.47492753623189</v>
      </c>
      <c r="H21" s="21">
        <f t="shared" ca="1" si="4"/>
        <v>347.40440568431586</v>
      </c>
      <c r="I21" s="4" t="str">
        <f t="shared" ca="1" si="5"/>
        <v/>
      </c>
      <c r="J21" s="91">
        <f ca="1">INDIRECT(ADDRESS(MATCH(B21,Calculations!B:B,0),11,1,1,"Calculations"))</f>
        <v>0.37096774193548387</v>
      </c>
      <c r="K21" s="66"/>
      <c r="L21" s="56">
        <f>IF(ISERROR(K21*Summary!$B$45),"",K21*Summary!$B$45)</f>
        <v>0</v>
      </c>
      <c r="M21" s="16" t="str">
        <f t="shared" si="0"/>
        <v/>
      </c>
      <c r="N21" s="21" t="str">
        <f t="shared" ca="1" si="1"/>
        <v/>
      </c>
      <c r="O21" s="21" t="str">
        <f t="shared" ca="1" si="6"/>
        <v/>
      </c>
      <c r="P21" s="21">
        <f t="shared" si="7"/>
        <v>235.66000000000003</v>
      </c>
      <c r="Q21" s="56" t="str">
        <f t="shared" si="8"/>
        <v/>
      </c>
      <c r="R21" s="56" t="str">
        <f t="shared" ca="1" si="9"/>
        <v/>
      </c>
      <c r="S21" s="56" t="str">
        <f t="shared" ca="1" si="10"/>
        <v/>
      </c>
      <c r="U21">
        <f ca="1">IF(T21&gt;0,Summary!$B$43/T21,IF(S21&lt;Summary!$B$43,'Cost Factor'!S21/Summary!$B$43,1))</f>
        <v>1</v>
      </c>
    </row>
    <row r="22" spans="2:21" x14ac:dyDescent="0.25">
      <c r="B22" s="3" t="s">
        <v>12</v>
      </c>
      <c r="C22" s="19">
        <f ca="1">INDIRECT(ADDRESS(MATCH(B22,Summary!A:A,0),7,1,1,"Summary"))</f>
        <v>1224074.26</v>
      </c>
      <c r="D22" s="19">
        <v>1279505.8899999999</v>
      </c>
      <c r="E22" s="84">
        <f ca="1">INDIRECT(ADDRESS(MATCH(B22,Data!B:B,0),7,1,1,"Data"))</f>
        <v>6699</v>
      </c>
      <c r="F22" s="21">
        <f t="shared" ca="1" si="2"/>
        <v>190.9995357516047</v>
      </c>
      <c r="G22" s="21">
        <f t="shared" ca="1" si="3"/>
        <v>182.72492312285416</v>
      </c>
      <c r="H22" s="21">
        <f t="shared" ca="1" si="4"/>
        <v>383.61970762796187</v>
      </c>
      <c r="I22" s="4">
        <f t="shared" ca="1" si="5"/>
        <v>-4.3322684509095821E-2</v>
      </c>
      <c r="J22" s="91">
        <f ca="1">INDIRECT(ADDRESS(MATCH(B22,Calculations!B:B,0),11,1,1,"Calculations"))</f>
        <v>10.480459057071959</v>
      </c>
      <c r="K22" s="66">
        <v>12.625</v>
      </c>
      <c r="L22" s="56">
        <f>IF(ISERROR(K22*Summary!$B$45),"",K22*Summary!$B$45)</f>
        <v>303</v>
      </c>
      <c r="M22" s="16">
        <f t="shared" si="0"/>
        <v>4222.7917161716168</v>
      </c>
      <c r="N22" s="21">
        <f t="shared" ca="1" si="1"/>
        <v>8262.6407590759081</v>
      </c>
      <c r="O22" s="21">
        <f t="shared" ca="1" si="6"/>
        <v>17346.904724652373</v>
      </c>
      <c r="P22" s="21">
        <f t="shared" si="7"/>
        <v>235.66000000000003</v>
      </c>
      <c r="Q22" s="56">
        <f t="shared" si="8"/>
        <v>17.919000747566901</v>
      </c>
      <c r="R22" s="56">
        <f t="shared" ca="1" si="9"/>
        <v>35.061702279028715</v>
      </c>
      <c r="S22" s="56">
        <f t="shared" ca="1" si="10"/>
        <v>73.609881713707765</v>
      </c>
      <c r="U22">
        <f ca="1">IF(T22&gt;0,Summary!$B$43/T22,IF(S22&lt;Summary!$B$43,'Cost Factor'!S22/Summary!$B$43,1))</f>
        <v>1</v>
      </c>
    </row>
    <row r="23" spans="2:21" x14ac:dyDescent="0.25">
      <c r="B23" s="3" t="s">
        <v>13</v>
      </c>
      <c r="C23" s="19">
        <f ca="1">INDIRECT(ADDRESS(MATCH(B23,Summary!A:A,0),7,1,1,"Summary"))</f>
        <v>0</v>
      </c>
      <c r="D23" s="19"/>
      <c r="E23" s="84">
        <f ca="1">INDIRECT(ADDRESS(MATCH(B23,Data!B:B,0),7,1,1,"Data"))</f>
        <v>4138</v>
      </c>
      <c r="F23" s="21">
        <f t="shared" ca="1" si="2"/>
        <v>0</v>
      </c>
      <c r="G23" s="21">
        <f t="shared" ca="1" si="3"/>
        <v>0</v>
      </c>
      <c r="H23" s="21">
        <f t="shared" ca="1" si="4"/>
        <v>0</v>
      </c>
      <c r="I23" s="4" t="str">
        <f t="shared" ca="1" si="5"/>
        <v/>
      </c>
      <c r="J23" s="91">
        <f ca="1">INDIRECT(ADDRESS(MATCH(B23,Calculations!B:B,0),11,1,1,"Calculations"))</f>
        <v>6.7570306038047976</v>
      </c>
      <c r="K23" s="66"/>
      <c r="L23" s="56">
        <f>IF(ISERROR(K23*Summary!$B$45),"",K23*Summary!$B$45)</f>
        <v>0</v>
      </c>
      <c r="M23" s="16" t="str">
        <f t="shared" ref="M23:M31" si="11">IF(ISERROR(D23/L23),"",D23/L23)</f>
        <v/>
      </c>
      <c r="N23" s="21" t="str">
        <f t="shared" ref="N23:N31" ca="1" si="12">IF(ISERROR((C23+D23)/L23),"",(C23+D23)/L23)</f>
        <v/>
      </c>
      <c r="O23" s="21" t="str">
        <f t="shared" ca="1" si="6"/>
        <v/>
      </c>
      <c r="P23" s="21">
        <f t="shared" si="7"/>
        <v>235.66000000000003</v>
      </c>
      <c r="Q23" s="56" t="str">
        <f t="shared" si="8"/>
        <v/>
      </c>
      <c r="R23" s="56" t="str">
        <f t="shared" ca="1" si="9"/>
        <v/>
      </c>
      <c r="S23" s="56" t="str">
        <f t="shared" ca="1" si="10"/>
        <v/>
      </c>
      <c r="U23">
        <f ca="1">IF(T23&gt;0,Summary!$B$43/T23,IF(S23&lt;Summary!$B$43,'Cost Factor'!S23/Summary!$B$43,1))</f>
        <v>1</v>
      </c>
    </row>
    <row r="24" spans="2:21" x14ac:dyDescent="0.25">
      <c r="B24" s="3" t="s">
        <v>14</v>
      </c>
      <c r="C24" s="19">
        <f ca="1">INDIRECT(ADDRESS(MATCH(B24,Summary!A:A,0),7,1,1,"Summary"))</f>
        <v>872026.21</v>
      </c>
      <c r="D24" s="19">
        <v>750714.67</v>
      </c>
      <c r="E24" s="84">
        <f ca="1">INDIRECT(ADDRESS(MATCH(B24,Data!B:B,0),7,1,1,"Data"))</f>
        <v>3348</v>
      </c>
      <c r="F24" s="21">
        <f t="shared" ca="1" si="2"/>
        <v>224.22779868578257</v>
      </c>
      <c r="G24" s="21">
        <f t="shared" ca="1" si="3"/>
        <v>260.46183094384708</v>
      </c>
      <c r="H24" s="21">
        <f t="shared" ca="1" si="4"/>
        <v>546.82355163856164</v>
      </c>
      <c r="I24" s="4">
        <f t="shared" ca="1" si="5"/>
        <v>0.16159473745198016</v>
      </c>
      <c r="J24" s="91">
        <f ca="1">INDIRECT(ADDRESS(MATCH(B24,Calculations!B:B,0),11,1,1,"Calculations"))</f>
        <v>5.528225806451613</v>
      </c>
      <c r="K24" s="66">
        <v>10.67</v>
      </c>
      <c r="L24" s="56">
        <f>IF(ISERROR(K24*Summary!$B$45),"",K24*Summary!$B$45)</f>
        <v>256.08</v>
      </c>
      <c r="M24" s="16">
        <f t="shared" si="11"/>
        <v>2931.5630662293038</v>
      </c>
      <c r="N24" s="21">
        <f t="shared" ca="1" si="12"/>
        <v>6336.851296469853</v>
      </c>
      <c r="O24" s="21">
        <f t="shared" ca="1" si="6"/>
        <v>13303.828509475992</v>
      </c>
      <c r="P24" s="21">
        <f t="shared" si="7"/>
        <v>235.66000000000003</v>
      </c>
      <c r="Q24" s="56">
        <f t="shared" si="8"/>
        <v>12.439799143805921</v>
      </c>
      <c r="R24" s="56">
        <f t="shared" ca="1" si="9"/>
        <v>26.889804364210526</v>
      </c>
      <c r="S24" s="56">
        <f t="shared" ca="1" si="10"/>
        <v>56.453485994551436</v>
      </c>
      <c r="U24">
        <f ca="1">IF(T24&gt;0,Summary!$B$43/T24,IF(S24&lt;Summary!$B$43,'Cost Factor'!S24/Summary!$B$43,1))</f>
        <v>1</v>
      </c>
    </row>
    <row r="25" spans="2:21" x14ac:dyDescent="0.25">
      <c r="B25" s="1" t="s">
        <v>15</v>
      </c>
      <c r="C25" s="19">
        <f ca="1">INDIRECT(ADDRESS(MATCH(B25,Summary!A:A,0),7,1,1,"Summary"))</f>
        <v>933895.04</v>
      </c>
      <c r="D25" s="19">
        <v>766315.62</v>
      </c>
      <c r="E25" s="84">
        <f ca="1">INDIRECT(ADDRESS(MATCH(B25,Data!B:B,0),7,1,1,"Data"))</f>
        <v>4776</v>
      </c>
      <c r="F25" s="21">
        <f t="shared" ca="1" si="2"/>
        <v>160.45134422110553</v>
      </c>
      <c r="G25" s="21">
        <f t="shared" ca="1" si="3"/>
        <v>195.53916247906199</v>
      </c>
      <c r="H25" s="21">
        <f t="shared" ca="1" si="4"/>
        <v>410.52241291462963</v>
      </c>
      <c r="I25" s="4">
        <f t="shared" ca="1" si="5"/>
        <v>0.21868198380192228</v>
      </c>
      <c r="J25" s="91">
        <f ca="1">INDIRECT(ADDRESS(MATCH(B25,Calculations!B:B,0),11,1,1,"Calculations"))</f>
        <v>17.017990074441688</v>
      </c>
      <c r="K25" s="66">
        <v>15.52</v>
      </c>
      <c r="L25" s="56">
        <f>IF(ISERROR(K25*Summary!$B$45),"",K25*Summary!$B$45)</f>
        <v>372.48</v>
      </c>
      <c r="M25" s="16">
        <f t="shared" si="11"/>
        <v>2057.3336018041236</v>
      </c>
      <c r="N25" s="21">
        <f t="shared" ca="1" si="12"/>
        <v>4564.5689969931273</v>
      </c>
      <c r="O25" s="21">
        <f t="shared" ca="1" si="6"/>
        <v>9583.0311166520369</v>
      </c>
      <c r="P25" s="21">
        <f t="shared" si="7"/>
        <v>235.66000000000003</v>
      </c>
      <c r="Q25" s="56">
        <f t="shared" si="8"/>
        <v>8.7300925138085521</v>
      </c>
      <c r="R25" s="56">
        <f t="shared" ca="1" si="9"/>
        <v>19.369298977311072</v>
      </c>
      <c r="S25" s="56">
        <f t="shared" ca="1" si="10"/>
        <v>40.664648717016192</v>
      </c>
      <c r="U25">
        <f ca="1">IF(T25&gt;0,Summary!$B$43/T25,IF(S25&lt;Summary!$B$43,'Cost Factor'!S25/Summary!$B$43,1))</f>
        <v>1</v>
      </c>
    </row>
    <row r="26" spans="2:21" x14ac:dyDescent="0.25">
      <c r="B26" s="1" t="s">
        <v>16</v>
      </c>
      <c r="C26" s="19">
        <f ca="1">INDIRECT(ADDRESS(MATCH(B26,Summary!A:A,0),7,1,1,"Summary"))</f>
        <v>836218.02</v>
      </c>
      <c r="D26" s="19">
        <v>759352.23</v>
      </c>
      <c r="E26" s="84">
        <f ca="1">INDIRECT(ADDRESS(MATCH(B26,Data!B:B,0),7,1,1,"Data"))</f>
        <v>4719</v>
      </c>
      <c r="F26" s="21">
        <f t="shared" ca="1" si="2"/>
        <v>160.91380165289254</v>
      </c>
      <c r="G26" s="21">
        <f t="shared" ca="1" si="3"/>
        <v>177.20237762237764</v>
      </c>
      <c r="H26" s="21">
        <f t="shared" ca="1" si="4"/>
        <v>372.02546391972663</v>
      </c>
      <c r="I26" s="4">
        <f t="shared" ca="1" si="5"/>
        <v>0.10122547477077948</v>
      </c>
      <c r="J26" s="91">
        <f ca="1">INDIRECT(ADDRESS(MATCH(B26,Calculations!B:B,0),11,1,1,"Calculations"))</f>
        <v>7.7224979321753517</v>
      </c>
      <c r="K26" s="66">
        <v>10.805</v>
      </c>
      <c r="L26" s="56">
        <f>IF(ISERROR(K26*Summary!$B$45),"",K26*Summary!$B$45)</f>
        <v>259.32</v>
      </c>
      <c r="M26" s="16">
        <f t="shared" si="11"/>
        <v>2928.2439842665431</v>
      </c>
      <c r="N26" s="21">
        <f t="shared" ca="1" si="12"/>
        <v>6152.9008560851462</v>
      </c>
      <c r="O26" s="21">
        <f t="shared" ca="1" si="6"/>
        <v>12917.635903933229</v>
      </c>
      <c r="P26" s="21">
        <f t="shared" si="7"/>
        <v>235.66000000000003</v>
      </c>
      <c r="Q26" s="56">
        <f t="shared" si="8"/>
        <v>12.425714946391169</v>
      </c>
      <c r="R26" s="56">
        <f t="shared" ca="1" si="9"/>
        <v>26.109228787597154</v>
      </c>
      <c r="S26" s="56">
        <f t="shared" ca="1" si="10"/>
        <v>54.814715708789052</v>
      </c>
      <c r="U26">
        <f ca="1">IF(T26&gt;0,Summary!$B$43/T26,IF(S26&lt;Summary!$B$43,'Cost Factor'!S26/Summary!$B$43,1))</f>
        <v>1</v>
      </c>
    </row>
    <row r="27" spans="2:21" x14ac:dyDescent="0.25">
      <c r="B27" s="1" t="s">
        <v>17</v>
      </c>
      <c r="C27" s="19">
        <f ca="1">INDIRECT(ADDRESS(MATCH(B27,Summary!A:A,0),7,1,1,"Summary"))</f>
        <v>2598646.27</v>
      </c>
      <c r="D27" s="19">
        <v>2006062.14</v>
      </c>
      <c r="E27" s="84">
        <f ca="1">INDIRECT(ADDRESS(MATCH(B27,Data!B:B,0),7,1,1,"Data"))</f>
        <v>10747</v>
      </c>
      <c r="F27" s="21">
        <f t="shared" ca="1" si="2"/>
        <v>186.66252349492882</v>
      </c>
      <c r="G27" s="21">
        <f t="shared" ca="1" si="3"/>
        <v>241.80201637666326</v>
      </c>
      <c r="H27" s="21">
        <f t="shared" ca="1" si="4"/>
        <v>507.64842168739341</v>
      </c>
      <c r="I27" s="4">
        <f t="shared" ca="1" si="5"/>
        <v>0.29539669693382486</v>
      </c>
      <c r="J27" s="91">
        <f ca="1">INDIRECT(ADDRESS(MATCH(B27,Calculations!B:B,0),11,1,1,"Calculations"))</f>
        <v>22.692019683894987</v>
      </c>
      <c r="K27" s="66">
        <v>30.125</v>
      </c>
      <c r="L27" s="56">
        <f>IF(ISERROR(K27*Summary!$B$45),"",K27*Summary!$B$45)</f>
        <v>723</v>
      </c>
      <c r="M27" s="16">
        <f t="shared" si="11"/>
        <v>2774.6364315352694</v>
      </c>
      <c r="N27" s="21">
        <f t="shared" ca="1" si="12"/>
        <v>6368.8913001383125</v>
      </c>
      <c r="O27" s="21">
        <f t="shared" ca="1" si="6"/>
        <v>13371.094521302028</v>
      </c>
      <c r="P27" s="21">
        <f t="shared" si="7"/>
        <v>235.66000000000003</v>
      </c>
      <c r="Q27" s="56">
        <f t="shared" si="8"/>
        <v>11.773896425083889</v>
      </c>
      <c r="R27" s="56">
        <f t="shared" ca="1" si="9"/>
        <v>27.025762964178529</v>
      </c>
      <c r="S27" s="56">
        <f t="shared" ca="1" si="10"/>
        <v>56.738922690749497</v>
      </c>
      <c r="U27">
        <f ca="1">IF(T27&gt;0,Summary!$B$43/T27,IF(S27&lt;Summary!$B$43,'Cost Factor'!S27/Summary!$B$43,1))</f>
        <v>1</v>
      </c>
    </row>
    <row r="28" spans="2:21" x14ac:dyDescent="0.25">
      <c r="B28" s="1" t="s">
        <v>18</v>
      </c>
      <c r="C28" s="19">
        <f ca="1">INDIRECT(ADDRESS(MATCH(B28,Summary!A:A,0),7,1,1,"Summary"))</f>
        <v>0</v>
      </c>
      <c r="D28" s="19"/>
      <c r="E28" s="84">
        <f ca="1">INDIRECT(ADDRESS(MATCH(B28,Data!B:B,0),7,1,1,"Data"))</f>
        <v>0</v>
      </c>
      <c r="F28" s="21" t="str">
        <f t="shared" ca="1" si="2"/>
        <v/>
      </c>
      <c r="G28" s="21" t="str">
        <f t="shared" ca="1" si="3"/>
        <v/>
      </c>
      <c r="H28" s="21" t="str">
        <f t="shared" ca="1" si="4"/>
        <v/>
      </c>
      <c r="I28" s="4" t="str">
        <f t="shared" ca="1" si="5"/>
        <v/>
      </c>
      <c r="J28" s="91">
        <f ca="1">INDIRECT(ADDRESS(MATCH(B28,Calculations!B:B,0),11,1,1,"Calculations"))</f>
        <v>0</v>
      </c>
      <c r="K28" s="66"/>
      <c r="L28" s="56">
        <f>IF(ISERROR(K28*Summary!$B$45),"",K28*Summary!$B$45)</f>
        <v>0</v>
      </c>
      <c r="M28" s="16" t="str">
        <f t="shared" si="11"/>
        <v/>
      </c>
      <c r="N28" s="21" t="str">
        <f t="shared" ca="1" si="12"/>
        <v/>
      </c>
      <c r="O28" s="21" t="str">
        <f t="shared" ca="1" si="6"/>
        <v/>
      </c>
      <c r="P28" s="21">
        <f t="shared" si="7"/>
        <v>235.66000000000003</v>
      </c>
      <c r="Q28" s="56" t="str">
        <f t="shared" si="8"/>
        <v/>
      </c>
      <c r="R28" s="56" t="str">
        <f t="shared" ca="1" si="9"/>
        <v/>
      </c>
      <c r="S28" s="56" t="str">
        <f t="shared" ca="1" si="10"/>
        <v/>
      </c>
      <c r="U28">
        <f ca="1">IF(T28&gt;0,Summary!$B$43/T28,IF(S28&lt;Summary!$B$43,'Cost Factor'!S28/Summary!$B$43,1))</f>
        <v>1</v>
      </c>
    </row>
    <row r="29" spans="2:21" x14ac:dyDescent="0.25">
      <c r="B29" s="1" t="s">
        <v>19</v>
      </c>
      <c r="C29" s="19">
        <f ca="1">INDIRECT(ADDRESS(MATCH(B29,Summary!A:A,0),7,1,1,"Summary"))</f>
        <v>1025297.34</v>
      </c>
      <c r="D29" s="19">
        <v>805494.07</v>
      </c>
      <c r="E29" s="84">
        <f ca="1">INDIRECT(ADDRESS(MATCH(B29,Data!B:B,0),7,1,1,"Data"))</f>
        <v>0</v>
      </c>
      <c r="F29" s="21" t="str">
        <f t="shared" ca="1" si="2"/>
        <v/>
      </c>
      <c r="G29" s="21" t="str">
        <f t="shared" ca="1" si="3"/>
        <v/>
      </c>
      <c r="H29" s="21" t="str">
        <f t="shared" ca="1" si="4"/>
        <v/>
      </c>
      <c r="I29" s="4" t="str">
        <f t="shared" ca="1" si="5"/>
        <v/>
      </c>
      <c r="J29" s="91">
        <f ca="1">INDIRECT(ADDRESS(MATCH(B29,Calculations!B:B,0),11,1,1,"Calculations"))</f>
        <v>0</v>
      </c>
      <c r="K29" s="66">
        <v>8</v>
      </c>
      <c r="L29" s="56">
        <f>IF(ISERROR(K29*Summary!$B$45),"",K29*Summary!$B$45)</f>
        <v>192</v>
      </c>
      <c r="M29" s="16">
        <f t="shared" si="11"/>
        <v>4195.2816145833331</v>
      </c>
      <c r="N29" s="21">
        <f t="shared" ca="1" si="12"/>
        <v>9535.3719270833335</v>
      </c>
      <c r="O29" s="21">
        <f t="shared" ca="1" si="6"/>
        <v>20018.925323789441</v>
      </c>
      <c r="P29" s="21">
        <f t="shared" si="7"/>
        <v>235.66000000000003</v>
      </c>
      <c r="Q29" s="56">
        <f t="shared" si="8"/>
        <v>17.802264340929018</v>
      </c>
      <c r="R29" s="56">
        <f t="shared" ca="1" si="9"/>
        <v>40.462411640003957</v>
      </c>
      <c r="S29" s="56">
        <f t="shared" ca="1" si="10"/>
        <v>84.948337960576424</v>
      </c>
      <c r="U29">
        <f ca="1">IF(T29&gt;0,Summary!$B$43/T29,IF(S29&lt;Summary!$B$43,'Cost Factor'!S29/Summary!$B$43,1))</f>
        <v>1</v>
      </c>
    </row>
    <row r="30" spans="2:21" x14ac:dyDescent="0.25">
      <c r="B30" s="1" t="s">
        <v>20</v>
      </c>
      <c r="C30" s="19">
        <f ca="1">INDIRECT(ADDRESS(MATCH(B30,Summary!A:A,0),7,1,1,"Summary"))</f>
        <v>1229276.1599999999</v>
      </c>
      <c r="D30" s="19">
        <v>1074004.8899999999</v>
      </c>
      <c r="E30" s="84">
        <f ca="1">INDIRECT(ADDRESS(MATCH(B30,Data!B:B,0),7,1,1,"Data"))</f>
        <v>13098</v>
      </c>
      <c r="F30" s="21">
        <f t="shared" ca="1" si="2"/>
        <v>81.997624828218036</v>
      </c>
      <c r="G30" s="21">
        <f t="shared" ca="1" si="3"/>
        <v>93.852203389830507</v>
      </c>
      <c r="H30" s="21">
        <f t="shared" ca="1" si="4"/>
        <v>197.03691324275445</v>
      </c>
      <c r="I30" s="4">
        <f t="shared" ca="1" si="5"/>
        <v>0.14457221884716009</v>
      </c>
      <c r="J30" s="91">
        <f ca="1">INDIRECT(ADDRESS(MATCH(B30,Calculations!B:B,0),11,1,1,"Calculations"))</f>
        <v>21.251964433416045</v>
      </c>
      <c r="K30" s="66">
        <v>17</v>
      </c>
      <c r="L30" s="56">
        <f>IF(ISERROR(K30*Summary!$B$45),"",K30*Summary!$B$45)</f>
        <v>408</v>
      </c>
      <c r="M30" s="16">
        <f t="shared" si="11"/>
        <v>2632.3649264705878</v>
      </c>
      <c r="N30" s="21">
        <f t="shared" ca="1" si="12"/>
        <v>5645.2966911764697</v>
      </c>
      <c r="O30" s="21">
        <f t="shared" ca="1" si="6"/>
        <v>11851.952263163117</v>
      </c>
      <c r="P30" s="21">
        <f t="shared" si="7"/>
        <v>235.66000000000003</v>
      </c>
      <c r="Q30" s="56">
        <f t="shared" si="8"/>
        <v>11.170181305569836</v>
      </c>
      <c r="R30" s="56">
        <f t="shared" ca="1" si="9"/>
        <v>23.955260507410969</v>
      </c>
      <c r="S30" s="56">
        <f t="shared" ca="1" si="10"/>
        <v>50.292592137669168</v>
      </c>
      <c r="U30">
        <f ca="1">IF(T30&gt;0,Summary!$B$43/T30,IF(S30&lt;Summary!$B$43,'Cost Factor'!S30/Summary!$B$43,1))</f>
        <v>1</v>
      </c>
    </row>
    <row r="31" spans="2:21" x14ac:dyDescent="0.25">
      <c r="B31" s="2" t="s">
        <v>21</v>
      </c>
      <c r="C31" s="19">
        <f ca="1">INDIRECT(ADDRESS(MATCH(B31,Summary!A:A,0),7,1,1,"Summary"))</f>
        <v>0</v>
      </c>
      <c r="D31" s="19">
        <v>60525</v>
      </c>
      <c r="E31" s="84">
        <f ca="1">INDIRECT(ADDRESS(MATCH(B31,Data!B:B,0),7,1,1,"Data"))</f>
        <v>1944</v>
      </c>
      <c r="F31" s="21">
        <f t="shared" ca="1" si="2"/>
        <v>31.13425925925926</v>
      </c>
      <c r="G31" s="21">
        <f t="shared" ca="1" si="3"/>
        <v>0</v>
      </c>
      <c r="H31" s="21">
        <f t="shared" ca="1" si="4"/>
        <v>0</v>
      </c>
      <c r="I31" s="4">
        <f t="shared" ca="1" si="5"/>
        <v>-1</v>
      </c>
      <c r="J31" s="91">
        <f ca="1">INDIRECT(ADDRESS(MATCH(B31,Calculations!B:B,0),11,1,1,"Calculations"))</f>
        <v>2.6129032258064515</v>
      </c>
      <c r="K31" s="66">
        <v>5.25</v>
      </c>
      <c r="L31" s="56">
        <f>IF(ISERROR(K31*Summary!$B$45),"",K31*Summary!$B$45)</f>
        <v>126</v>
      </c>
      <c r="M31" s="16">
        <f t="shared" si="11"/>
        <v>480.35714285714283</v>
      </c>
      <c r="N31" s="21">
        <f t="shared" ca="1" si="12"/>
        <v>480.35714285714283</v>
      </c>
      <c r="O31" s="21">
        <f t="shared" ca="1" si="6"/>
        <v>1008.4801982702943</v>
      </c>
      <c r="P31" s="21">
        <f t="shared" si="7"/>
        <v>235.66000000000003</v>
      </c>
      <c r="Q31" s="56">
        <f t="shared" si="8"/>
        <v>2.0383482256519678</v>
      </c>
      <c r="R31" s="56">
        <f t="shared" ca="1" si="9"/>
        <v>2.0383482256519678</v>
      </c>
      <c r="S31" s="56">
        <f t="shared" ca="1" si="10"/>
        <v>4.2793863968017236</v>
      </c>
      <c r="U31" s="72">
        <v>1</v>
      </c>
    </row>
    <row r="33" spans="2:4" x14ac:dyDescent="0.25">
      <c r="B33" s="6" t="s">
        <v>38</v>
      </c>
      <c r="C33" s="16">
        <f ca="1">SUM(C10:C32)</f>
        <v>20319210.109999999</v>
      </c>
      <c r="D33" s="16">
        <f>SUM(D10:D32)</f>
        <v>18080602.300000001</v>
      </c>
    </row>
  </sheetData>
  <pageMargins left="0.7" right="0.7" top="0.75" bottom="0.75" header="0.3" footer="0.3"/>
  <pageSetup scale="3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1"/>
  <sheetViews>
    <sheetView workbookViewId="0">
      <selection activeCell="C18" sqref="C18"/>
    </sheetView>
  </sheetViews>
  <sheetFormatPr defaultRowHeight="15" x14ac:dyDescent="0.25"/>
  <cols>
    <col min="2" max="2" width="37.7109375" customWidth="1"/>
    <col min="4" max="4" width="10" bestFit="1" customWidth="1"/>
    <col min="5" max="5" width="11.7109375" customWidth="1"/>
    <col min="7" max="7" width="9.140625" customWidth="1"/>
    <col min="10" max="10" width="9.140625" customWidth="1"/>
  </cols>
  <sheetData>
    <row r="3" spans="1:13" x14ac:dyDescent="0.25">
      <c r="E3" t="s">
        <v>111</v>
      </c>
      <c r="H3" t="s">
        <v>112</v>
      </c>
    </row>
    <row r="4" spans="1:13" x14ac:dyDescent="0.25">
      <c r="E4" t="s">
        <v>93</v>
      </c>
      <c r="F4" t="s">
        <v>94</v>
      </c>
      <c r="H4" s="84" t="s">
        <v>93</v>
      </c>
      <c r="I4" s="84" t="s">
        <v>94</v>
      </c>
      <c r="M4" t="s">
        <v>91</v>
      </c>
    </row>
    <row r="5" spans="1:13" ht="30" x14ac:dyDescent="0.25">
      <c r="B5" s="12" t="s">
        <v>28</v>
      </c>
      <c r="C5" s="14" t="s">
        <v>29</v>
      </c>
      <c r="D5" s="14" t="s">
        <v>30</v>
      </c>
      <c r="E5" s="71" t="s">
        <v>95</v>
      </c>
      <c r="F5" s="71" t="s">
        <v>95</v>
      </c>
      <c r="G5" t="s">
        <v>114</v>
      </c>
      <c r="H5" s="71" t="s">
        <v>113</v>
      </c>
      <c r="I5" s="71" t="s">
        <v>113</v>
      </c>
      <c r="J5" s="71"/>
      <c r="K5" s="71" t="s">
        <v>38</v>
      </c>
      <c r="M5" t="s">
        <v>92</v>
      </c>
    </row>
    <row r="6" spans="1:13" x14ac:dyDescent="0.25">
      <c r="A6" t="s">
        <v>108</v>
      </c>
      <c r="B6" s="17" t="s">
        <v>0</v>
      </c>
      <c r="C6" s="13"/>
      <c r="D6" s="13">
        <v>4578</v>
      </c>
      <c r="E6" s="40">
        <f>2040+3526</f>
        <v>5566</v>
      </c>
      <c r="F6" s="40">
        <v>316</v>
      </c>
      <c r="G6">
        <f>E6+F6</f>
        <v>5882</v>
      </c>
      <c r="H6">
        <v>48</v>
      </c>
      <c r="I6">
        <v>0</v>
      </c>
      <c r="J6">
        <f>H6+I6</f>
        <v>48</v>
      </c>
      <c r="K6">
        <f>J6+G6</f>
        <v>5930</v>
      </c>
    </row>
    <row r="7" spans="1:13" x14ac:dyDescent="0.25">
      <c r="A7" t="s">
        <v>122</v>
      </c>
      <c r="B7" s="17" t="s">
        <v>1</v>
      </c>
      <c r="C7" s="13"/>
      <c r="D7" s="13">
        <v>7193</v>
      </c>
      <c r="E7" s="40">
        <f>5222+450</f>
        <v>5672</v>
      </c>
      <c r="F7" s="40">
        <v>0</v>
      </c>
      <c r="G7" s="84">
        <f t="shared" ref="G7:G27" si="0">E7+F7</f>
        <v>5672</v>
      </c>
      <c r="H7">
        <f>1091+725</f>
        <v>1816</v>
      </c>
      <c r="I7">
        <v>0</v>
      </c>
      <c r="J7" s="84">
        <f t="shared" ref="J7:J27" si="1">H7+I7</f>
        <v>1816</v>
      </c>
      <c r="K7" s="84">
        <f t="shared" ref="K7:K27" si="2">J7+G7</f>
        <v>7488</v>
      </c>
    </row>
    <row r="8" spans="1:13" x14ac:dyDescent="0.25">
      <c r="A8" t="s">
        <v>123</v>
      </c>
      <c r="B8" s="17" t="s">
        <v>2</v>
      </c>
      <c r="C8" s="13"/>
      <c r="D8" s="13">
        <v>10665</v>
      </c>
      <c r="E8" s="40">
        <f>8732+2238</f>
        <v>10970</v>
      </c>
      <c r="F8" s="40">
        <v>257</v>
      </c>
      <c r="G8" s="84">
        <f t="shared" si="0"/>
        <v>11227</v>
      </c>
      <c r="H8">
        <v>32</v>
      </c>
      <c r="I8" s="85">
        <v>0</v>
      </c>
      <c r="J8" s="84">
        <f t="shared" si="1"/>
        <v>32</v>
      </c>
      <c r="K8" s="84">
        <f t="shared" si="2"/>
        <v>11259</v>
      </c>
    </row>
    <row r="9" spans="1:13" x14ac:dyDescent="0.25">
      <c r="A9" t="s">
        <v>124</v>
      </c>
      <c r="B9" s="17" t="s">
        <v>3</v>
      </c>
      <c r="C9" s="13"/>
      <c r="D9" s="13">
        <v>4606</v>
      </c>
      <c r="E9">
        <f>4030+1086</f>
        <v>5116</v>
      </c>
      <c r="F9" s="41">
        <v>6</v>
      </c>
      <c r="G9" s="84">
        <f t="shared" si="0"/>
        <v>5122</v>
      </c>
      <c r="H9">
        <f>215+168</f>
        <v>383</v>
      </c>
      <c r="I9">
        <v>0</v>
      </c>
      <c r="J9" s="84">
        <f t="shared" si="1"/>
        <v>383</v>
      </c>
      <c r="K9" s="84">
        <f t="shared" si="2"/>
        <v>5505</v>
      </c>
    </row>
    <row r="10" spans="1:13" x14ac:dyDescent="0.25">
      <c r="A10" t="s">
        <v>125</v>
      </c>
      <c r="B10" s="17" t="s">
        <v>4</v>
      </c>
      <c r="C10" s="13"/>
      <c r="D10" s="13">
        <v>9749</v>
      </c>
      <c r="E10" s="40">
        <f>6879+2718</f>
        <v>9597</v>
      </c>
      <c r="F10" s="40">
        <v>300</v>
      </c>
      <c r="G10" s="84">
        <f t="shared" si="0"/>
        <v>9897</v>
      </c>
      <c r="H10">
        <v>0</v>
      </c>
      <c r="I10" s="85">
        <v>0</v>
      </c>
      <c r="J10" s="84">
        <f t="shared" si="1"/>
        <v>0</v>
      </c>
      <c r="K10" s="84">
        <f t="shared" si="2"/>
        <v>9897</v>
      </c>
    </row>
    <row r="11" spans="1:13" x14ac:dyDescent="0.25">
      <c r="A11" t="s">
        <v>126</v>
      </c>
      <c r="B11" s="17" t="s">
        <v>5</v>
      </c>
      <c r="C11" s="13"/>
      <c r="D11" s="13">
        <f>1050+12645+3579</f>
        <v>17274</v>
      </c>
      <c r="E11" s="40">
        <f>2985+13545</f>
        <v>16530</v>
      </c>
      <c r="F11" s="40">
        <v>207</v>
      </c>
      <c r="G11" s="84">
        <f t="shared" si="0"/>
        <v>16737</v>
      </c>
      <c r="H11">
        <v>0</v>
      </c>
      <c r="I11">
        <v>0</v>
      </c>
      <c r="J11" s="84">
        <f t="shared" si="1"/>
        <v>0</v>
      </c>
      <c r="K11" s="84">
        <f t="shared" si="2"/>
        <v>16737</v>
      </c>
    </row>
    <row r="12" spans="1:13" x14ac:dyDescent="0.25">
      <c r="A12" t="s">
        <v>127</v>
      </c>
      <c r="B12" s="20" t="s">
        <v>6</v>
      </c>
      <c r="C12" s="15"/>
      <c r="D12" s="15">
        <v>10161</v>
      </c>
      <c r="E12" s="41">
        <f>2946+495</f>
        <v>3441</v>
      </c>
      <c r="F12" s="41">
        <v>0</v>
      </c>
      <c r="G12" s="84">
        <f t="shared" si="0"/>
        <v>3441</v>
      </c>
      <c r="H12">
        <v>0</v>
      </c>
      <c r="I12" s="85">
        <v>0</v>
      </c>
      <c r="J12" s="84">
        <f t="shared" si="1"/>
        <v>0</v>
      </c>
      <c r="K12" s="84">
        <f t="shared" si="2"/>
        <v>3441</v>
      </c>
    </row>
    <row r="13" spans="1:13" x14ac:dyDescent="0.25">
      <c r="A13" t="s">
        <v>140</v>
      </c>
      <c r="B13" s="20" t="s">
        <v>7</v>
      </c>
      <c r="C13" s="15"/>
      <c r="D13" s="15">
        <v>9732</v>
      </c>
      <c r="E13" s="41">
        <f>10539+2169</f>
        <v>12708</v>
      </c>
      <c r="F13" s="41">
        <v>54</v>
      </c>
      <c r="G13" s="84">
        <f t="shared" si="0"/>
        <v>12762</v>
      </c>
      <c r="H13">
        <v>0</v>
      </c>
      <c r="I13" s="85">
        <v>0</v>
      </c>
      <c r="J13" s="84">
        <f t="shared" si="1"/>
        <v>0</v>
      </c>
      <c r="K13" s="84">
        <f t="shared" si="2"/>
        <v>12762</v>
      </c>
    </row>
    <row r="14" spans="1:13" x14ac:dyDescent="0.25">
      <c r="A14" t="s">
        <v>130</v>
      </c>
      <c r="B14" s="20" t="s">
        <v>8</v>
      </c>
      <c r="C14" s="15"/>
      <c r="D14" s="15">
        <f>2733+14459</f>
        <v>17192</v>
      </c>
      <c r="E14" s="41">
        <f>14450+2267</f>
        <v>16717</v>
      </c>
      <c r="F14" s="41">
        <v>0</v>
      </c>
      <c r="G14" s="84">
        <f t="shared" si="0"/>
        <v>16717</v>
      </c>
      <c r="H14">
        <v>0</v>
      </c>
      <c r="I14" s="85">
        <v>0</v>
      </c>
      <c r="J14" s="84">
        <f t="shared" si="1"/>
        <v>0</v>
      </c>
      <c r="K14" s="84">
        <f t="shared" si="2"/>
        <v>16717</v>
      </c>
    </row>
    <row r="15" spans="1:13" x14ac:dyDescent="0.25">
      <c r="A15" t="s">
        <v>128</v>
      </c>
      <c r="B15" s="20" t="s">
        <v>9</v>
      </c>
      <c r="C15" s="15"/>
      <c r="D15" s="15">
        <f>260+7352</f>
        <v>7612</v>
      </c>
      <c r="E15" s="41">
        <f>4976+1560</f>
        <v>6536</v>
      </c>
      <c r="F15" s="41">
        <v>0</v>
      </c>
      <c r="G15" s="84">
        <f t="shared" si="0"/>
        <v>6536</v>
      </c>
      <c r="H15">
        <v>740</v>
      </c>
      <c r="I15">
        <v>0</v>
      </c>
      <c r="J15" s="84">
        <f t="shared" si="1"/>
        <v>740</v>
      </c>
      <c r="K15" s="84">
        <f t="shared" si="2"/>
        <v>7276</v>
      </c>
    </row>
    <row r="16" spans="1:13" x14ac:dyDescent="0.25">
      <c r="A16" t="s">
        <v>131</v>
      </c>
      <c r="B16" s="20" t="s">
        <v>10</v>
      </c>
      <c r="C16" s="15"/>
      <c r="D16" s="15">
        <v>8826</v>
      </c>
      <c r="E16" s="41">
        <f>5028+2778</f>
        <v>7806</v>
      </c>
      <c r="F16" s="41">
        <v>405</v>
      </c>
      <c r="G16" s="84">
        <f t="shared" si="0"/>
        <v>8211</v>
      </c>
      <c r="H16">
        <v>0</v>
      </c>
      <c r="I16" s="85">
        <v>0</v>
      </c>
      <c r="J16" s="84">
        <f t="shared" si="1"/>
        <v>0</v>
      </c>
      <c r="K16" s="84">
        <f t="shared" si="2"/>
        <v>8211</v>
      </c>
    </row>
    <row r="17" spans="1:11" x14ac:dyDescent="0.25">
      <c r="A17" t="s">
        <v>132</v>
      </c>
      <c r="B17" s="20" t="s">
        <v>11</v>
      </c>
      <c r="C17" s="15"/>
      <c r="D17" s="15">
        <v>514</v>
      </c>
      <c r="E17" s="41">
        <f>123+153</f>
        <v>276</v>
      </c>
      <c r="F17" s="41">
        <v>0</v>
      </c>
      <c r="G17" s="84">
        <f t="shared" si="0"/>
        <v>276</v>
      </c>
      <c r="H17">
        <v>0</v>
      </c>
      <c r="I17" s="85">
        <v>0</v>
      </c>
      <c r="J17" s="84">
        <f t="shared" si="1"/>
        <v>0</v>
      </c>
      <c r="K17" s="84">
        <f t="shared" si="2"/>
        <v>276</v>
      </c>
    </row>
    <row r="18" spans="1:11" x14ac:dyDescent="0.25">
      <c r="A18" t="s">
        <v>133</v>
      </c>
      <c r="B18" s="20" t="s">
        <v>12</v>
      </c>
      <c r="C18" s="15"/>
      <c r="D18" s="15">
        <v>7130</v>
      </c>
      <c r="E18" s="41">
        <f>4698+1497</f>
        <v>6195</v>
      </c>
      <c r="F18" s="41">
        <v>504</v>
      </c>
      <c r="G18" s="84">
        <f t="shared" si="0"/>
        <v>6699</v>
      </c>
      <c r="H18">
        <v>0</v>
      </c>
      <c r="I18" s="85">
        <v>0</v>
      </c>
      <c r="J18" s="84">
        <f t="shared" si="1"/>
        <v>0</v>
      </c>
      <c r="K18" s="84">
        <f t="shared" si="2"/>
        <v>6699</v>
      </c>
    </row>
    <row r="19" spans="1:11" x14ac:dyDescent="0.25">
      <c r="A19" t="s">
        <v>134</v>
      </c>
      <c r="B19" s="20" t="s">
        <v>13</v>
      </c>
      <c r="C19" s="15"/>
      <c r="D19" s="15"/>
      <c r="E19" s="41">
        <f>1491+2239</f>
        <v>3730</v>
      </c>
      <c r="F19" s="41">
        <v>408</v>
      </c>
      <c r="G19" s="84">
        <f t="shared" si="0"/>
        <v>4138</v>
      </c>
      <c r="H19">
        <v>0</v>
      </c>
      <c r="I19" s="85">
        <v>0</v>
      </c>
      <c r="J19" s="84">
        <f t="shared" si="1"/>
        <v>0</v>
      </c>
      <c r="K19" s="84">
        <f t="shared" si="2"/>
        <v>4138</v>
      </c>
    </row>
    <row r="20" spans="1:11" x14ac:dyDescent="0.25">
      <c r="A20" t="s">
        <v>136</v>
      </c>
      <c r="B20" s="20" t="s">
        <v>14</v>
      </c>
      <c r="C20" s="15"/>
      <c r="D20" s="15">
        <v>7017</v>
      </c>
      <c r="E20" s="41">
        <f>1509+1488</f>
        <v>2997</v>
      </c>
      <c r="F20" s="41">
        <v>351</v>
      </c>
      <c r="G20" s="84">
        <f t="shared" si="0"/>
        <v>3348</v>
      </c>
      <c r="H20">
        <v>0</v>
      </c>
      <c r="I20" s="85">
        <v>0</v>
      </c>
      <c r="J20" s="84">
        <f t="shared" si="1"/>
        <v>0</v>
      </c>
      <c r="K20" s="84">
        <f t="shared" si="2"/>
        <v>3348</v>
      </c>
    </row>
    <row r="21" spans="1:11" x14ac:dyDescent="0.25">
      <c r="A21" t="s">
        <v>135</v>
      </c>
      <c r="B21" s="17" t="s">
        <v>15</v>
      </c>
      <c r="C21" s="13"/>
      <c r="D21" s="13">
        <v>5412</v>
      </c>
      <c r="E21" s="40">
        <f>507+651</f>
        <v>1158</v>
      </c>
      <c r="F21" s="40">
        <v>3618</v>
      </c>
      <c r="G21" s="84">
        <f t="shared" si="0"/>
        <v>4776</v>
      </c>
      <c r="H21">
        <v>0</v>
      </c>
      <c r="I21" s="85">
        <v>0</v>
      </c>
      <c r="J21" s="84">
        <f t="shared" si="1"/>
        <v>0</v>
      </c>
      <c r="K21" s="84">
        <f t="shared" si="2"/>
        <v>4776</v>
      </c>
    </row>
    <row r="22" spans="1:11" x14ac:dyDescent="0.25">
      <c r="A22" t="s">
        <v>137</v>
      </c>
      <c r="B22" s="17" t="s">
        <v>16</v>
      </c>
      <c r="C22" s="13"/>
      <c r="D22" s="13">
        <v>6400</v>
      </c>
      <c r="E22" s="40">
        <f>2733+1515</f>
        <v>4248</v>
      </c>
      <c r="F22" s="40">
        <v>471</v>
      </c>
      <c r="G22" s="84">
        <f t="shared" si="0"/>
        <v>4719</v>
      </c>
      <c r="H22">
        <v>0</v>
      </c>
      <c r="I22" s="85">
        <v>0</v>
      </c>
      <c r="J22" s="84">
        <f t="shared" si="1"/>
        <v>0</v>
      </c>
      <c r="K22" s="84">
        <f t="shared" si="2"/>
        <v>4719</v>
      </c>
    </row>
    <row r="23" spans="1:11" x14ac:dyDescent="0.25">
      <c r="A23" t="s">
        <v>129</v>
      </c>
      <c r="B23" s="17" t="s">
        <v>17</v>
      </c>
      <c r="C23" s="13"/>
      <c r="D23" s="13">
        <v>10078</v>
      </c>
      <c r="E23" s="40">
        <f>3512+4715</f>
        <v>8227</v>
      </c>
      <c r="F23" s="40">
        <f>1440+1080</f>
        <v>2520</v>
      </c>
      <c r="G23" s="84">
        <f t="shared" si="0"/>
        <v>10747</v>
      </c>
      <c r="H23">
        <f>138+168</f>
        <v>306</v>
      </c>
      <c r="I23">
        <v>0</v>
      </c>
      <c r="J23" s="84">
        <f t="shared" si="1"/>
        <v>306</v>
      </c>
      <c r="K23" s="84">
        <f t="shared" si="2"/>
        <v>11053</v>
      </c>
    </row>
    <row r="24" spans="1:11" x14ac:dyDescent="0.25">
      <c r="B24" s="17" t="s">
        <v>18</v>
      </c>
      <c r="C24" s="13"/>
      <c r="D24" s="13"/>
      <c r="E24" s="40"/>
      <c r="F24" s="40"/>
      <c r="G24" s="84">
        <f t="shared" si="0"/>
        <v>0</v>
      </c>
      <c r="J24" s="84">
        <f t="shared" si="1"/>
        <v>0</v>
      </c>
      <c r="K24" s="84">
        <f t="shared" si="2"/>
        <v>0</v>
      </c>
    </row>
    <row r="25" spans="1:11" x14ac:dyDescent="0.25">
      <c r="B25" s="17" t="s">
        <v>19</v>
      </c>
      <c r="C25" s="13"/>
      <c r="D25" s="13">
        <v>1101</v>
      </c>
      <c r="E25" s="40"/>
      <c r="F25" s="40"/>
      <c r="G25" s="84">
        <f t="shared" si="0"/>
        <v>0</v>
      </c>
      <c r="J25" s="84">
        <f t="shared" si="1"/>
        <v>0</v>
      </c>
      <c r="K25" s="84">
        <f t="shared" si="2"/>
        <v>0</v>
      </c>
    </row>
    <row r="26" spans="1:11" x14ac:dyDescent="0.25">
      <c r="A26" t="s">
        <v>138</v>
      </c>
      <c r="B26" s="17" t="s">
        <v>20</v>
      </c>
      <c r="C26" s="13"/>
      <c r="D26" s="13">
        <v>13689</v>
      </c>
      <c r="E26" s="40">
        <f>6153+5700</f>
        <v>11853</v>
      </c>
      <c r="F26" s="40">
        <v>1245</v>
      </c>
      <c r="G26" s="84">
        <f t="shared" si="0"/>
        <v>13098</v>
      </c>
      <c r="H26">
        <v>0</v>
      </c>
      <c r="I26" s="85">
        <v>0</v>
      </c>
      <c r="J26" s="84">
        <f t="shared" si="1"/>
        <v>0</v>
      </c>
      <c r="K26" s="84">
        <f t="shared" si="2"/>
        <v>13098</v>
      </c>
    </row>
    <row r="27" spans="1:11" x14ac:dyDescent="0.25">
      <c r="A27" t="s">
        <v>139</v>
      </c>
      <c r="B27" s="18" t="s">
        <v>21</v>
      </c>
      <c r="C27" s="13"/>
      <c r="D27" s="13">
        <f>270+1152</f>
        <v>1422</v>
      </c>
      <c r="E27" s="40">
        <f>213+152+1522+57</f>
        <v>1944</v>
      </c>
      <c r="F27" s="40">
        <v>0</v>
      </c>
      <c r="G27" s="84">
        <f t="shared" si="0"/>
        <v>1944</v>
      </c>
      <c r="H27">
        <v>0</v>
      </c>
      <c r="I27">
        <v>0</v>
      </c>
      <c r="J27" s="84">
        <f t="shared" si="1"/>
        <v>0</v>
      </c>
      <c r="K27" s="84">
        <f t="shared" si="2"/>
        <v>1944</v>
      </c>
    </row>
    <row r="29" spans="1:11" x14ac:dyDescent="0.25">
      <c r="B29" s="5" t="s">
        <v>31</v>
      </c>
      <c r="C29">
        <f>SUM(C6:C27)</f>
        <v>0</v>
      </c>
      <c r="D29">
        <f>SUM(D6:D27)</f>
        <v>160351</v>
      </c>
    </row>
    <row r="31" spans="1:11" x14ac:dyDescent="0.25">
      <c r="E31" s="74"/>
      <c r="F31" s="74"/>
      <c r="G31" s="74"/>
      <c r="H31" s="74"/>
      <c r="I31" s="7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AC52084791A49B6D114C960BA1E54" ma:contentTypeVersion="0" ma:contentTypeDescription="Create a new document." ma:contentTypeScope="" ma:versionID="2d0418d906b215bda38b0d392d93c5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9C6311-DE8B-47FE-A2C3-01DDD7FAB80B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B64586CB-D472-4BC1-B6F3-E280C44F12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61FC0A1-F62C-4AC1-B1A3-81C982D2CE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Calculations</vt:lpstr>
      <vt:lpstr>Cost Factor</vt:lpstr>
      <vt:lpstr>Data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Reid</dc:creator>
  <cp:lastModifiedBy>Katherine M. Garrison</cp:lastModifiedBy>
  <cp:lastPrinted>2012-01-26T22:19:27Z</cp:lastPrinted>
  <dcterms:created xsi:type="dcterms:W3CDTF">2011-10-27T12:55:50Z</dcterms:created>
  <dcterms:modified xsi:type="dcterms:W3CDTF">2012-02-20T16:04:52Z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0x010100340AC52084791A49B6D114C960BA1E54</vt:lpwstr>
  </property>
</Properties>
</file>