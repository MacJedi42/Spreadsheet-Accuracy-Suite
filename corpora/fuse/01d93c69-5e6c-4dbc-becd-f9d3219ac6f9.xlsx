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75" windowWidth="19020" windowHeight="8070" tabRatio="916"/>
  </bookViews>
  <sheets>
    <sheet name="Discount Factor" sheetId="16" r:id="rId1"/>
    <sheet name="Compounding" sheetId="15" r:id="rId2"/>
    <sheet name="Population Mean" sheetId="7" r:id="rId3"/>
    <sheet name="Population Total" sheetId="6" r:id="rId4"/>
    <sheet name="worms" sheetId="4" r:id="rId5"/>
    <sheet name="worms (2)" sheetId="9" r:id="rId6"/>
    <sheet name="Chart1" sheetId="5" r:id="rId7"/>
    <sheet name="Chart2" sheetId="14" r:id="rId8"/>
    <sheet name="tillage graph" sheetId="13" r:id="rId9"/>
    <sheet name="Multi Reg" sheetId="12" r:id="rId10"/>
    <sheet name="Simple Reg" sheetId="10" r:id="rId11"/>
    <sheet name="Simple Reg (2)" sheetId="11" r:id="rId12"/>
    <sheet name="t-test" sheetId="17" r:id="rId13"/>
    <sheet name="Tillage" sheetId="2" r:id="rId14"/>
  </sheets>
  <calcPr calcId="145621"/>
</workbook>
</file>

<file path=xl/calcChain.xml><?xml version="1.0" encoding="utf-8"?>
<calcChain xmlns="http://schemas.openxmlformats.org/spreadsheetml/2006/main">
  <c r="D10" i="16" l="1"/>
  <c r="D12" i="16"/>
  <c r="D13" i="16"/>
  <c r="D11" i="16"/>
  <c r="D9" i="16"/>
  <c r="D8" i="16"/>
  <c r="B3" i="15"/>
  <c r="C10" i="15"/>
  <c r="C11" i="15"/>
  <c r="C12" i="15"/>
  <c r="C13" i="15"/>
  <c r="C14" i="15"/>
  <c r="C15" i="15"/>
  <c r="C16" i="15"/>
  <c r="C17" i="15"/>
  <c r="C18" i="15"/>
  <c r="C9" i="15"/>
  <c r="B10" i="15"/>
  <c r="B11" i="15"/>
  <c r="B12" i="15"/>
  <c r="B13" i="15"/>
  <c r="B14" i="15"/>
  <c r="B15" i="15"/>
  <c r="B16" i="15"/>
  <c r="B17" i="15"/>
  <c r="B18" i="15"/>
  <c r="B9" i="15"/>
  <c r="B16" i="9"/>
  <c r="B15" i="9"/>
  <c r="B14" i="9"/>
  <c r="B13" i="9"/>
  <c r="B12" i="9"/>
  <c r="D19" i="7"/>
  <c r="D18" i="7"/>
  <c r="D17" i="7"/>
  <c r="B16" i="7"/>
  <c r="B19" i="7" s="1"/>
  <c r="B15" i="7"/>
  <c r="B18" i="7" s="1"/>
  <c r="D17" i="6"/>
  <c r="D20" i="6"/>
  <c r="D19" i="6"/>
  <c r="B16" i="6"/>
  <c r="B19" i="6" s="1"/>
  <c r="B15" i="6"/>
  <c r="B18" i="6" s="1"/>
</calcChain>
</file>

<file path=xl/sharedStrings.xml><?xml version="1.0" encoding="utf-8"?>
<sst xmlns="http://schemas.openxmlformats.org/spreadsheetml/2006/main" count="470" uniqueCount="136">
  <si>
    <t>n</t>
  </si>
  <si>
    <t>OBS</t>
  </si>
  <si>
    <t>ACRES</t>
  </si>
  <si>
    <t>AGE</t>
  </si>
  <si>
    <t>EDUC</t>
  </si>
  <si>
    <t>COUNTY</t>
  </si>
  <si>
    <t>Cook</t>
  </si>
  <si>
    <t>Haynes</t>
  </si>
  <si>
    <t>Bin Range</t>
  </si>
  <si>
    <t>Frequency</t>
  </si>
  <si>
    <t>Bin</t>
  </si>
  <si>
    <t>More</t>
  </si>
  <si>
    <t>Years of Education</t>
  </si>
  <si>
    <t>Mean</t>
  </si>
  <si>
    <t>Standard Error</t>
  </si>
  <si>
    <t>Median</t>
  </si>
  <si>
    <t>Mode</t>
  </si>
  <si>
    <t>Standard Deviation</t>
  </si>
  <si>
    <t>Sample Variance</t>
  </si>
  <si>
    <t>Kurtosis</t>
  </si>
  <si>
    <t>Skewness</t>
  </si>
  <si>
    <t>Range</t>
  </si>
  <si>
    <t>Minimum</t>
  </si>
  <si>
    <t>Maximum</t>
  </si>
  <si>
    <t>Sum</t>
  </si>
  <si>
    <t>Count</t>
  </si>
  <si>
    <t>Confidence Level(95.0%)</t>
  </si>
  <si>
    <t>Plot</t>
  </si>
  <si>
    <t>Number of Earthworms</t>
  </si>
  <si>
    <t>Average</t>
  </si>
  <si>
    <t>Estimated Variance:</t>
  </si>
  <si>
    <t>with fpc:</t>
  </si>
  <si>
    <t>w/o fpc:</t>
  </si>
  <si>
    <t>Estimated Std. Error:</t>
  </si>
  <si>
    <t>Population Size (N):</t>
  </si>
  <si>
    <t>Sample Size (n):</t>
  </si>
  <si>
    <t>Variance</t>
  </si>
  <si>
    <t>Std. Dev</t>
  </si>
  <si>
    <t xml:space="preserve">Population Total: </t>
  </si>
  <si>
    <t>Population Total Bound:</t>
  </si>
  <si>
    <t>Estimated Variance of the Mean:</t>
  </si>
  <si>
    <t>Estimated Std. Error of the Mean:</t>
  </si>
  <si>
    <t>Confidence Level with fpc:</t>
  </si>
  <si>
    <t>Upper Bound:</t>
  </si>
  <si>
    <t>Lower Bound:</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</si>
  <si>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</si>
  <si>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</si>
  <si>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</si>
  <si>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</si>
  <si>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</si>
  <si>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</si>
  <si>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</si>
  <si>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</si>
  <si>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</si>
  <si>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</si>
  <si>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</si>
  <si>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</si>
  <si>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</si>
  <si>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</si>
  <si>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</si>
  <si>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</si>
  <si>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</si>
  <si>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</si>
  <si>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</si>
  <si>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</si>
  <si>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</si>
  <si>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</si>
  <si>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</si>
  <si>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PV</t>
  </si>
  <si>
    <t>FV</t>
  </si>
  <si>
    <t>r</t>
  </si>
  <si>
    <t>FV with Compounding</t>
  </si>
  <si>
    <t>FV without Compounding</t>
  </si>
  <si>
    <t>Calculating Future Value with and without Compounding:</t>
  </si>
  <si>
    <t>FV function</t>
  </si>
  <si>
    <t>Returns the future value of an investment based on periodic, constant payments and a constant interest rate.</t>
  </si>
  <si>
    <t>Syntax</t>
  </si>
  <si>
    <r>
      <t>FV</t>
    </r>
    <r>
      <rPr>
        <sz val="13.2"/>
        <color rgb="FF454545"/>
        <rFont val="Arial"/>
        <family val="2"/>
      </rPr>
      <t>(</t>
    </r>
    <r>
      <rPr>
        <b/>
        <sz val="13.2"/>
        <color rgb="FF454545"/>
        <rFont val="Arial"/>
        <family val="2"/>
      </rPr>
      <t>rate</t>
    </r>
    <r>
      <rPr>
        <sz val="13.2"/>
        <color rgb="FF454545"/>
        <rFont val="Arial"/>
        <family val="2"/>
      </rPr>
      <t>,</t>
    </r>
    <r>
      <rPr>
        <b/>
        <sz val="13.2"/>
        <color rgb="FF454545"/>
        <rFont val="Arial"/>
        <family val="2"/>
      </rPr>
      <t>nper</t>
    </r>
    <r>
      <rPr>
        <sz val="13.2"/>
        <color rgb="FF454545"/>
        <rFont val="Arial"/>
        <family val="2"/>
      </rPr>
      <t>,</t>
    </r>
    <r>
      <rPr>
        <b/>
        <sz val="13.2"/>
        <color rgb="FF454545"/>
        <rFont val="Arial"/>
        <family val="2"/>
      </rPr>
      <t>pmt</t>
    </r>
    <r>
      <rPr>
        <sz val="13.2"/>
        <color rgb="FF454545"/>
        <rFont val="Arial"/>
        <family val="2"/>
      </rPr>
      <t>,pv,type)</t>
    </r>
  </si>
  <si>
    <t>For a more complete description of the arguments in FV and for more information on annuity functions, see PV.</t>
  </si>
  <si>
    <r>
      <t>Rate</t>
    </r>
    <r>
      <rPr>
        <sz val="13.2"/>
        <color rgb="FF454545"/>
        <rFont val="Arial"/>
        <family val="2"/>
      </rPr>
      <t>     is the interest rate per period.</t>
    </r>
  </si>
  <si>
    <r>
      <t>Nper</t>
    </r>
    <r>
      <rPr>
        <sz val="13.2"/>
        <color rgb="FF454545"/>
        <rFont val="Arial"/>
        <family val="2"/>
      </rPr>
      <t>     is the total number of payment periods in an annuity.</t>
    </r>
  </si>
  <si>
    <r>
      <t>Pmt</t>
    </r>
    <r>
      <rPr>
        <sz val="13.2"/>
        <color rgb="FF454545"/>
        <rFont val="Arial"/>
        <family val="2"/>
      </rPr>
      <t>     is the payment made each period; it cannot change over the life of the annuity. Typically, pmt contains principal and interest but no other fees or taxes. If pmt is omitted, you must include the pv argument.</t>
    </r>
  </si>
  <si>
    <r>
      <t>Pv</t>
    </r>
    <r>
      <rPr>
        <sz val="13.2"/>
        <color rgb="FF454545"/>
        <rFont val="Arial"/>
        <family val="2"/>
      </rPr>
      <t>     is the present value, or the lump-sum amount that a series of future payments is worth right now. If pv is omitted, it is assumed to be 0 (zero), and you must include the pmt argument.</t>
    </r>
  </si>
  <si>
    <r>
      <t>Type</t>
    </r>
    <r>
      <rPr>
        <sz val="13.2"/>
        <color rgb="FF454545"/>
        <rFont val="Arial"/>
        <family val="2"/>
      </rPr>
      <t>     is the number 0 or 1 and indicates when payments are due. If type is omitted, it is assumed to be 0.</t>
    </r>
  </si>
  <si>
    <t>Set type equal to</t>
  </si>
  <si>
    <t>If payments are due</t>
  </si>
  <si>
    <t>At the end of the period</t>
  </si>
  <si>
    <t>At the beginning of the period</t>
  </si>
  <si>
    <t>Remarks</t>
  </si>
  <si>
    <t>Make sure that you are consistent about the units you use for specifying rate and nper. If you make monthly payments on a four-year loan at 12 percent annual interest, use 12%/12 for rate and 4*12 for nper. If you make annual payments on the same loan, use 12% for rate and 4 for nper.</t>
  </si>
  <si>
    <t>For all the arguments, cash you pay out, such as deposits to savings, is represented by negative numbers; cash you receive, such as dividend checks, is represented by positive numbers.</t>
  </si>
  <si>
    <t>The following notes are from Microsoft Excel Help:</t>
  </si>
  <si>
    <t>Discount Factor Formula</t>
  </si>
  <si>
    <t>Discount Factor Formula in Excel</t>
  </si>
  <si>
    <t>Fund Type</t>
  </si>
  <si>
    <t>Lump Sum</t>
  </si>
  <si>
    <t>Discount Factor Value (d)</t>
  </si>
  <si>
    <t>Interest Rate (r):</t>
  </si>
  <si>
    <t>Investment Periods (n):</t>
  </si>
  <si>
    <t>Annuity</t>
  </si>
  <si>
    <r>
      <t>(1+r)</t>
    </r>
    <r>
      <rPr>
        <vertAlign val="superscript"/>
        <sz val="11"/>
        <color theme="1"/>
        <rFont val="Calibri"/>
        <family val="2"/>
        <scheme val="minor"/>
      </rPr>
      <t>n</t>
    </r>
  </si>
  <si>
    <r>
      <t>(1+r)</t>
    </r>
    <r>
      <rPr>
        <vertAlign val="superscript"/>
        <sz val="11"/>
        <color theme="1"/>
        <rFont val="Calibri"/>
        <family val="2"/>
        <scheme val="minor"/>
      </rPr>
      <t>-n</t>
    </r>
  </si>
  <si>
    <t>=FV(r,n,0,-1)</t>
  </si>
  <si>
    <t>=PV(r,n,0,-1)</t>
  </si>
  <si>
    <t>=PMT(r,n,-1)</t>
  </si>
  <si>
    <t>=PMT(r,n,0,-1)</t>
  </si>
  <si>
    <t>=PV(r,n,-1)</t>
  </si>
  <si>
    <t>=FV(r,n,-1)</t>
  </si>
  <si>
    <r>
      <t>r/((1+r)</t>
    </r>
    <r>
      <rPr>
        <vertAlign val="superscript"/>
        <sz val="11"/>
        <color theme="1"/>
        <rFont val="Calibri"/>
        <family val="2"/>
        <scheme val="minor"/>
      </rPr>
      <t>n</t>
    </r>
    <r>
      <rPr>
        <sz val="11"/>
        <color theme="1"/>
        <rFont val="Calibri"/>
        <family val="2"/>
        <scheme val="minor"/>
      </rPr>
      <t>-1)</t>
    </r>
  </si>
  <si>
    <r>
      <t>((1+r)</t>
    </r>
    <r>
      <rPr>
        <vertAlign val="superscript"/>
        <sz val="11"/>
        <color theme="1"/>
        <rFont val="Calibri"/>
        <family val="2"/>
        <scheme val="minor"/>
      </rPr>
      <t>n</t>
    </r>
    <r>
      <rPr>
        <sz val="11"/>
        <color theme="1"/>
        <rFont val="Calibri"/>
        <family val="2"/>
        <scheme val="minor"/>
      </rPr>
      <t>-1)/r</t>
    </r>
  </si>
  <si>
    <t>Discount Factor Table and Calculators:</t>
  </si>
  <si>
    <t>Independent Variables:</t>
  </si>
  <si>
    <t>Note:</t>
  </si>
  <si>
    <t xml:space="preserve">To take into the effect of interest compounding and discounting in investment analysis, we often need to convert the value of a fund or funds from one type to another, from present value to future value, for example. Using discount factors avoids the need for complicated fomulas. The table presents six common discount factors, along with their math formula and Excel formula. </t>
  </si>
  <si>
    <t>To use the discount factor, follow this simple formula: Y=dX, where Y is value to be converted to, X is the value to be converted from, and d is one of the discount factor in the following table.</t>
  </si>
  <si>
    <t>Change the values of interest rate and the number of investment periods to get their corresponding discount factors.</t>
  </si>
  <si>
    <t>Discount Factor ID</t>
  </si>
  <si>
    <r>
      <t>((1+r)</t>
    </r>
    <r>
      <rPr>
        <vertAlign val="superscript"/>
        <sz val="11"/>
        <color theme="1"/>
        <rFont val="Calibri"/>
        <family val="2"/>
        <scheme val="minor"/>
      </rPr>
      <t>n</t>
    </r>
    <r>
      <rPr>
        <sz val="11"/>
        <color theme="1"/>
        <rFont val="Calibri"/>
        <family val="2"/>
        <scheme val="minor"/>
      </rPr>
      <t>-1)/(r(1+r)</t>
    </r>
    <r>
      <rPr>
        <vertAlign val="superscript"/>
        <sz val="11"/>
        <color theme="1"/>
        <rFont val="Calibri"/>
        <family val="2"/>
        <scheme val="minor"/>
      </rPr>
      <t>n</t>
    </r>
    <r>
      <rPr>
        <sz val="11"/>
        <color theme="1"/>
        <rFont val="Calibri"/>
        <family val="2"/>
        <scheme val="minor"/>
      </rPr>
      <t>)</t>
    </r>
  </si>
  <si>
    <r>
      <t>r(1+r)</t>
    </r>
    <r>
      <rPr>
        <vertAlign val="superscript"/>
        <sz val="11"/>
        <color theme="1"/>
        <rFont val="Calibri"/>
        <family val="2"/>
        <scheme val="minor"/>
      </rPr>
      <t>n</t>
    </r>
    <r>
      <rPr>
        <sz val="11"/>
        <color theme="1"/>
        <rFont val="Calibri"/>
        <family val="2"/>
        <scheme val="minor"/>
      </rPr>
      <t>/((1+r)</t>
    </r>
    <r>
      <rPr>
        <vertAlign val="superscript"/>
        <sz val="11"/>
        <color theme="1"/>
        <rFont val="Calibri"/>
        <family val="2"/>
        <scheme val="minor"/>
      </rPr>
      <t>n</t>
    </r>
    <r>
      <rPr>
        <sz val="11"/>
        <color theme="1"/>
        <rFont val="Calibri"/>
        <family val="2"/>
        <scheme val="minor"/>
      </rPr>
      <t>-1)</t>
    </r>
  </si>
  <si>
    <t>Value Conversion</t>
  </si>
  <si>
    <t>PV -&gt; A</t>
  </si>
  <si>
    <t>FV -&gt; A</t>
  </si>
  <si>
    <t>A -&gt; PV</t>
  </si>
  <si>
    <t>A -&gt; FV</t>
  </si>
  <si>
    <t>PV -&gt; FV</t>
  </si>
  <si>
    <t>FV -&gt; PV</t>
  </si>
  <si>
    <t>t-Test: Two-Sample Assuming Equal Variances</t>
  </si>
  <si>
    <t>Variable 1</t>
  </si>
  <si>
    <t>Variable 2</t>
  </si>
  <si>
    <t>Pooled Variance</t>
  </si>
  <si>
    <t>Hypothesized Mean Difference</t>
  </si>
  <si>
    <t>P(T&lt;=t) one-tail</t>
  </si>
  <si>
    <t>t Critical one-tail</t>
  </si>
  <si>
    <t>P(T&lt;=t) two-tail</t>
  </si>
  <si>
    <t>t Critical two-tail</t>
  </si>
  <si>
    <t>t-Test: Two-Sample Assuming Unequal Variances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</si>
</sst>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8" formatCode="&quot;$&quot;#,##0.00_);[Red]\(&quot;$&quot;#,##0.00\)"/>
    <numFmt numFmtId="43" formatCode="_(* #,##0.00_);_(* \(#,##0.00\);_(* &quot;-&quot;??_);_(@_)"/>
    <numFmt numFmtId="164" formatCode="0.0"/>
    <numFmt numFmtId="165" formatCode="0.0000"/>
  </numFmts>
  <fonts count="14" x14ac:knownFonts="1">
    <font>
      <sz val="11"/>
      <color theme="1"/>
      <name val="Calibri"/>
      <family val="2"/>
      <scheme val="minor"/>
    </font>
    <font>
      <sz val="11"/>
      <color theme="1"/>
      <name val="Times New Roman"/>
      <family val="1"/>
    </font>
    <font>
      <b/>
      <sz val="11"/>
      <color theme="1"/>
      <name val="Times New Roman"/>
      <family val="1"/>
    </font>
    <font>
      <i/>
      <sz val="11"/>
      <color theme="1"/>
      <name val="Calibri"/>
      <family val="2"/>
      <scheme val="minor"/>
    </font>
    <font>
      <sz val="11"/>
      <color theme="1"/>
      <name val="Calibri"/>
      <family val="2"/>
      <scheme val="minor"/>
    </font>
    <font>
      <sz val="20.9"/>
      <color rgb="FF232323"/>
      <name val="Tahoma"/>
      <family val="2"/>
    </font>
    <font>
      <sz val="13.2"/>
      <color rgb="FF454545"/>
      <name val="Arial"/>
      <family val="2"/>
    </font>
    <font>
      <b/>
      <sz val="13.2"/>
      <color rgb="FF454545"/>
      <name val="Arial"/>
      <family val="2"/>
    </font>
    <font>
      <sz val="10.1"/>
      <color rgb="FF454545"/>
      <name val="Arial"/>
      <family val="2"/>
    </font>
    <font>
      <sz val="11"/>
      <color rgb="FFFF0000"/>
      <name val="Calibri"/>
      <family val="2"/>
      <scheme val="minor"/>
    </font>
    <font>
      <vertAlign val="superscript"/>
      <sz val="11"/>
      <color theme="1"/>
      <name val="Calibri"/>
      <family val="2"/>
      <scheme val="minor"/>
    </font>
    <font>
      <b/>
      <sz val="14"/>
      <color theme="1"/>
      <name val="Calibri"/>
      <family val="2"/>
      <scheme val="minor"/>
    </font>
    <font>
      <u/>
      <sz val="11"/>
      <color theme="1"/>
      <name val="Calibri"/>
      <family val="2"/>
      <scheme val="minor"/>
    </font>
    <font>
      <sz val="11"/>
      <name val="Calibri"/>
      <family val="2"/>
      <scheme val="minor"/>
    </font>
  </fonts>
  <fills count="5">
    <fill>
      <patternFill patternType="none"/>
    </fill>
    <fill>
      <patternFill patternType="gray125"/>
    </fill>
    <fill>
      <patternFill patternType="solid">
        <fgColor rgb="FFD8D8D8"/>
        <bgColor indexed="64"/>
      </patternFill>
    </fill>
    <fill>
      <patternFill patternType="solid">
        <fgColor rgb="FFFFFFFF"/>
        <bgColor indexed="64"/>
      </patternFill>
    </fill>
    <fill>
      <patternFill patternType="solid">
        <fgColor rgb="FFF3F3F3"/>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style="thin">
        <color indexed="64"/>
      </bottom>
      <diagonal/>
    </border>
    <border>
      <left/>
      <right/>
      <top style="thin">
        <color indexed="64"/>
      </top>
      <bottom/>
      <diagonal/>
    </border>
    <border>
      <left/>
      <right/>
      <top/>
      <bottom style="thin">
        <color indexed="64"/>
      </bottom>
      <diagonal/>
    </border>
    <border>
      <left/>
      <right/>
      <top style="medium">
        <color rgb="FFA4A4A4"/>
      </top>
      <bottom style="medium">
        <color rgb="FFA4A4A4"/>
      </bottom>
      <diagonal/>
    </border>
    <border>
      <left/>
      <right/>
      <top/>
      <bottom style="medium">
        <color rgb="FFCCCCCC"/>
      </bottom>
      <diagonal/>
    </border>
    <border>
      <left/>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53">
    <xf numFmtId="0" fontId="0" fillId="0" borderId="0" xfId="0"/>
    <xf numFmtId="0" fontId="2" fillId="0" borderId="1" xfId="0" applyFont="1" applyBorder="1" applyAlignment="1">
      <alignment vertical="top" wrapText="1"/>
    </xf>
    <xf numFmtId="0" fontId="2" fillId="0" borderId="2" xfId="0" applyFont="1" applyBorder="1" applyAlignment="1">
      <alignment vertical="top" wrapText="1"/>
    </xf>
    <xf numFmtId="0" fontId="1" fillId="0" borderId="3" xfId="0" applyFont="1" applyBorder="1" applyAlignment="1">
      <alignment vertical="top" wrapText="1"/>
    </xf>
    <xf numFmtId="0" fontId="1" fillId="0" borderId="4" xfId="0" applyFont="1" applyBorder="1" applyAlignment="1">
      <alignment vertical="top" wrapText="1"/>
    </xf>
    <xf numFmtId="0" fontId="0" fillId="0" borderId="0" xfId="0" applyNumberFormat="1"/>
    <xf numFmtId="0" fontId="0" fillId="0" borderId="0" xfId="0" applyNumberFormat="1" applyFill="1" applyBorder="1" applyAlignment="1"/>
    <xf numFmtId="0" fontId="0" fillId="0" borderId="0" xfId="0" applyFill="1" applyBorder="1" applyAlignment="1"/>
    <xf numFmtId="0" fontId="0" fillId="0" borderId="5" xfId="0" applyFill="1" applyBorder="1" applyAlignment="1"/>
    <xf numFmtId="0" fontId="3" fillId="0" borderId="6" xfId="0" applyFont="1" applyFill="1" applyBorder="1" applyAlignment="1">
      <alignment horizontal="center"/>
    </xf>
    <xf numFmtId="0" fontId="3" fillId="0" borderId="6" xfId="0" applyFont="1" applyFill="1" applyBorder="1" applyAlignment="1">
      <alignment horizontal="centerContinuous"/>
    </xf>
    <xf numFmtId="0" fontId="0" fillId="0" borderId="7" xfId="0" applyBorder="1"/>
    <xf numFmtId="0" fontId="0" fillId="0" borderId="0" xfId="0" applyBorder="1"/>
    <xf numFmtId="0" fontId="0" fillId="0" borderId="8" xfId="0" applyBorder="1"/>
    <xf numFmtId="2" fontId="0" fillId="0" borderId="0" xfId="0" applyNumberFormat="1"/>
    <xf numFmtId="0" fontId="0" fillId="0" borderId="7" xfId="0" applyBorder="1" applyAlignment="1">
      <alignment horizontal="center"/>
    </xf>
    <xf numFmtId="0" fontId="0" fillId="0" borderId="0" xfId="0" applyBorder="1" applyAlignment="1">
      <alignment horizontal="center"/>
    </xf>
    <xf numFmtId="0" fontId="0" fillId="0" borderId="8" xfId="0" applyBorder="1" applyAlignment="1">
      <alignment horizontal="center"/>
    </xf>
    <xf numFmtId="0" fontId="0" fillId="0" borderId="0" xfId="0" applyFill="1" applyBorder="1" applyAlignment="1">
      <alignment horizontal="center"/>
    </xf>
    <xf numFmtId="0" fontId="0" fillId="0" borderId="0" xfId="0" quotePrefix="1" applyFill="1" applyBorder="1" applyAlignment="1">
      <alignment horizontal="center"/>
    </xf>
    <xf numFmtId="0" fontId="0" fillId="0" borderId="0" xfId="0" applyAlignment="1">
      <alignment horizontal="center"/>
    </xf>
    <xf numFmtId="2" fontId="0" fillId="0" borderId="0" xfId="0" applyNumberFormat="1" applyAlignment="1">
      <alignment horizontal="center"/>
    </xf>
    <xf numFmtId="2" fontId="0" fillId="0" borderId="0" xfId="1" applyNumberFormat="1" applyFont="1" applyAlignment="1">
      <alignment horizontal="center"/>
    </xf>
    <xf numFmtId="2" fontId="0" fillId="0" borderId="0" xfId="0" applyNumberFormat="1" applyFill="1" applyBorder="1" applyAlignment="1"/>
    <xf numFmtId="2" fontId="0" fillId="0" borderId="5" xfId="0" applyNumberFormat="1" applyFill="1" applyBorder="1" applyAlignment="1"/>
    <xf numFmtId="164" fontId="0" fillId="0" borderId="0" xfId="0" applyNumberFormat="1" applyFill="1" applyBorder="1" applyAlignment="1"/>
    <xf numFmtId="0" fontId="0" fillId="0" borderId="0" xfId="0" quotePrefix="1" applyAlignment="1">
      <alignment horizontal="center"/>
    </xf>
    <xf numFmtId="2" fontId="0" fillId="0" borderId="0" xfId="0" quotePrefix="1" applyNumberFormat="1" applyAlignment="1">
      <alignment horizontal="center"/>
    </xf>
    <xf numFmtId="9" fontId="0" fillId="0" borderId="0" xfId="0" applyNumberFormat="1"/>
    <xf numFmtId="8" fontId="0" fillId="0" borderId="0" xfId="0" applyNumberFormat="1"/>
    <xf numFmtId="0" fontId="0" fillId="0" borderId="0" xfId="0" applyAlignment="1">
      <alignment horizontal="left" indent="1"/>
    </xf>
    <xf numFmtId="0" fontId="5" fillId="0" borderId="0" xfId="0" applyFont="1" applyAlignment="1">
      <alignment horizontal="left" indent="1"/>
    </xf>
    <xf numFmtId="0" fontId="6" fillId="0" borderId="0" xfId="0" applyFont="1" applyAlignment="1">
      <alignment horizontal="left" indent="1"/>
    </xf>
    <xf numFmtId="0" fontId="7" fillId="0" borderId="0" xfId="0" applyFont="1" applyAlignment="1">
      <alignment horizontal="left" indent="1"/>
    </xf>
    <xf numFmtId="0" fontId="7" fillId="2" borderId="9" xfId="0" applyFont="1" applyFill="1" applyBorder="1" applyAlignment="1">
      <alignment horizontal="left" vertical="center" wrapText="1" indent="1"/>
    </xf>
    <xf numFmtId="0" fontId="8" fillId="3" borderId="10" xfId="0" applyFont="1" applyFill="1" applyBorder="1" applyAlignment="1">
      <alignment vertical="top" wrapText="1" indent="1"/>
    </xf>
    <xf numFmtId="0" fontId="8" fillId="4" borderId="11" xfId="0" applyFont="1" applyFill="1" applyBorder="1" applyAlignment="1">
      <alignment vertical="top" wrapText="1" indent="1"/>
    </xf>
    <xf numFmtId="0" fontId="0" fillId="0" borderId="0" xfId="0" applyAlignment="1">
      <alignment horizontal="left" indent="2"/>
    </xf>
    <xf numFmtId="0" fontId="6" fillId="0" borderId="0" xfId="0" applyFont="1" applyAlignment="1">
      <alignment horizontal="left" indent="2"/>
    </xf>
    <xf numFmtId="165" fontId="0" fillId="0" borderId="0" xfId="0" applyNumberFormat="1" applyBorder="1"/>
    <xf numFmtId="165" fontId="0" fillId="0" borderId="8" xfId="0" applyNumberFormat="1" applyBorder="1"/>
    <xf numFmtId="9" fontId="9" fillId="0" borderId="12" xfId="0" applyNumberFormat="1" applyFont="1" applyBorder="1"/>
    <xf numFmtId="0" fontId="9" fillId="0" borderId="12" xfId="0" applyFont="1" applyBorder="1"/>
    <xf numFmtId="0" fontId="11" fillId="0" borderId="0" xfId="0" applyFont="1"/>
    <xf numFmtId="0" fontId="12" fillId="0" borderId="0" xfId="0" applyFont="1"/>
    <xf numFmtId="0" fontId="0" fillId="0" borderId="7" xfId="0" applyBorder="1" applyAlignment="1">
      <alignment horizontal="left"/>
    </xf>
    <xf numFmtId="0" fontId="0" fillId="0" borderId="0" xfId="0" applyBorder="1" applyAlignment="1">
      <alignment horizontal="left"/>
    </xf>
    <xf numFmtId="0" fontId="0" fillId="0" borderId="8" xfId="0" applyBorder="1" applyAlignment="1">
      <alignment horizontal="left"/>
    </xf>
    <xf numFmtId="0" fontId="0" fillId="0" borderId="7" xfId="0" applyBorder="1" applyAlignment="1">
      <alignment wrapText="1"/>
    </xf>
    <xf numFmtId="165" fontId="13" fillId="0" borderId="7" xfId="0" applyNumberFormat="1" applyFont="1" applyBorder="1"/>
    <xf numFmtId="165" fontId="13" fillId="0" borderId="0" xfId="0" applyNumberFormat="1" applyFont="1" applyBorder="1"/>
    <xf numFmtId="165" fontId="13" fillId="0" borderId="8" xfId="0" applyNumberFormat="1" applyFont="1" applyBorder="1"/>
    <xf numFmtId="0" fontId="0" fillId="0" borderId="0" xfId="0" applyAlignment="1">
      <alignment horizontal="left"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worksheet" Target="worksheets/sheet1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chartsheet" Target="chartsheets/sheet1.xml"/><Relationship Id="rId12" Type="http://schemas.openxmlformats.org/officeDocument/2006/relationships/worksheet" Target="worksheets/sheet10.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9.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8.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2.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
          <c:order val="0"/>
          <c:tx>
            <c:strRef>
              <c:f>Compounding!$B$8</c:f>
              <c:strCache>
                <c:ptCount val="1"/>
                <c:pt idx="0">
                  <c:v>FV with Compounding</c:v>
                </c:pt>
              </c:strCache>
            </c:strRef>
          </c:tx>
          <c:marker>
            <c:symbol val="none"/>
          </c:marker>
          <c:cat>
            <c:numRef>
              <c:f>Compounding!$A$9:$A$18</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Compounding!$B$9:$B$18</c:f>
              <c:numCache>
                <c:formatCode>0.00</c:formatCode>
                <c:ptCount val="10"/>
                <c:pt idx="0">
                  <c:v>3300.0000000000005</c:v>
                </c:pt>
                <c:pt idx="1">
                  <c:v>3630.0000000000005</c:v>
                </c:pt>
                <c:pt idx="2">
                  <c:v>3993.0000000000014</c:v>
                </c:pt>
                <c:pt idx="3">
                  <c:v>4392.3000000000011</c:v>
                </c:pt>
                <c:pt idx="4">
                  <c:v>4831.5300000000016</c:v>
                </c:pt>
                <c:pt idx="5">
                  <c:v>5314.6830000000027</c:v>
                </c:pt>
                <c:pt idx="6">
                  <c:v>5846.1513000000032</c:v>
                </c:pt>
                <c:pt idx="7">
                  <c:v>6430.7664300000033</c:v>
                </c:pt>
                <c:pt idx="8">
                  <c:v>7073.8430730000046</c:v>
                </c:pt>
                <c:pt idx="9">
                  <c:v>7781.2273803000053</c:v>
                </c:pt>
              </c:numCache>
            </c:numRef>
          </c:val>
          <c:smooth val="0"/>
        </c:ser>
        <c:ser>
          <c:idx val="2"/>
          <c:order val="1"/>
          <c:tx>
            <c:strRef>
              <c:f>Compounding!$C$8</c:f>
              <c:strCache>
                <c:ptCount val="1"/>
                <c:pt idx="0">
                  <c:v>FV without Compounding</c:v>
                </c:pt>
              </c:strCache>
            </c:strRef>
          </c:tx>
          <c:marker>
            <c:symbol val="none"/>
          </c:marker>
          <c:cat>
            <c:numRef>
              <c:f>Compounding!$A$9:$A$18</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Compounding!$C$9:$C$18</c:f>
              <c:numCache>
                <c:formatCode>0.00</c:formatCode>
                <c:ptCount val="10"/>
                <c:pt idx="0">
                  <c:v>3300</c:v>
                </c:pt>
                <c:pt idx="1">
                  <c:v>3600</c:v>
                </c:pt>
                <c:pt idx="2">
                  <c:v>3900</c:v>
                </c:pt>
                <c:pt idx="3">
                  <c:v>4200</c:v>
                </c:pt>
                <c:pt idx="4">
                  <c:v>4500</c:v>
                </c:pt>
                <c:pt idx="5">
                  <c:v>4800</c:v>
                </c:pt>
                <c:pt idx="6">
                  <c:v>5100</c:v>
                </c:pt>
                <c:pt idx="7">
                  <c:v>5400</c:v>
                </c:pt>
                <c:pt idx="8">
                  <c:v>5700</c:v>
                </c:pt>
                <c:pt idx="9">
                  <c:v>6000</c:v>
                </c:pt>
              </c:numCache>
            </c:numRef>
          </c:val>
          <c:smooth val="0"/>
        </c:ser>
        <c:dLbls>
          <c:showLegendKey val="0"/>
          <c:showVal val="0"/>
          <c:showCatName val="0"/>
          <c:showSerName val="0"/>
          <c:showPercent val="0"/>
          <c:showBubbleSize val="0"/>
        </c:dLbls>
        <c:marker val="1"/>
        <c:smooth val="0"/>
        <c:axId val="118098560"/>
        <c:axId val="118100352"/>
      </c:lineChart>
      <c:catAx>
        <c:axId val="118098560"/>
        <c:scaling>
          <c:orientation val="minMax"/>
        </c:scaling>
        <c:delete val="0"/>
        <c:axPos val="b"/>
        <c:numFmt formatCode="General" sourceLinked="1"/>
        <c:majorTickMark val="out"/>
        <c:minorTickMark val="none"/>
        <c:tickLblPos val="nextTo"/>
        <c:txPr>
          <a:bodyPr/>
          <a:lstStyle/>
          <a:p>
            <a:pPr>
              <a:defRPr sz="1100">
                <a:latin typeface="Times New Roman" pitchFamily="18" charset="0"/>
                <a:cs typeface="Times New Roman" pitchFamily="18" charset="0"/>
              </a:defRPr>
            </a:pPr>
            <a:endParaRPr lang="en-US"/>
          </a:p>
        </c:txPr>
        <c:crossAx val="118100352"/>
        <c:crosses val="autoZero"/>
        <c:auto val="1"/>
        <c:lblAlgn val="ctr"/>
        <c:lblOffset val="100"/>
        <c:noMultiLvlLbl val="0"/>
      </c:catAx>
      <c:valAx>
        <c:axId val="118100352"/>
        <c:scaling>
          <c:orientation val="minMax"/>
        </c:scaling>
        <c:delete val="0"/>
        <c:axPos val="l"/>
        <c:majorGridlines/>
        <c:numFmt formatCode="&quot;$&quot;#,##0" sourceLinked="0"/>
        <c:majorTickMark val="out"/>
        <c:minorTickMark val="none"/>
        <c:tickLblPos val="nextTo"/>
        <c:txPr>
          <a:bodyPr/>
          <a:lstStyle/>
          <a:p>
            <a:pPr>
              <a:defRPr sz="1100">
                <a:latin typeface="Times New Roman" pitchFamily="18" charset="0"/>
                <a:cs typeface="Times New Roman" pitchFamily="18" charset="0"/>
              </a:defRPr>
            </a:pPr>
            <a:endParaRPr lang="en-US"/>
          </a:p>
        </c:txPr>
        <c:crossAx val="118098560"/>
        <c:crosses val="autoZero"/>
        <c:crossBetween val="between"/>
      </c:valAx>
    </c:plotArea>
    <c:legend>
      <c:legendPos val="b"/>
      <c:layout/>
      <c:overlay val="0"/>
      <c:txPr>
        <a:bodyPr/>
        <a:lstStyle/>
        <a:p>
          <a:pPr>
            <a:defRPr sz="1100">
              <a:latin typeface="Times New Roman" pitchFamily="18" charset="0"/>
              <a:cs typeface="Times New Roman" pitchFamily="18" charset="0"/>
            </a:defRPr>
          </a:pPr>
          <a:endParaRPr lang="en-US"/>
        </a:p>
      </c:txPr>
    </c:legend>
    <c:plotVisOnly val="1"/>
    <c:dispBlanksAs val="gap"/>
    <c:showDLblsOverMax val="0"/>
  </c:chart>
  <c:spPr>
    <a:ln>
      <a:noFill/>
    </a:ln>
  </c:spPr>
  <c:printSettings>
    <c:headerFooter/>
    <c:pageMargins b="0.75000000000000033" l="0.70000000000000029" r="0.70000000000000029" t="0.75000000000000033" header="0.30000000000000016" footer="0.30000000000000016"/>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Years of Education</a:t>
            </a:r>
          </a:p>
        </c:rich>
      </c:tx>
      <c:layout/>
      <c:overlay val="0"/>
    </c:title>
    <c:autoTitleDeleted val="0"/>
    <c:plotArea>
      <c:layout>
        <c:manualLayout>
          <c:layoutTarget val="inner"/>
          <c:xMode val="edge"/>
          <c:yMode val="edge"/>
          <c:x val="0.13315797063828536"/>
          <c:y val="8.5005169808319528E-2"/>
          <c:w val="0.85219001470970068"/>
          <c:h val="0.7382658076831321"/>
        </c:manualLayout>
      </c:layout>
      <c:barChart>
        <c:barDir val="col"/>
        <c:grouping val="clustered"/>
        <c:varyColors val="0"/>
        <c:ser>
          <c:idx val="1"/>
          <c:order val="0"/>
          <c:tx>
            <c:strRef>
              <c:f>Tillage!$I$15</c:f>
              <c:strCache>
                <c:ptCount val="1"/>
                <c:pt idx="0">
                  <c:v>Frequency</c:v>
                </c:pt>
              </c:strCache>
            </c:strRef>
          </c:tx>
          <c:spPr>
            <a:solidFill>
              <a:schemeClr val="accent1"/>
            </a:solidFill>
          </c:spPr>
          <c:invertIfNegative val="0"/>
          <c:cat>
            <c:numRef>
              <c:f>Tillage!$H$16:$H$22</c:f>
              <c:numCache>
                <c:formatCode>General</c:formatCode>
                <c:ptCount val="7"/>
                <c:pt idx="0">
                  <c:v>6</c:v>
                </c:pt>
                <c:pt idx="1">
                  <c:v>8</c:v>
                </c:pt>
                <c:pt idx="2">
                  <c:v>10</c:v>
                </c:pt>
                <c:pt idx="3">
                  <c:v>12</c:v>
                </c:pt>
                <c:pt idx="4">
                  <c:v>14</c:v>
                </c:pt>
                <c:pt idx="5">
                  <c:v>16</c:v>
                </c:pt>
                <c:pt idx="6">
                  <c:v>18</c:v>
                </c:pt>
              </c:numCache>
            </c:numRef>
          </c:cat>
          <c:val>
            <c:numRef>
              <c:f>Tillage!$I$16:$I$22</c:f>
              <c:numCache>
                <c:formatCode>General</c:formatCode>
                <c:ptCount val="7"/>
                <c:pt idx="0">
                  <c:v>1</c:v>
                </c:pt>
                <c:pt idx="1">
                  <c:v>4</c:v>
                </c:pt>
                <c:pt idx="2">
                  <c:v>0</c:v>
                </c:pt>
                <c:pt idx="3">
                  <c:v>8</c:v>
                </c:pt>
                <c:pt idx="4">
                  <c:v>5</c:v>
                </c:pt>
                <c:pt idx="5">
                  <c:v>5</c:v>
                </c:pt>
                <c:pt idx="6">
                  <c:v>2</c:v>
                </c:pt>
              </c:numCache>
            </c:numRef>
          </c:val>
        </c:ser>
        <c:dLbls>
          <c:showLegendKey val="0"/>
          <c:showVal val="0"/>
          <c:showCatName val="0"/>
          <c:showSerName val="0"/>
          <c:showPercent val="0"/>
          <c:showBubbleSize val="0"/>
        </c:dLbls>
        <c:gapWidth val="150"/>
        <c:axId val="124080896"/>
        <c:axId val="124082432"/>
      </c:barChart>
      <c:catAx>
        <c:axId val="124080896"/>
        <c:scaling>
          <c:orientation val="minMax"/>
        </c:scaling>
        <c:delete val="0"/>
        <c:axPos val="b"/>
        <c:numFmt formatCode="General" sourceLinked="1"/>
        <c:majorTickMark val="out"/>
        <c:minorTickMark val="none"/>
        <c:tickLblPos val="nextTo"/>
        <c:spPr>
          <a:ln>
            <a:solidFill>
              <a:sysClr val="windowText" lastClr="000000"/>
            </a:solidFill>
          </a:ln>
        </c:spPr>
        <c:txPr>
          <a:bodyPr/>
          <a:lstStyle/>
          <a:p>
            <a:pPr>
              <a:defRPr>
                <a:latin typeface="Times New Roman" pitchFamily="18" charset="0"/>
                <a:cs typeface="Times New Roman" pitchFamily="18" charset="0"/>
              </a:defRPr>
            </a:pPr>
            <a:endParaRPr lang="en-US"/>
          </a:p>
        </c:txPr>
        <c:crossAx val="124082432"/>
        <c:crosses val="autoZero"/>
        <c:auto val="1"/>
        <c:lblAlgn val="ctr"/>
        <c:lblOffset val="100"/>
        <c:noMultiLvlLbl val="0"/>
      </c:catAx>
      <c:valAx>
        <c:axId val="124082432"/>
        <c:scaling>
          <c:orientation val="minMax"/>
        </c:scaling>
        <c:delete val="0"/>
        <c:axPos val="l"/>
        <c:numFmt formatCode="General" sourceLinked="1"/>
        <c:majorTickMark val="out"/>
        <c:minorTickMark val="none"/>
        <c:tickLblPos val="nextTo"/>
        <c:spPr>
          <a:ln>
            <a:solidFill>
              <a:sysClr val="windowText" lastClr="000000"/>
            </a:solidFill>
          </a:ln>
        </c:spPr>
        <c:txPr>
          <a:bodyPr/>
          <a:lstStyle/>
          <a:p>
            <a:pPr>
              <a:defRPr>
                <a:latin typeface="Times New Roman" pitchFamily="18" charset="0"/>
                <a:cs typeface="Times New Roman" pitchFamily="18" charset="0"/>
              </a:defRPr>
            </a:pPr>
            <a:endParaRPr lang="en-US"/>
          </a:p>
        </c:txPr>
        <c:crossAx val="124080896"/>
        <c:crosses val="autoZero"/>
        <c:crossBetween val="between"/>
      </c:valAx>
      <c:spPr>
        <a:ln>
          <a:solidFill>
            <a:schemeClr val="tx1"/>
          </a:solidFill>
        </a:ln>
      </c:spPr>
    </c:plotArea>
    <c:plotVisOnly val="1"/>
    <c:dispBlanksAs val="gap"/>
    <c:showDLblsOverMax val="0"/>
  </c:chart>
  <c:spPr>
    <a:ln>
      <a:noFill/>
    </a:ln>
  </c:spPr>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'tillage graph'!$C$1</c:f>
              <c:strCache>
                <c:ptCount val="1"/>
                <c:pt idx="0">
                  <c:v>AGE</c:v>
                </c:pt>
              </c:strCache>
            </c:strRef>
          </c:tx>
          <c:spPr>
            <a:ln w="28575">
              <a:noFill/>
            </a:ln>
          </c:spPr>
          <c:marker>
            <c:symbol val="diamond"/>
            <c:size val="3"/>
            <c:spPr>
              <a:ln w="3175"/>
            </c:spPr>
          </c:marker>
          <c:xVal>
            <c:numRef>
              <c:f>'tillage graph'!$B$2:$B$26</c:f>
              <c:numCache>
                <c:formatCode>General</c:formatCode>
                <c:ptCount val="25"/>
                <c:pt idx="0">
                  <c:v>190</c:v>
                </c:pt>
                <c:pt idx="1">
                  <c:v>135</c:v>
                </c:pt>
                <c:pt idx="2">
                  <c:v>275</c:v>
                </c:pt>
                <c:pt idx="3">
                  <c:v>185</c:v>
                </c:pt>
                <c:pt idx="4">
                  <c:v>340</c:v>
                </c:pt>
                <c:pt idx="5">
                  <c:v>575</c:v>
                </c:pt>
                <c:pt idx="6">
                  <c:v>210</c:v>
                </c:pt>
                <c:pt idx="7">
                  <c:v>95</c:v>
                </c:pt>
                <c:pt idx="8">
                  <c:v>55</c:v>
                </c:pt>
                <c:pt idx="9">
                  <c:v>210</c:v>
                </c:pt>
                <c:pt idx="10">
                  <c:v>280</c:v>
                </c:pt>
                <c:pt idx="11">
                  <c:v>0</c:v>
                </c:pt>
                <c:pt idx="12">
                  <c:v>120</c:v>
                </c:pt>
                <c:pt idx="13">
                  <c:v>80</c:v>
                </c:pt>
                <c:pt idx="14">
                  <c:v>600</c:v>
                </c:pt>
                <c:pt idx="15">
                  <c:v>415</c:v>
                </c:pt>
                <c:pt idx="16">
                  <c:v>0</c:v>
                </c:pt>
                <c:pt idx="17">
                  <c:v>395</c:v>
                </c:pt>
                <c:pt idx="18">
                  <c:v>480</c:v>
                </c:pt>
                <c:pt idx="19">
                  <c:v>180</c:v>
                </c:pt>
                <c:pt idx="20">
                  <c:v>60</c:v>
                </c:pt>
                <c:pt idx="21">
                  <c:v>0</c:v>
                </c:pt>
                <c:pt idx="22">
                  <c:v>108</c:v>
                </c:pt>
                <c:pt idx="23">
                  <c:v>225</c:v>
                </c:pt>
                <c:pt idx="24">
                  <c:v>295</c:v>
                </c:pt>
              </c:numCache>
            </c:numRef>
          </c:xVal>
          <c:yVal>
            <c:numRef>
              <c:f>'tillage graph'!$C$2:$C$26</c:f>
              <c:numCache>
                <c:formatCode>General</c:formatCode>
                <c:ptCount val="25"/>
                <c:pt idx="0">
                  <c:v>50</c:v>
                </c:pt>
                <c:pt idx="1">
                  <c:v>59</c:v>
                </c:pt>
                <c:pt idx="2">
                  <c:v>39</c:v>
                </c:pt>
                <c:pt idx="3">
                  <c:v>49</c:v>
                </c:pt>
                <c:pt idx="4">
                  <c:v>39</c:v>
                </c:pt>
                <c:pt idx="5">
                  <c:v>32</c:v>
                </c:pt>
                <c:pt idx="6">
                  <c:v>51</c:v>
                </c:pt>
                <c:pt idx="7">
                  <c:v>55</c:v>
                </c:pt>
                <c:pt idx="8">
                  <c:v>67</c:v>
                </c:pt>
                <c:pt idx="9">
                  <c:v>28</c:v>
                </c:pt>
                <c:pt idx="10">
                  <c:v>35</c:v>
                </c:pt>
                <c:pt idx="11">
                  <c:v>68</c:v>
                </c:pt>
                <c:pt idx="12">
                  <c:v>55</c:v>
                </c:pt>
                <c:pt idx="13">
                  <c:v>59</c:v>
                </c:pt>
                <c:pt idx="14">
                  <c:v>30</c:v>
                </c:pt>
                <c:pt idx="15">
                  <c:v>29</c:v>
                </c:pt>
                <c:pt idx="16">
                  <c:v>62</c:v>
                </c:pt>
                <c:pt idx="17">
                  <c:v>27</c:v>
                </c:pt>
                <c:pt idx="18">
                  <c:v>31</c:v>
                </c:pt>
                <c:pt idx="19">
                  <c:v>52</c:v>
                </c:pt>
                <c:pt idx="20">
                  <c:v>63</c:v>
                </c:pt>
                <c:pt idx="21">
                  <c:v>61</c:v>
                </c:pt>
                <c:pt idx="22">
                  <c:v>61</c:v>
                </c:pt>
                <c:pt idx="23">
                  <c:v>46</c:v>
                </c:pt>
                <c:pt idx="24">
                  <c:v>37</c:v>
                </c:pt>
              </c:numCache>
            </c:numRef>
          </c:yVal>
          <c:smooth val="0"/>
        </c:ser>
        <c:ser>
          <c:idx val="1"/>
          <c:order val="1"/>
          <c:tx>
            <c:strRef>
              <c:f>'tillage graph'!$D$1</c:f>
              <c:strCache>
                <c:ptCount val="1"/>
                <c:pt idx="0">
                  <c:v>EDUC</c:v>
                </c:pt>
              </c:strCache>
            </c:strRef>
          </c:tx>
          <c:spPr>
            <a:ln w="28575">
              <a:noFill/>
            </a:ln>
          </c:spPr>
          <c:marker>
            <c:symbol val="square"/>
            <c:size val="3"/>
            <c:spPr>
              <a:ln w="3175"/>
            </c:spPr>
          </c:marker>
          <c:xVal>
            <c:numRef>
              <c:f>'tillage graph'!$B$2:$B$26</c:f>
              <c:numCache>
                <c:formatCode>General</c:formatCode>
                <c:ptCount val="25"/>
                <c:pt idx="0">
                  <c:v>190</c:v>
                </c:pt>
                <c:pt idx="1">
                  <c:v>135</c:v>
                </c:pt>
                <c:pt idx="2">
                  <c:v>275</c:v>
                </c:pt>
                <c:pt idx="3">
                  <c:v>185</c:v>
                </c:pt>
                <c:pt idx="4">
                  <c:v>340</c:v>
                </c:pt>
                <c:pt idx="5">
                  <c:v>575</c:v>
                </c:pt>
                <c:pt idx="6">
                  <c:v>210</c:v>
                </c:pt>
                <c:pt idx="7">
                  <c:v>95</c:v>
                </c:pt>
                <c:pt idx="8">
                  <c:v>55</c:v>
                </c:pt>
                <c:pt idx="9">
                  <c:v>210</c:v>
                </c:pt>
                <c:pt idx="10">
                  <c:v>280</c:v>
                </c:pt>
                <c:pt idx="11">
                  <c:v>0</c:v>
                </c:pt>
                <c:pt idx="12">
                  <c:v>120</c:v>
                </c:pt>
                <c:pt idx="13">
                  <c:v>80</c:v>
                </c:pt>
                <c:pt idx="14">
                  <c:v>600</c:v>
                </c:pt>
                <c:pt idx="15">
                  <c:v>415</c:v>
                </c:pt>
                <c:pt idx="16">
                  <c:v>0</c:v>
                </c:pt>
                <c:pt idx="17">
                  <c:v>395</c:v>
                </c:pt>
                <c:pt idx="18">
                  <c:v>480</c:v>
                </c:pt>
                <c:pt idx="19">
                  <c:v>180</c:v>
                </c:pt>
                <c:pt idx="20">
                  <c:v>60</c:v>
                </c:pt>
                <c:pt idx="21">
                  <c:v>0</c:v>
                </c:pt>
                <c:pt idx="22">
                  <c:v>108</c:v>
                </c:pt>
                <c:pt idx="23">
                  <c:v>225</c:v>
                </c:pt>
                <c:pt idx="24">
                  <c:v>295</c:v>
                </c:pt>
              </c:numCache>
            </c:numRef>
          </c:xVal>
          <c:yVal>
            <c:numRef>
              <c:f>'tillage graph'!$D$2:$D$26</c:f>
              <c:numCache>
                <c:formatCode>General</c:formatCode>
                <c:ptCount val="25"/>
                <c:pt idx="0">
                  <c:v>14</c:v>
                </c:pt>
                <c:pt idx="1">
                  <c:v>14</c:v>
                </c:pt>
                <c:pt idx="2">
                  <c:v>16</c:v>
                </c:pt>
                <c:pt idx="3">
                  <c:v>14</c:v>
                </c:pt>
                <c:pt idx="4">
                  <c:v>12</c:v>
                </c:pt>
                <c:pt idx="5">
                  <c:v>16</c:v>
                </c:pt>
                <c:pt idx="6">
                  <c:v>14</c:v>
                </c:pt>
                <c:pt idx="7">
                  <c:v>8</c:v>
                </c:pt>
                <c:pt idx="8">
                  <c:v>8</c:v>
                </c:pt>
                <c:pt idx="9">
                  <c:v>12</c:v>
                </c:pt>
                <c:pt idx="10">
                  <c:v>14</c:v>
                </c:pt>
                <c:pt idx="11">
                  <c:v>8</c:v>
                </c:pt>
                <c:pt idx="12">
                  <c:v>12</c:v>
                </c:pt>
                <c:pt idx="13">
                  <c:v>12</c:v>
                </c:pt>
                <c:pt idx="14">
                  <c:v>18</c:v>
                </c:pt>
                <c:pt idx="15">
                  <c:v>18</c:v>
                </c:pt>
                <c:pt idx="16">
                  <c:v>8</c:v>
                </c:pt>
                <c:pt idx="17">
                  <c:v>16</c:v>
                </c:pt>
                <c:pt idx="18">
                  <c:v>16</c:v>
                </c:pt>
                <c:pt idx="19">
                  <c:v>12</c:v>
                </c:pt>
                <c:pt idx="20">
                  <c:v>6</c:v>
                </c:pt>
                <c:pt idx="21">
                  <c:v>12</c:v>
                </c:pt>
                <c:pt idx="22">
                  <c:v>12</c:v>
                </c:pt>
                <c:pt idx="23">
                  <c:v>12</c:v>
                </c:pt>
                <c:pt idx="24">
                  <c:v>16</c:v>
                </c:pt>
              </c:numCache>
            </c:numRef>
          </c:yVal>
          <c:smooth val="0"/>
        </c:ser>
        <c:dLbls>
          <c:showLegendKey val="0"/>
          <c:showVal val="0"/>
          <c:showCatName val="0"/>
          <c:showSerName val="0"/>
          <c:showPercent val="0"/>
          <c:showBubbleSize val="0"/>
        </c:dLbls>
        <c:axId val="125449344"/>
        <c:axId val="125451264"/>
      </c:scatterChart>
      <c:valAx>
        <c:axId val="125449344"/>
        <c:scaling>
          <c:orientation val="minMax"/>
        </c:scaling>
        <c:delete val="0"/>
        <c:axPos val="b"/>
        <c:numFmt formatCode="General" sourceLinked="1"/>
        <c:majorTickMark val="out"/>
        <c:minorTickMark val="none"/>
        <c:tickLblPos val="nextTo"/>
        <c:spPr>
          <a:ln>
            <a:solidFill>
              <a:sysClr val="windowText" lastClr="000000"/>
            </a:solidFill>
          </a:ln>
        </c:spPr>
        <c:crossAx val="125451264"/>
        <c:crosses val="autoZero"/>
        <c:crossBetween val="midCat"/>
      </c:valAx>
      <c:valAx>
        <c:axId val="125451264"/>
        <c:scaling>
          <c:orientation val="minMax"/>
        </c:scaling>
        <c:delete val="0"/>
        <c:axPos val="l"/>
        <c:majorGridlines/>
        <c:numFmt formatCode="General" sourceLinked="1"/>
        <c:majorTickMark val="out"/>
        <c:minorTickMark val="none"/>
        <c:tickLblPos val="nextTo"/>
        <c:spPr>
          <a:ln>
            <a:solidFill>
              <a:sysClr val="windowText" lastClr="000000"/>
            </a:solidFill>
          </a:ln>
        </c:spPr>
        <c:crossAx val="125449344"/>
        <c:crosses val="autoZero"/>
        <c:crossBetween val="midCat"/>
      </c:valAx>
      <c:spPr>
        <a:ln>
          <a:solidFill>
            <a:schemeClr val="tx1"/>
          </a:solidFill>
        </a:ln>
      </c:spPr>
    </c:plotArea>
    <c:legend>
      <c:legendPos val="r"/>
      <c:layout/>
      <c:overlay val="0"/>
    </c:legend>
    <c:plotVisOnly val="1"/>
    <c:dispBlanksAs val="gap"/>
    <c:showDLblsOverMax val="0"/>
  </c:chart>
  <c:spPr>
    <a:ln>
      <a:noFill/>
    </a:ln>
  </c:spPr>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Years of Education</a:t>
            </a:r>
          </a:p>
        </c:rich>
      </c:tx>
      <c:layout/>
      <c:overlay val="0"/>
    </c:title>
    <c:autoTitleDeleted val="0"/>
    <c:plotArea>
      <c:layout/>
      <c:barChart>
        <c:barDir val="col"/>
        <c:grouping val="stacked"/>
        <c:varyColors val="0"/>
        <c:ser>
          <c:idx val="1"/>
          <c:order val="0"/>
          <c:tx>
            <c:strRef>
              <c:f>Tillage!$I$15</c:f>
              <c:strCache>
                <c:ptCount val="1"/>
                <c:pt idx="0">
                  <c:v>Frequency</c:v>
                </c:pt>
              </c:strCache>
            </c:strRef>
          </c:tx>
          <c:invertIfNegative val="0"/>
          <c:cat>
            <c:numRef>
              <c:f>Tillage!$H$16:$H$22</c:f>
              <c:numCache>
                <c:formatCode>General</c:formatCode>
                <c:ptCount val="7"/>
                <c:pt idx="0">
                  <c:v>6</c:v>
                </c:pt>
                <c:pt idx="1">
                  <c:v>8</c:v>
                </c:pt>
                <c:pt idx="2">
                  <c:v>10</c:v>
                </c:pt>
                <c:pt idx="3">
                  <c:v>12</c:v>
                </c:pt>
                <c:pt idx="4">
                  <c:v>14</c:v>
                </c:pt>
                <c:pt idx="5">
                  <c:v>16</c:v>
                </c:pt>
                <c:pt idx="6">
                  <c:v>18</c:v>
                </c:pt>
              </c:numCache>
            </c:numRef>
          </c:cat>
          <c:val>
            <c:numRef>
              <c:f>Tillage!$I$16:$I$22</c:f>
              <c:numCache>
                <c:formatCode>General</c:formatCode>
                <c:ptCount val="7"/>
                <c:pt idx="0">
                  <c:v>1</c:v>
                </c:pt>
                <c:pt idx="1">
                  <c:v>4</c:v>
                </c:pt>
                <c:pt idx="2">
                  <c:v>0</c:v>
                </c:pt>
                <c:pt idx="3">
                  <c:v>8</c:v>
                </c:pt>
                <c:pt idx="4">
                  <c:v>5</c:v>
                </c:pt>
                <c:pt idx="5">
                  <c:v>5</c:v>
                </c:pt>
                <c:pt idx="6">
                  <c:v>2</c:v>
                </c:pt>
              </c:numCache>
            </c:numRef>
          </c:val>
        </c:ser>
        <c:dLbls>
          <c:showLegendKey val="0"/>
          <c:showVal val="0"/>
          <c:showCatName val="0"/>
          <c:showSerName val="0"/>
          <c:showPercent val="0"/>
          <c:showBubbleSize val="0"/>
        </c:dLbls>
        <c:gapWidth val="150"/>
        <c:overlap val="100"/>
        <c:axId val="125389824"/>
        <c:axId val="125408000"/>
      </c:barChart>
      <c:catAx>
        <c:axId val="125389824"/>
        <c:scaling>
          <c:orientation val="minMax"/>
        </c:scaling>
        <c:delete val="0"/>
        <c:axPos val="b"/>
        <c:numFmt formatCode="General" sourceLinked="1"/>
        <c:majorTickMark val="out"/>
        <c:minorTickMark val="none"/>
        <c:tickLblPos val="nextTo"/>
        <c:crossAx val="125408000"/>
        <c:crosses val="autoZero"/>
        <c:auto val="1"/>
        <c:lblAlgn val="ctr"/>
        <c:lblOffset val="100"/>
        <c:noMultiLvlLbl val="0"/>
      </c:catAx>
      <c:valAx>
        <c:axId val="125408000"/>
        <c:scaling>
          <c:orientation val="minMax"/>
        </c:scaling>
        <c:delete val="0"/>
        <c:axPos val="l"/>
        <c:majorGridlines/>
        <c:numFmt formatCode="General" sourceLinked="1"/>
        <c:majorTickMark val="out"/>
        <c:minorTickMark val="none"/>
        <c:tickLblPos val="nextTo"/>
        <c:crossAx val="125389824"/>
        <c:crosses val="autoZero"/>
        <c:crossBetween val="between"/>
      </c:valAx>
    </c:plotArea>
    <c:legend>
      <c:legendPos val="l"/>
      <c:layout>
        <c:manualLayout>
          <c:xMode val="edge"/>
          <c:yMode val="edge"/>
          <c:x val="2.4778761752595971E-3"/>
          <c:y val="0.5216295944652356"/>
          <c:w val="0.15990847076603684"/>
          <c:h val="7.5790284140465805E-2"/>
        </c:manualLayout>
      </c:layout>
      <c:overlay val="0"/>
    </c:legend>
    <c:plotVisOnly val="1"/>
    <c:dispBlanksAs val="gap"/>
    <c:showDLblsOverMax val="0"/>
  </c:chart>
  <c:printSettings>
    <c:headerFooter/>
    <c:pageMargins b="0.75000000000000089" l="0.70000000000000062" r="0.70000000000000062" t="0.75000000000000089"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layout/>
      <c:overlay val="0"/>
    </c:title>
    <c:autoTitleDeleted val="0"/>
    <c:plotArea>
      <c:layout/>
      <c:barChart>
        <c:barDir val="col"/>
        <c:grouping val="clustered"/>
        <c:varyColors val="0"/>
        <c:ser>
          <c:idx val="0"/>
          <c:order val="0"/>
          <c:tx>
            <c:v>Frequency</c:v>
          </c:tx>
          <c:invertIfNegative val="0"/>
          <c:cat>
            <c:strRef>
              <c:f>Tillage!$N$32:$N$45</c:f>
              <c:strCache>
                <c:ptCount val="14"/>
                <c:pt idx="0">
                  <c:v>6</c:v>
                </c:pt>
                <c:pt idx="1">
                  <c:v>7</c:v>
                </c:pt>
                <c:pt idx="2">
                  <c:v>8</c:v>
                </c:pt>
                <c:pt idx="3">
                  <c:v>9</c:v>
                </c:pt>
                <c:pt idx="4">
                  <c:v>10</c:v>
                </c:pt>
                <c:pt idx="5">
                  <c:v>11</c:v>
                </c:pt>
                <c:pt idx="6">
                  <c:v>12</c:v>
                </c:pt>
                <c:pt idx="7">
                  <c:v>13</c:v>
                </c:pt>
                <c:pt idx="8">
                  <c:v>14</c:v>
                </c:pt>
                <c:pt idx="9">
                  <c:v>15</c:v>
                </c:pt>
                <c:pt idx="10">
                  <c:v>16</c:v>
                </c:pt>
                <c:pt idx="11">
                  <c:v>17</c:v>
                </c:pt>
                <c:pt idx="12">
                  <c:v>18</c:v>
                </c:pt>
                <c:pt idx="13">
                  <c:v>More</c:v>
                </c:pt>
              </c:strCache>
            </c:strRef>
          </c:cat>
          <c:val>
            <c:numRef>
              <c:f>Tillage!$O$32:$O$45</c:f>
              <c:numCache>
                <c:formatCode>General</c:formatCode>
                <c:ptCount val="14"/>
                <c:pt idx="0">
                  <c:v>1</c:v>
                </c:pt>
                <c:pt idx="1">
                  <c:v>0</c:v>
                </c:pt>
                <c:pt idx="2">
                  <c:v>4</c:v>
                </c:pt>
                <c:pt idx="3">
                  <c:v>0</c:v>
                </c:pt>
                <c:pt idx="4">
                  <c:v>0</c:v>
                </c:pt>
                <c:pt idx="5">
                  <c:v>0</c:v>
                </c:pt>
                <c:pt idx="6">
                  <c:v>8</c:v>
                </c:pt>
                <c:pt idx="7">
                  <c:v>0</c:v>
                </c:pt>
                <c:pt idx="8">
                  <c:v>5</c:v>
                </c:pt>
                <c:pt idx="9">
                  <c:v>0</c:v>
                </c:pt>
                <c:pt idx="10">
                  <c:v>5</c:v>
                </c:pt>
                <c:pt idx="11">
                  <c:v>0</c:v>
                </c:pt>
                <c:pt idx="12">
                  <c:v>2</c:v>
                </c:pt>
                <c:pt idx="13">
                  <c:v>0</c:v>
                </c:pt>
              </c:numCache>
            </c:numRef>
          </c:val>
        </c:ser>
        <c:dLbls>
          <c:showLegendKey val="0"/>
          <c:showVal val="0"/>
          <c:showCatName val="0"/>
          <c:showSerName val="0"/>
          <c:showPercent val="0"/>
          <c:showBubbleSize val="0"/>
        </c:dLbls>
        <c:gapWidth val="150"/>
        <c:axId val="126035072"/>
        <c:axId val="126036992"/>
      </c:barChart>
      <c:catAx>
        <c:axId val="126035072"/>
        <c:scaling>
          <c:orientation val="minMax"/>
        </c:scaling>
        <c:delete val="0"/>
        <c:axPos val="b"/>
        <c:title>
          <c:tx>
            <c:rich>
              <a:bodyPr/>
              <a:lstStyle/>
              <a:p>
                <a:pPr>
                  <a:defRPr/>
                </a:pPr>
                <a:r>
                  <a:rPr lang="en-US"/>
                  <a:t>Bin</a:t>
                </a:r>
              </a:p>
            </c:rich>
          </c:tx>
          <c:layout/>
          <c:overlay val="0"/>
        </c:title>
        <c:majorTickMark val="out"/>
        <c:minorTickMark val="none"/>
        <c:tickLblPos val="nextTo"/>
        <c:crossAx val="126036992"/>
        <c:crosses val="autoZero"/>
        <c:auto val="1"/>
        <c:lblAlgn val="ctr"/>
        <c:lblOffset val="100"/>
        <c:noMultiLvlLbl val="0"/>
      </c:catAx>
      <c:valAx>
        <c:axId val="126036992"/>
        <c:scaling>
          <c:orientation val="minMax"/>
        </c:scaling>
        <c:delete val="0"/>
        <c:axPos val="l"/>
        <c:title>
          <c:tx>
            <c:rich>
              <a:bodyPr/>
              <a:lstStyle/>
              <a:p>
                <a:pPr>
                  <a:defRPr/>
                </a:pPr>
                <a:r>
                  <a:rPr lang="en-US"/>
                  <a:t>Frequency</a:t>
                </a:r>
              </a:p>
            </c:rich>
          </c:tx>
          <c:layout/>
          <c:overlay val="0"/>
        </c:title>
        <c:numFmt formatCode="General" sourceLinked="1"/>
        <c:majorTickMark val="out"/>
        <c:minorTickMark val="none"/>
        <c:tickLblPos val="nextTo"/>
        <c:crossAx val="126035072"/>
        <c:crosses val="autoZero"/>
        <c:crossBetween val="between"/>
      </c:valAx>
    </c:plotArea>
    <c:legend>
      <c:legendPos val="r"/>
      <c:layout/>
      <c:overlay val="0"/>
    </c:legend>
    <c:plotVisOnly val="1"/>
    <c:dispBlanksAs val="gap"/>
    <c:showDLblsOverMax val="0"/>
  </c:chart>
  <c:printSettings>
    <c:headerFooter/>
    <c:pageMargins b="0.75000000000000089" l="0.70000000000000062" r="0.70000000000000062" t="0.75000000000000089"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lotArea>
      <c:layout/>
      <c:scatterChart>
        <c:scatterStyle val="lineMarker"/>
        <c:varyColors val="0"/>
        <c:ser>
          <c:idx val="0"/>
          <c:order val="0"/>
          <c:tx>
            <c:strRef>
              <c:f>Tillage!$C$1</c:f>
              <c:strCache>
                <c:ptCount val="1"/>
                <c:pt idx="0">
                  <c:v>AGE</c:v>
                </c:pt>
              </c:strCache>
            </c:strRef>
          </c:tx>
          <c:spPr>
            <a:ln w="28575">
              <a:noFill/>
            </a:ln>
          </c:spPr>
          <c:xVal>
            <c:numRef>
              <c:f>Tillage!$B$2:$B$26</c:f>
              <c:numCache>
                <c:formatCode>General</c:formatCode>
                <c:ptCount val="25"/>
                <c:pt idx="0">
                  <c:v>190</c:v>
                </c:pt>
                <c:pt idx="1">
                  <c:v>135</c:v>
                </c:pt>
                <c:pt idx="2">
                  <c:v>275</c:v>
                </c:pt>
                <c:pt idx="3">
                  <c:v>185</c:v>
                </c:pt>
                <c:pt idx="4">
                  <c:v>340</c:v>
                </c:pt>
                <c:pt idx="5">
                  <c:v>575</c:v>
                </c:pt>
                <c:pt idx="6">
                  <c:v>210</c:v>
                </c:pt>
                <c:pt idx="7">
                  <c:v>95</c:v>
                </c:pt>
                <c:pt idx="8">
                  <c:v>55</c:v>
                </c:pt>
                <c:pt idx="9">
                  <c:v>210</c:v>
                </c:pt>
                <c:pt idx="10">
                  <c:v>280</c:v>
                </c:pt>
                <c:pt idx="11">
                  <c:v>0</c:v>
                </c:pt>
                <c:pt idx="12">
                  <c:v>120</c:v>
                </c:pt>
                <c:pt idx="13">
                  <c:v>80</c:v>
                </c:pt>
                <c:pt idx="14">
                  <c:v>600</c:v>
                </c:pt>
                <c:pt idx="15">
                  <c:v>415</c:v>
                </c:pt>
                <c:pt idx="16">
                  <c:v>0</c:v>
                </c:pt>
                <c:pt idx="17">
                  <c:v>395</c:v>
                </c:pt>
                <c:pt idx="18">
                  <c:v>480</c:v>
                </c:pt>
                <c:pt idx="19">
                  <c:v>180</c:v>
                </c:pt>
                <c:pt idx="20">
                  <c:v>60</c:v>
                </c:pt>
                <c:pt idx="21">
                  <c:v>0</c:v>
                </c:pt>
                <c:pt idx="22">
                  <c:v>108</c:v>
                </c:pt>
                <c:pt idx="23">
                  <c:v>225</c:v>
                </c:pt>
                <c:pt idx="24">
                  <c:v>295</c:v>
                </c:pt>
              </c:numCache>
            </c:numRef>
          </c:xVal>
          <c:yVal>
            <c:numRef>
              <c:f>Tillage!$C$2:$C$26</c:f>
              <c:numCache>
                <c:formatCode>General</c:formatCode>
                <c:ptCount val="25"/>
                <c:pt idx="0">
                  <c:v>50</c:v>
                </c:pt>
                <c:pt idx="1">
                  <c:v>59</c:v>
                </c:pt>
                <c:pt idx="2">
                  <c:v>39</c:v>
                </c:pt>
                <c:pt idx="3">
                  <c:v>49</c:v>
                </c:pt>
                <c:pt idx="4">
                  <c:v>39</c:v>
                </c:pt>
                <c:pt idx="5">
                  <c:v>32</c:v>
                </c:pt>
                <c:pt idx="6">
                  <c:v>51</c:v>
                </c:pt>
                <c:pt idx="7">
                  <c:v>55</c:v>
                </c:pt>
                <c:pt idx="8">
                  <c:v>67</c:v>
                </c:pt>
                <c:pt idx="9">
                  <c:v>28</c:v>
                </c:pt>
                <c:pt idx="10">
                  <c:v>35</c:v>
                </c:pt>
                <c:pt idx="11">
                  <c:v>68</c:v>
                </c:pt>
                <c:pt idx="12">
                  <c:v>55</c:v>
                </c:pt>
                <c:pt idx="13">
                  <c:v>59</c:v>
                </c:pt>
                <c:pt idx="14">
                  <c:v>30</c:v>
                </c:pt>
                <c:pt idx="15">
                  <c:v>29</c:v>
                </c:pt>
                <c:pt idx="16">
                  <c:v>62</c:v>
                </c:pt>
                <c:pt idx="17">
                  <c:v>27</c:v>
                </c:pt>
                <c:pt idx="18">
                  <c:v>31</c:v>
                </c:pt>
                <c:pt idx="19">
                  <c:v>52</c:v>
                </c:pt>
                <c:pt idx="20">
                  <c:v>63</c:v>
                </c:pt>
                <c:pt idx="21">
                  <c:v>61</c:v>
                </c:pt>
                <c:pt idx="22">
                  <c:v>61</c:v>
                </c:pt>
                <c:pt idx="23">
                  <c:v>46</c:v>
                </c:pt>
                <c:pt idx="24">
                  <c:v>37</c:v>
                </c:pt>
              </c:numCache>
            </c:numRef>
          </c:yVal>
          <c:smooth val="0"/>
        </c:ser>
        <c:dLbls>
          <c:showLegendKey val="0"/>
          <c:showVal val="0"/>
          <c:showCatName val="0"/>
          <c:showSerName val="0"/>
          <c:showPercent val="0"/>
          <c:showBubbleSize val="0"/>
        </c:dLbls>
        <c:axId val="126049664"/>
        <c:axId val="126071936"/>
      </c:scatterChart>
      <c:valAx>
        <c:axId val="126049664"/>
        <c:scaling>
          <c:orientation val="minMax"/>
        </c:scaling>
        <c:delete val="0"/>
        <c:axPos val="b"/>
        <c:numFmt formatCode="General" sourceLinked="1"/>
        <c:majorTickMark val="out"/>
        <c:minorTickMark val="none"/>
        <c:tickLblPos val="nextTo"/>
        <c:crossAx val="126071936"/>
        <c:crosses val="autoZero"/>
        <c:crossBetween val="midCat"/>
      </c:valAx>
      <c:valAx>
        <c:axId val="126071936"/>
        <c:scaling>
          <c:orientation val="minMax"/>
        </c:scaling>
        <c:delete val="0"/>
        <c:axPos val="l"/>
        <c:majorGridlines/>
        <c:numFmt formatCode="General" sourceLinked="1"/>
        <c:majorTickMark val="out"/>
        <c:minorTickMark val="none"/>
        <c:tickLblPos val="nextTo"/>
        <c:crossAx val="126049664"/>
        <c:crosses val="autoZero"/>
        <c:crossBetween val="midCat"/>
      </c:valAx>
    </c:plotArea>
    <c:legend>
      <c:legendPos val="r"/>
      <c:layout/>
      <c:overlay val="0"/>
    </c:legend>
    <c:plotVisOnly val="1"/>
    <c:dispBlanksAs val="gap"/>
    <c:showDLblsOverMax val="0"/>
  </c:chart>
  <c:printSettings>
    <c:headerFooter/>
    <c:pageMargins b="0.75000000000000089" l="0.70000000000000062" r="0.70000000000000062" t="0.75000000000000089" header="0.30000000000000032" footer="0.30000000000000032"/>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5.xml"/></Relationships>
</file>

<file path=xl/chartsheets/sheet1.xml><?xml version="1.0" encoding="utf-8"?>
<chartsheet xmlns="http://schemas.openxmlformats.org/spreadsheetml/2006/main" xmlns:r="http://schemas.openxmlformats.org/officeDocument/2006/relationships">
  <sheetPr/>
  <sheetViews>
    <sheetView zoomScale="83"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sheetPr/>
  <sheetViews>
    <sheetView zoomScale="8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3" Type="http://schemas.openxmlformats.org/officeDocument/2006/relationships/image" Target="../media/image1.gif"/><Relationship Id="rId2" Type="http://schemas.openxmlformats.org/officeDocument/2006/relationships/hyperlink" Target="javascript:AlterAllDivs('block');" TargetMode="External"/><Relationship Id="rId1" Type="http://schemas.openxmlformats.org/officeDocument/2006/relationships/chart" Target="../charts/chart1.xml"/><Relationship Id="rId5" Type="http://schemas.openxmlformats.org/officeDocument/2006/relationships/image" Target="../media/image2.gif"/><Relationship Id="rId4" Type="http://schemas.openxmlformats.org/officeDocument/2006/relationships/hyperlink" Target="javascript:AlterAllDivs('none');" TargetMode="Externa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190500</xdr:colOff>
      <xdr:row>1</xdr:row>
      <xdr:rowOff>133350</xdr:rowOff>
    </xdr:from>
    <xdr:to>
      <xdr:col>10</xdr:col>
      <xdr:colOff>495300</xdr:colOff>
      <xdr:row>16</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22</xdr:row>
      <xdr:rowOff>0</xdr:rowOff>
    </xdr:from>
    <xdr:to>
      <xdr:col>0</xdr:col>
      <xdr:colOff>85725</xdr:colOff>
      <xdr:row>22</xdr:row>
      <xdr:rowOff>85725</xdr:rowOff>
    </xdr:to>
    <xdr:pic>
      <xdr:nvPicPr>
        <xdr:cNvPr id="1025" name="Picture 1" descr="Show All">
          <a:hlinkClick xmlns:r="http://schemas.openxmlformats.org/officeDocument/2006/relationships" r:id="rId2"/>
        </xdr:cNvPr>
        <xdr:cNvPicPr>
          <a:picLocks noChangeAspect="1" noChangeArrowheads="1"/>
        </xdr:cNvPicPr>
      </xdr:nvPicPr>
      <xdr:blipFill>
        <a:blip xmlns:r="http://schemas.openxmlformats.org/officeDocument/2006/relationships" r:embed="rId3" cstate="print"/>
        <a:srcRect/>
        <a:stretch>
          <a:fillRect/>
        </a:stretch>
      </xdr:blipFill>
      <xdr:spPr bwMode="auto">
        <a:xfrm>
          <a:off x="0" y="4143375"/>
          <a:ext cx="85725" cy="85725"/>
        </a:xfrm>
        <a:prstGeom prst="rect">
          <a:avLst/>
        </a:prstGeom>
        <a:noFill/>
      </xdr:spPr>
    </xdr:pic>
    <xdr:clientData/>
  </xdr:twoCellAnchor>
  <xdr:twoCellAnchor editAs="oneCell">
    <xdr:from>
      <xdr:col>0</xdr:col>
      <xdr:colOff>0</xdr:colOff>
      <xdr:row>22</xdr:row>
      <xdr:rowOff>0</xdr:rowOff>
    </xdr:from>
    <xdr:to>
      <xdr:col>0</xdr:col>
      <xdr:colOff>85725</xdr:colOff>
      <xdr:row>22</xdr:row>
      <xdr:rowOff>85725</xdr:rowOff>
    </xdr:to>
    <xdr:pic>
      <xdr:nvPicPr>
        <xdr:cNvPr id="1026" name="Picture 2" descr="Hide All">
          <a:hlinkClick xmlns:r="http://schemas.openxmlformats.org/officeDocument/2006/relationships" r:id="rId4"/>
        </xdr:cNvPr>
        <xdr:cNvPicPr>
          <a:picLocks noChangeAspect="1" noChangeArrowheads="1"/>
        </xdr:cNvPicPr>
      </xdr:nvPicPr>
      <xdr:blipFill>
        <a:blip xmlns:r="http://schemas.openxmlformats.org/officeDocument/2006/relationships" r:embed="rId5" cstate="print"/>
        <a:srcRect/>
        <a:stretch>
          <a:fillRect/>
        </a:stretch>
      </xdr:blipFill>
      <xdr:spPr bwMode="auto">
        <a:xfrm>
          <a:off x="0" y="4333875"/>
          <a:ext cx="85725" cy="85725"/>
        </a:xfrm>
        <a:prstGeom prst="rect">
          <a:avLst/>
        </a:prstGeom>
        <a:noFill/>
      </xdr:spPr>
    </xdr:pic>
    <xdr:clientData/>
  </xdr:twoCellAnchor>
</xdr:wsDr>
</file>

<file path=xl/drawings/drawing2.xml><?xml version="1.0" encoding="utf-8"?>
<c:userShapes xmlns:c="http://schemas.openxmlformats.org/drawingml/2006/chart">
  <cdr:relSizeAnchor xmlns:cdr="http://schemas.openxmlformats.org/drawingml/2006/chartDrawing">
    <cdr:from>
      <cdr:x>0.73167</cdr:x>
      <cdr:y>0.13809</cdr:y>
    </cdr:from>
    <cdr:to>
      <cdr:x>0.83739</cdr:x>
      <cdr:y>0.22631</cdr:y>
    </cdr:to>
    <cdr:sp macro="" textlink="">
      <cdr:nvSpPr>
        <cdr:cNvPr id="2" name="TextBox 1"/>
        <cdr:cNvSpPr txBox="1"/>
      </cdr:nvSpPr>
      <cdr:spPr>
        <a:xfrm xmlns:a="http://schemas.openxmlformats.org/drawingml/2006/main">
          <a:off x="6341961" y="868101"/>
          <a:ext cx="916329" cy="55462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latin typeface="Times New Roman" pitchFamily="18" charset="0"/>
              <a:cs typeface="Times New Roman" pitchFamily="18" charset="0"/>
            </a:rPr>
            <a:t>compound</a:t>
          </a:r>
          <a:r>
            <a:rPr lang="en-US" sz="1100" baseline="0">
              <a:latin typeface="Times New Roman" pitchFamily="18" charset="0"/>
              <a:cs typeface="Times New Roman" pitchFamily="18" charset="0"/>
            </a:rPr>
            <a:t>  </a:t>
          </a:r>
        </a:p>
        <a:p xmlns:a="http://schemas.openxmlformats.org/drawingml/2006/main">
          <a:r>
            <a:rPr lang="en-US" sz="1100" baseline="0">
              <a:latin typeface="Times New Roman" pitchFamily="18" charset="0"/>
              <a:cs typeface="Times New Roman" pitchFamily="18" charset="0"/>
            </a:rPr>
            <a:t>interest</a:t>
          </a:r>
          <a:endParaRPr lang="en-US" sz="1100">
            <a:latin typeface="Times New Roman" pitchFamily="18" charset="0"/>
            <a:cs typeface="Times New Roman" pitchFamily="18" charset="0"/>
          </a:endParaRPr>
        </a:p>
      </cdr:txBody>
    </cdr:sp>
  </cdr:relSizeAnchor>
  <cdr:relSizeAnchor xmlns:cdr="http://schemas.openxmlformats.org/drawingml/2006/chartDrawing">
    <cdr:from>
      <cdr:x>0.61622</cdr:x>
      <cdr:y>0.41235</cdr:y>
    </cdr:from>
    <cdr:to>
      <cdr:x>0.72194</cdr:x>
      <cdr:y>0.50058</cdr:y>
    </cdr:to>
    <cdr:sp macro="" textlink="">
      <cdr:nvSpPr>
        <cdr:cNvPr id="3" name="TextBox 1"/>
        <cdr:cNvSpPr txBox="1"/>
      </cdr:nvSpPr>
      <cdr:spPr>
        <a:xfrm xmlns:a="http://schemas.openxmlformats.org/drawingml/2006/main">
          <a:off x="5341234" y="2592247"/>
          <a:ext cx="916329" cy="55462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100">
              <a:latin typeface="Times New Roman" pitchFamily="18" charset="0"/>
              <a:cs typeface="Times New Roman" pitchFamily="18" charset="0"/>
            </a:rPr>
            <a:t>simple</a:t>
          </a:r>
          <a:r>
            <a:rPr lang="en-US" sz="1100" baseline="0">
              <a:latin typeface="Times New Roman" pitchFamily="18" charset="0"/>
              <a:cs typeface="Times New Roman" pitchFamily="18" charset="0"/>
            </a:rPr>
            <a:t>  </a:t>
          </a:r>
        </a:p>
        <a:p xmlns:a="http://schemas.openxmlformats.org/drawingml/2006/main">
          <a:r>
            <a:rPr lang="en-US" sz="1100" baseline="0">
              <a:latin typeface="Times New Roman" pitchFamily="18" charset="0"/>
              <a:cs typeface="Times New Roman" pitchFamily="18" charset="0"/>
            </a:rPr>
            <a:t>interest</a:t>
          </a:r>
          <a:endParaRPr lang="en-US" sz="1100">
            <a:latin typeface="Times New Roman" pitchFamily="18" charset="0"/>
            <a:cs typeface="Times New Roman" pitchFamily="18" charset="0"/>
          </a:endParaRP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675783" cy="6300271"/>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0.50962</cdr:x>
      <cdr:y>0.9053</cdr:y>
    </cdr:from>
    <cdr:to>
      <cdr:x>0.58626</cdr:x>
      <cdr:y>0.95076</cdr:y>
    </cdr:to>
    <cdr:sp macro="" textlink="">
      <cdr:nvSpPr>
        <cdr:cNvPr id="2" name="TextBox 1"/>
        <cdr:cNvSpPr txBox="1"/>
      </cdr:nvSpPr>
      <cdr:spPr>
        <a:xfrm xmlns:a="http://schemas.openxmlformats.org/drawingml/2006/main">
          <a:off x="4417219" y="5691188"/>
          <a:ext cx="664368"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latin typeface="Times New Roman" pitchFamily="18" charset="0"/>
              <a:cs typeface="Times New Roman" pitchFamily="18" charset="0"/>
            </a:rPr>
            <a:t>Year</a:t>
          </a:r>
        </a:p>
      </cdr:txBody>
    </cdr:sp>
  </cdr:relSizeAnchor>
  <cdr:relSizeAnchor xmlns:cdr="http://schemas.openxmlformats.org/drawingml/2006/chartDrawing">
    <cdr:from>
      <cdr:x>0.04382</cdr:x>
      <cdr:y>0.33144</cdr:y>
    </cdr:from>
    <cdr:to>
      <cdr:x>0.07555</cdr:x>
      <cdr:y>0.4733</cdr:y>
    </cdr:to>
    <cdr:sp macro="" textlink="">
      <cdr:nvSpPr>
        <cdr:cNvPr id="3" name="TextBox 1"/>
        <cdr:cNvSpPr txBox="1"/>
      </cdr:nvSpPr>
      <cdr:spPr>
        <a:xfrm xmlns:a="http://schemas.openxmlformats.org/drawingml/2006/main" rot="-5400000">
          <a:off x="71438" y="2391965"/>
          <a:ext cx="891777" cy="27503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100" b="1">
              <a:latin typeface="Times New Roman" pitchFamily="18" charset="0"/>
              <a:cs typeface="Times New Roman" pitchFamily="18" charset="0"/>
            </a:rPr>
            <a:t>Frequency</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675783" cy="6300271"/>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twoCellAnchor>
    <xdr:from>
      <xdr:col>10</xdr:col>
      <xdr:colOff>510267</xdr:colOff>
      <xdr:row>4</xdr:row>
      <xdr:rowOff>136070</xdr:rowOff>
    </xdr:from>
    <xdr:to>
      <xdr:col>19</xdr:col>
      <xdr:colOff>124731</xdr:colOff>
      <xdr:row>20</xdr:row>
      <xdr:rowOff>68035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30</xdr:row>
      <xdr:rowOff>0</xdr:rowOff>
    </xdr:from>
    <xdr:to>
      <xdr:col>22</xdr:col>
      <xdr:colOff>0</xdr:colOff>
      <xdr:row>40</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442233</xdr:colOff>
      <xdr:row>8</xdr:row>
      <xdr:rowOff>11339</xdr:rowOff>
    </xdr:from>
    <xdr:to>
      <xdr:col>13</xdr:col>
      <xdr:colOff>419554</xdr:colOff>
      <xdr:row>21</xdr:row>
      <xdr:rowOff>102054</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tabSelected="1" workbookViewId="0">
      <selection activeCell="E15" sqref="E15"/>
    </sheetView>
  </sheetViews>
  <sheetFormatPr defaultRowHeight="15" x14ac:dyDescent="0.25"/>
  <cols>
    <col min="1" max="1" width="10.85546875" customWidth="1"/>
    <col min="2" max="2" width="15.28515625" customWidth="1"/>
    <col min="3" max="3" width="15.85546875" customWidth="1"/>
    <col min="4" max="4" width="15.7109375" customWidth="1"/>
    <col min="5" max="5" width="21" customWidth="1"/>
    <col min="6" max="6" width="20.5703125" customWidth="1"/>
    <col min="7" max="7" width="16.5703125" customWidth="1"/>
  </cols>
  <sheetData>
    <row r="1" spans="1:6" ht="18.75" x14ac:dyDescent="0.3">
      <c r="A1" s="43" t="s">
        <v>110</v>
      </c>
    </row>
    <row r="3" spans="1:6" x14ac:dyDescent="0.25">
      <c r="A3" s="44" t="s">
        <v>111</v>
      </c>
    </row>
    <row r="4" spans="1:6" x14ac:dyDescent="0.25">
      <c r="A4" t="s">
        <v>97</v>
      </c>
      <c r="C4" s="41">
        <v>0.05</v>
      </c>
    </row>
    <row r="5" spans="1:6" x14ac:dyDescent="0.25">
      <c r="A5" t="s">
        <v>98</v>
      </c>
      <c r="C5" s="42">
        <v>10</v>
      </c>
    </row>
    <row r="7" spans="1:6" ht="43.5" customHeight="1" x14ac:dyDescent="0.25">
      <c r="A7" s="48" t="s">
        <v>116</v>
      </c>
      <c r="B7" s="48" t="s">
        <v>94</v>
      </c>
      <c r="C7" s="48" t="s">
        <v>119</v>
      </c>
      <c r="D7" s="48" t="s">
        <v>96</v>
      </c>
      <c r="E7" s="48" t="s">
        <v>92</v>
      </c>
      <c r="F7" s="48" t="s">
        <v>93</v>
      </c>
    </row>
    <row r="8" spans="1:6" ht="27" customHeight="1" x14ac:dyDescent="0.25">
      <c r="A8" s="45">
        <v>1</v>
      </c>
      <c r="B8" s="11" t="s">
        <v>95</v>
      </c>
      <c r="C8" s="11" t="s">
        <v>124</v>
      </c>
      <c r="D8" s="49">
        <f>+(1+C4)^C5</f>
        <v>1.6288946267774416</v>
      </c>
      <c r="E8" s="11" t="s">
        <v>100</v>
      </c>
      <c r="F8" s="11" t="s">
        <v>102</v>
      </c>
    </row>
    <row r="9" spans="1:6" ht="27" customHeight="1" x14ac:dyDescent="0.25">
      <c r="A9" s="46">
        <v>2</v>
      </c>
      <c r="B9" s="12" t="s">
        <v>95</v>
      </c>
      <c r="C9" s="12" t="s">
        <v>125</v>
      </c>
      <c r="D9" s="50">
        <f>+(1+C4)^(-C5)</f>
        <v>0.61391325354075932</v>
      </c>
      <c r="E9" s="12" t="s">
        <v>101</v>
      </c>
      <c r="F9" s="12" t="s">
        <v>103</v>
      </c>
    </row>
    <row r="10" spans="1:6" ht="27" customHeight="1" x14ac:dyDescent="0.25">
      <c r="A10" s="46">
        <v>3</v>
      </c>
      <c r="B10" s="12" t="s">
        <v>99</v>
      </c>
      <c r="C10" s="12" t="s">
        <v>123</v>
      </c>
      <c r="D10" s="50">
        <f>+((1+C4)^C5-1)/C4</f>
        <v>12.57789253554883</v>
      </c>
      <c r="E10" s="39" t="s">
        <v>109</v>
      </c>
      <c r="F10" s="39" t="s">
        <v>107</v>
      </c>
    </row>
    <row r="11" spans="1:6" ht="27" customHeight="1" x14ac:dyDescent="0.25">
      <c r="A11" s="46">
        <v>4</v>
      </c>
      <c r="B11" s="12" t="s">
        <v>99</v>
      </c>
      <c r="C11" s="12" t="s">
        <v>122</v>
      </c>
      <c r="D11" s="50">
        <f>((1+C4)^C5-1)/(C4*(1+C4)^C5)</f>
        <v>7.7217349291848123</v>
      </c>
      <c r="E11" s="39" t="s">
        <v>117</v>
      </c>
      <c r="F11" s="39" t="s">
        <v>106</v>
      </c>
    </row>
    <row r="12" spans="1:6" ht="27" customHeight="1" x14ac:dyDescent="0.25">
      <c r="A12" s="46">
        <v>5</v>
      </c>
      <c r="B12" s="12" t="s">
        <v>99</v>
      </c>
      <c r="C12" s="12" t="s">
        <v>121</v>
      </c>
      <c r="D12" s="50">
        <f>+C4/((1+C4)^C5-1)</f>
        <v>7.9504574965456681E-2</v>
      </c>
      <c r="E12" s="39" t="s">
        <v>108</v>
      </c>
      <c r="F12" s="39" t="s">
        <v>105</v>
      </c>
    </row>
    <row r="13" spans="1:6" ht="27" customHeight="1" x14ac:dyDescent="0.25">
      <c r="A13" s="47">
        <v>6</v>
      </c>
      <c r="B13" s="13" t="s">
        <v>99</v>
      </c>
      <c r="C13" s="13" t="s">
        <v>120</v>
      </c>
      <c r="D13" s="51">
        <f>+C4*(1+C4)^C5/((1+C4)^C5-1)</f>
        <v>0.1295045749654567</v>
      </c>
      <c r="E13" s="40" t="s">
        <v>118</v>
      </c>
      <c r="F13" s="40" t="s">
        <v>104</v>
      </c>
    </row>
    <row r="18" spans="1:6" x14ac:dyDescent="0.25">
      <c r="A18" t="s">
        <v>112</v>
      </c>
    </row>
    <row r="19" spans="1:6" ht="26.25" customHeight="1" x14ac:dyDescent="0.25">
      <c r="A19" s="52" t="s">
        <v>113</v>
      </c>
      <c r="B19" s="52"/>
      <c r="C19" s="52"/>
      <c r="D19" s="52"/>
      <c r="E19" s="52"/>
      <c r="F19" s="52"/>
    </row>
    <row r="20" spans="1:6" ht="26.25" customHeight="1" x14ac:dyDescent="0.25">
      <c r="A20" s="52"/>
      <c r="B20" s="52"/>
      <c r="C20" s="52"/>
      <c r="D20" s="52"/>
      <c r="E20" s="52"/>
      <c r="F20" s="52"/>
    </row>
    <row r="21" spans="1:6" ht="33" customHeight="1" x14ac:dyDescent="0.25">
      <c r="A21" s="52"/>
      <c r="B21" s="52"/>
      <c r="C21" s="52"/>
      <c r="D21" s="52"/>
      <c r="E21" s="52"/>
      <c r="F21" s="52"/>
    </row>
    <row r="22" spans="1:6" x14ac:dyDescent="0.25">
      <c r="A22" t="s">
        <v>115</v>
      </c>
    </row>
    <row r="23" spans="1:6" x14ac:dyDescent="0.25">
      <c r="A23" t="s">
        <v>114</v>
      </c>
    </row>
  </sheetData>
  <mergeCells count="1">
    <mergeCell ref="A19:F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
  <sheetViews>
    <sheetView workbookViewId="0">
      <selection activeCell="J22" sqref="J22"/>
    </sheetView>
  </sheetViews>
  <sheetFormatPr defaultRowHeight="15" x14ac:dyDescent="0.25"/>
  <cols>
    <col min="2" max="2" width="20.7109375" customWidth="1"/>
    <col min="3" max="3" width="23.7109375" customWidth="1"/>
  </cols>
  <sheetData>
    <row r="1" spans="1:3" x14ac:dyDescent="0.25">
      <c r="A1" t="s">
        <v>73</v>
      </c>
    </row>
    <row r="2" spans="1:3" x14ac:dyDescent="0.25">
      <c r="A2" t="s">
        <v>68</v>
      </c>
      <c r="B2">
        <v>3000</v>
      </c>
    </row>
    <row r="3" spans="1:3" x14ac:dyDescent="0.25">
      <c r="A3" t="s">
        <v>69</v>
      </c>
      <c r="B3" s="29">
        <f>-FV(B4,B5, ,B2)</f>
        <v>7781.2273803000053</v>
      </c>
    </row>
    <row r="4" spans="1:3" x14ac:dyDescent="0.25">
      <c r="A4" t="s">
        <v>70</v>
      </c>
      <c r="B4" s="28">
        <v>0.1</v>
      </c>
    </row>
    <row r="5" spans="1:3" x14ac:dyDescent="0.25">
      <c r="A5" t="s">
        <v>0</v>
      </c>
      <c r="B5">
        <v>10</v>
      </c>
    </row>
    <row r="8" spans="1:3" x14ac:dyDescent="0.25">
      <c r="A8" t="s">
        <v>0</v>
      </c>
      <c r="B8" t="s">
        <v>71</v>
      </c>
      <c r="C8" t="s">
        <v>72</v>
      </c>
    </row>
    <row r="9" spans="1:3" x14ac:dyDescent="0.25">
      <c r="A9">
        <v>1</v>
      </c>
      <c r="B9" s="14">
        <f>-FV($B$4,$A9, , $B$2)</f>
        <v>3300.0000000000005</v>
      </c>
      <c r="C9" s="14">
        <f>+$B$2+$B$2*$B$4*$A9</f>
        <v>3300</v>
      </c>
    </row>
    <row r="10" spans="1:3" x14ac:dyDescent="0.25">
      <c r="A10">
        <v>2</v>
      </c>
      <c r="B10" s="14">
        <f t="shared" ref="B10:B18" si="0">-FV($B$4,$A10, , $B$2)</f>
        <v>3630.0000000000005</v>
      </c>
      <c r="C10" s="14">
        <f t="shared" ref="C10:C18" si="1">+$B$2+$B$2*$B$4*$A10</f>
        <v>3600</v>
      </c>
    </row>
    <row r="11" spans="1:3" x14ac:dyDescent="0.25">
      <c r="A11">
        <v>3</v>
      </c>
      <c r="B11" s="14">
        <f t="shared" si="0"/>
        <v>3993.0000000000014</v>
      </c>
      <c r="C11" s="14">
        <f t="shared" si="1"/>
        <v>3900</v>
      </c>
    </row>
    <row r="12" spans="1:3" x14ac:dyDescent="0.25">
      <c r="A12">
        <v>4</v>
      </c>
      <c r="B12" s="14">
        <f t="shared" si="0"/>
        <v>4392.3000000000011</v>
      </c>
      <c r="C12" s="14">
        <f t="shared" si="1"/>
        <v>4200</v>
      </c>
    </row>
    <row r="13" spans="1:3" x14ac:dyDescent="0.25">
      <c r="A13">
        <v>5</v>
      </c>
      <c r="B13" s="14">
        <f t="shared" si="0"/>
        <v>4831.5300000000016</v>
      </c>
      <c r="C13" s="14">
        <f t="shared" si="1"/>
        <v>4500</v>
      </c>
    </row>
    <row r="14" spans="1:3" x14ac:dyDescent="0.25">
      <c r="A14">
        <v>6</v>
      </c>
      <c r="B14" s="14">
        <f t="shared" si="0"/>
        <v>5314.6830000000027</v>
      </c>
      <c r="C14" s="14">
        <f t="shared" si="1"/>
        <v>4800</v>
      </c>
    </row>
    <row r="15" spans="1:3" x14ac:dyDescent="0.25">
      <c r="A15">
        <v>7</v>
      </c>
      <c r="B15" s="14">
        <f t="shared" si="0"/>
        <v>5846.1513000000032</v>
      </c>
      <c r="C15" s="14">
        <f t="shared" si="1"/>
        <v>5100</v>
      </c>
    </row>
    <row r="16" spans="1:3" x14ac:dyDescent="0.25">
      <c r="A16">
        <v>8</v>
      </c>
      <c r="B16" s="14">
        <f t="shared" si="0"/>
        <v>6430.7664300000033</v>
      </c>
      <c r="C16" s="14">
        <f t="shared" si="1"/>
        <v>5400</v>
      </c>
    </row>
    <row r="17" spans="1:3" x14ac:dyDescent="0.25">
      <c r="A17">
        <v>9</v>
      </c>
      <c r="B17" s="14">
        <f t="shared" si="0"/>
        <v>7073.8430730000046</v>
      </c>
      <c r="C17" s="14">
        <f t="shared" si="1"/>
        <v>5700</v>
      </c>
    </row>
    <row r="18" spans="1:3" x14ac:dyDescent="0.25">
      <c r="A18">
        <v>10</v>
      </c>
      <c r="B18" s="14">
        <f t="shared" si="0"/>
        <v>7781.2273803000053</v>
      </c>
      <c r="C18" s="14">
        <f t="shared" si="1"/>
        <v>6000</v>
      </c>
    </row>
    <row r="19" spans="1:3" x14ac:dyDescent="0.25">
      <c r="C19" s="14"/>
    </row>
    <row r="21" spans="1:3" x14ac:dyDescent="0.25">
      <c r="A21" t="s">
        <v>91</v>
      </c>
    </row>
    <row r="22" spans="1:3" ht="26.25" x14ac:dyDescent="0.35">
      <c r="A22" s="31" t="s">
        <v>74</v>
      </c>
    </row>
    <row r="23" spans="1:3" ht="17.25" x14ac:dyDescent="0.25">
      <c r="A23" s="32" t="s">
        <v>75</v>
      </c>
    </row>
    <row r="24" spans="1:3" x14ac:dyDescent="0.25">
      <c r="A24" s="30"/>
    </row>
    <row r="25" spans="1:3" ht="17.25" x14ac:dyDescent="0.25">
      <c r="A25" s="33" t="s">
        <v>76</v>
      </c>
    </row>
    <row r="26" spans="1:3" x14ac:dyDescent="0.25">
      <c r="A26" s="30"/>
    </row>
    <row r="27" spans="1:3" ht="17.25" x14ac:dyDescent="0.25">
      <c r="A27" s="33" t="s">
        <v>77</v>
      </c>
    </row>
    <row r="28" spans="1:3" x14ac:dyDescent="0.25">
      <c r="A28" s="30"/>
    </row>
    <row r="29" spans="1:3" ht="17.25" x14ac:dyDescent="0.25">
      <c r="A29" s="32" t="s">
        <v>78</v>
      </c>
    </row>
    <row r="30" spans="1:3" x14ac:dyDescent="0.25">
      <c r="A30" s="30"/>
    </row>
    <row r="31" spans="1:3" ht="17.25" x14ac:dyDescent="0.25">
      <c r="A31" s="33" t="s">
        <v>79</v>
      </c>
    </row>
    <row r="32" spans="1:3" x14ac:dyDescent="0.25">
      <c r="A32" s="30"/>
    </row>
    <row r="33" spans="1:2" ht="17.25" x14ac:dyDescent="0.25">
      <c r="A33" s="33" t="s">
        <v>80</v>
      </c>
    </row>
    <row r="34" spans="1:2" x14ac:dyDescent="0.25">
      <c r="A34" s="30"/>
    </row>
    <row r="35" spans="1:2" ht="17.25" x14ac:dyDescent="0.25">
      <c r="A35" s="33" t="s">
        <v>81</v>
      </c>
    </row>
    <row r="36" spans="1:2" x14ac:dyDescent="0.25">
      <c r="A36" s="30"/>
    </row>
    <row r="37" spans="1:2" ht="17.25" x14ac:dyDescent="0.25">
      <c r="A37" s="33" t="s">
        <v>82</v>
      </c>
    </row>
    <row r="38" spans="1:2" x14ac:dyDescent="0.25">
      <c r="A38" s="30"/>
    </row>
    <row r="39" spans="1:2" ht="17.25" x14ac:dyDescent="0.25">
      <c r="A39" s="33" t="s">
        <v>83</v>
      </c>
    </row>
    <row r="40" spans="1:2" ht="18" thickBot="1" x14ac:dyDescent="0.3">
      <c r="A40" s="32"/>
    </row>
    <row r="41" spans="1:2" ht="69.75" thickBot="1" x14ac:dyDescent="0.3">
      <c r="A41" s="34" t="s">
        <v>84</v>
      </c>
      <c r="B41" s="34" t="s">
        <v>85</v>
      </c>
    </row>
    <row r="42" spans="1:2" ht="26.25" thickBot="1" x14ac:dyDescent="0.3">
      <c r="A42" s="35">
        <v>0</v>
      </c>
      <c r="B42" s="35" t="s">
        <v>86</v>
      </c>
    </row>
    <row r="43" spans="1:2" ht="26.25" thickBot="1" x14ac:dyDescent="0.3">
      <c r="A43" s="36">
        <v>1</v>
      </c>
      <c r="B43" s="36" t="s">
        <v>87</v>
      </c>
    </row>
    <row r="44" spans="1:2" x14ac:dyDescent="0.25">
      <c r="A44" s="30"/>
    </row>
    <row r="45" spans="1:2" x14ac:dyDescent="0.25">
      <c r="A45" s="30"/>
    </row>
    <row r="46" spans="1:2" ht="17.25" x14ac:dyDescent="0.25">
      <c r="A46" s="33" t="s">
        <v>88</v>
      </c>
    </row>
    <row r="47" spans="1:2" x14ac:dyDescent="0.25">
      <c r="A47" s="37"/>
    </row>
    <row r="48" spans="1:2" ht="17.25" x14ac:dyDescent="0.25">
      <c r="A48" s="38" t="s">
        <v>89</v>
      </c>
    </row>
    <row r="49" spans="1:1" ht="17.25" x14ac:dyDescent="0.25">
      <c r="A49" s="38" t="s">
        <v>90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zoomScale="118" zoomScaleNormal="118" workbookViewId="0">
      <selection activeCell="F17" sqref="F17"/>
    </sheetView>
  </sheetViews>
  <sheetFormatPr defaultRowHeight="15" x14ac:dyDescent="0.25"/>
  <cols>
    <col min="1" max="1" width="17.28515625" customWidth="1"/>
    <col min="2" max="2" width="24.28515625" customWidth="1"/>
    <col min="3" max="3" width="23" customWidth="1"/>
    <col min="4" max="4" width="12.7109375" customWidth="1"/>
  </cols>
  <sheetData>
    <row r="1" spans="1:4" x14ac:dyDescent="0.25">
      <c r="A1" t="s">
        <v>27</v>
      </c>
      <c r="B1" t="s">
        <v>28</v>
      </c>
      <c r="C1" s="10" t="s">
        <v>28</v>
      </c>
      <c r="D1" s="10"/>
    </row>
    <row r="2" spans="1:4" x14ac:dyDescent="0.25">
      <c r="A2" s="11">
        <v>1</v>
      </c>
      <c r="B2" s="15">
        <v>2</v>
      </c>
      <c r="C2" s="7"/>
      <c r="D2" s="7"/>
    </row>
    <row r="3" spans="1:4" x14ac:dyDescent="0.25">
      <c r="A3" s="12">
        <v>2</v>
      </c>
      <c r="B3" s="16">
        <v>5</v>
      </c>
      <c r="C3" s="7" t="s">
        <v>13</v>
      </c>
      <c r="D3" s="25">
        <v>8.3000000000000007</v>
      </c>
    </row>
    <row r="4" spans="1:4" x14ac:dyDescent="0.25">
      <c r="A4" s="12">
        <v>3</v>
      </c>
      <c r="B4" s="16">
        <v>6</v>
      </c>
      <c r="C4" s="7" t="s">
        <v>14</v>
      </c>
      <c r="D4" s="23">
        <v>1.2115187896924167</v>
      </c>
    </row>
    <row r="5" spans="1:4" x14ac:dyDescent="0.25">
      <c r="A5" s="12">
        <v>4</v>
      </c>
      <c r="B5" s="16">
        <v>6</v>
      </c>
      <c r="C5" s="7" t="s">
        <v>15</v>
      </c>
      <c r="D5" s="7">
        <v>8</v>
      </c>
    </row>
    <row r="6" spans="1:4" x14ac:dyDescent="0.25">
      <c r="A6" s="12">
        <v>5</v>
      </c>
      <c r="B6" s="16">
        <v>7</v>
      </c>
      <c r="C6" s="7" t="s">
        <v>16</v>
      </c>
      <c r="D6" s="7">
        <v>6</v>
      </c>
    </row>
    <row r="7" spans="1:4" x14ac:dyDescent="0.25">
      <c r="A7" s="12">
        <v>6</v>
      </c>
      <c r="B7" s="16">
        <v>9</v>
      </c>
      <c r="C7" s="7" t="s">
        <v>17</v>
      </c>
      <c r="D7" s="23">
        <v>3.8311588035185622</v>
      </c>
    </row>
    <row r="8" spans="1:4" x14ac:dyDescent="0.25">
      <c r="A8" s="12">
        <v>7</v>
      </c>
      <c r="B8" s="16">
        <v>10</v>
      </c>
      <c r="C8" s="7" t="s">
        <v>18</v>
      </c>
      <c r="D8" s="23">
        <v>14.677777777777781</v>
      </c>
    </row>
    <row r="9" spans="1:4" x14ac:dyDescent="0.25">
      <c r="A9" s="12">
        <v>8</v>
      </c>
      <c r="B9" s="16">
        <v>11</v>
      </c>
      <c r="C9" s="7" t="s">
        <v>19</v>
      </c>
      <c r="D9" s="23">
        <v>-0.26978735743171889</v>
      </c>
    </row>
    <row r="10" spans="1:4" x14ac:dyDescent="0.25">
      <c r="A10" s="12">
        <v>9</v>
      </c>
      <c r="B10" s="16">
        <v>12</v>
      </c>
      <c r="C10" s="7" t="s">
        <v>20</v>
      </c>
      <c r="D10" s="23">
        <v>0.15767757048040826</v>
      </c>
    </row>
    <row r="11" spans="1:4" x14ac:dyDescent="0.25">
      <c r="A11" s="13">
        <v>10</v>
      </c>
      <c r="B11" s="17">
        <v>15</v>
      </c>
      <c r="C11" s="7" t="s">
        <v>21</v>
      </c>
      <c r="D11" s="7">
        <v>13</v>
      </c>
    </row>
    <row r="12" spans="1:4" x14ac:dyDescent="0.25">
      <c r="A12" t="s">
        <v>34</v>
      </c>
      <c r="B12" s="18">
        <v>200</v>
      </c>
      <c r="C12" s="7" t="s">
        <v>22</v>
      </c>
      <c r="D12" s="7">
        <v>2</v>
      </c>
    </row>
    <row r="13" spans="1:4" x14ac:dyDescent="0.25">
      <c r="A13" t="s">
        <v>35</v>
      </c>
      <c r="B13" s="18">
        <v>10</v>
      </c>
      <c r="C13" s="7" t="s">
        <v>23</v>
      </c>
      <c r="D13" s="7">
        <v>15</v>
      </c>
    </row>
    <row r="14" spans="1:4" x14ac:dyDescent="0.25">
      <c r="A14" t="s">
        <v>40</v>
      </c>
      <c r="B14" s="19"/>
      <c r="C14" s="7" t="s">
        <v>24</v>
      </c>
      <c r="D14" s="7">
        <v>83</v>
      </c>
    </row>
    <row r="15" spans="1:4" x14ac:dyDescent="0.25">
      <c r="A15" t="s">
        <v>31</v>
      </c>
      <c r="B15" s="22">
        <f>(D8/10)*(200-10)/200</f>
        <v>1.3943888888888893</v>
      </c>
      <c r="C15" s="7" t="s">
        <v>25</v>
      </c>
      <c r="D15" s="7">
        <v>10</v>
      </c>
    </row>
    <row r="16" spans="1:4" ht="15.75" thickBot="1" x14ac:dyDescent="0.3">
      <c r="A16" t="s">
        <v>32</v>
      </c>
      <c r="B16" s="22">
        <f>(D8/10)</f>
        <v>1.4677777777777781</v>
      </c>
      <c r="C16" s="8" t="s">
        <v>26</v>
      </c>
      <c r="D16" s="24">
        <v>2.7406459023644949</v>
      </c>
    </row>
    <row r="17" spans="1:4" x14ac:dyDescent="0.25">
      <c r="A17" t="s">
        <v>41</v>
      </c>
      <c r="B17" s="20"/>
      <c r="C17" s="7" t="s">
        <v>42</v>
      </c>
      <c r="D17" s="14">
        <f>D16*((200-10)/200)^0.5</f>
        <v>2.6712511982290117</v>
      </c>
    </row>
    <row r="18" spans="1:4" x14ac:dyDescent="0.25">
      <c r="A18" t="s">
        <v>31</v>
      </c>
      <c r="B18" s="21">
        <f>+B15^0.5</f>
        <v>1.1808424488003848</v>
      </c>
      <c r="C18" s="7" t="s">
        <v>43</v>
      </c>
      <c r="D18">
        <f>8.3+2.74</f>
        <v>11.040000000000001</v>
      </c>
    </row>
    <row r="19" spans="1:4" x14ac:dyDescent="0.25">
      <c r="A19" t="s">
        <v>32</v>
      </c>
      <c r="B19" s="21">
        <f>+B16^0.5</f>
        <v>1.2115187896924167</v>
      </c>
      <c r="C19" s="7" t="s">
        <v>44</v>
      </c>
      <c r="D19">
        <f>8.3-2.74</f>
        <v>5.5600000000000005</v>
      </c>
    </row>
    <row r="20" spans="1:4" x14ac:dyDescent="0.25">
      <c r="D20" s="14"/>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zoomScale="118" zoomScaleNormal="118" workbookViewId="0">
      <selection activeCell="E18" sqref="E18"/>
    </sheetView>
  </sheetViews>
  <sheetFormatPr defaultRowHeight="15" x14ac:dyDescent="0.25"/>
  <cols>
    <col min="1" max="1" width="17.28515625" customWidth="1"/>
    <col min="2" max="2" width="24.28515625" customWidth="1"/>
    <col min="3" max="3" width="23" customWidth="1"/>
    <col min="4" max="4" width="12.7109375" customWidth="1"/>
  </cols>
  <sheetData>
    <row r="1" spans="1:4" x14ac:dyDescent="0.25">
      <c r="A1" t="s">
        <v>27</v>
      </c>
      <c r="B1" t="s">
        <v>28</v>
      </c>
      <c r="C1" s="10" t="s">
        <v>28</v>
      </c>
      <c r="D1" s="10"/>
    </row>
    <row r="2" spans="1:4" x14ac:dyDescent="0.25">
      <c r="A2" s="11">
        <v>1</v>
      </c>
      <c r="B2" s="15">
        <v>2</v>
      </c>
      <c r="C2" s="7"/>
      <c r="D2" s="7"/>
    </row>
    <row r="3" spans="1:4" x14ac:dyDescent="0.25">
      <c r="A3" s="12">
        <v>2</v>
      </c>
      <c r="B3" s="16">
        <v>5</v>
      </c>
      <c r="C3" s="7" t="s">
        <v>13</v>
      </c>
      <c r="D3" s="7">
        <v>8.3000000000000007</v>
      </c>
    </row>
    <row r="4" spans="1:4" x14ac:dyDescent="0.25">
      <c r="A4" s="12">
        <v>3</v>
      </c>
      <c r="B4" s="16">
        <v>6</v>
      </c>
      <c r="C4" s="7" t="s">
        <v>14</v>
      </c>
      <c r="D4" s="23">
        <v>1.2115187896924167</v>
      </c>
    </row>
    <row r="5" spans="1:4" x14ac:dyDescent="0.25">
      <c r="A5" s="12">
        <v>4</v>
      </c>
      <c r="B5" s="16">
        <v>6</v>
      </c>
      <c r="C5" s="7" t="s">
        <v>15</v>
      </c>
      <c r="D5" s="7">
        <v>8</v>
      </c>
    </row>
    <row r="6" spans="1:4" x14ac:dyDescent="0.25">
      <c r="A6" s="12">
        <v>5</v>
      </c>
      <c r="B6" s="16">
        <v>7</v>
      </c>
      <c r="C6" s="7" t="s">
        <v>16</v>
      </c>
      <c r="D6" s="7">
        <v>6</v>
      </c>
    </row>
    <row r="7" spans="1:4" x14ac:dyDescent="0.25">
      <c r="A7" s="12">
        <v>6</v>
      </c>
      <c r="B7" s="16">
        <v>9</v>
      </c>
      <c r="C7" s="7" t="s">
        <v>17</v>
      </c>
      <c r="D7" s="23">
        <v>3.8311588035185622</v>
      </c>
    </row>
    <row r="8" spans="1:4" x14ac:dyDescent="0.25">
      <c r="A8" s="12">
        <v>7</v>
      </c>
      <c r="B8" s="16">
        <v>10</v>
      </c>
      <c r="C8" s="7" t="s">
        <v>18</v>
      </c>
      <c r="D8" s="23">
        <v>14.677777777777781</v>
      </c>
    </row>
    <row r="9" spans="1:4" x14ac:dyDescent="0.25">
      <c r="A9" s="12">
        <v>8</v>
      </c>
      <c r="B9" s="16">
        <v>11</v>
      </c>
      <c r="C9" s="7" t="s">
        <v>19</v>
      </c>
      <c r="D9" s="23">
        <v>-0.26978735743171889</v>
      </c>
    </row>
    <row r="10" spans="1:4" x14ac:dyDescent="0.25">
      <c r="A10" s="12">
        <v>9</v>
      </c>
      <c r="B10" s="16">
        <v>12</v>
      </c>
      <c r="C10" s="7" t="s">
        <v>20</v>
      </c>
      <c r="D10" s="23">
        <v>0.15767757048040826</v>
      </c>
    </row>
    <row r="11" spans="1:4" x14ac:dyDescent="0.25">
      <c r="A11" s="13">
        <v>10</v>
      </c>
      <c r="B11" s="17">
        <v>15</v>
      </c>
      <c r="C11" s="7" t="s">
        <v>21</v>
      </c>
      <c r="D11" s="7">
        <v>13</v>
      </c>
    </row>
    <row r="12" spans="1:4" x14ac:dyDescent="0.25">
      <c r="A12" t="s">
        <v>34</v>
      </c>
      <c r="B12" s="18">
        <v>200</v>
      </c>
      <c r="C12" s="7" t="s">
        <v>22</v>
      </c>
      <c r="D12" s="7">
        <v>2</v>
      </c>
    </row>
    <row r="13" spans="1:4" x14ac:dyDescent="0.25">
      <c r="A13" t="s">
        <v>35</v>
      </c>
      <c r="B13" s="18">
        <v>10</v>
      </c>
      <c r="C13" s="7" t="s">
        <v>23</v>
      </c>
      <c r="D13" s="7">
        <v>15</v>
      </c>
    </row>
    <row r="14" spans="1:4" x14ac:dyDescent="0.25">
      <c r="A14" t="s">
        <v>30</v>
      </c>
      <c r="B14" s="19"/>
      <c r="C14" s="7" t="s">
        <v>24</v>
      </c>
      <c r="D14" s="7">
        <v>83</v>
      </c>
    </row>
    <row r="15" spans="1:4" x14ac:dyDescent="0.25">
      <c r="A15" t="s">
        <v>31</v>
      </c>
      <c r="B15" s="22">
        <f>(200^2)*(D8/10)*(200-10)/200</f>
        <v>55775.555555555569</v>
      </c>
      <c r="C15" s="7" t="s">
        <v>25</v>
      </c>
      <c r="D15" s="7">
        <v>10</v>
      </c>
    </row>
    <row r="16" spans="1:4" ht="15.75" thickBot="1" x14ac:dyDescent="0.3">
      <c r="A16" t="s">
        <v>32</v>
      </c>
      <c r="B16" s="22">
        <f>(200^2)*(D8/10)</f>
        <v>58711.111111111124</v>
      </c>
      <c r="C16" s="8" t="s">
        <v>26</v>
      </c>
      <c r="D16" s="24">
        <v>2.7406459023644949</v>
      </c>
    </row>
    <row r="17" spans="1:4" x14ac:dyDescent="0.25">
      <c r="A17" t="s">
        <v>33</v>
      </c>
      <c r="B17" s="20"/>
      <c r="C17" s="7" t="s">
        <v>38</v>
      </c>
      <c r="D17">
        <f>+D3*200</f>
        <v>1660.0000000000002</v>
      </c>
    </row>
    <row r="18" spans="1:4" x14ac:dyDescent="0.25">
      <c r="A18" t="s">
        <v>31</v>
      </c>
      <c r="B18" s="21">
        <f>+B15^0.5</f>
        <v>236.16848976007694</v>
      </c>
      <c r="C18" s="7" t="s">
        <v>39</v>
      </c>
    </row>
    <row r="19" spans="1:4" x14ac:dyDescent="0.25">
      <c r="A19" t="s">
        <v>32</v>
      </c>
      <c r="B19" s="21">
        <f>+B16^0.5</f>
        <v>242.30375793848333</v>
      </c>
      <c r="C19" t="s">
        <v>31</v>
      </c>
      <c r="D19" s="14">
        <f>200*D16*((200-10)/200)^0.5</f>
        <v>534.25023964580237</v>
      </c>
    </row>
    <row r="20" spans="1:4" x14ac:dyDescent="0.25">
      <c r="C20" t="s">
        <v>32</v>
      </c>
      <c r="D20" s="14">
        <f>200*D16</f>
        <v>548.12918047289895</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zoomScale="130" zoomScaleNormal="130" workbookViewId="0">
      <selection activeCell="E11" sqref="E11"/>
    </sheetView>
  </sheetViews>
  <sheetFormatPr defaultRowHeight="15" x14ac:dyDescent="0.25"/>
  <cols>
    <col min="2" max="2" width="24.28515625" customWidth="1"/>
  </cols>
  <sheetData>
    <row r="1" spans="1:2" x14ac:dyDescent="0.25">
      <c r="A1" t="s">
        <v>27</v>
      </c>
      <c r="B1" t="s">
        <v>28</v>
      </c>
    </row>
    <row r="2" spans="1:2" x14ac:dyDescent="0.25">
      <c r="A2" s="11">
        <v>1</v>
      </c>
      <c r="B2" s="15">
        <v>2</v>
      </c>
    </row>
    <row r="3" spans="1:2" x14ac:dyDescent="0.25">
      <c r="A3" s="12">
        <v>2</v>
      </c>
      <c r="B3" s="16">
        <v>5</v>
      </c>
    </row>
    <row r="4" spans="1:2" x14ac:dyDescent="0.25">
      <c r="A4" s="12">
        <v>3</v>
      </c>
      <c r="B4" s="16">
        <v>6</v>
      </c>
    </row>
    <row r="5" spans="1:2" x14ac:dyDescent="0.25">
      <c r="A5" s="12">
        <v>4</v>
      </c>
      <c r="B5" s="16">
        <v>6</v>
      </c>
    </row>
    <row r="6" spans="1:2" x14ac:dyDescent="0.25">
      <c r="A6" s="12">
        <v>5</v>
      </c>
      <c r="B6" s="16">
        <v>7</v>
      </c>
    </row>
    <row r="7" spans="1:2" x14ac:dyDescent="0.25">
      <c r="A7" s="12">
        <v>6</v>
      </c>
      <c r="B7" s="16">
        <v>9</v>
      </c>
    </row>
    <row r="8" spans="1:2" x14ac:dyDescent="0.25">
      <c r="A8" s="12">
        <v>7</v>
      </c>
      <c r="B8" s="16">
        <v>10</v>
      </c>
    </row>
    <row r="9" spans="1:2" x14ac:dyDescent="0.25">
      <c r="A9" s="12">
        <v>8</v>
      </c>
      <c r="B9" s="16">
        <v>11</v>
      </c>
    </row>
    <row r="10" spans="1:2" x14ac:dyDescent="0.25">
      <c r="A10" s="12">
        <v>9</v>
      </c>
      <c r="B10" s="16">
        <v>12</v>
      </c>
    </row>
    <row r="11" spans="1:2" x14ac:dyDescent="0.25">
      <c r="A11" s="13">
        <v>10</v>
      </c>
      <c r="B11" s="17">
        <v>15</v>
      </c>
    </row>
  </sheetData>
  <sortState ref="B2:B8">
    <sortCondition ref="B2"/>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zoomScale="130" zoomScaleNormal="130" workbookViewId="0">
      <selection activeCell="F16" sqref="F16"/>
    </sheetView>
  </sheetViews>
  <sheetFormatPr defaultRowHeight="15" x14ac:dyDescent="0.25"/>
  <cols>
    <col min="2" max="2" width="24.28515625" customWidth="1"/>
    <col min="3" max="3" width="21.7109375" customWidth="1"/>
    <col min="4" max="4" width="10.28515625" customWidth="1"/>
  </cols>
  <sheetData>
    <row r="1" spans="1:4" x14ac:dyDescent="0.25">
      <c r="A1" t="s">
        <v>27</v>
      </c>
      <c r="B1" t="s">
        <v>28</v>
      </c>
      <c r="C1" s="10" t="s">
        <v>28</v>
      </c>
      <c r="D1" s="10"/>
    </row>
    <row r="2" spans="1:4" x14ac:dyDescent="0.25">
      <c r="A2" s="11">
        <v>1</v>
      </c>
      <c r="B2" s="15">
        <v>2</v>
      </c>
      <c r="C2" s="7"/>
      <c r="D2" s="7"/>
    </row>
    <row r="3" spans="1:4" x14ac:dyDescent="0.25">
      <c r="A3" s="12">
        <v>2</v>
      </c>
      <c r="B3" s="16">
        <v>5</v>
      </c>
      <c r="C3" s="7" t="s">
        <v>13</v>
      </c>
      <c r="D3" s="7">
        <v>8.3000000000000007</v>
      </c>
    </row>
    <row r="4" spans="1:4" x14ac:dyDescent="0.25">
      <c r="A4" s="12">
        <v>3</v>
      </c>
      <c r="B4" s="16">
        <v>6</v>
      </c>
      <c r="C4" s="7" t="s">
        <v>14</v>
      </c>
      <c r="D4" s="23">
        <v>1.2115187896924167</v>
      </c>
    </row>
    <row r="5" spans="1:4" x14ac:dyDescent="0.25">
      <c r="A5" s="12">
        <v>4</v>
      </c>
      <c r="B5" s="16">
        <v>6</v>
      </c>
      <c r="C5" s="7" t="s">
        <v>15</v>
      </c>
      <c r="D5" s="7">
        <v>8</v>
      </c>
    </row>
    <row r="6" spans="1:4" x14ac:dyDescent="0.25">
      <c r="A6" s="12">
        <v>5</v>
      </c>
      <c r="B6" s="16">
        <v>7</v>
      </c>
      <c r="C6" s="7" t="s">
        <v>16</v>
      </c>
      <c r="D6" s="7">
        <v>6</v>
      </c>
    </row>
    <row r="7" spans="1:4" x14ac:dyDescent="0.25">
      <c r="A7" s="12">
        <v>6</v>
      </c>
      <c r="B7" s="16">
        <v>9</v>
      </c>
      <c r="C7" s="7" t="s">
        <v>17</v>
      </c>
      <c r="D7" s="23">
        <v>3.8311588035185622</v>
      </c>
    </row>
    <row r="8" spans="1:4" x14ac:dyDescent="0.25">
      <c r="A8" s="12">
        <v>7</v>
      </c>
      <c r="B8" s="16">
        <v>10</v>
      </c>
      <c r="C8" s="7" t="s">
        <v>18</v>
      </c>
      <c r="D8" s="23">
        <v>14.677777777777781</v>
      </c>
    </row>
    <row r="9" spans="1:4" x14ac:dyDescent="0.25">
      <c r="A9" s="12">
        <v>8</v>
      </c>
      <c r="B9" s="16">
        <v>11</v>
      </c>
      <c r="C9" s="7" t="s">
        <v>19</v>
      </c>
      <c r="D9" s="23">
        <v>-0.26978735743171889</v>
      </c>
    </row>
    <row r="10" spans="1:4" x14ac:dyDescent="0.25">
      <c r="A10" s="12">
        <v>9</v>
      </c>
      <c r="B10" s="16">
        <v>12</v>
      </c>
      <c r="C10" s="7" t="s">
        <v>20</v>
      </c>
      <c r="D10" s="23">
        <v>0.15767757048040826</v>
      </c>
    </row>
    <row r="11" spans="1:4" x14ac:dyDescent="0.25">
      <c r="A11" s="13">
        <v>10</v>
      </c>
      <c r="B11" s="17">
        <v>15</v>
      </c>
      <c r="C11" s="7" t="s">
        <v>21</v>
      </c>
      <c r="D11" s="7">
        <v>13</v>
      </c>
    </row>
    <row r="12" spans="1:4" x14ac:dyDescent="0.25">
      <c r="A12" t="s">
        <v>29</v>
      </c>
      <c r="B12" s="19">
        <f>AVERAGE(B2:B11)</f>
        <v>8.3000000000000007</v>
      </c>
      <c r="C12" s="7" t="s">
        <v>22</v>
      </c>
      <c r="D12" s="7">
        <v>2</v>
      </c>
    </row>
    <row r="13" spans="1:4" x14ac:dyDescent="0.25">
      <c r="A13" t="s">
        <v>15</v>
      </c>
      <c r="B13" s="26">
        <f>MEDIAN(B2:B11)</f>
        <v>8</v>
      </c>
      <c r="C13" s="7" t="s">
        <v>23</v>
      </c>
      <c r="D13" s="7">
        <v>15</v>
      </c>
    </row>
    <row r="14" spans="1:4" x14ac:dyDescent="0.25">
      <c r="A14" t="s">
        <v>16</v>
      </c>
      <c r="B14" s="26">
        <f>MODE(B2:B11)</f>
        <v>6</v>
      </c>
      <c r="C14" s="7" t="s">
        <v>24</v>
      </c>
      <c r="D14" s="7">
        <v>83</v>
      </c>
    </row>
    <row r="15" spans="1:4" ht="15.75" thickBot="1" x14ac:dyDescent="0.3">
      <c r="A15" t="s">
        <v>36</v>
      </c>
      <c r="B15" s="27">
        <f>VAR(B2:B11)</f>
        <v>14.677777777777781</v>
      </c>
      <c r="C15" s="8" t="s">
        <v>25</v>
      </c>
      <c r="D15" s="24">
        <v>10</v>
      </c>
    </row>
    <row r="16" spans="1:4" x14ac:dyDescent="0.25">
      <c r="A16" t="s">
        <v>37</v>
      </c>
      <c r="B16" s="27">
        <f>STDEV(B2:B11)</f>
        <v>3.8311588035185622</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zoomScale="84" zoomScaleNormal="84" workbookViewId="0">
      <selection activeCell="I25" sqref="I25"/>
    </sheetView>
  </sheetViews>
  <sheetFormatPr defaultRowHeight="15" x14ac:dyDescent="0.25"/>
  <cols>
    <col min="5" max="5" width="11.28515625" customWidth="1"/>
  </cols>
  <sheetData>
    <row r="1" spans="1:5" ht="15.75" thickBot="1" x14ac:dyDescent="0.3">
      <c r="A1" s="1" t="s">
        <v>1</v>
      </c>
      <c r="B1" s="2" t="s">
        <v>2</v>
      </c>
      <c r="C1" s="2" t="s">
        <v>3</v>
      </c>
      <c r="D1" s="2" t="s">
        <v>4</v>
      </c>
      <c r="E1" s="2" t="s">
        <v>5</v>
      </c>
    </row>
    <row r="2" spans="1:5" ht="15.75" thickBot="1" x14ac:dyDescent="0.3">
      <c r="A2" s="3">
        <v>1</v>
      </c>
      <c r="B2" s="4">
        <v>190</v>
      </c>
      <c r="C2" s="4">
        <v>50</v>
      </c>
      <c r="D2" s="4">
        <v>14</v>
      </c>
      <c r="E2" s="4" t="s">
        <v>6</v>
      </c>
    </row>
    <row r="3" spans="1:5" ht="15.75" thickBot="1" x14ac:dyDescent="0.3">
      <c r="A3" s="3">
        <v>2</v>
      </c>
      <c r="B3" s="4">
        <v>135</v>
      </c>
      <c r="C3" s="4">
        <v>59</v>
      </c>
      <c r="D3" s="4">
        <v>14</v>
      </c>
      <c r="E3" s="4" t="s">
        <v>7</v>
      </c>
    </row>
    <row r="4" spans="1:5" ht="15.75" thickBot="1" x14ac:dyDescent="0.3">
      <c r="A4" s="3">
        <v>3</v>
      </c>
      <c r="B4" s="4">
        <v>275</v>
      </c>
      <c r="C4" s="4">
        <v>39</v>
      </c>
      <c r="D4" s="4">
        <v>16</v>
      </c>
      <c r="E4" s="4" t="s">
        <v>7</v>
      </c>
    </row>
    <row r="5" spans="1:5" ht="15.75" thickBot="1" x14ac:dyDescent="0.3">
      <c r="A5" s="3">
        <v>4</v>
      </c>
      <c r="B5" s="4">
        <v>185</v>
      </c>
      <c r="C5" s="4">
        <v>49</v>
      </c>
      <c r="D5" s="4">
        <v>14</v>
      </c>
      <c r="E5" s="4" t="s">
        <v>7</v>
      </c>
    </row>
    <row r="6" spans="1:5" ht="15.75" thickBot="1" x14ac:dyDescent="0.3">
      <c r="A6" s="3">
        <v>5</v>
      </c>
      <c r="B6" s="4">
        <v>340</v>
      </c>
      <c r="C6" s="4">
        <v>39</v>
      </c>
      <c r="D6" s="4">
        <v>12</v>
      </c>
      <c r="E6" s="4" t="s">
        <v>6</v>
      </c>
    </row>
    <row r="7" spans="1:5" ht="15.75" thickBot="1" x14ac:dyDescent="0.3">
      <c r="A7" s="3">
        <v>6</v>
      </c>
      <c r="B7" s="4">
        <v>575</v>
      </c>
      <c r="C7" s="4">
        <v>32</v>
      </c>
      <c r="D7" s="4">
        <v>16</v>
      </c>
      <c r="E7" s="4" t="s">
        <v>7</v>
      </c>
    </row>
    <row r="8" spans="1:5" ht="15.75" thickBot="1" x14ac:dyDescent="0.3">
      <c r="A8" s="3">
        <v>7</v>
      </c>
      <c r="B8" s="4">
        <v>210</v>
      </c>
      <c r="C8" s="4">
        <v>51</v>
      </c>
      <c r="D8" s="4">
        <v>14</v>
      </c>
      <c r="E8" s="4" t="s">
        <v>6</v>
      </c>
    </row>
    <row r="9" spans="1:5" ht="15.75" thickBot="1" x14ac:dyDescent="0.3">
      <c r="A9" s="3">
        <v>8</v>
      </c>
      <c r="B9" s="4">
        <v>95</v>
      </c>
      <c r="C9" s="4">
        <v>55</v>
      </c>
      <c r="D9" s="4">
        <v>8</v>
      </c>
      <c r="E9" s="4" t="s">
        <v>7</v>
      </c>
    </row>
    <row r="10" spans="1:5" ht="15.75" thickBot="1" x14ac:dyDescent="0.3">
      <c r="A10" s="3">
        <v>9</v>
      </c>
      <c r="B10" s="4">
        <v>55</v>
      </c>
      <c r="C10" s="4">
        <v>67</v>
      </c>
      <c r="D10" s="4">
        <v>8</v>
      </c>
      <c r="E10" s="4" t="s">
        <v>6</v>
      </c>
    </row>
    <row r="11" spans="1:5" ht="15.75" thickBot="1" x14ac:dyDescent="0.3">
      <c r="A11" s="3">
        <v>10</v>
      </c>
      <c r="B11" s="4">
        <v>210</v>
      </c>
      <c r="C11" s="4">
        <v>28</v>
      </c>
      <c r="D11" s="4">
        <v>12</v>
      </c>
      <c r="E11" s="4" t="s">
        <v>7</v>
      </c>
    </row>
    <row r="12" spans="1:5" ht="15.75" thickBot="1" x14ac:dyDescent="0.3">
      <c r="A12" s="3">
        <v>11</v>
      </c>
      <c r="B12" s="4">
        <v>280</v>
      </c>
      <c r="C12" s="4">
        <v>35</v>
      </c>
      <c r="D12" s="4">
        <v>14</v>
      </c>
      <c r="E12" s="4" t="s">
        <v>7</v>
      </c>
    </row>
    <row r="13" spans="1:5" ht="15.75" thickBot="1" x14ac:dyDescent="0.3">
      <c r="A13" s="3">
        <v>12</v>
      </c>
      <c r="B13" s="4">
        <v>0</v>
      </c>
      <c r="C13" s="4">
        <v>68</v>
      </c>
      <c r="D13" s="4">
        <v>8</v>
      </c>
      <c r="E13" s="4" t="s">
        <v>6</v>
      </c>
    </row>
    <row r="14" spans="1:5" ht="15.75" thickBot="1" x14ac:dyDescent="0.3">
      <c r="A14" s="3">
        <v>13</v>
      </c>
      <c r="B14" s="4">
        <v>120</v>
      </c>
      <c r="C14" s="4">
        <v>55</v>
      </c>
      <c r="D14" s="4">
        <v>12</v>
      </c>
      <c r="E14" s="4" t="s">
        <v>7</v>
      </c>
    </row>
    <row r="15" spans="1:5" ht="15.75" thickBot="1" x14ac:dyDescent="0.3">
      <c r="A15" s="3">
        <v>14</v>
      </c>
      <c r="B15" s="4">
        <v>80</v>
      </c>
      <c r="C15" s="4">
        <v>59</v>
      </c>
      <c r="D15" s="4">
        <v>12</v>
      </c>
      <c r="E15" s="4" t="s">
        <v>6</v>
      </c>
    </row>
    <row r="16" spans="1:5" ht="15.75" thickBot="1" x14ac:dyDescent="0.3">
      <c r="A16" s="3">
        <v>15</v>
      </c>
      <c r="B16" s="4">
        <v>600</v>
      </c>
      <c r="C16" s="4">
        <v>30</v>
      </c>
      <c r="D16" s="4">
        <v>18</v>
      </c>
      <c r="E16" s="4" t="s">
        <v>6</v>
      </c>
    </row>
    <row r="17" spans="1:5" ht="15.75" thickBot="1" x14ac:dyDescent="0.3">
      <c r="A17" s="3">
        <v>16</v>
      </c>
      <c r="B17" s="4">
        <v>415</v>
      </c>
      <c r="C17" s="4">
        <v>29</v>
      </c>
      <c r="D17" s="4">
        <v>18</v>
      </c>
      <c r="E17" s="4" t="s">
        <v>7</v>
      </c>
    </row>
    <row r="18" spans="1:5" ht="15.75" thickBot="1" x14ac:dyDescent="0.3">
      <c r="A18" s="3">
        <v>17</v>
      </c>
      <c r="B18" s="4">
        <v>0</v>
      </c>
      <c r="C18" s="4">
        <v>62</v>
      </c>
      <c r="D18" s="4">
        <v>8</v>
      </c>
      <c r="E18" s="4" t="s">
        <v>7</v>
      </c>
    </row>
    <row r="19" spans="1:5" ht="15.75" thickBot="1" x14ac:dyDescent="0.3">
      <c r="A19" s="3">
        <v>18</v>
      </c>
      <c r="B19" s="4">
        <v>395</v>
      </c>
      <c r="C19" s="4">
        <v>27</v>
      </c>
      <c r="D19" s="4">
        <v>16</v>
      </c>
      <c r="E19" s="4" t="s">
        <v>7</v>
      </c>
    </row>
    <row r="20" spans="1:5" ht="15.75" thickBot="1" x14ac:dyDescent="0.3">
      <c r="A20" s="3">
        <v>19</v>
      </c>
      <c r="B20" s="4">
        <v>480</v>
      </c>
      <c r="C20" s="4">
        <v>31</v>
      </c>
      <c r="D20" s="4">
        <v>16</v>
      </c>
      <c r="E20" s="4" t="s">
        <v>6</v>
      </c>
    </row>
    <row r="21" spans="1:5" ht="15.75" thickBot="1" x14ac:dyDescent="0.3">
      <c r="A21" s="3">
        <v>20</v>
      </c>
      <c r="B21" s="4">
        <v>180</v>
      </c>
      <c r="C21" s="4">
        <v>52</v>
      </c>
      <c r="D21" s="4">
        <v>12</v>
      </c>
      <c r="E21" s="4" t="s">
        <v>6</v>
      </c>
    </row>
    <row r="22" spans="1:5" ht="15.75" thickBot="1" x14ac:dyDescent="0.3">
      <c r="A22" s="3">
        <v>21</v>
      </c>
      <c r="B22" s="4">
        <v>60</v>
      </c>
      <c r="C22" s="4">
        <v>63</v>
      </c>
      <c r="D22" s="4">
        <v>6</v>
      </c>
      <c r="E22" s="4" t="s">
        <v>7</v>
      </c>
    </row>
    <row r="23" spans="1:5" ht="15.75" thickBot="1" x14ac:dyDescent="0.3">
      <c r="A23" s="3">
        <v>22</v>
      </c>
      <c r="B23" s="4">
        <v>0</v>
      </c>
      <c r="C23" s="4">
        <v>61</v>
      </c>
      <c r="D23" s="4">
        <v>12</v>
      </c>
      <c r="E23" s="4" t="s">
        <v>7</v>
      </c>
    </row>
    <row r="24" spans="1:5" ht="15.75" thickBot="1" x14ac:dyDescent="0.3">
      <c r="A24" s="3">
        <v>23</v>
      </c>
      <c r="B24" s="4">
        <v>108</v>
      </c>
      <c r="C24" s="4">
        <v>61</v>
      </c>
      <c r="D24" s="4">
        <v>12</v>
      </c>
      <c r="E24" s="4" t="s">
        <v>7</v>
      </c>
    </row>
    <row r="25" spans="1:5" ht="15.75" thickBot="1" x14ac:dyDescent="0.3">
      <c r="A25" s="3">
        <v>24</v>
      </c>
      <c r="B25" s="4">
        <v>225</v>
      </c>
      <c r="C25" s="4">
        <v>46</v>
      </c>
      <c r="D25" s="4">
        <v>12</v>
      </c>
      <c r="E25" s="4" t="s">
        <v>6</v>
      </c>
    </row>
    <row r="26" spans="1:5" ht="15.75" thickBot="1" x14ac:dyDescent="0.3">
      <c r="A26" s="3">
        <v>25</v>
      </c>
      <c r="B26" s="4">
        <v>295</v>
      </c>
      <c r="C26" s="4">
        <v>37</v>
      </c>
      <c r="D26" s="4">
        <v>16</v>
      </c>
      <c r="E26" s="4" t="s">
        <v>6</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zoomScale="84" zoomScaleNormal="84" workbookViewId="0">
      <selection activeCell="T28" sqref="T28"/>
    </sheetView>
  </sheetViews>
  <sheetFormatPr defaultRowHeight="15" x14ac:dyDescent="0.25"/>
  <cols>
    <col min="5" max="5" width="11.28515625" customWidth="1"/>
  </cols>
  <sheetData>
    <row r="1" spans="1:15" ht="15.75" thickBot="1" x14ac:dyDescent="0.3">
      <c r="A1" s="1" t="s">
        <v>1</v>
      </c>
      <c r="B1" s="2" t="s">
        <v>2</v>
      </c>
      <c r="C1" s="2" t="s">
        <v>3</v>
      </c>
      <c r="D1" s="2" t="s">
        <v>4</v>
      </c>
      <c r="E1" s="2" t="s">
        <v>5</v>
      </c>
      <c r="G1" t="s">
        <v>45</v>
      </c>
    </row>
    <row r="2" spans="1:15" ht="15.75" thickBot="1" x14ac:dyDescent="0.3">
      <c r="A2" s="3">
        <v>1</v>
      </c>
      <c r="B2" s="4">
        <v>190</v>
      </c>
      <c r="C2" s="4">
        <v>50</v>
      </c>
      <c r="D2" s="4">
        <v>14</v>
      </c>
      <c r="E2" s="4" t="s">
        <v>6</v>
      </c>
    </row>
    <row r="3" spans="1:15" ht="15.75" thickBot="1" x14ac:dyDescent="0.3">
      <c r="A3" s="3">
        <v>2</v>
      </c>
      <c r="B3" s="4">
        <v>135</v>
      </c>
      <c r="C3" s="4">
        <v>59</v>
      </c>
      <c r="D3" s="4">
        <v>14</v>
      </c>
      <c r="E3" s="4" t="s">
        <v>7</v>
      </c>
      <c r="G3" s="10" t="s">
        <v>46</v>
      </c>
      <c r="H3" s="10"/>
    </row>
    <row r="4" spans="1:15" ht="15.75" thickBot="1" x14ac:dyDescent="0.3">
      <c r="A4" s="3">
        <v>3</v>
      </c>
      <c r="B4" s="4">
        <v>275</v>
      </c>
      <c r="C4" s="4">
        <v>39</v>
      </c>
      <c r="D4" s="4">
        <v>16</v>
      </c>
      <c r="E4" s="4" t="s">
        <v>7</v>
      </c>
      <c r="G4" s="7" t="s">
        <v>47</v>
      </c>
      <c r="H4" s="7">
        <v>0.90194173150295087</v>
      </c>
    </row>
    <row r="5" spans="1:15" ht="15.75" thickBot="1" x14ac:dyDescent="0.3">
      <c r="A5" s="3">
        <v>4</v>
      </c>
      <c r="B5" s="4">
        <v>185</v>
      </c>
      <c r="C5" s="4">
        <v>49</v>
      </c>
      <c r="D5" s="4">
        <v>14</v>
      </c>
      <c r="E5" s="4" t="s">
        <v>7</v>
      </c>
      <c r="G5" s="7" t="s">
        <v>48</v>
      </c>
      <c r="H5" s="7">
        <v>0.81349888702654105</v>
      </c>
    </row>
    <row r="6" spans="1:15" ht="15.75" thickBot="1" x14ac:dyDescent="0.3">
      <c r="A6" s="3">
        <v>5</v>
      </c>
      <c r="B6" s="4">
        <v>340</v>
      </c>
      <c r="C6" s="4">
        <v>39</v>
      </c>
      <c r="D6" s="4">
        <v>12</v>
      </c>
      <c r="E6" s="4" t="s">
        <v>6</v>
      </c>
      <c r="G6" s="7" t="s">
        <v>49</v>
      </c>
      <c r="H6" s="7">
        <v>0.7965442403925902</v>
      </c>
    </row>
    <row r="7" spans="1:15" ht="15.75" thickBot="1" x14ac:dyDescent="0.3">
      <c r="A7" s="3">
        <v>6</v>
      </c>
      <c r="B7" s="4">
        <v>575</v>
      </c>
      <c r="C7" s="4">
        <v>32</v>
      </c>
      <c r="D7" s="4">
        <v>16</v>
      </c>
      <c r="E7" s="4" t="s">
        <v>7</v>
      </c>
      <c r="G7" s="7" t="s">
        <v>14</v>
      </c>
      <c r="H7" s="7">
        <v>77.04931507151953</v>
      </c>
    </row>
    <row r="8" spans="1:15" ht="15.75" thickBot="1" x14ac:dyDescent="0.3">
      <c r="A8" s="3">
        <v>7</v>
      </c>
      <c r="B8" s="4">
        <v>210</v>
      </c>
      <c r="C8" s="4">
        <v>51</v>
      </c>
      <c r="D8" s="4">
        <v>14</v>
      </c>
      <c r="E8" s="4" t="s">
        <v>6</v>
      </c>
      <c r="G8" s="8" t="s">
        <v>50</v>
      </c>
      <c r="H8" s="8">
        <v>25</v>
      </c>
    </row>
    <row r="9" spans="1:15" ht="15.75" thickBot="1" x14ac:dyDescent="0.3">
      <c r="A9" s="3">
        <v>8</v>
      </c>
      <c r="B9" s="4">
        <v>95</v>
      </c>
      <c r="C9" s="4">
        <v>55</v>
      </c>
      <c r="D9" s="4">
        <v>8</v>
      </c>
      <c r="E9" s="4" t="s">
        <v>7</v>
      </c>
    </row>
    <row r="10" spans="1:15" ht="15.75" thickBot="1" x14ac:dyDescent="0.3">
      <c r="A10" s="3">
        <v>9</v>
      </c>
      <c r="B10" s="4">
        <v>55</v>
      </c>
      <c r="C10" s="4">
        <v>67</v>
      </c>
      <c r="D10" s="4">
        <v>8</v>
      </c>
      <c r="E10" s="4" t="s">
        <v>6</v>
      </c>
      <c r="G10" t="s">
        <v>51</v>
      </c>
    </row>
    <row r="11" spans="1:15" ht="15.75" thickBot="1" x14ac:dyDescent="0.3">
      <c r="A11" s="3">
        <v>10</v>
      </c>
      <c r="B11" s="4">
        <v>210</v>
      </c>
      <c r="C11" s="4">
        <v>28</v>
      </c>
      <c r="D11" s="4">
        <v>12</v>
      </c>
      <c r="E11" s="4" t="s">
        <v>7</v>
      </c>
      <c r="G11" s="9"/>
      <c r="H11" s="9" t="s">
        <v>56</v>
      </c>
      <c r="I11" s="9" t="s">
        <v>57</v>
      </c>
      <c r="J11" s="9" t="s">
        <v>58</v>
      </c>
      <c r="K11" s="9" t="s">
        <v>59</v>
      </c>
      <c r="L11" s="9" t="s">
        <v>60</v>
      </c>
    </row>
    <row r="12" spans="1:15" ht="15.75" thickBot="1" x14ac:dyDescent="0.3">
      <c r="A12" s="3">
        <v>11</v>
      </c>
      <c r="B12" s="4">
        <v>280</v>
      </c>
      <c r="C12" s="4">
        <v>35</v>
      </c>
      <c r="D12" s="4">
        <v>14</v>
      </c>
      <c r="E12" s="4" t="s">
        <v>7</v>
      </c>
      <c r="G12" s="7" t="s">
        <v>52</v>
      </c>
      <c r="H12" s="7">
        <v>2</v>
      </c>
      <c r="I12" s="7">
        <v>569686.30703421379</v>
      </c>
      <c r="J12" s="7">
        <v>284843.1535171069</v>
      </c>
      <c r="K12" s="7">
        <v>47.980881264582109</v>
      </c>
      <c r="L12" s="7">
        <v>9.4950161243466404E-9</v>
      </c>
    </row>
    <row r="13" spans="1:15" ht="15.75" thickBot="1" x14ac:dyDescent="0.3">
      <c r="A13" s="3">
        <v>12</v>
      </c>
      <c r="B13" s="4">
        <v>0</v>
      </c>
      <c r="C13" s="4">
        <v>68</v>
      </c>
      <c r="D13" s="4">
        <v>8</v>
      </c>
      <c r="E13" s="4" t="s">
        <v>6</v>
      </c>
      <c r="G13" s="7" t="s">
        <v>53</v>
      </c>
      <c r="H13" s="7">
        <v>22</v>
      </c>
      <c r="I13" s="7">
        <v>130605.13296578631</v>
      </c>
      <c r="J13" s="7">
        <v>5936.5969529902868</v>
      </c>
      <c r="K13" s="7"/>
      <c r="L13" s="7"/>
    </row>
    <row r="14" spans="1:15" ht="15.75" thickBot="1" x14ac:dyDescent="0.3">
      <c r="A14" s="3">
        <v>13</v>
      </c>
      <c r="B14" s="4">
        <v>120</v>
      </c>
      <c r="C14" s="4">
        <v>55</v>
      </c>
      <c r="D14" s="4">
        <v>12</v>
      </c>
      <c r="E14" s="4" t="s">
        <v>7</v>
      </c>
      <c r="G14" s="8" t="s">
        <v>54</v>
      </c>
      <c r="H14" s="8">
        <v>24</v>
      </c>
      <c r="I14" s="8">
        <v>700291.44000000006</v>
      </c>
      <c r="J14" s="8"/>
      <c r="K14" s="8"/>
      <c r="L14" s="8"/>
    </row>
    <row r="15" spans="1:15" ht="15.75" thickBot="1" x14ac:dyDescent="0.3">
      <c r="A15" s="3">
        <v>14</v>
      </c>
      <c r="B15" s="4">
        <v>80</v>
      </c>
      <c r="C15" s="4">
        <v>59</v>
      </c>
      <c r="D15" s="4">
        <v>12</v>
      </c>
      <c r="E15" s="4" t="s">
        <v>6</v>
      </c>
    </row>
    <row r="16" spans="1:15" ht="15.75" thickBot="1" x14ac:dyDescent="0.3">
      <c r="A16" s="3">
        <v>15</v>
      </c>
      <c r="B16" s="4">
        <v>600</v>
      </c>
      <c r="C16" s="4">
        <v>30</v>
      </c>
      <c r="D16" s="4">
        <v>18</v>
      </c>
      <c r="E16" s="4" t="s">
        <v>6</v>
      </c>
      <c r="G16" s="9"/>
      <c r="H16" s="9" t="s">
        <v>61</v>
      </c>
      <c r="I16" s="9" t="s">
        <v>14</v>
      </c>
      <c r="J16" s="9" t="s">
        <v>62</v>
      </c>
      <c r="K16" s="9" t="s">
        <v>63</v>
      </c>
      <c r="L16" s="9" t="s">
        <v>64</v>
      </c>
      <c r="M16" s="9" t="s">
        <v>65</v>
      </c>
      <c r="N16" s="9" t="s">
        <v>66</v>
      </c>
      <c r="O16" s="9" t="s">
        <v>67</v>
      </c>
    </row>
    <row r="17" spans="1:15" ht="15.75" thickBot="1" x14ac:dyDescent="0.3">
      <c r="A17" s="3">
        <v>16</v>
      </c>
      <c r="B17" s="4">
        <v>415</v>
      </c>
      <c r="C17" s="4">
        <v>29</v>
      </c>
      <c r="D17" s="4">
        <v>18</v>
      </c>
      <c r="E17" s="4" t="s">
        <v>7</v>
      </c>
      <c r="G17" s="7" t="s">
        <v>55</v>
      </c>
      <c r="H17" s="7">
        <v>400.23167672242505</v>
      </c>
      <c r="I17" s="7">
        <v>176.34402629157267</v>
      </c>
      <c r="J17" s="7">
        <v>2.2696072282066964</v>
      </c>
      <c r="K17" s="7">
        <v>3.3380817901438736E-2</v>
      </c>
      <c r="L17" s="7">
        <v>34.516551601433548</v>
      </c>
      <c r="M17" s="7">
        <v>765.94680184341655</v>
      </c>
      <c r="N17" s="7">
        <v>34.516551601433548</v>
      </c>
      <c r="O17" s="7">
        <v>765.94680184341655</v>
      </c>
    </row>
    <row r="18" spans="1:15" ht="15.75" thickBot="1" x14ac:dyDescent="0.3">
      <c r="A18" s="3">
        <v>17</v>
      </c>
      <c r="B18" s="4">
        <v>0</v>
      </c>
      <c r="C18" s="4">
        <v>62</v>
      </c>
      <c r="D18" s="4">
        <v>8</v>
      </c>
      <c r="E18" s="4" t="s">
        <v>7</v>
      </c>
      <c r="G18" s="7" t="s">
        <v>3</v>
      </c>
      <c r="H18" s="7">
        <v>-8.109140503630913</v>
      </c>
      <c r="I18" s="7">
        <v>1.8524802048464777</v>
      </c>
      <c r="J18" s="7">
        <v>-4.3774505565110475</v>
      </c>
      <c r="K18" s="7">
        <v>2.3995274514123654E-4</v>
      </c>
      <c r="L18" s="7">
        <v>-11.950949291524999</v>
      </c>
      <c r="M18" s="7">
        <v>-4.2673317157368267</v>
      </c>
      <c r="N18" s="7">
        <v>-11.950949291524999</v>
      </c>
      <c r="O18" s="7">
        <v>-4.2673317157368267</v>
      </c>
    </row>
    <row r="19" spans="1:15" ht="15.75" thickBot="1" x14ac:dyDescent="0.3">
      <c r="A19" s="3">
        <v>18</v>
      </c>
      <c r="B19" s="4">
        <v>395</v>
      </c>
      <c r="C19" s="4">
        <v>27</v>
      </c>
      <c r="D19" s="4">
        <v>16</v>
      </c>
      <c r="E19" s="4" t="s">
        <v>7</v>
      </c>
      <c r="G19" s="8" t="s">
        <v>4</v>
      </c>
      <c r="H19" s="8">
        <v>15.973561183568766</v>
      </c>
      <c r="I19" s="8">
        <v>7.6869558406001461</v>
      </c>
      <c r="J19" s="8">
        <v>2.0780087091435218</v>
      </c>
      <c r="K19" s="8">
        <v>4.9583023628962587E-2</v>
      </c>
      <c r="L19" s="8">
        <v>3.1790565286327066E-2</v>
      </c>
      <c r="M19" s="8">
        <v>31.915331801851202</v>
      </c>
      <c r="N19" s="8">
        <v>3.1790565286327066E-2</v>
      </c>
      <c r="O19" s="8">
        <v>31.915331801851202</v>
      </c>
    </row>
    <row r="20" spans="1:15" ht="15.75" thickBot="1" x14ac:dyDescent="0.3">
      <c r="A20" s="3">
        <v>19</v>
      </c>
      <c r="B20" s="4">
        <v>480</v>
      </c>
      <c r="C20" s="4">
        <v>31</v>
      </c>
      <c r="D20" s="4">
        <v>16</v>
      </c>
      <c r="E20" s="4" t="s">
        <v>6</v>
      </c>
    </row>
    <row r="21" spans="1:15" ht="15.75" thickBot="1" x14ac:dyDescent="0.3">
      <c r="A21" s="3">
        <v>20</v>
      </c>
      <c r="B21" s="4">
        <v>180</v>
      </c>
      <c r="C21" s="4">
        <v>52</v>
      </c>
      <c r="D21" s="4">
        <v>12</v>
      </c>
      <c r="E21" s="4" t="s">
        <v>6</v>
      </c>
    </row>
    <row r="22" spans="1:15" ht="15.75" thickBot="1" x14ac:dyDescent="0.3">
      <c r="A22" s="3">
        <v>21</v>
      </c>
      <c r="B22" s="4">
        <v>60</v>
      </c>
      <c r="C22" s="4">
        <v>63</v>
      </c>
      <c r="D22" s="4">
        <v>6</v>
      </c>
      <c r="E22" s="4" t="s">
        <v>7</v>
      </c>
    </row>
    <row r="23" spans="1:15" ht="15.75" thickBot="1" x14ac:dyDescent="0.3">
      <c r="A23" s="3">
        <v>22</v>
      </c>
      <c r="B23" s="4">
        <v>0</v>
      </c>
      <c r="C23" s="4">
        <v>61</v>
      </c>
      <c r="D23" s="4">
        <v>12</v>
      </c>
      <c r="E23" s="4" t="s">
        <v>7</v>
      </c>
    </row>
    <row r="24" spans="1:15" ht="15.75" thickBot="1" x14ac:dyDescent="0.3">
      <c r="A24" s="3">
        <v>23</v>
      </c>
      <c r="B24" s="4">
        <v>108</v>
      </c>
      <c r="C24" s="4">
        <v>61</v>
      </c>
      <c r="D24" s="4">
        <v>12</v>
      </c>
      <c r="E24" s="4" t="s">
        <v>7</v>
      </c>
    </row>
    <row r="25" spans="1:15" ht="15.75" thickBot="1" x14ac:dyDescent="0.3">
      <c r="A25" s="3">
        <v>24</v>
      </c>
      <c r="B25" s="4">
        <v>225</v>
      </c>
      <c r="C25" s="4">
        <v>46</v>
      </c>
      <c r="D25" s="4">
        <v>12</v>
      </c>
      <c r="E25" s="4" t="s">
        <v>6</v>
      </c>
    </row>
    <row r="26" spans="1:15" ht="15.75" thickBot="1" x14ac:dyDescent="0.3">
      <c r="A26" s="3">
        <v>25</v>
      </c>
      <c r="B26" s="4">
        <v>295</v>
      </c>
      <c r="C26" s="4">
        <v>37</v>
      </c>
      <c r="D26" s="4">
        <v>16</v>
      </c>
      <c r="E26" s="4" t="s">
        <v>6</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zoomScale="84" zoomScaleNormal="84" workbookViewId="0">
      <selection activeCell="P24" sqref="P24"/>
    </sheetView>
  </sheetViews>
  <sheetFormatPr defaultRowHeight="15" x14ac:dyDescent="0.25"/>
  <cols>
    <col min="5" max="5" width="11.28515625" customWidth="1"/>
  </cols>
  <sheetData>
    <row r="1" spans="1:15" ht="15.75" thickBot="1" x14ac:dyDescent="0.3">
      <c r="A1" s="1" t="s">
        <v>1</v>
      </c>
      <c r="B1" s="2" t="s">
        <v>2</v>
      </c>
      <c r="C1" s="2" t="s">
        <v>3</v>
      </c>
      <c r="D1" s="2" t="s">
        <v>4</v>
      </c>
      <c r="E1" s="2" t="s">
        <v>5</v>
      </c>
      <c r="G1" t="s">
        <v>45</v>
      </c>
    </row>
    <row r="2" spans="1:15" ht="15.75" thickBot="1" x14ac:dyDescent="0.3">
      <c r="A2" s="3">
        <v>1</v>
      </c>
      <c r="B2" s="4">
        <v>190</v>
      </c>
      <c r="C2" s="4">
        <v>50</v>
      </c>
      <c r="D2" s="4">
        <v>14</v>
      </c>
      <c r="E2" s="4" t="s">
        <v>6</v>
      </c>
    </row>
    <row r="3" spans="1:15" ht="15.75" thickBot="1" x14ac:dyDescent="0.3">
      <c r="A3" s="3">
        <v>2</v>
      </c>
      <c r="B3" s="4">
        <v>135</v>
      </c>
      <c r="C3" s="4">
        <v>59</v>
      </c>
      <c r="D3" s="4">
        <v>14</v>
      </c>
      <c r="E3" s="4" t="s">
        <v>7</v>
      </c>
      <c r="G3" s="10" t="s">
        <v>46</v>
      </c>
      <c r="H3" s="10"/>
    </row>
    <row r="4" spans="1:15" ht="15.75" thickBot="1" x14ac:dyDescent="0.3">
      <c r="A4" s="3">
        <v>3</v>
      </c>
      <c r="B4" s="4">
        <v>275</v>
      </c>
      <c r="C4" s="4">
        <v>39</v>
      </c>
      <c r="D4" s="4">
        <v>16</v>
      </c>
      <c r="E4" s="4" t="s">
        <v>7</v>
      </c>
      <c r="G4" s="7" t="s">
        <v>47</v>
      </c>
      <c r="H4" s="7">
        <v>0.88141521770935105</v>
      </c>
    </row>
    <row r="5" spans="1:15" ht="15.75" thickBot="1" x14ac:dyDescent="0.3">
      <c r="A5" s="3">
        <v>4</v>
      </c>
      <c r="B5" s="4">
        <v>185</v>
      </c>
      <c r="C5" s="4">
        <v>49</v>
      </c>
      <c r="D5" s="4">
        <v>14</v>
      </c>
      <c r="E5" s="4" t="s">
        <v>7</v>
      </c>
      <c r="G5" s="7" t="s">
        <v>48</v>
      </c>
      <c r="H5" s="7">
        <v>0.77689278600962264</v>
      </c>
    </row>
    <row r="6" spans="1:15" ht="15.75" thickBot="1" x14ac:dyDescent="0.3">
      <c r="A6" s="3">
        <v>5</v>
      </c>
      <c r="B6" s="4">
        <v>340</v>
      </c>
      <c r="C6" s="4">
        <v>39</v>
      </c>
      <c r="D6" s="4">
        <v>12</v>
      </c>
      <c r="E6" s="4" t="s">
        <v>6</v>
      </c>
      <c r="G6" s="7" t="s">
        <v>49</v>
      </c>
      <c r="H6" s="7">
        <v>0.76719247235786703</v>
      </c>
    </row>
    <row r="7" spans="1:15" ht="15.75" thickBot="1" x14ac:dyDescent="0.3">
      <c r="A7" s="3">
        <v>6</v>
      </c>
      <c r="B7" s="4">
        <v>575</v>
      </c>
      <c r="C7" s="4">
        <v>32</v>
      </c>
      <c r="D7" s="4">
        <v>16</v>
      </c>
      <c r="E7" s="4" t="s">
        <v>7</v>
      </c>
      <c r="G7" s="7" t="s">
        <v>14</v>
      </c>
      <c r="H7" s="7">
        <v>82.419940643266344</v>
      </c>
    </row>
    <row r="8" spans="1:15" ht="15.75" thickBot="1" x14ac:dyDescent="0.3">
      <c r="A8" s="3">
        <v>7</v>
      </c>
      <c r="B8" s="4">
        <v>210</v>
      </c>
      <c r="C8" s="4">
        <v>51</v>
      </c>
      <c r="D8" s="4">
        <v>14</v>
      </c>
      <c r="E8" s="4" t="s">
        <v>6</v>
      </c>
      <c r="G8" s="8" t="s">
        <v>50</v>
      </c>
      <c r="H8" s="8">
        <v>25</v>
      </c>
    </row>
    <row r="9" spans="1:15" ht="15.75" thickBot="1" x14ac:dyDescent="0.3">
      <c r="A9" s="3">
        <v>8</v>
      </c>
      <c r="B9" s="4">
        <v>95</v>
      </c>
      <c r="C9" s="4">
        <v>55</v>
      </c>
      <c r="D9" s="4">
        <v>8</v>
      </c>
      <c r="E9" s="4" t="s">
        <v>7</v>
      </c>
    </row>
    <row r="10" spans="1:15" ht="15.75" thickBot="1" x14ac:dyDescent="0.3">
      <c r="A10" s="3">
        <v>9</v>
      </c>
      <c r="B10" s="4">
        <v>55</v>
      </c>
      <c r="C10" s="4">
        <v>67</v>
      </c>
      <c r="D10" s="4">
        <v>8</v>
      </c>
      <c r="E10" s="4" t="s">
        <v>6</v>
      </c>
      <c r="G10" t="s">
        <v>51</v>
      </c>
    </row>
    <row r="11" spans="1:15" ht="15.75" thickBot="1" x14ac:dyDescent="0.3">
      <c r="A11" s="3">
        <v>10</v>
      </c>
      <c r="B11" s="4">
        <v>210</v>
      </c>
      <c r="C11" s="4">
        <v>28</v>
      </c>
      <c r="D11" s="4">
        <v>12</v>
      </c>
      <c r="E11" s="4" t="s">
        <v>7</v>
      </c>
      <c r="G11" s="9"/>
      <c r="H11" s="9" t="s">
        <v>56</v>
      </c>
      <c r="I11" s="9" t="s">
        <v>57</v>
      </c>
      <c r="J11" s="9" t="s">
        <v>58</v>
      </c>
      <c r="K11" s="9" t="s">
        <v>59</v>
      </c>
      <c r="L11" s="9" t="s">
        <v>60</v>
      </c>
    </row>
    <row r="12" spans="1:15" ht="15.75" thickBot="1" x14ac:dyDescent="0.3">
      <c r="A12" s="3">
        <v>11</v>
      </c>
      <c r="B12" s="4">
        <v>280</v>
      </c>
      <c r="C12" s="4">
        <v>35</v>
      </c>
      <c r="D12" s="4">
        <v>14</v>
      </c>
      <c r="E12" s="4" t="s">
        <v>7</v>
      </c>
      <c r="G12" s="7" t="s">
        <v>52</v>
      </c>
      <c r="H12" s="7">
        <v>1</v>
      </c>
      <c r="I12" s="7">
        <v>544051.36784029054</v>
      </c>
      <c r="J12" s="7">
        <v>544051.36784029054</v>
      </c>
      <c r="K12" s="7">
        <v>80.089450083814796</v>
      </c>
      <c r="L12" s="7">
        <v>5.9459174232301764E-9</v>
      </c>
    </row>
    <row r="13" spans="1:15" ht="15.75" thickBot="1" x14ac:dyDescent="0.3">
      <c r="A13" s="3">
        <v>12</v>
      </c>
      <c r="B13" s="4">
        <v>0</v>
      </c>
      <c r="C13" s="4">
        <v>68</v>
      </c>
      <c r="D13" s="4">
        <v>8</v>
      </c>
      <c r="E13" s="4" t="s">
        <v>6</v>
      </c>
      <c r="G13" s="7" t="s">
        <v>53</v>
      </c>
      <c r="H13" s="7">
        <v>23</v>
      </c>
      <c r="I13" s="7">
        <v>156240.07215970958</v>
      </c>
      <c r="J13" s="7">
        <v>6793.0466156395469</v>
      </c>
      <c r="K13" s="7"/>
      <c r="L13" s="7"/>
    </row>
    <row r="14" spans="1:15" ht="15.75" thickBot="1" x14ac:dyDescent="0.3">
      <c r="A14" s="3">
        <v>13</v>
      </c>
      <c r="B14" s="4">
        <v>120</v>
      </c>
      <c r="C14" s="4">
        <v>55</v>
      </c>
      <c r="D14" s="4">
        <v>12</v>
      </c>
      <c r="E14" s="4" t="s">
        <v>7</v>
      </c>
      <c r="G14" s="8" t="s">
        <v>54</v>
      </c>
      <c r="H14" s="8">
        <v>24</v>
      </c>
      <c r="I14" s="8">
        <v>700291.44000000018</v>
      </c>
      <c r="J14" s="8"/>
      <c r="K14" s="8"/>
      <c r="L14" s="8"/>
    </row>
    <row r="15" spans="1:15" ht="15.75" thickBot="1" x14ac:dyDescent="0.3">
      <c r="A15" s="3">
        <v>14</v>
      </c>
      <c r="B15" s="4">
        <v>80</v>
      </c>
      <c r="C15" s="4">
        <v>59</v>
      </c>
      <c r="D15" s="4">
        <v>12</v>
      </c>
      <c r="E15" s="4" t="s">
        <v>6</v>
      </c>
    </row>
    <row r="16" spans="1:15" ht="15.75" thickBot="1" x14ac:dyDescent="0.3">
      <c r="A16" s="3">
        <v>15</v>
      </c>
      <c r="B16" s="4">
        <v>600</v>
      </c>
      <c r="C16" s="4">
        <v>30</v>
      </c>
      <c r="D16" s="4">
        <v>18</v>
      </c>
      <c r="E16" s="4" t="s">
        <v>6</v>
      </c>
      <c r="G16" s="9"/>
      <c r="H16" s="9" t="s">
        <v>61</v>
      </c>
      <c r="I16" s="9" t="s">
        <v>14</v>
      </c>
      <c r="J16" s="9" t="s">
        <v>62</v>
      </c>
      <c r="K16" s="9" t="s">
        <v>63</v>
      </c>
      <c r="L16" s="9" t="s">
        <v>64</v>
      </c>
      <c r="M16" s="9" t="s">
        <v>65</v>
      </c>
      <c r="N16" s="9" t="s">
        <v>66</v>
      </c>
      <c r="O16" s="9" t="s">
        <v>67</v>
      </c>
    </row>
    <row r="17" spans="1:15" ht="15.75" thickBot="1" x14ac:dyDescent="0.3">
      <c r="A17" s="3">
        <v>16</v>
      </c>
      <c r="B17" s="4">
        <v>415</v>
      </c>
      <c r="C17" s="4">
        <v>29</v>
      </c>
      <c r="D17" s="4">
        <v>18</v>
      </c>
      <c r="E17" s="4" t="s">
        <v>7</v>
      </c>
      <c r="G17" s="7" t="s">
        <v>55</v>
      </c>
      <c r="H17" s="7">
        <v>746.91593466424683</v>
      </c>
      <c r="I17" s="7">
        <v>61.10762164567145</v>
      </c>
      <c r="J17" s="7">
        <v>12.222958684191475</v>
      </c>
      <c r="K17" s="7">
        <v>1.5292666800425062E-11</v>
      </c>
      <c r="L17" s="7">
        <v>620.50518881391076</v>
      </c>
      <c r="M17" s="7">
        <v>873.3266805145829</v>
      </c>
      <c r="N17" s="7">
        <v>620.50518881391076</v>
      </c>
      <c r="O17" s="7">
        <v>873.3266805145829</v>
      </c>
    </row>
    <row r="18" spans="1:15" ht="15.75" thickBot="1" x14ac:dyDescent="0.3">
      <c r="A18" s="3">
        <v>17</v>
      </c>
      <c r="B18" s="4">
        <v>0</v>
      </c>
      <c r="C18" s="4">
        <v>62</v>
      </c>
      <c r="D18" s="4">
        <v>8</v>
      </c>
      <c r="E18" s="4" t="s">
        <v>7</v>
      </c>
      <c r="G18" s="8" t="s">
        <v>3</v>
      </c>
      <c r="H18" s="8">
        <v>-11.10961887477314</v>
      </c>
      <c r="I18" s="8">
        <v>1.2413993238377983</v>
      </c>
      <c r="J18" s="8">
        <v>-8.949270924707486</v>
      </c>
      <c r="K18" s="8">
        <v>5.9459174232301764E-9</v>
      </c>
      <c r="L18" s="8">
        <v>-13.677649018940187</v>
      </c>
      <c r="M18" s="8">
        <v>-8.5415887306060938</v>
      </c>
      <c r="N18" s="8">
        <v>-13.677649018940187</v>
      </c>
      <c r="O18" s="8">
        <v>-8.5415887306060938</v>
      </c>
    </row>
    <row r="19" spans="1:15" ht="15.75" thickBot="1" x14ac:dyDescent="0.3">
      <c r="A19" s="3">
        <v>18</v>
      </c>
      <c r="B19" s="4">
        <v>395</v>
      </c>
      <c r="C19" s="4">
        <v>27</v>
      </c>
      <c r="D19" s="4">
        <v>16</v>
      </c>
      <c r="E19" s="4" t="s">
        <v>7</v>
      </c>
    </row>
    <row r="20" spans="1:15" ht="15.75" thickBot="1" x14ac:dyDescent="0.3">
      <c r="A20" s="3">
        <v>19</v>
      </c>
      <c r="B20" s="4">
        <v>480</v>
      </c>
      <c r="C20" s="4">
        <v>31</v>
      </c>
      <c r="D20" s="4">
        <v>16</v>
      </c>
      <c r="E20" s="4" t="s">
        <v>6</v>
      </c>
    </row>
    <row r="21" spans="1:15" ht="15.75" thickBot="1" x14ac:dyDescent="0.3">
      <c r="A21" s="3">
        <v>20</v>
      </c>
      <c r="B21" s="4">
        <v>180</v>
      </c>
      <c r="C21" s="4">
        <v>52</v>
      </c>
      <c r="D21" s="4">
        <v>12</v>
      </c>
      <c r="E21" s="4" t="s">
        <v>6</v>
      </c>
    </row>
    <row r="22" spans="1:15" ht="15.75" thickBot="1" x14ac:dyDescent="0.3">
      <c r="A22" s="3">
        <v>21</v>
      </c>
      <c r="B22" s="4">
        <v>60</v>
      </c>
      <c r="C22" s="4">
        <v>63</v>
      </c>
      <c r="D22" s="4">
        <v>6</v>
      </c>
      <c r="E22" s="4" t="s">
        <v>7</v>
      </c>
    </row>
    <row r="23" spans="1:15" ht="15.75" thickBot="1" x14ac:dyDescent="0.3">
      <c r="A23" s="3">
        <v>22</v>
      </c>
      <c r="B23" s="4">
        <v>0</v>
      </c>
      <c r="C23" s="4">
        <v>61</v>
      </c>
      <c r="D23" s="4">
        <v>12</v>
      </c>
      <c r="E23" s="4" t="s">
        <v>7</v>
      </c>
    </row>
    <row r="24" spans="1:15" ht="15.75" thickBot="1" x14ac:dyDescent="0.3">
      <c r="A24" s="3">
        <v>23</v>
      </c>
      <c r="B24" s="4">
        <v>108</v>
      </c>
      <c r="C24" s="4">
        <v>61</v>
      </c>
      <c r="D24" s="4">
        <v>12</v>
      </c>
      <c r="E24" s="4" t="s">
        <v>7</v>
      </c>
    </row>
    <row r="25" spans="1:15" ht="15.75" thickBot="1" x14ac:dyDescent="0.3">
      <c r="A25" s="3">
        <v>24</v>
      </c>
      <c r="B25" s="4">
        <v>225</v>
      </c>
      <c r="C25" s="4">
        <v>46</v>
      </c>
      <c r="D25" s="4">
        <v>12</v>
      </c>
      <c r="E25" s="4" t="s">
        <v>6</v>
      </c>
    </row>
    <row r="26" spans="1:15" ht="15.75" thickBot="1" x14ac:dyDescent="0.3">
      <c r="A26" s="3">
        <v>25</v>
      </c>
      <c r="B26" s="4">
        <v>295</v>
      </c>
      <c r="C26" s="4">
        <v>37</v>
      </c>
      <c r="D26" s="4">
        <v>16</v>
      </c>
      <c r="E26" s="4" t="s">
        <v>6</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zoomScale="84" zoomScaleNormal="84" workbookViewId="0">
      <selection activeCell="J27" sqref="J27"/>
    </sheetView>
  </sheetViews>
  <sheetFormatPr defaultRowHeight="15" x14ac:dyDescent="0.25"/>
  <cols>
    <col min="5" max="5" width="11.28515625" customWidth="1"/>
  </cols>
  <sheetData>
    <row r="1" spans="1:15" ht="15.75" thickBot="1" x14ac:dyDescent="0.3">
      <c r="A1" s="1" t="s">
        <v>1</v>
      </c>
      <c r="B1" s="2" t="s">
        <v>2</v>
      </c>
      <c r="C1" s="2" t="s">
        <v>3</v>
      </c>
      <c r="D1" s="2" t="s">
        <v>4</v>
      </c>
      <c r="E1" s="2" t="s">
        <v>5</v>
      </c>
      <c r="G1" t="s">
        <v>45</v>
      </c>
    </row>
    <row r="2" spans="1:15" ht="15.75" thickBot="1" x14ac:dyDescent="0.3">
      <c r="A2" s="3">
        <v>1</v>
      </c>
      <c r="B2" s="4">
        <v>190</v>
      </c>
      <c r="C2" s="4">
        <v>50</v>
      </c>
      <c r="D2" s="4">
        <v>14</v>
      </c>
      <c r="E2" s="4" t="s">
        <v>6</v>
      </c>
    </row>
    <row r="3" spans="1:15" ht="15.75" thickBot="1" x14ac:dyDescent="0.3">
      <c r="A3" s="3">
        <v>2</v>
      </c>
      <c r="B3" s="4">
        <v>135</v>
      </c>
      <c r="C3" s="4">
        <v>59</v>
      </c>
      <c r="D3" s="4">
        <v>14</v>
      </c>
      <c r="E3" s="4" t="s">
        <v>7</v>
      </c>
      <c r="G3" s="10" t="s">
        <v>46</v>
      </c>
      <c r="H3" s="10"/>
    </row>
    <row r="4" spans="1:15" ht="15.75" thickBot="1" x14ac:dyDescent="0.3">
      <c r="A4" s="3">
        <v>3</v>
      </c>
      <c r="B4" s="4">
        <v>275</v>
      </c>
      <c r="C4" s="4">
        <v>39</v>
      </c>
      <c r="D4" s="4">
        <v>16</v>
      </c>
      <c r="E4" s="4" t="s">
        <v>7</v>
      </c>
      <c r="G4" s="7" t="s">
        <v>47</v>
      </c>
      <c r="H4" s="7">
        <v>0.80688028579561433</v>
      </c>
    </row>
    <row r="5" spans="1:15" ht="15.75" thickBot="1" x14ac:dyDescent="0.3">
      <c r="A5" s="3">
        <v>4</v>
      </c>
      <c r="B5" s="4">
        <v>185</v>
      </c>
      <c r="C5" s="4">
        <v>49</v>
      </c>
      <c r="D5" s="4">
        <v>14</v>
      </c>
      <c r="E5" s="4" t="s">
        <v>7</v>
      </c>
      <c r="G5" s="7" t="s">
        <v>48</v>
      </c>
      <c r="H5" s="7">
        <v>0.65105579560561233</v>
      </c>
    </row>
    <row r="6" spans="1:15" ht="15.75" thickBot="1" x14ac:dyDescent="0.3">
      <c r="A6" s="3">
        <v>5</v>
      </c>
      <c r="B6" s="4">
        <v>340</v>
      </c>
      <c r="C6" s="4">
        <v>39</v>
      </c>
      <c r="D6" s="4">
        <v>12</v>
      </c>
      <c r="E6" s="4" t="s">
        <v>6</v>
      </c>
      <c r="G6" s="7" t="s">
        <v>49</v>
      </c>
      <c r="H6" s="7">
        <v>0.63588430845803023</v>
      </c>
    </row>
    <row r="7" spans="1:15" ht="15.75" thickBot="1" x14ac:dyDescent="0.3">
      <c r="A7" s="3">
        <v>6</v>
      </c>
      <c r="B7" s="4">
        <v>575</v>
      </c>
      <c r="C7" s="4">
        <v>32</v>
      </c>
      <c r="D7" s="4">
        <v>16</v>
      </c>
      <c r="E7" s="4" t="s">
        <v>7</v>
      </c>
      <c r="G7" s="7" t="s">
        <v>14</v>
      </c>
      <c r="H7" s="7">
        <v>103.07503374494593</v>
      </c>
    </row>
    <row r="8" spans="1:15" ht="15.75" thickBot="1" x14ac:dyDescent="0.3">
      <c r="A8" s="3">
        <v>7</v>
      </c>
      <c r="B8" s="4">
        <v>210</v>
      </c>
      <c r="C8" s="4">
        <v>51</v>
      </c>
      <c r="D8" s="4">
        <v>14</v>
      </c>
      <c r="E8" s="4" t="s">
        <v>6</v>
      </c>
      <c r="G8" s="8" t="s">
        <v>50</v>
      </c>
      <c r="H8" s="8">
        <v>25</v>
      </c>
    </row>
    <row r="9" spans="1:15" ht="15.75" thickBot="1" x14ac:dyDescent="0.3">
      <c r="A9" s="3">
        <v>8</v>
      </c>
      <c r="B9" s="4">
        <v>95</v>
      </c>
      <c r="C9" s="4">
        <v>55</v>
      </c>
      <c r="D9" s="4">
        <v>8</v>
      </c>
      <c r="E9" s="4" t="s">
        <v>7</v>
      </c>
    </row>
    <row r="10" spans="1:15" ht="15.75" thickBot="1" x14ac:dyDescent="0.3">
      <c r="A10" s="3">
        <v>9</v>
      </c>
      <c r="B10" s="4">
        <v>55</v>
      </c>
      <c r="C10" s="4">
        <v>67</v>
      </c>
      <c r="D10" s="4">
        <v>8</v>
      </c>
      <c r="E10" s="4" t="s">
        <v>6</v>
      </c>
      <c r="G10" t="s">
        <v>51</v>
      </c>
    </row>
    <row r="11" spans="1:15" ht="15.75" thickBot="1" x14ac:dyDescent="0.3">
      <c r="A11" s="3">
        <v>10</v>
      </c>
      <c r="B11" s="4">
        <v>210</v>
      </c>
      <c r="C11" s="4">
        <v>28</v>
      </c>
      <c r="D11" s="4">
        <v>12</v>
      </c>
      <c r="E11" s="4" t="s">
        <v>7</v>
      </c>
      <c r="G11" s="9"/>
      <c r="H11" s="9" t="s">
        <v>56</v>
      </c>
      <c r="I11" s="9" t="s">
        <v>57</v>
      </c>
      <c r="J11" s="9" t="s">
        <v>58</v>
      </c>
      <c r="K11" s="9" t="s">
        <v>59</v>
      </c>
      <c r="L11" s="9" t="s">
        <v>60</v>
      </c>
    </row>
    <row r="12" spans="1:15" ht="15.75" thickBot="1" x14ac:dyDescent="0.3">
      <c r="A12" s="3">
        <v>11</v>
      </c>
      <c r="B12" s="4">
        <v>280</v>
      </c>
      <c r="C12" s="4">
        <v>35</v>
      </c>
      <c r="D12" s="4">
        <v>14</v>
      </c>
      <c r="E12" s="4" t="s">
        <v>7</v>
      </c>
      <c r="G12" s="7" t="s">
        <v>52</v>
      </c>
      <c r="H12" s="7">
        <v>1</v>
      </c>
      <c r="I12" s="7">
        <v>455928.80062499997</v>
      </c>
      <c r="J12" s="7">
        <v>455928.80062499997</v>
      </c>
      <c r="K12" s="7">
        <v>42.91311651075506</v>
      </c>
      <c r="L12" s="7">
        <v>1.1024257515329374E-6</v>
      </c>
    </row>
    <row r="13" spans="1:15" ht="15.75" thickBot="1" x14ac:dyDescent="0.3">
      <c r="A13" s="3">
        <v>12</v>
      </c>
      <c r="B13" s="4">
        <v>0</v>
      </c>
      <c r="C13" s="4">
        <v>68</v>
      </c>
      <c r="D13" s="4">
        <v>8</v>
      </c>
      <c r="E13" s="4" t="s">
        <v>6</v>
      </c>
      <c r="G13" s="7" t="s">
        <v>53</v>
      </c>
      <c r="H13" s="7">
        <v>23</v>
      </c>
      <c r="I13" s="7">
        <v>244362.63937500009</v>
      </c>
      <c r="J13" s="7">
        <v>10624.462581521742</v>
      </c>
      <c r="K13" s="7"/>
      <c r="L13" s="7"/>
    </row>
    <row r="14" spans="1:15" ht="15.75" thickBot="1" x14ac:dyDescent="0.3">
      <c r="A14" s="3">
        <v>13</v>
      </c>
      <c r="B14" s="4">
        <v>120</v>
      </c>
      <c r="C14" s="4">
        <v>55</v>
      </c>
      <c r="D14" s="4">
        <v>12</v>
      </c>
      <c r="E14" s="4" t="s">
        <v>7</v>
      </c>
      <c r="G14" s="8" t="s">
        <v>54</v>
      </c>
      <c r="H14" s="8">
        <v>24</v>
      </c>
      <c r="I14" s="8">
        <v>700291.44000000006</v>
      </c>
      <c r="J14" s="8"/>
      <c r="K14" s="8"/>
      <c r="L14" s="8"/>
    </row>
    <row r="15" spans="1:15" ht="15.75" thickBot="1" x14ac:dyDescent="0.3">
      <c r="A15" s="3">
        <v>14</v>
      </c>
      <c r="B15" s="4">
        <v>80</v>
      </c>
      <c r="C15" s="4">
        <v>59</v>
      </c>
      <c r="D15" s="4">
        <v>12</v>
      </c>
      <c r="E15" s="4" t="s">
        <v>6</v>
      </c>
    </row>
    <row r="16" spans="1:15" ht="15.75" thickBot="1" x14ac:dyDescent="0.3">
      <c r="A16" s="3">
        <v>15</v>
      </c>
      <c r="B16" s="4">
        <v>600</v>
      </c>
      <c r="C16" s="4">
        <v>30</v>
      </c>
      <c r="D16" s="4">
        <v>18</v>
      </c>
      <c r="E16" s="4" t="s">
        <v>6</v>
      </c>
      <c r="G16" s="9"/>
      <c r="H16" s="9" t="s">
        <v>61</v>
      </c>
      <c r="I16" s="9" t="s">
        <v>14</v>
      </c>
      <c r="J16" s="9" t="s">
        <v>62</v>
      </c>
      <c r="K16" s="9" t="s">
        <v>63</v>
      </c>
      <c r="L16" s="9" t="s">
        <v>64</v>
      </c>
      <c r="M16" s="9" t="s">
        <v>65</v>
      </c>
      <c r="N16" s="9" t="s">
        <v>66</v>
      </c>
      <c r="O16" s="9" t="s">
        <v>67</v>
      </c>
    </row>
    <row r="17" spans="1:15" ht="15.75" thickBot="1" x14ac:dyDescent="0.3">
      <c r="A17" s="3">
        <v>16</v>
      </c>
      <c r="B17" s="4">
        <v>415</v>
      </c>
      <c r="C17" s="4">
        <v>29</v>
      </c>
      <c r="D17" s="4">
        <v>18</v>
      </c>
      <c r="E17" s="4" t="s">
        <v>7</v>
      </c>
      <c r="G17" s="7" t="s">
        <v>55</v>
      </c>
      <c r="H17" s="7">
        <v>-319.85999999999973</v>
      </c>
      <c r="I17" s="7">
        <v>84.997850298903344</v>
      </c>
      <c r="J17" s="7">
        <v>-3.763153995956138</v>
      </c>
      <c r="K17" s="7">
        <v>1.0110938390386519E-3</v>
      </c>
      <c r="L17" s="7">
        <v>-495.69144888638721</v>
      </c>
      <c r="M17" s="7">
        <v>-144.02855111361225</v>
      </c>
      <c r="N17" s="7">
        <v>-495.69144888638721</v>
      </c>
      <c r="O17" s="7">
        <v>-144.02855111361225</v>
      </c>
    </row>
    <row r="18" spans="1:15" ht="15.75" thickBot="1" x14ac:dyDescent="0.3">
      <c r="A18" s="3">
        <v>17</v>
      </c>
      <c r="B18" s="4">
        <v>0</v>
      </c>
      <c r="C18" s="4">
        <v>62</v>
      </c>
      <c r="D18" s="4">
        <v>8</v>
      </c>
      <c r="E18" s="4" t="s">
        <v>7</v>
      </c>
      <c r="G18" s="8" t="s">
        <v>4</v>
      </c>
      <c r="H18" s="8">
        <v>42.201562499999973</v>
      </c>
      <c r="I18" s="8">
        <v>6.4421896090591195</v>
      </c>
      <c r="J18" s="8">
        <v>6.5508103705385201</v>
      </c>
      <c r="K18" s="8">
        <v>1.1024257515329435E-6</v>
      </c>
      <c r="L18" s="8">
        <v>28.874878013529969</v>
      </c>
      <c r="M18" s="8">
        <v>55.528246986469981</v>
      </c>
      <c r="N18" s="8">
        <v>28.874878013529969</v>
      </c>
      <c r="O18" s="8">
        <v>55.528246986469981</v>
      </c>
    </row>
    <row r="19" spans="1:15" ht="15.75" thickBot="1" x14ac:dyDescent="0.3">
      <c r="A19" s="3">
        <v>18</v>
      </c>
      <c r="B19" s="4">
        <v>395</v>
      </c>
      <c r="C19" s="4">
        <v>27</v>
      </c>
      <c r="D19" s="4">
        <v>16</v>
      </c>
      <c r="E19" s="4" t="s">
        <v>7</v>
      </c>
    </row>
    <row r="20" spans="1:15" ht="15.75" thickBot="1" x14ac:dyDescent="0.3">
      <c r="A20" s="3">
        <v>19</v>
      </c>
      <c r="B20" s="4">
        <v>480</v>
      </c>
      <c r="C20" s="4">
        <v>31</v>
      </c>
      <c r="D20" s="4">
        <v>16</v>
      </c>
      <c r="E20" s="4" t="s">
        <v>6</v>
      </c>
    </row>
    <row r="21" spans="1:15" ht="15.75" thickBot="1" x14ac:dyDescent="0.3">
      <c r="A21" s="3">
        <v>20</v>
      </c>
      <c r="B21" s="4">
        <v>180</v>
      </c>
      <c r="C21" s="4">
        <v>52</v>
      </c>
      <c r="D21" s="4">
        <v>12</v>
      </c>
      <c r="E21" s="4" t="s">
        <v>6</v>
      </c>
    </row>
    <row r="22" spans="1:15" ht="15.75" thickBot="1" x14ac:dyDescent="0.3">
      <c r="A22" s="3">
        <v>21</v>
      </c>
      <c r="B22" s="4">
        <v>60</v>
      </c>
      <c r="C22" s="4">
        <v>63</v>
      </c>
      <c r="D22" s="4">
        <v>6</v>
      </c>
      <c r="E22" s="4" t="s">
        <v>7</v>
      </c>
    </row>
    <row r="23" spans="1:15" ht="15.75" thickBot="1" x14ac:dyDescent="0.3">
      <c r="A23" s="3">
        <v>22</v>
      </c>
      <c r="B23" s="4">
        <v>0</v>
      </c>
      <c r="C23" s="4">
        <v>61</v>
      </c>
      <c r="D23" s="4">
        <v>12</v>
      </c>
      <c r="E23" s="4" t="s">
        <v>7</v>
      </c>
    </row>
    <row r="24" spans="1:15" ht="15.75" thickBot="1" x14ac:dyDescent="0.3">
      <c r="A24" s="3">
        <v>23</v>
      </c>
      <c r="B24" s="4">
        <v>108</v>
      </c>
      <c r="C24" s="4">
        <v>61</v>
      </c>
      <c r="D24" s="4">
        <v>12</v>
      </c>
      <c r="E24" s="4" t="s">
        <v>7</v>
      </c>
    </row>
    <row r="25" spans="1:15" ht="15.75" thickBot="1" x14ac:dyDescent="0.3">
      <c r="A25" s="3">
        <v>24</v>
      </c>
      <c r="B25" s="4">
        <v>225</v>
      </c>
      <c r="C25" s="4">
        <v>46</v>
      </c>
      <c r="D25" s="4">
        <v>12</v>
      </c>
      <c r="E25" s="4" t="s">
        <v>6</v>
      </c>
    </row>
    <row r="26" spans="1:15" ht="15.75" thickBot="1" x14ac:dyDescent="0.3">
      <c r="A26" s="3">
        <v>25</v>
      </c>
      <c r="B26" s="4">
        <v>295</v>
      </c>
      <c r="C26" s="4">
        <v>37</v>
      </c>
      <c r="D26" s="4">
        <v>16</v>
      </c>
      <c r="E26" s="4" t="s">
        <v>6</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
  <sheetViews>
    <sheetView zoomScale="84" zoomScaleNormal="84" workbookViewId="0">
      <selection activeCell="M40" sqref="M40"/>
    </sheetView>
  </sheetViews>
  <sheetFormatPr defaultRowHeight="15" x14ac:dyDescent="0.25"/>
  <cols>
    <col min="5" max="5" width="11.28515625" customWidth="1"/>
    <col min="6" max="6" width="4.140625" customWidth="1"/>
    <col min="7" max="7" width="30.7109375" customWidth="1"/>
    <col min="8" max="9" width="13.85546875" customWidth="1"/>
    <col min="11" max="11" width="17.140625" customWidth="1"/>
    <col min="12" max="12" width="15.28515625" customWidth="1"/>
  </cols>
  <sheetData>
    <row r="1" spans="1:13" ht="15.75" thickBot="1" x14ac:dyDescent="0.3">
      <c r="A1" s="1" t="s">
        <v>1</v>
      </c>
      <c r="B1" s="2" t="s">
        <v>2</v>
      </c>
      <c r="C1" s="2" t="s">
        <v>3</v>
      </c>
      <c r="D1" s="2" t="s">
        <v>4</v>
      </c>
      <c r="E1" s="2" t="s">
        <v>5</v>
      </c>
      <c r="G1" t="s">
        <v>126</v>
      </c>
      <c r="K1" t="s">
        <v>126</v>
      </c>
    </row>
    <row r="2" spans="1:13" ht="15.75" thickBot="1" x14ac:dyDescent="0.3">
      <c r="A2" s="3">
        <v>1</v>
      </c>
      <c r="B2" s="4">
        <v>190</v>
      </c>
      <c r="C2" s="4">
        <v>50</v>
      </c>
      <c r="D2" s="4">
        <v>14</v>
      </c>
      <c r="E2" s="4" t="s">
        <v>6</v>
      </c>
    </row>
    <row r="3" spans="1:13" ht="15.75" thickBot="1" x14ac:dyDescent="0.3">
      <c r="A3" s="3">
        <v>5</v>
      </c>
      <c r="B3" s="4">
        <v>340</v>
      </c>
      <c r="C3" s="4">
        <v>39</v>
      </c>
      <c r="D3" s="4">
        <v>12</v>
      </c>
      <c r="E3" s="4" t="s">
        <v>6</v>
      </c>
      <c r="G3" s="9"/>
      <c r="H3" s="9" t="s">
        <v>127</v>
      </c>
      <c r="I3" s="9" t="s">
        <v>128</v>
      </c>
      <c r="K3" s="9"/>
      <c r="L3" s="9" t="s">
        <v>127</v>
      </c>
      <c r="M3" s="9" t="s">
        <v>128</v>
      </c>
    </row>
    <row r="4" spans="1:13" ht="15.75" thickBot="1" x14ac:dyDescent="0.3">
      <c r="A4" s="3">
        <v>7</v>
      </c>
      <c r="B4" s="4">
        <v>210</v>
      </c>
      <c r="C4" s="4">
        <v>51</v>
      </c>
      <c r="D4" s="4">
        <v>14</v>
      </c>
      <c r="E4" s="4" t="s">
        <v>6</v>
      </c>
      <c r="G4" s="7" t="s">
        <v>13</v>
      </c>
      <c r="H4" s="7">
        <v>241.36363636363637</v>
      </c>
      <c r="I4" s="7">
        <v>203.78571428571428</v>
      </c>
      <c r="K4" s="7" t="s">
        <v>13</v>
      </c>
      <c r="L4" s="7">
        <v>48.18181818181818</v>
      </c>
      <c r="M4" s="7">
        <v>46.785714285714285</v>
      </c>
    </row>
    <row r="5" spans="1:13" ht="15.75" thickBot="1" x14ac:dyDescent="0.3">
      <c r="A5" s="3">
        <v>9</v>
      </c>
      <c r="B5" s="4">
        <v>55</v>
      </c>
      <c r="C5" s="4">
        <v>67</v>
      </c>
      <c r="D5" s="4">
        <v>8</v>
      </c>
      <c r="E5" s="4" t="s">
        <v>6</v>
      </c>
      <c r="G5" s="7" t="s">
        <v>36</v>
      </c>
      <c r="H5" s="7">
        <v>32485.45454545454</v>
      </c>
      <c r="I5" s="7">
        <v>28210.642857142859</v>
      </c>
      <c r="K5" s="7" t="s">
        <v>36</v>
      </c>
      <c r="L5" s="7">
        <v>172.9636363636364</v>
      </c>
      <c r="M5" s="7">
        <v>205.10439560439548</v>
      </c>
    </row>
    <row r="6" spans="1:13" ht="15.75" thickBot="1" x14ac:dyDescent="0.3">
      <c r="A6" s="3">
        <v>12</v>
      </c>
      <c r="B6" s="4">
        <v>0</v>
      </c>
      <c r="C6" s="4">
        <v>68</v>
      </c>
      <c r="D6" s="4">
        <v>8</v>
      </c>
      <c r="E6" s="4" t="s">
        <v>6</v>
      </c>
      <c r="G6" s="7" t="s">
        <v>50</v>
      </c>
      <c r="H6" s="7">
        <v>11</v>
      </c>
      <c r="I6" s="7">
        <v>14</v>
      </c>
      <c r="K6" s="7" t="s">
        <v>50</v>
      </c>
      <c r="L6" s="7">
        <v>11</v>
      </c>
      <c r="M6" s="7">
        <v>14</v>
      </c>
    </row>
    <row r="7" spans="1:13" ht="15.75" thickBot="1" x14ac:dyDescent="0.3">
      <c r="A7" s="3">
        <v>14</v>
      </c>
      <c r="B7" s="4">
        <v>80</v>
      </c>
      <c r="C7" s="4">
        <v>59</v>
      </c>
      <c r="D7" s="4">
        <v>12</v>
      </c>
      <c r="E7" s="4" t="s">
        <v>6</v>
      </c>
      <c r="G7" s="7" t="s">
        <v>129</v>
      </c>
      <c r="H7" s="7">
        <v>30069.256634669677</v>
      </c>
      <c r="I7" s="7"/>
      <c r="K7" s="7" t="s">
        <v>129</v>
      </c>
      <c r="L7" s="7">
        <v>191.13015245623936</v>
      </c>
      <c r="M7" s="7"/>
    </row>
    <row r="8" spans="1:13" ht="15.75" thickBot="1" x14ac:dyDescent="0.3">
      <c r="A8" s="3">
        <v>15</v>
      </c>
      <c r="B8" s="4">
        <v>600</v>
      </c>
      <c r="C8" s="4">
        <v>30</v>
      </c>
      <c r="D8" s="4">
        <v>18</v>
      </c>
      <c r="E8" s="4" t="s">
        <v>6</v>
      </c>
      <c r="G8" s="7" t="s">
        <v>130</v>
      </c>
      <c r="H8" s="7">
        <v>0</v>
      </c>
      <c r="I8" s="7"/>
      <c r="K8" s="7" t="s">
        <v>130</v>
      </c>
      <c r="L8" s="7">
        <v>0</v>
      </c>
      <c r="M8" s="7"/>
    </row>
    <row r="9" spans="1:13" ht="15.75" thickBot="1" x14ac:dyDescent="0.3">
      <c r="A9" s="3">
        <v>19</v>
      </c>
      <c r="B9" s="4">
        <v>480</v>
      </c>
      <c r="C9" s="4">
        <v>31</v>
      </c>
      <c r="D9" s="4">
        <v>16</v>
      </c>
      <c r="E9" s="4" t="s">
        <v>6</v>
      </c>
      <c r="G9" s="7" t="s">
        <v>56</v>
      </c>
      <c r="H9" s="7">
        <v>23</v>
      </c>
      <c r="I9" s="7"/>
      <c r="K9" s="7" t="s">
        <v>56</v>
      </c>
      <c r="L9" s="7">
        <v>23</v>
      </c>
      <c r="M9" s="7"/>
    </row>
    <row r="10" spans="1:13" ht="15.75" thickBot="1" x14ac:dyDescent="0.3">
      <c r="A10" s="3">
        <v>20</v>
      </c>
      <c r="B10" s="4">
        <v>180</v>
      </c>
      <c r="C10" s="4">
        <v>52</v>
      </c>
      <c r="D10" s="4">
        <v>12</v>
      </c>
      <c r="E10" s="4" t="s">
        <v>6</v>
      </c>
      <c r="G10" s="7" t="s">
        <v>62</v>
      </c>
      <c r="H10" s="7">
        <v>0.53785074157699153</v>
      </c>
      <c r="I10" s="7"/>
      <c r="K10" s="7" t="s">
        <v>62</v>
      </c>
      <c r="L10" s="7">
        <v>0.25063602377787431</v>
      </c>
      <c r="M10" s="7"/>
    </row>
    <row r="11" spans="1:13" ht="15.75" thickBot="1" x14ac:dyDescent="0.3">
      <c r="A11" s="3">
        <v>24</v>
      </c>
      <c r="B11" s="4">
        <v>225</v>
      </c>
      <c r="C11" s="4">
        <v>46</v>
      </c>
      <c r="D11" s="4">
        <v>12</v>
      </c>
      <c r="E11" s="4" t="s">
        <v>6</v>
      </c>
      <c r="G11" s="7" t="s">
        <v>131</v>
      </c>
      <c r="H11" s="7">
        <v>0.29792337345699449</v>
      </c>
      <c r="I11" s="7"/>
      <c r="K11" s="7" t="s">
        <v>131</v>
      </c>
      <c r="L11" s="7">
        <v>0.4021604756757487</v>
      </c>
      <c r="M11" s="7"/>
    </row>
    <row r="12" spans="1:13" ht="15.75" thickBot="1" x14ac:dyDescent="0.3">
      <c r="A12" s="3">
        <v>25</v>
      </c>
      <c r="B12" s="4">
        <v>295</v>
      </c>
      <c r="C12" s="4">
        <v>37</v>
      </c>
      <c r="D12" s="4">
        <v>16</v>
      </c>
      <c r="E12" s="4" t="s">
        <v>6</v>
      </c>
      <c r="G12" s="7" t="s">
        <v>132</v>
      </c>
      <c r="H12" s="7">
        <v>1.7138715170749599</v>
      </c>
      <c r="I12" s="7"/>
      <c r="K12" s="7" t="s">
        <v>132</v>
      </c>
      <c r="L12" s="7">
        <v>1.7138715170749599</v>
      </c>
      <c r="M12" s="7"/>
    </row>
    <row r="13" spans="1:13" ht="15.75" thickBot="1" x14ac:dyDescent="0.3">
      <c r="A13" s="3">
        <v>2</v>
      </c>
      <c r="B13" s="4">
        <v>135</v>
      </c>
      <c r="C13" s="4">
        <v>59</v>
      </c>
      <c r="D13" s="4">
        <v>14</v>
      </c>
      <c r="E13" s="4" t="s">
        <v>7</v>
      </c>
      <c r="G13" s="7" t="s">
        <v>133</v>
      </c>
      <c r="H13" s="7">
        <v>0.59584674691398898</v>
      </c>
      <c r="I13" s="7"/>
      <c r="K13" s="7" t="s">
        <v>133</v>
      </c>
      <c r="L13" s="7">
        <v>0.80432095135149739</v>
      </c>
      <c r="M13" s="7"/>
    </row>
    <row r="14" spans="1:13" ht="15.75" thickBot="1" x14ac:dyDescent="0.3">
      <c r="A14" s="3">
        <v>3</v>
      </c>
      <c r="B14" s="4">
        <v>275</v>
      </c>
      <c r="C14" s="4">
        <v>39</v>
      </c>
      <c r="D14" s="4">
        <v>16</v>
      </c>
      <c r="E14" s="4" t="s">
        <v>7</v>
      </c>
      <c r="G14" s="8" t="s">
        <v>134</v>
      </c>
      <c r="H14" s="8">
        <v>2.0686575986105389</v>
      </c>
      <c r="I14" s="8"/>
      <c r="K14" s="8" t="s">
        <v>134</v>
      </c>
      <c r="L14" s="8">
        <v>2.0686575986105389</v>
      </c>
      <c r="M14" s="8"/>
    </row>
    <row r="15" spans="1:13" ht="15.75" thickBot="1" x14ac:dyDescent="0.3">
      <c r="A15" s="3">
        <v>4</v>
      </c>
      <c r="B15" s="4">
        <v>185</v>
      </c>
      <c r="C15" s="4">
        <v>49</v>
      </c>
      <c r="D15" s="4">
        <v>14</v>
      </c>
      <c r="E15" s="4" t="s">
        <v>7</v>
      </c>
    </row>
    <row r="16" spans="1:13" ht="15.75" thickBot="1" x14ac:dyDescent="0.3">
      <c r="A16" s="3">
        <v>6</v>
      </c>
      <c r="B16" s="4">
        <v>575</v>
      </c>
      <c r="C16" s="4">
        <v>32</v>
      </c>
      <c r="D16" s="4">
        <v>16</v>
      </c>
      <c r="E16" s="4" t="s">
        <v>7</v>
      </c>
    </row>
    <row r="17" spans="1:13" ht="15.75" thickBot="1" x14ac:dyDescent="0.3">
      <c r="A17" s="3">
        <v>8</v>
      </c>
      <c r="B17" s="4">
        <v>95</v>
      </c>
      <c r="C17" s="4">
        <v>55</v>
      </c>
      <c r="D17" s="4">
        <v>8</v>
      </c>
      <c r="E17" s="4" t="s">
        <v>7</v>
      </c>
      <c r="G17" t="s">
        <v>135</v>
      </c>
      <c r="K17" t="s">
        <v>126</v>
      </c>
    </row>
    <row r="18" spans="1:13" ht="15.75" thickBot="1" x14ac:dyDescent="0.3">
      <c r="A18" s="3">
        <v>10</v>
      </c>
      <c r="B18" s="4">
        <v>210</v>
      </c>
      <c r="C18" s="4">
        <v>28</v>
      </c>
      <c r="D18" s="4">
        <v>12</v>
      </c>
      <c r="E18" s="4" t="s">
        <v>7</v>
      </c>
    </row>
    <row r="19" spans="1:13" ht="15.75" thickBot="1" x14ac:dyDescent="0.3">
      <c r="A19" s="3">
        <v>11</v>
      </c>
      <c r="B19" s="4">
        <v>280</v>
      </c>
      <c r="C19" s="4">
        <v>35</v>
      </c>
      <c r="D19" s="4">
        <v>14</v>
      </c>
      <c r="E19" s="4" t="s">
        <v>7</v>
      </c>
      <c r="G19" s="9"/>
      <c r="H19" s="9" t="s">
        <v>127</v>
      </c>
      <c r="I19" s="9" t="s">
        <v>128</v>
      </c>
      <c r="K19" s="9"/>
      <c r="L19" s="9" t="s">
        <v>127</v>
      </c>
      <c r="M19" s="9" t="s">
        <v>128</v>
      </c>
    </row>
    <row r="20" spans="1:13" ht="15.75" thickBot="1" x14ac:dyDescent="0.3">
      <c r="A20" s="3">
        <v>13</v>
      </c>
      <c r="B20" s="4">
        <v>120</v>
      </c>
      <c r="C20" s="4">
        <v>55</v>
      </c>
      <c r="D20" s="4">
        <v>12</v>
      </c>
      <c r="E20" s="4" t="s">
        <v>7</v>
      </c>
      <c r="G20" s="7" t="s">
        <v>13</v>
      </c>
      <c r="H20" s="7">
        <v>241.36363636363637</v>
      </c>
      <c r="I20" s="7">
        <v>203.78571428571428</v>
      </c>
      <c r="K20" s="7" t="s">
        <v>13</v>
      </c>
      <c r="L20" s="7">
        <v>12.909090909090908</v>
      </c>
      <c r="M20" s="7">
        <v>12.714285714285714</v>
      </c>
    </row>
    <row r="21" spans="1:13" ht="15.75" thickBot="1" x14ac:dyDescent="0.3">
      <c r="A21" s="3">
        <v>16</v>
      </c>
      <c r="B21" s="4">
        <v>415</v>
      </c>
      <c r="C21" s="4">
        <v>29</v>
      </c>
      <c r="D21" s="4">
        <v>18</v>
      </c>
      <c r="E21" s="4" t="s">
        <v>7</v>
      </c>
      <c r="G21" s="7" t="s">
        <v>36</v>
      </c>
      <c r="H21" s="7">
        <v>32485.45454545454</v>
      </c>
      <c r="I21" s="7">
        <v>28210.642857142859</v>
      </c>
      <c r="K21" s="7" t="s">
        <v>36</v>
      </c>
      <c r="L21" s="7">
        <v>9.8909090909090995</v>
      </c>
      <c r="M21" s="7">
        <v>12.065934065934051</v>
      </c>
    </row>
    <row r="22" spans="1:13" ht="15.75" thickBot="1" x14ac:dyDescent="0.3">
      <c r="A22" s="3">
        <v>17</v>
      </c>
      <c r="B22" s="4">
        <v>0</v>
      </c>
      <c r="C22" s="4">
        <v>62</v>
      </c>
      <c r="D22" s="4">
        <v>8</v>
      </c>
      <c r="E22" s="4" t="s">
        <v>7</v>
      </c>
      <c r="G22" s="7" t="s">
        <v>50</v>
      </c>
      <c r="H22" s="7">
        <v>11</v>
      </c>
      <c r="I22" s="7">
        <v>14</v>
      </c>
      <c r="K22" s="7" t="s">
        <v>50</v>
      </c>
      <c r="L22" s="7">
        <v>11</v>
      </c>
      <c r="M22" s="7">
        <v>14</v>
      </c>
    </row>
    <row r="23" spans="1:13" ht="15.75" thickBot="1" x14ac:dyDescent="0.3">
      <c r="A23" s="3">
        <v>18</v>
      </c>
      <c r="B23" s="4">
        <v>395</v>
      </c>
      <c r="C23" s="4">
        <v>27</v>
      </c>
      <c r="D23" s="4">
        <v>16</v>
      </c>
      <c r="E23" s="4" t="s">
        <v>7</v>
      </c>
      <c r="G23" s="7" t="s">
        <v>130</v>
      </c>
      <c r="H23" s="7">
        <v>0</v>
      </c>
      <c r="I23" s="7"/>
      <c r="K23" s="7" t="s">
        <v>129</v>
      </c>
      <c r="L23" s="7">
        <v>11.120271033314507</v>
      </c>
      <c r="M23" s="7"/>
    </row>
    <row r="24" spans="1:13" ht="15.75" thickBot="1" x14ac:dyDescent="0.3">
      <c r="A24" s="3">
        <v>21</v>
      </c>
      <c r="B24" s="4">
        <v>60</v>
      </c>
      <c r="C24" s="4">
        <v>63</v>
      </c>
      <c r="D24" s="4">
        <v>6</v>
      </c>
      <c r="E24" s="4" t="s">
        <v>7</v>
      </c>
      <c r="G24" s="7" t="s">
        <v>56</v>
      </c>
      <c r="H24" s="7">
        <v>21</v>
      </c>
      <c r="I24" s="7"/>
      <c r="K24" s="7" t="s">
        <v>130</v>
      </c>
      <c r="L24" s="7">
        <v>0</v>
      </c>
      <c r="M24" s="7"/>
    </row>
    <row r="25" spans="1:13" ht="15.75" thickBot="1" x14ac:dyDescent="0.3">
      <c r="A25" s="3">
        <v>22</v>
      </c>
      <c r="B25" s="4">
        <v>0</v>
      </c>
      <c r="C25" s="4">
        <v>61</v>
      </c>
      <c r="D25" s="4">
        <v>12</v>
      </c>
      <c r="E25" s="4" t="s">
        <v>7</v>
      </c>
      <c r="G25" s="7" t="s">
        <v>62</v>
      </c>
      <c r="H25" s="7">
        <v>0.53312642324831083</v>
      </c>
      <c r="I25" s="7"/>
      <c r="K25" s="7" t="s">
        <v>56</v>
      </c>
      <c r="L25" s="7">
        <v>23</v>
      </c>
      <c r="M25" s="7"/>
    </row>
    <row r="26" spans="1:13" ht="15.75" thickBot="1" x14ac:dyDescent="0.3">
      <c r="A26" s="3">
        <v>23</v>
      </c>
      <c r="B26" s="4">
        <v>108</v>
      </c>
      <c r="C26" s="4">
        <v>61</v>
      </c>
      <c r="D26" s="4">
        <v>12</v>
      </c>
      <c r="E26" s="4" t="s">
        <v>7</v>
      </c>
      <c r="G26" s="7" t="s">
        <v>131</v>
      </c>
      <c r="H26" s="7">
        <v>0.2997717032947298</v>
      </c>
      <c r="I26" s="7"/>
      <c r="K26" s="7" t="s">
        <v>62</v>
      </c>
      <c r="L26" s="7">
        <v>0.14498838213315549</v>
      </c>
      <c r="M26" s="7"/>
    </row>
    <row r="27" spans="1:13" x14ac:dyDescent="0.25">
      <c r="G27" s="7" t="s">
        <v>132</v>
      </c>
      <c r="H27" s="7">
        <v>1.7207428714853461</v>
      </c>
      <c r="I27" s="7"/>
      <c r="K27" s="7" t="s">
        <v>131</v>
      </c>
      <c r="L27" s="7">
        <v>0.4429915593204623</v>
      </c>
      <c r="M27" s="7"/>
    </row>
    <row r="28" spans="1:13" x14ac:dyDescent="0.25">
      <c r="G28" s="7" t="s">
        <v>133</v>
      </c>
      <c r="H28" s="7">
        <v>0.59954340658945959</v>
      </c>
      <c r="I28" s="7"/>
      <c r="K28" s="7" t="s">
        <v>132</v>
      </c>
      <c r="L28" s="7">
        <v>1.7138715170749599</v>
      </c>
      <c r="M28" s="7"/>
    </row>
    <row r="29" spans="1:13" ht="15.75" thickBot="1" x14ac:dyDescent="0.3">
      <c r="G29" s="8" t="s">
        <v>134</v>
      </c>
      <c r="H29" s="8">
        <v>2.0796138370827224</v>
      </c>
      <c r="I29" s="8"/>
      <c r="K29" s="7" t="s">
        <v>133</v>
      </c>
      <c r="L29" s="7">
        <v>0.88598311864092461</v>
      </c>
      <c r="M29" s="7"/>
    </row>
    <row r="30" spans="1:13" ht="15.75" thickBot="1" x14ac:dyDescent="0.3">
      <c r="K30" s="8" t="s">
        <v>134</v>
      </c>
      <c r="L30" s="8">
        <v>2.0686575986105389</v>
      </c>
      <c r="M30" s="8"/>
    </row>
  </sheetData>
  <sortState ref="A2:E26">
    <sortCondition ref="E1"/>
  </sortState>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2"/>
  <sheetViews>
    <sheetView zoomScale="84" zoomScaleNormal="84" workbookViewId="0">
      <selection activeCell="Q28" sqref="Q28"/>
    </sheetView>
  </sheetViews>
  <sheetFormatPr defaultRowHeight="15" x14ac:dyDescent="0.25"/>
  <cols>
    <col min="5" max="5" width="11.28515625" customWidth="1"/>
    <col min="8" max="8" width="17.85546875" customWidth="1"/>
    <col min="9" max="9" width="14.28515625" customWidth="1"/>
  </cols>
  <sheetData>
    <row r="1" spans="1:9" ht="15.75" thickBot="1" x14ac:dyDescent="0.3">
      <c r="A1" s="1" t="s">
        <v>1</v>
      </c>
      <c r="B1" s="2" t="s">
        <v>2</v>
      </c>
      <c r="C1" s="2" t="s">
        <v>3</v>
      </c>
      <c r="D1" s="2" t="s">
        <v>4</v>
      </c>
      <c r="E1" s="2" t="s">
        <v>5</v>
      </c>
      <c r="F1" s="5">
        <v>6</v>
      </c>
    </row>
    <row r="2" spans="1:9" ht="15.75" thickBot="1" x14ac:dyDescent="0.3">
      <c r="A2" s="3">
        <v>1</v>
      </c>
      <c r="B2" s="4">
        <v>190</v>
      </c>
      <c r="C2" s="4">
        <v>50</v>
      </c>
      <c r="D2" s="4">
        <v>14</v>
      </c>
      <c r="E2" s="4" t="s">
        <v>6</v>
      </c>
      <c r="F2" s="5">
        <v>8</v>
      </c>
    </row>
    <row r="3" spans="1:9" ht="15.75" thickBot="1" x14ac:dyDescent="0.3">
      <c r="A3" s="3">
        <v>2</v>
      </c>
      <c r="B3" s="4">
        <v>135</v>
      </c>
      <c r="C3" s="4">
        <v>59</v>
      </c>
      <c r="D3" s="4">
        <v>14</v>
      </c>
      <c r="E3" s="4" t="s">
        <v>7</v>
      </c>
      <c r="F3" s="5">
        <v>10</v>
      </c>
    </row>
    <row r="4" spans="1:9" ht="15.75" thickBot="1" x14ac:dyDescent="0.3">
      <c r="A4" s="3">
        <v>3</v>
      </c>
      <c r="B4" s="4">
        <v>275</v>
      </c>
      <c r="C4" s="4">
        <v>39</v>
      </c>
      <c r="D4" s="4">
        <v>16</v>
      </c>
      <c r="E4" s="4" t="s">
        <v>7</v>
      </c>
      <c r="F4" s="5">
        <v>12</v>
      </c>
    </row>
    <row r="5" spans="1:9" ht="15.75" thickBot="1" x14ac:dyDescent="0.3">
      <c r="A5" s="3">
        <v>4</v>
      </c>
      <c r="B5" s="4">
        <v>185</v>
      </c>
      <c r="C5" s="4">
        <v>49</v>
      </c>
      <c r="D5" s="4">
        <v>14</v>
      </c>
      <c r="E5" s="4" t="s">
        <v>7</v>
      </c>
      <c r="F5" s="5">
        <v>14</v>
      </c>
    </row>
    <row r="6" spans="1:9" ht="15.75" thickBot="1" x14ac:dyDescent="0.3">
      <c r="A6" s="3">
        <v>5</v>
      </c>
      <c r="B6" s="4">
        <v>340</v>
      </c>
      <c r="C6" s="4">
        <v>39</v>
      </c>
      <c r="D6" s="4">
        <v>12</v>
      </c>
      <c r="E6" s="4" t="s">
        <v>6</v>
      </c>
      <c r="F6" s="5">
        <v>16</v>
      </c>
    </row>
    <row r="7" spans="1:9" ht="15.75" thickBot="1" x14ac:dyDescent="0.3">
      <c r="A7" s="3">
        <v>6</v>
      </c>
      <c r="B7" s="4">
        <v>575</v>
      </c>
      <c r="C7" s="4">
        <v>32</v>
      </c>
      <c r="D7" s="4">
        <v>16</v>
      </c>
      <c r="E7" s="4" t="s">
        <v>7</v>
      </c>
      <c r="F7" s="5">
        <v>18</v>
      </c>
    </row>
    <row r="8" spans="1:9" ht="15.75" thickBot="1" x14ac:dyDescent="0.3">
      <c r="A8" s="3">
        <v>7</v>
      </c>
      <c r="B8" s="4">
        <v>210</v>
      </c>
      <c r="C8" s="4">
        <v>51</v>
      </c>
      <c r="D8" s="4">
        <v>14</v>
      </c>
      <c r="E8" s="4" t="s">
        <v>6</v>
      </c>
    </row>
    <row r="9" spans="1:9" ht="15.75" thickBot="1" x14ac:dyDescent="0.3">
      <c r="A9" s="3">
        <v>8</v>
      </c>
      <c r="B9" s="4">
        <v>95</v>
      </c>
      <c r="C9" s="4">
        <v>55</v>
      </c>
      <c r="D9" s="4">
        <v>8</v>
      </c>
      <c r="E9" s="4" t="s">
        <v>7</v>
      </c>
    </row>
    <row r="10" spans="1:9" ht="15.75" thickBot="1" x14ac:dyDescent="0.3">
      <c r="A10" s="3">
        <v>9</v>
      </c>
      <c r="B10" s="4">
        <v>55</v>
      </c>
      <c r="C10" s="4">
        <v>67</v>
      </c>
      <c r="D10" s="4">
        <v>8</v>
      </c>
      <c r="E10" s="4" t="s">
        <v>6</v>
      </c>
    </row>
    <row r="11" spans="1:9" ht="15.75" thickBot="1" x14ac:dyDescent="0.3">
      <c r="A11" s="3">
        <v>10</v>
      </c>
      <c r="B11" s="4">
        <v>210</v>
      </c>
      <c r="C11" s="4">
        <v>28</v>
      </c>
      <c r="D11" s="4">
        <v>12</v>
      </c>
      <c r="E11" s="4" t="s">
        <v>7</v>
      </c>
      <c r="H11" t="s">
        <v>11</v>
      </c>
    </row>
    <row r="12" spans="1:9" ht="15.75" thickBot="1" x14ac:dyDescent="0.3">
      <c r="A12" s="3">
        <v>11</v>
      </c>
      <c r="B12" s="4">
        <v>280</v>
      </c>
      <c r="C12" s="4">
        <v>35</v>
      </c>
      <c r="D12" s="4">
        <v>14</v>
      </c>
      <c r="E12" s="4" t="s">
        <v>7</v>
      </c>
    </row>
    <row r="13" spans="1:9" ht="15.75" thickBot="1" x14ac:dyDescent="0.3">
      <c r="A13" s="3">
        <v>12</v>
      </c>
      <c r="B13" s="4">
        <v>0</v>
      </c>
      <c r="C13" s="4">
        <v>68</v>
      </c>
      <c r="D13" s="4">
        <v>8</v>
      </c>
      <c r="E13" s="4" t="s">
        <v>6</v>
      </c>
    </row>
    <row r="14" spans="1:9" ht="15.75" thickBot="1" x14ac:dyDescent="0.3">
      <c r="A14" s="3">
        <v>13</v>
      </c>
      <c r="B14" s="4">
        <v>120</v>
      </c>
      <c r="C14" s="4">
        <v>55</v>
      </c>
      <c r="D14" s="4">
        <v>12</v>
      </c>
      <c r="E14" s="4" t="s">
        <v>7</v>
      </c>
    </row>
    <row r="15" spans="1:9" ht="15.75" thickBot="1" x14ac:dyDescent="0.3">
      <c r="A15" s="3">
        <v>14</v>
      </c>
      <c r="B15" s="4">
        <v>80</v>
      </c>
      <c r="C15" s="4">
        <v>59</v>
      </c>
      <c r="D15" s="4">
        <v>12</v>
      </c>
      <c r="E15" s="4" t="s">
        <v>6</v>
      </c>
      <c r="H15" s="9" t="s">
        <v>12</v>
      </c>
      <c r="I15" s="9" t="s">
        <v>9</v>
      </c>
    </row>
    <row r="16" spans="1:9" ht="15.75" thickBot="1" x14ac:dyDescent="0.3">
      <c r="A16" s="3">
        <v>15</v>
      </c>
      <c r="B16" s="4">
        <v>600</v>
      </c>
      <c r="C16" s="4">
        <v>30</v>
      </c>
      <c r="D16" s="4">
        <v>18</v>
      </c>
      <c r="E16" s="4" t="s">
        <v>6</v>
      </c>
      <c r="H16" s="6">
        <v>6</v>
      </c>
      <c r="I16" s="7">
        <v>1</v>
      </c>
    </row>
    <row r="17" spans="1:15" ht="15.75" thickBot="1" x14ac:dyDescent="0.3">
      <c r="A17" s="3">
        <v>16</v>
      </c>
      <c r="B17" s="4">
        <v>415</v>
      </c>
      <c r="C17" s="4">
        <v>29</v>
      </c>
      <c r="D17" s="4">
        <v>18</v>
      </c>
      <c r="E17" s="4" t="s">
        <v>7</v>
      </c>
      <c r="H17" s="6">
        <v>8</v>
      </c>
      <c r="I17" s="7">
        <v>4</v>
      </c>
    </row>
    <row r="18" spans="1:15" ht="15.75" thickBot="1" x14ac:dyDescent="0.3">
      <c r="A18" s="3">
        <v>17</v>
      </c>
      <c r="B18" s="4">
        <v>0</v>
      </c>
      <c r="C18" s="4">
        <v>62</v>
      </c>
      <c r="D18" s="4">
        <v>8</v>
      </c>
      <c r="E18" s="4" t="s">
        <v>7</v>
      </c>
      <c r="H18" s="6">
        <v>10</v>
      </c>
      <c r="I18" s="7">
        <v>0</v>
      </c>
    </row>
    <row r="19" spans="1:15" ht="15.75" thickBot="1" x14ac:dyDescent="0.3">
      <c r="A19" s="3">
        <v>18</v>
      </c>
      <c r="B19" s="4">
        <v>395</v>
      </c>
      <c r="C19" s="4">
        <v>27</v>
      </c>
      <c r="D19" s="4">
        <v>16</v>
      </c>
      <c r="E19" s="4" t="s">
        <v>7</v>
      </c>
      <c r="H19" s="6">
        <v>12</v>
      </c>
      <c r="I19" s="7">
        <v>8</v>
      </c>
    </row>
    <row r="20" spans="1:15" ht="15.75" thickBot="1" x14ac:dyDescent="0.3">
      <c r="A20" s="3">
        <v>19</v>
      </c>
      <c r="B20" s="4">
        <v>480</v>
      </c>
      <c r="C20" s="4">
        <v>31</v>
      </c>
      <c r="D20" s="4">
        <v>16</v>
      </c>
      <c r="E20" s="4" t="s">
        <v>6</v>
      </c>
      <c r="H20" s="6">
        <v>14</v>
      </c>
      <c r="I20" s="7">
        <v>5</v>
      </c>
    </row>
    <row r="21" spans="1:15" ht="15.75" thickBot="1" x14ac:dyDescent="0.3">
      <c r="A21" s="3">
        <v>20</v>
      </c>
      <c r="B21" s="4">
        <v>180</v>
      </c>
      <c r="C21" s="4">
        <v>52</v>
      </c>
      <c r="D21" s="4">
        <v>12</v>
      </c>
      <c r="E21" s="4" t="s">
        <v>6</v>
      </c>
      <c r="H21" s="6">
        <v>16</v>
      </c>
      <c r="I21" s="7">
        <v>5</v>
      </c>
    </row>
    <row r="22" spans="1:15" ht="15.75" thickBot="1" x14ac:dyDescent="0.3">
      <c r="A22" s="3">
        <v>21</v>
      </c>
      <c r="B22" s="4">
        <v>60</v>
      </c>
      <c r="C22" s="4">
        <v>63</v>
      </c>
      <c r="D22" s="4">
        <v>6</v>
      </c>
      <c r="E22" s="4" t="s">
        <v>7</v>
      </c>
      <c r="H22" s="6">
        <v>18</v>
      </c>
      <c r="I22" s="7">
        <v>2</v>
      </c>
    </row>
    <row r="23" spans="1:15" ht="15.75" thickBot="1" x14ac:dyDescent="0.3">
      <c r="A23" s="3">
        <v>22</v>
      </c>
      <c r="B23" s="4">
        <v>0</v>
      </c>
      <c r="C23" s="4">
        <v>61</v>
      </c>
      <c r="D23" s="4">
        <v>12</v>
      </c>
      <c r="E23" s="4" t="s">
        <v>7</v>
      </c>
      <c r="H23" s="8" t="s">
        <v>11</v>
      </c>
      <c r="I23" s="8">
        <v>0</v>
      </c>
    </row>
    <row r="24" spans="1:15" ht="15.75" thickBot="1" x14ac:dyDescent="0.3">
      <c r="A24" s="3">
        <v>23</v>
      </c>
      <c r="B24" s="4">
        <v>108</v>
      </c>
      <c r="C24" s="4">
        <v>61</v>
      </c>
      <c r="D24" s="4">
        <v>12</v>
      </c>
      <c r="E24" s="4" t="s">
        <v>7</v>
      </c>
    </row>
    <row r="25" spans="1:15" ht="15.75" thickBot="1" x14ac:dyDescent="0.3">
      <c r="A25" s="3">
        <v>24</v>
      </c>
      <c r="B25" s="4">
        <v>225</v>
      </c>
      <c r="C25" s="4">
        <v>46</v>
      </c>
      <c r="D25" s="4">
        <v>12</v>
      </c>
      <c r="E25" s="4" t="s">
        <v>6</v>
      </c>
    </row>
    <row r="26" spans="1:15" ht="15.75" thickBot="1" x14ac:dyDescent="0.3">
      <c r="A26" s="3">
        <v>25</v>
      </c>
      <c r="B26" s="4">
        <v>295</v>
      </c>
      <c r="C26" s="4">
        <v>37</v>
      </c>
      <c r="D26" s="4">
        <v>16</v>
      </c>
      <c r="E26" s="4" t="s">
        <v>6</v>
      </c>
    </row>
    <row r="27" spans="1:15" x14ac:dyDescent="0.25">
      <c r="H27" t="s">
        <v>8</v>
      </c>
    </row>
    <row r="28" spans="1:15" x14ac:dyDescent="0.25">
      <c r="H28">
        <v>6</v>
      </c>
    </row>
    <row r="29" spans="1:15" ht="15.75" thickBot="1" x14ac:dyDescent="0.3">
      <c r="H29">
        <v>7</v>
      </c>
    </row>
    <row r="30" spans="1:15" ht="15.75" thickBot="1" x14ac:dyDescent="0.3">
      <c r="H30">
        <v>8</v>
      </c>
      <c r="K30" s="9"/>
      <c r="L30" s="9"/>
    </row>
    <row r="31" spans="1:15" x14ac:dyDescent="0.25">
      <c r="H31">
        <v>9</v>
      </c>
      <c r="K31" s="6"/>
      <c r="L31" s="7"/>
      <c r="N31" s="9" t="s">
        <v>10</v>
      </c>
      <c r="O31" s="9" t="s">
        <v>9</v>
      </c>
    </row>
    <row r="32" spans="1:15" x14ac:dyDescent="0.25">
      <c r="H32">
        <v>10</v>
      </c>
      <c r="K32" s="6"/>
      <c r="L32" s="7"/>
      <c r="N32" s="6">
        <v>6</v>
      </c>
      <c r="O32" s="7">
        <v>1</v>
      </c>
    </row>
    <row r="33" spans="8:15" x14ac:dyDescent="0.25">
      <c r="H33">
        <v>11</v>
      </c>
      <c r="K33" s="6"/>
      <c r="L33" s="7"/>
      <c r="N33" s="6">
        <v>7</v>
      </c>
      <c r="O33" s="7">
        <v>0</v>
      </c>
    </row>
    <row r="34" spans="8:15" x14ac:dyDescent="0.25">
      <c r="H34">
        <v>12</v>
      </c>
      <c r="K34" s="6"/>
      <c r="L34" s="7"/>
      <c r="N34" s="6">
        <v>8</v>
      </c>
      <c r="O34" s="7">
        <v>4</v>
      </c>
    </row>
    <row r="35" spans="8:15" x14ac:dyDescent="0.25">
      <c r="H35">
        <v>13</v>
      </c>
      <c r="K35" s="6"/>
      <c r="L35" s="7"/>
      <c r="N35" s="6">
        <v>9</v>
      </c>
      <c r="O35" s="7">
        <v>0</v>
      </c>
    </row>
    <row r="36" spans="8:15" x14ac:dyDescent="0.25">
      <c r="H36">
        <v>14</v>
      </c>
      <c r="K36" s="6"/>
      <c r="L36" s="7"/>
      <c r="N36" s="6">
        <v>10</v>
      </c>
      <c r="O36" s="7">
        <v>0</v>
      </c>
    </row>
    <row r="37" spans="8:15" x14ac:dyDescent="0.25">
      <c r="H37">
        <v>15</v>
      </c>
      <c r="K37" s="6"/>
      <c r="L37" s="7"/>
      <c r="N37" s="6">
        <v>11</v>
      </c>
      <c r="O37" s="7">
        <v>0</v>
      </c>
    </row>
    <row r="38" spans="8:15" x14ac:dyDescent="0.25">
      <c r="H38">
        <v>16</v>
      </c>
      <c r="K38" s="6"/>
      <c r="L38" s="7"/>
      <c r="N38" s="6">
        <v>12</v>
      </c>
      <c r="O38" s="7">
        <v>8</v>
      </c>
    </row>
    <row r="39" spans="8:15" x14ac:dyDescent="0.25">
      <c r="H39">
        <v>17</v>
      </c>
      <c r="K39" s="6"/>
      <c r="L39" s="7"/>
      <c r="N39" s="6">
        <v>13</v>
      </c>
      <c r="O39" s="7">
        <v>0</v>
      </c>
    </row>
    <row r="40" spans="8:15" x14ac:dyDescent="0.25">
      <c r="H40">
        <v>18</v>
      </c>
      <c r="K40" s="6"/>
      <c r="L40" s="7"/>
      <c r="N40" s="6">
        <v>14</v>
      </c>
      <c r="O40" s="7">
        <v>5</v>
      </c>
    </row>
    <row r="41" spans="8:15" x14ac:dyDescent="0.25">
      <c r="K41" s="6"/>
      <c r="L41" s="7"/>
      <c r="N41" s="6">
        <v>15</v>
      </c>
      <c r="O41" s="7">
        <v>0</v>
      </c>
    </row>
    <row r="42" spans="8:15" x14ac:dyDescent="0.25">
      <c r="K42" s="6"/>
      <c r="L42" s="7"/>
      <c r="N42" s="6">
        <v>16</v>
      </c>
      <c r="O42" s="7">
        <v>5</v>
      </c>
    </row>
    <row r="43" spans="8:15" x14ac:dyDescent="0.25">
      <c r="K43" s="6"/>
      <c r="L43" s="7"/>
      <c r="N43" s="6">
        <v>17</v>
      </c>
      <c r="O43" s="7">
        <v>0</v>
      </c>
    </row>
    <row r="44" spans="8:15" ht="15.75" thickBot="1" x14ac:dyDescent="0.3">
      <c r="K44" s="8"/>
      <c r="L44" s="8"/>
      <c r="N44" s="6">
        <v>18</v>
      </c>
      <c r="O44" s="7">
        <v>2</v>
      </c>
    </row>
    <row r="45" spans="8:15" ht="15.75" thickBot="1" x14ac:dyDescent="0.3">
      <c r="N45" s="8" t="s">
        <v>11</v>
      </c>
      <c r="O45" s="8">
        <v>0</v>
      </c>
    </row>
    <row r="49" spans="1:3" ht="15.75" thickBot="1" x14ac:dyDescent="0.3"/>
    <row r="50" spans="1:3" x14ac:dyDescent="0.25">
      <c r="A50" s="9"/>
      <c r="B50" s="9" t="s">
        <v>2</v>
      </c>
      <c r="C50" s="9" t="s">
        <v>3</v>
      </c>
    </row>
    <row r="51" spans="1:3" x14ac:dyDescent="0.25">
      <c r="A51" s="7" t="s">
        <v>2</v>
      </c>
      <c r="B51" s="7">
        <v>1</v>
      </c>
      <c r="C51" s="7"/>
    </row>
    <row r="52" spans="1:3" ht="15.75" thickBot="1" x14ac:dyDescent="0.3">
      <c r="A52" s="8" t="s">
        <v>3</v>
      </c>
      <c r="B52" s="8">
        <v>-0.88141521770935105</v>
      </c>
      <c r="C52" s="8">
        <v>1</v>
      </c>
    </row>
  </sheetData>
  <sortState ref="N33:N44">
    <sortCondition ref="N32"/>
  </sortState>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Charts</vt:lpstr>
      </vt:variant>
      <vt:variant>
        <vt:i4>2</vt:i4>
      </vt:variant>
    </vt:vector>
  </HeadingPairs>
  <TitlesOfParts>
    <vt:vector size="14" baseType="lpstr">
      <vt:lpstr>Discount Factor</vt:lpstr>
      <vt:lpstr>Compounding</vt:lpstr>
      <vt:lpstr>Population Mean</vt:lpstr>
      <vt:lpstr>Population Total</vt:lpstr>
      <vt:lpstr>worms</vt:lpstr>
      <vt:lpstr>worms (2)</vt:lpstr>
      <vt:lpstr>tillage graph</vt:lpstr>
      <vt:lpstr>Multi Reg</vt:lpstr>
      <vt:lpstr>Simple Reg</vt:lpstr>
      <vt:lpstr>Simple Reg (2)</vt:lpstr>
      <vt:lpstr>t-test</vt:lpstr>
      <vt:lpstr>Tillage</vt:lpstr>
      <vt:lpstr>Chart1</vt:lpstr>
      <vt:lpstr>Chart2</vt:lpstr>
    </vt:vector>
  </TitlesOfParts>
  <Company>USDA OCIO-ITS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mark.xu</dc:creator>
  <cp:lastModifiedBy>Xu, Mark - NRCS, Beltsville, MD</cp:lastModifiedBy>
  <dcterms:created xsi:type="dcterms:W3CDTF">2011-01-06T20:29:11Z</dcterms:created>
  <dcterms:modified xsi:type="dcterms:W3CDTF">2012-10-16T13:58:03Z</dcterms:modified>
</cp:coreProperties>
</file>