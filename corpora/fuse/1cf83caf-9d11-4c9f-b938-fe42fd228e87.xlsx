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84" windowWidth="19968" windowHeight="9096"/>
  </bookViews>
  <sheets>
    <sheet name="SFY 2014 Budget for 20140121" sheetId="1" r:id="rId1"/>
  </sheets>
  <definedNames>
    <definedName name="_xlnm.Print_Area" localSheetId="0">'SFY 2014 Budget for 20140121'!$A$2:$K$66</definedName>
  </definedNames>
  <calcPr calcId="145621"/>
</workbook>
</file>

<file path=xl/calcChain.xml><?xml version="1.0" encoding="utf-8"?>
<calcChain xmlns="http://schemas.openxmlformats.org/spreadsheetml/2006/main">
  <c r="R146" i="1" l="1"/>
  <c r="G71" i="1"/>
  <c r="F71" i="1"/>
  <c r="E71" i="1"/>
  <c r="D71" i="1"/>
  <c r="C71" i="1"/>
  <c r="B71" i="1"/>
  <c r="G58" i="1"/>
  <c r="G62" i="1"/>
  <c r="F56" i="1"/>
  <c r="E56" i="1"/>
  <c r="H56" i="1"/>
  <c r="B56" i="1"/>
  <c r="E54" i="1"/>
  <c r="C54" i="1"/>
  <c r="B54" i="1"/>
  <c r="E51" i="1"/>
  <c r="E52" i="1"/>
  <c r="C51" i="1"/>
  <c r="C52" i="1"/>
  <c r="B51" i="1"/>
  <c r="B52" i="1"/>
  <c r="C49" i="1"/>
  <c r="F48" i="1"/>
  <c r="F49" i="1"/>
  <c r="E48" i="1"/>
  <c r="E47" i="1"/>
  <c r="E49" i="1"/>
  <c r="H49" i="1"/>
  <c r="C47" i="1"/>
  <c r="B47" i="1"/>
  <c r="B49" i="1"/>
  <c r="C44" i="1"/>
  <c r="C45" i="1"/>
  <c r="B44" i="1"/>
  <c r="E43" i="1"/>
  <c r="C43" i="1"/>
  <c r="B43" i="1"/>
  <c r="B45" i="1"/>
  <c r="C40" i="1"/>
  <c r="B40" i="1"/>
  <c r="E39" i="1"/>
  <c r="C39" i="1"/>
  <c r="C41" i="1"/>
  <c r="B39" i="1"/>
  <c r="B41" i="1"/>
  <c r="C36" i="1"/>
  <c r="B36" i="1"/>
  <c r="E35" i="1"/>
  <c r="C35" i="1"/>
  <c r="C37" i="1"/>
  <c r="B35" i="1"/>
  <c r="B37" i="1"/>
  <c r="V32" i="1"/>
  <c r="U32" i="1"/>
  <c r="C32" i="1"/>
  <c r="B32" i="1"/>
  <c r="V31" i="1"/>
  <c r="U31" i="1"/>
  <c r="E31" i="1"/>
  <c r="C31" i="1"/>
  <c r="C33" i="1"/>
  <c r="B31" i="1"/>
  <c r="B33" i="1"/>
  <c r="V30" i="1"/>
  <c r="U30" i="1"/>
  <c r="V29" i="1"/>
  <c r="U29" i="1"/>
  <c r="V28" i="1"/>
  <c r="U28" i="1"/>
  <c r="C28" i="1"/>
  <c r="B28" i="1"/>
  <c r="V27" i="1"/>
  <c r="U27" i="1"/>
  <c r="C27" i="1"/>
  <c r="C29" i="1"/>
  <c r="B27" i="1"/>
  <c r="B29" i="1"/>
  <c r="V26" i="1"/>
  <c r="U26" i="1"/>
  <c r="V25" i="1"/>
  <c r="U25" i="1"/>
  <c r="V24" i="1"/>
  <c r="U24" i="1"/>
  <c r="C24" i="1"/>
  <c r="B24" i="1"/>
  <c r="V23" i="1"/>
  <c r="U23" i="1"/>
  <c r="C23" i="1"/>
  <c r="C25" i="1"/>
  <c r="B23" i="1"/>
  <c r="B25" i="1"/>
  <c r="V22" i="1"/>
  <c r="U22" i="1"/>
  <c r="V21" i="1"/>
  <c r="U21" i="1"/>
  <c r="V20" i="1"/>
  <c r="U20" i="1"/>
  <c r="E20" i="1"/>
  <c r="C20" i="1"/>
  <c r="C21" i="1"/>
  <c r="B20" i="1"/>
  <c r="B21" i="1"/>
  <c r="V19" i="1"/>
  <c r="U19" i="1"/>
  <c r="E19" i="1"/>
  <c r="E21" i="1"/>
  <c r="H21" i="1"/>
  <c r="V18" i="1"/>
  <c r="U18" i="1"/>
  <c r="V17" i="1"/>
  <c r="U17" i="1"/>
  <c r="C16" i="1"/>
  <c r="B16" i="1"/>
  <c r="V15" i="1"/>
  <c r="U15" i="1"/>
  <c r="C15" i="1"/>
  <c r="C17" i="1"/>
  <c r="B15" i="1"/>
  <c r="B17" i="1"/>
  <c r="V14" i="1"/>
  <c r="U14" i="1"/>
  <c r="V13" i="1"/>
  <c r="U13" i="1"/>
  <c r="V12" i="1"/>
  <c r="U12" i="1"/>
  <c r="C12" i="1"/>
  <c r="B12" i="1"/>
  <c r="V11" i="1"/>
  <c r="U11" i="1"/>
  <c r="C11" i="1"/>
  <c r="B11" i="1"/>
  <c r="V10" i="1"/>
  <c r="U10" i="1"/>
  <c r="C10" i="1"/>
  <c r="B10" i="1"/>
  <c r="V9" i="1"/>
  <c r="U9" i="1"/>
  <c r="C9" i="1"/>
  <c r="B9" i="1"/>
  <c r="V8" i="1"/>
  <c r="U8" i="1"/>
  <c r="C8" i="1"/>
  <c r="B8" i="1"/>
  <c r="V7" i="1"/>
  <c r="U7" i="1"/>
  <c r="C7" i="1"/>
  <c r="B7" i="1"/>
  <c r="V6" i="1"/>
  <c r="U6" i="1"/>
  <c r="C6" i="1"/>
  <c r="C13" i="1"/>
  <c r="C62" i="1"/>
  <c r="B6" i="1"/>
  <c r="B13" i="1"/>
  <c r="M4" i="1"/>
  <c r="M5" i="1"/>
  <c r="H3" i="1"/>
  <c r="J52" i="1"/>
  <c r="K52" i="1"/>
  <c r="J60" i="1"/>
  <c r="K60" i="1"/>
  <c r="H62" i="1"/>
  <c r="J62" i="1"/>
  <c r="K62" i="1"/>
  <c r="B62" i="1"/>
  <c r="J21" i="1"/>
  <c r="K21" i="1"/>
  <c r="E6" i="1"/>
  <c r="E7" i="1"/>
  <c r="F7" i="1"/>
  <c r="E8" i="1"/>
  <c r="F8" i="1"/>
  <c r="E9" i="1"/>
  <c r="F9" i="1"/>
  <c r="E10" i="1"/>
  <c r="F10" i="1"/>
  <c r="E11" i="1"/>
  <c r="F11" i="1"/>
  <c r="E12" i="1"/>
  <c r="F12" i="1"/>
  <c r="E16" i="1"/>
  <c r="F16" i="1"/>
  <c r="F17" i="1"/>
  <c r="E24" i="1"/>
  <c r="F24" i="1"/>
  <c r="F25" i="1"/>
  <c r="E28" i="1"/>
  <c r="F28" i="1"/>
  <c r="F29" i="1"/>
  <c r="E32" i="1"/>
  <c r="F32" i="1"/>
  <c r="F33" i="1"/>
  <c r="E36" i="1"/>
  <c r="F36" i="1"/>
  <c r="F37" i="1"/>
  <c r="E40" i="1"/>
  <c r="F40" i="1"/>
  <c r="F41" i="1"/>
  <c r="E44" i="1"/>
  <c r="E45" i="1"/>
  <c r="H45" i="1"/>
  <c r="J45" i="1"/>
  <c r="K45" i="1"/>
  <c r="F51" i="1"/>
  <c r="F52" i="1"/>
  <c r="F6" i="1"/>
  <c r="E15" i="1"/>
  <c r="E17" i="1"/>
  <c r="H17" i="1"/>
  <c r="J17" i="1"/>
  <c r="K17" i="1"/>
  <c r="F20" i="1"/>
  <c r="F21" i="1"/>
  <c r="E23" i="1"/>
  <c r="E25" i="1"/>
  <c r="H25" i="1"/>
  <c r="J25" i="1"/>
  <c r="K25" i="1"/>
  <c r="E27" i="1"/>
  <c r="E29" i="1"/>
  <c r="H29" i="1"/>
  <c r="J29" i="1"/>
  <c r="K29" i="1"/>
  <c r="F44" i="1"/>
  <c r="F45" i="1"/>
  <c r="F13" i="1"/>
  <c r="F60" i="1"/>
  <c r="E13" i="1"/>
  <c r="E41" i="1"/>
  <c r="H41" i="1"/>
  <c r="J41" i="1"/>
  <c r="K41" i="1"/>
  <c r="E33" i="1"/>
  <c r="H33" i="1"/>
  <c r="J33" i="1"/>
  <c r="K33" i="1"/>
  <c r="E37" i="1"/>
  <c r="H37" i="1"/>
  <c r="J37" i="1"/>
  <c r="K37" i="1"/>
  <c r="E58" i="1"/>
  <c r="H13" i="1"/>
  <c r="J13" i="1"/>
  <c r="K13" i="1"/>
  <c r="F62" i="1"/>
  <c r="H58" i="1"/>
  <c r="J58" i="1"/>
  <c r="K58" i="1"/>
</calcChain>
</file>

<file path=xl/sharedStrings.xml><?xml version="1.0" encoding="utf-8"?>
<sst xmlns="http://schemas.openxmlformats.org/spreadsheetml/2006/main" count="263" uniqueCount="84">
  <si>
    <t>Collapse</t>
  </si>
  <si>
    <t>Claims 
Report*</t>
  </si>
  <si>
    <t>% of Year Complete</t>
  </si>
  <si>
    <t>DHW Expenditures as of 1/17/2014</t>
  </si>
  <si>
    <t>Paste Reduction Table Here- If it matches</t>
  </si>
  <si>
    <t>Rection Table</t>
  </si>
  <si>
    <t>Paste Claims PT Here</t>
  </si>
  <si>
    <t>Insurer</t>
  </si>
  <si>
    <t>Client Count 
(YTD)</t>
  </si>
  <si>
    <t>Sum of Paid 
Plus Incentive</t>
  </si>
  <si>
    <t>%  of Non-Medicaid</t>
  </si>
  <si>
    <t>Non-Medicaid Total</t>
  </si>
  <si>
    <t>Medicaid Total</t>
  </si>
  <si>
    <t>Budget</t>
  </si>
  <si>
    <t>% of Budget</t>
  </si>
  <si>
    <t>Projected EOY Total GF Spending</t>
  </si>
  <si>
    <t>Amount Over (Under) GF Budget</t>
  </si>
  <si>
    <t>Row Labels</t>
  </si>
  <si>
    <t>Count of Sum of Paid Plus Incentive</t>
  </si>
  <si>
    <t>Sum of Sum of Paid Plus Incentive</t>
  </si>
  <si>
    <t xml:space="preserve">DHW - IDHW - ATR-III - Administrative             </t>
  </si>
  <si>
    <t xml:space="preserve">DHW - IDHW - Adolescent - Medicaid                </t>
  </si>
  <si>
    <t xml:space="preserve">DHW - IDHW - ATR-III Adolescent Benefit           </t>
  </si>
  <si>
    <t xml:space="preserve">DHW - IDHW - Adult                                </t>
  </si>
  <si>
    <t>DHW - IDHW - ATR-III Adolescent Benefit - Medicaid</t>
  </si>
  <si>
    <t xml:space="preserve">DHW - IDHW - Adult - Medicaid                     </t>
  </si>
  <si>
    <t xml:space="preserve">DHW - IDHW - ATR-III Military Benefit             </t>
  </si>
  <si>
    <t xml:space="preserve">DHW - IDHW - ATR-III Military Benefit - Medicaid  </t>
  </si>
  <si>
    <t xml:space="preserve">DHW - IDHW - ATR-III Misdemeanor                  </t>
  </si>
  <si>
    <t xml:space="preserve">DHW - IDHW - ATR-III Misdemeanor - Medicaid       </t>
  </si>
  <si>
    <t>ATR Total</t>
  </si>
  <si>
    <t xml:space="preserve">Adult                              </t>
  </si>
  <si>
    <t xml:space="preserve">Adult-Medicaid                    </t>
  </si>
  <si>
    <t xml:space="preserve">DHW - IDHW - Child Protection Drug Court          </t>
  </si>
  <si>
    <t>Adult Total</t>
  </si>
  <si>
    <t xml:space="preserve">DHW - IDHW - CP/SUD                               </t>
  </si>
  <si>
    <t xml:space="preserve">DHW - IDHW - CP/SUD - Medicaid                    </t>
  </si>
  <si>
    <t>Adolescent</t>
  </si>
  <si>
    <t xml:space="preserve">DHW - IDHW - DV Court Misdemeanant                </t>
  </si>
  <si>
    <t xml:space="preserve">Adolescent-Medicaid                 </t>
  </si>
  <si>
    <t xml:space="preserve">DHW - IDHW - DV Court Misdemeanant - Medicaid     </t>
  </si>
  <si>
    <t>Adolescent Total</t>
  </si>
  <si>
    <t xml:space="preserve">DHW - IDHW - IVDU                                 </t>
  </si>
  <si>
    <t xml:space="preserve">DHW - IDHW - IVDU - Medicaid                      </t>
  </si>
  <si>
    <t xml:space="preserve">CP-SUD         </t>
  </si>
  <si>
    <t xml:space="preserve">DHW - IDHW - Medicaid Only                        </t>
  </si>
  <si>
    <t xml:space="preserve">CP-SUD - Medicaid                    </t>
  </si>
  <si>
    <t xml:space="preserve">DHW - IDHW - PWWC                                 </t>
  </si>
  <si>
    <t>CP-SUD Total</t>
  </si>
  <si>
    <t xml:space="preserve">DHW - IDHW - PWWC - Medicaid                      </t>
  </si>
  <si>
    <t xml:space="preserve">DHW - IDHW - State Hospital                       </t>
  </si>
  <si>
    <t xml:space="preserve">DV Court </t>
  </si>
  <si>
    <t xml:space="preserve">DHW - IDHW - State Hospital - Medicaid            </t>
  </si>
  <si>
    <t>DV Court- Medicaid</t>
  </si>
  <si>
    <t xml:space="preserve">DHW - IDHW - Unknown / Ineligible                 </t>
  </si>
  <si>
    <t>DV Court Misdemeanant Total</t>
  </si>
  <si>
    <t xml:space="preserve">DHW - PSC - Mental Health Court                   </t>
  </si>
  <si>
    <t xml:space="preserve">DHW - PSC - Mental Health Court - Medicaid        </t>
  </si>
  <si>
    <t xml:space="preserve">IVDU                                 </t>
  </si>
  <si>
    <t xml:space="preserve">DHW - PSC - Misdemeanor / DUI Court               </t>
  </si>
  <si>
    <t xml:space="preserve">IVDU - Medicaid                      </t>
  </si>
  <si>
    <t>Grand Total</t>
  </si>
  <si>
    <t>IVDU Total</t>
  </si>
  <si>
    <t xml:space="preserve">PWWC                                 </t>
  </si>
  <si>
    <t xml:space="preserve">PWWC - Medicaid                      </t>
  </si>
  <si>
    <t>PWWC Total</t>
  </si>
  <si>
    <t xml:space="preserve">State Hospital </t>
  </si>
  <si>
    <t xml:space="preserve">State Hospital - Medicaid            </t>
  </si>
  <si>
    <t>State Hospital Total</t>
  </si>
  <si>
    <t xml:space="preserve">Mental Health Court                   </t>
  </si>
  <si>
    <t xml:space="preserve">Mental Health Court - Medicaid        </t>
  </si>
  <si>
    <t>Mental Health Court Total</t>
  </si>
  <si>
    <t xml:space="preserve">Misdemeanant PSC                   </t>
  </si>
  <si>
    <t xml:space="preserve">Misdemeanant PSC - Medicaid        </t>
  </si>
  <si>
    <t>Misdemeanant PSC Total</t>
  </si>
  <si>
    <t xml:space="preserve">Medicaid Only                        </t>
  </si>
  <si>
    <t>Medicaid Only Total</t>
  </si>
  <si>
    <t>Unknown / Ineligible / Reserve</t>
  </si>
  <si>
    <t xml:space="preserve">Direct Client Treatment Delivery Services </t>
  </si>
  <si>
    <t>V:\BPA Invoices New\2014\20140117\Claims Reports\DHW SR056_SFY14_6-7-13 - 1-16-14_Claims Report_20140117.xlsx</t>
  </si>
  <si>
    <t>Revised Adult</t>
  </si>
  <si>
    <t>GF</t>
  </si>
  <si>
    <t>Medicaid</t>
  </si>
  <si>
    <t>GF Plus 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</si>
</sst>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497D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57">
    <xf numFmtId="0" fontId="0" fillId="0" borderId="0" xfId="0"/>
    <xf numFmtId="44" fontId="1" fillId="0" borderId="0" xfId="2" applyFont="1"/>
    <xf numFmtId="164" fontId="1" fillId="0" borderId="0" xfId="2" applyNumberFormat="1" applyFont="1"/>
    <xf numFmtId="0" fontId="0" fillId="0" borderId="2" xfId="0" applyBorder="1"/>
    <xf numFmtId="0" fontId="0" fillId="0" borderId="3" xfId="0" applyBorder="1"/>
    <xf numFmtId="44" fontId="2" fillId="0" borderId="4" xfId="2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164" fontId="2" fillId="0" borderId="0" xfId="2" applyNumberFormat="1" applyFont="1" applyBorder="1" applyAlignment="1">
      <alignment horizontal="center" wrapText="1"/>
    </xf>
    <xf numFmtId="14" fontId="0" fillId="3" borderId="6" xfId="0" applyNumberFormat="1" applyFill="1" applyBorder="1" applyAlignment="1">
      <alignment horizontal="center"/>
    </xf>
    <xf numFmtId="0" fontId="0" fillId="0" borderId="0" xfId="0" applyBorder="1"/>
    <xf numFmtId="0" fontId="0" fillId="4" borderId="0" xfId="0" applyFill="1" applyBorder="1"/>
    <xf numFmtId="0" fontId="3" fillId="0" borderId="1" xfId="0" applyFont="1" applyBorder="1"/>
    <xf numFmtId="0" fontId="3" fillId="0" borderId="0" xfId="0" applyFont="1" applyBorder="1"/>
    <xf numFmtId="14" fontId="2" fillId="0" borderId="7" xfId="0" applyNumberFormat="1" applyFont="1" applyBorder="1" applyAlignment="1">
      <alignment horizontal="center"/>
    </xf>
    <xf numFmtId="9" fontId="2" fillId="0" borderId="0" xfId="4" applyFont="1" applyBorder="1" applyAlignment="1">
      <alignment horizontal="center"/>
    </xf>
    <xf numFmtId="164" fontId="2" fillId="0" borderId="0" xfId="2" applyNumberFormat="1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" xfId="0" applyBorder="1"/>
    <xf numFmtId="0" fontId="0" fillId="0" borderId="0" xfId="0" applyFill="1" applyBorder="1"/>
    <xf numFmtId="44" fontId="1" fillId="0" borderId="0" xfId="2" applyFont="1" applyBorder="1"/>
    <xf numFmtId="0" fontId="0" fillId="0" borderId="9" xfId="0" applyBorder="1"/>
    <xf numFmtId="164" fontId="1" fillId="0" borderId="0" xfId="2" applyNumberFormat="1" applyFont="1" applyBorder="1"/>
    <xf numFmtId="0" fontId="0" fillId="0" borderId="10" xfId="0" applyBorder="1"/>
    <xf numFmtId="0" fontId="2" fillId="0" borderId="11" xfId="0" applyFont="1" applyBorder="1"/>
    <xf numFmtId="0" fontId="2" fillId="0" borderId="12" xfId="0" applyFont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44" fontId="2" fillId="0" borderId="13" xfId="2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7" xfId="2" applyNumberFormat="1" applyFont="1" applyBorder="1" applyAlignment="1">
      <alignment horizontal="center" wrapText="1"/>
    </xf>
    <xf numFmtId="0" fontId="0" fillId="3" borderId="14" xfId="0" applyFill="1" applyBorder="1" applyAlignment="1">
      <alignment horizontal="center"/>
    </xf>
    <xf numFmtId="164" fontId="1" fillId="0" borderId="9" xfId="2" applyNumberFormat="1" applyFont="1" applyBorder="1"/>
    <xf numFmtId="0" fontId="0" fillId="0" borderId="4" xfId="0" applyBorder="1"/>
    <xf numFmtId="0" fontId="0" fillId="5" borderId="15" xfId="0" applyFill="1" applyBorder="1" applyAlignment="1">
      <alignment horizontal="center"/>
    </xf>
    <xf numFmtId="164" fontId="0" fillId="5" borderId="15" xfId="0" applyNumberFormat="1" applyFill="1" applyBorder="1"/>
    <xf numFmtId="9" fontId="1" fillId="5" borderId="15" xfId="4" applyFont="1" applyFill="1" applyBorder="1"/>
    <xf numFmtId="44" fontId="0" fillId="5" borderId="15" xfId="0" applyNumberFormat="1" applyFill="1" applyBorder="1"/>
    <xf numFmtId="164" fontId="1" fillId="5" borderId="16" xfId="2" applyNumberFormat="1" applyFont="1" applyFill="1" applyBorder="1"/>
    <xf numFmtId="0" fontId="0" fillId="5" borderId="8" xfId="0" applyFill="1" applyBorder="1"/>
    <xf numFmtId="0" fontId="0" fillId="5" borderId="0" xfId="0" applyFill="1" applyBorder="1"/>
    <xf numFmtId="164" fontId="1" fillId="5" borderId="1" xfId="2" applyNumberFormat="1" applyFont="1" applyFill="1" applyBorder="1"/>
    <xf numFmtId="0" fontId="0" fillId="5" borderId="17" xfId="0" applyFill="1" applyBorder="1"/>
    <xf numFmtId="165" fontId="1" fillId="0" borderId="0" xfId="1" applyNumberFormat="1" applyFont="1"/>
    <xf numFmtId="0" fontId="0" fillId="0" borderId="7" xfId="0" applyBorder="1"/>
    <xf numFmtId="3" fontId="0" fillId="5" borderId="7" xfId="0" applyNumberFormat="1" applyFill="1" applyBorder="1" applyAlignment="1">
      <alignment horizontal="center"/>
    </xf>
    <xf numFmtId="164" fontId="0" fillId="5" borderId="7" xfId="0" applyNumberFormat="1" applyFill="1" applyBorder="1"/>
    <xf numFmtId="9" fontId="1" fillId="5" borderId="7" xfId="4" applyFont="1" applyFill="1" applyBorder="1"/>
    <xf numFmtId="44" fontId="0" fillId="5" borderId="7" xfId="0" applyNumberFormat="1" applyFill="1" applyBorder="1"/>
    <xf numFmtId="0" fontId="0" fillId="5" borderId="8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64" fontId="1" fillId="5" borderId="1" xfId="2" applyNumberFormat="1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37" fontId="0" fillId="0" borderId="0" xfId="0" applyNumberFormat="1"/>
    <xf numFmtId="0" fontId="0" fillId="6" borderId="0" xfId="0" applyFill="1"/>
    <xf numFmtId="0" fontId="2" fillId="7" borderId="18" xfId="0" applyFont="1" applyFill="1" applyBorder="1" applyAlignment="1">
      <alignment horizontal="left"/>
    </xf>
    <xf numFmtId="3" fontId="2" fillId="7" borderId="19" xfId="1" applyNumberFormat="1" applyFont="1" applyFill="1" applyBorder="1" applyAlignment="1">
      <alignment horizontal="center"/>
    </xf>
    <xf numFmtId="164" fontId="2" fillId="7" borderId="16" xfId="0" applyNumberFormat="1" applyFont="1" applyFill="1" applyBorder="1"/>
    <xf numFmtId="9" fontId="2" fillId="7" borderId="16" xfId="4" applyFont="1" applyFill="1" applyBorder="1"/>
    <xf numFmtId="164" fontId="2" fillId="7" borderId="19" xfId="0" applyNumberFormat="1" applyFont="1" applyFill="1" applyBorder="1"/>
    <xf numFmtId="164" fontId="2" fillId="7" borderId="20" xfId="0" applyNumberFormat="1" applyFont="1" applyFill="1" applyBorder="1"/>
    <xf numFmtId="166" fontId="2" fillId="7" borderId="21" xfId="4" applyNumberFormat="1" applyFont="1" applyFill="1" applyBorder="1" applyAlignment="1">
      <alignment horizontal="center"/>
    </xf>
    <xf numFmtId="166" fontId="1" fillId="7" borderId="0" xfId="4" applyNumberFormat="1" applyFont="1" applyFill="1" applyBorder="1" applyAlignment="1">
      <alignment horizontal="center"/>
    </xf>
    <xf numFmtId="44" fontId="2" fillId="7" borderId="22" xfId="2" applyNumberFormat="1" applyFont="1" applyFill="1" applyBorder="1"/>
    <xf numFmtId="164" fontId="2" fillId="7" borderId="23" xfId="0" applyNumberFormat="1" applyFont="1" applyFill="1" applyBorder="1"/>
    <xf numFmtId="0" fontId="0" fillId="8" borderId="0" xfId="0" applyFill="1"/>
    <xf numFmtId="0" fontId="0" fillId="0" borderId="24" xfId="0" applyBorder="1" applyAlignment="1">
      <alignment horizontal="left"/>
    </xf>
    <xf numFmtId="3" fontId="0" fillId="0" borderId="3" xfId="0" applyNumberFormat="1" applyBorder="1" applyAlignment="1">
      <alignment horizontal="center"/>
    </xf>
    <xf numFmtId="164" fontId="0" fillId="0" borderId="3" xfId="0" applyNumberFormat="1" applyBorder="1"/>
    <xf numFmtId="9" fontId="1" fillId="0" borderId="3" xfId="4" applyFont="1" applyBorder="1"/>
    <xf numFmtId="164" fontId="0" fillId="0" borderId="24" xfId="0" applyNumberFormat="1" applyBorder="1"/>
    <xf numFmtId="9" fontId="1" fillId="0" borderId="25" xfId="4" applyFont="1" applyBorder="1" applyAlignment="1">
      <alignment horizontal="center"/>
    </xf>
    <xf numFmtId="9" fontId="1" fillId="0" borderId="0" xfId="4" applyFont="1" applyBorder="1" applyAlignment="1">
      <alignment horizontal="center"/>
    </xf>
    <xf numFmtId="0" fontId="0" fillId="5" borderId="28" xfId="0" applyFill="1" applyBorder="1" applyAlignment="1">
      <alignment horizontal="left"/>
    </xf>
    <xf numFmtId="3" fontId="0" fillId="5" borderId="4" xfId="0" applyNumberFormat="1" applyFill="1" applyBorder="1" applyAlignment="1">
      <alignment horizontal="center"/>
    </xf>
    <xf numFmtId="164" fontId="0" fillId="5" borderId="4" xfId="0" applyNumberFormat="1" applyFill="1" applyBorder="1"/>
    <xf numFmtId="9" fontId="1" fillId="5" borderId="4" xfId="4" applyFont="1" applyFill="1" applyBorder="1"/>
    <xf numFmtId="164" fontId="0" fillId="5" borderId="16" xfId="0" applyNumberFormat="1" applyFill="1" applyBorder="1"/>
    <xf numFmtId="166" fontId="1" fillId="5" borderId="17" xfId="4" applyNumberFormat="1" applyFont="1" applyFill="1" applyBorder="1" applyAlignment="1">
      <alignment horizontal="center"/>
    </xf>
    <xf numFmtId="166" fontId="1" fillId="5" borderId="0" xfId="4" applyNumberFormat="1" applyFont="1" applyFill="1" applyBorder="1" applyAlignment="1">
      <alignment horizontal="center"/>
    </xf>
    <xf numFmtId="0" fontId="0" fillId="5" borderId="22" xfId="0" applyFill="1" applyBorder="1" applyAlignment="1">
      <alignment horizontal="left"/>
    </xf>
    <xf numFmtId="9" fontId="1" fillId="5" borderId="7" xfId="4" applyNumberFormat="1" applyFont="1" applyFill="1" applyBorder="1"/>
    <xf numFmtId="164" fontId="0" fillId="0" borderId="0" xfId="0" applyNumberFormat="1"/>
    <xf numFmtId="0" fontId="4" fillId="7" borderId="31" xfId="0" applyFont="1" applyFill="1" applyBorder="1" applyAlignment="1">
      <alignment horizontal="left"/>
    </xf>
    <xf numFmtId="3" fontId="4" fillId="7" borderId="32" xfId="1" applyNumberFormat="1" applyFont="1" applyFill="1" applyBorder="1" applyAlignment="1">
      <alignment horizontal="center"/>
    </xf>
    <xf numFmtId="164" fontId="4" fillId="7" borderId="32" xfId="0" applyNumberFormat="1" applyFont="1" applyFill="1" applyBorder="1"/>
    <xf numFmtId="9" fontId="4" fillId="7" borderId="32" xfId="4" applyFont="1" applyFill="1" applyBorder="1"/>
    <xf numFmtId="164" fontId="4" fillId="7" borderId="31" xfId="0" applyNumberFormat="1" applyFont="1" applyFill="1" applyBorder="1"/>
    <xf numFmtId="166" fontId="4" fillId="7" borderId="33" xfId="4" applyNumberFormat="1" applyFont="1" applyFill="1" applyBorder="1" applyAlignment="1">
      <alignment horizontal="center"/>
    </xf>
    <xf numFmtId="166" fontId="4" fillId="7" borderId="0" xfId="4" applyNumberFormat="1" applyFont="1" applyFill="1" applyBorder="1" applyAlignment="1">
      <alignment horizontal="center"/>
    </xf>
    <xf numFmtId="44" fontId="4" fillId="7" borderId="22" xfId="2" applyNumberFormat="1" applyFont="1" applyFill="1" applyBorder="1"/>
    <xf numFmtId="164" fontId="4" fillId="7" borderId="23" xfId="0" applyNumberFormat="1" applyFont="1" applyFill="1" applyBorder="1"/>
    <xf numFmtId="3" fontId="0" fillId="0" borderId="24" xfId="0" applyNumberFormat="1" applyBorder="1" applyAlignment="1">
      <alignment horizontal="center"/>
    </xf>
    <xf numFmtId="9" fontId="1" fillId="0" borderId="24" xfId="4" applyFont="1" applyBorder="1"/>
    <xf numFmtId="0" fontId="0" fillId="5" borderId="29" xfId="0" applyFill="1" applyBorder="1" applyAlignment="1">
      <alignment horizontal="left"/>
    </xf>
    <xf numFmtId="3" fontId="0" fillId="5" borderId="34" xfId="0" applyNumberFormat="1" applyFill="1" applyBorder="1" applyAlignment="1">
      <alignment horizontal="center"/>
    </xf>
    <xf numFmtId="164" fontId="0" fillId="5" borderId="28" xfId="0" applyNumberFormat="1" applyFill="1" applyBorder="1" applyAlignment="1"/>
    <xf numFmtId="9" fontId="1" fillId="5" borderId="28" xfId="4" applyFont="1" applyFill="1" applyBorder="1" applyAlignment="1"/>
    <xf numFmtId="164" fontId="0" fillId="5" borderId="34" xfId="0" applyNumberFormat="1" applyFill="1" applyBorder="1" applyAlignment="1"/>
    <xf numFmtId="164" fontId="0" fillId="5" borderId="19" xfId="0" applyNumberFormat="1" applyFill="1" applyBorder="1" applyAlignment="1"/>
    <xf numFmtId="164" fontId="0" fillId="5" borderId="9" xfId="0" applyNumberFormat="1" applyFill="1" applyBorder="1" applyAlignment="1"/>
    <xf numFmtId="166" fontId="1" fillId="5" borderId="0" xfId="4" applyNumberFormat="1" applyFont="1" applyFill="1" applyBorder="1" applyAlignment="1">
      <alignment horizontal="center" vertical="center"/>
    </xf>
    <xf numFmtId="164" fontId="0" fillId="5" borderId="28" xfId="0" applyNumberFormat="1" applyFill="1" applyBorder="1"/>
    <xf numFmtId="9" fontId="1" fillId="5" borderId="28" xfId="4" applyFont="1" applyFill="1" applyBorder="1"/>
    <xf numFmtId="164" fontId="0" fillId="5" borderId="34" xfId="0" applyNumberFormat="1" applyFill="1" applyBorder="1"/>
    <xf numFmtId="164" fontId="0" fillId="5" borderId="19" xfId="0" applyNumberFormat="1" applyFill="1" applyBorder="1"/>
    <xf numFmtId="164" fontId="0" fillId="5" borderId="9" xfId="0" applyNumberFormat="1" applyFill="1" applyBorder="1"/>
    <xf numFmtId="3" fontId="0" fillId="5" borderId="35" xfId="0" applyNumberFormat="1" applyFill="1" applyBorder="1" applyAlignment="1">
      <alignment horizontal="center"/>
    </xf>
    <xf numFmtId="164" fontId="0" fillId="5" borderId="36" xfId="0" applyNumberFormat="1" applyFill="1" applyBorder="1"/>
    <xf numFmtId="9" fontId="1" fillId="5" borderId="36" xfId="4" applyFont="1" applyFill="1" applyBorder="1"/>
    <xf numFmtId="164" fontId="0" fillId="5" borderId="37" xfId="0" applyNumberFormat="1" applyFill="1" applyBorder="1"/>
    <xf numFmtId="3" fontId="0" fillId="5" borderId="38" xfId="0" applyNumberFormat="1" applyFill="1" applyBorder="1" applyAlignment="1">
      <alignment horizontal="center"/>
    </xf>
    <xf numFmtId="164" fontId="0" fillId="5" borderId="39" xfId="0" applyNumberFormat="1" applyFill="1" applyBorder="1"/>
    <xf numFmtId="9" fontId="1" fillId="5" borderId="39" xfId="4" applyNumberFormat="1" applyFont="1" applyFill="1" applyBorder="1"/>
    <xf numFmtId="164" fontId="0" fillId="5" borderId="40" xfId="0" applyNumberFormat="1" applyFill="1" applyBorder="1"/>
    <xf numFmtId="0" fontId="0" fillId="0" borderId="15" xfId="0" applyBorder="1" applyAlignment="1">
      <alignment horizontal="left"/>
    </xf>
    <xf numFmtId="3" fontId="0" fillId="0" borderId="5" xfId="0" applyNumberFormat="1" applyBorder="1" applyAlignment="1">
      <alignment horizontal="center"/>
    </xf>
    <xf numFmtId="164" fontId="0" fillId="0" borderId="41" xfId="0" applyNumberFormat="1" applyBorder="1"/>
    <xf numFmtId="9" fontId="1" fillId="0" borderId="41" xfId="4" applyFont="1" applyBorder="1"/>
    <xf numFmtId="164" fontId="0" fillId="0" borderId="36" xfId="0" applyNumberFormat="1" applyBorder="1"/>
    <xf numFmtId="164" fontId="0" fillId="0" borderId="37" xfId="0" applyNumberFormat="1" applyBorder="1"/>
    <xf numFmtId="166" fontId="1" fillId="0" borderId="0" xfId="4" applyNumberFormat="1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3" fontId="0" fillId="0" borderId="43" xfId="0" applyNumberFormat="1" applyBorder="1" applyAlignment="1">
      <alignment horizontal="center"/>
    </xf>
    <xf numFmtId="164" fontId="0" fillId="0" borderId="44" xfId="0" applyNumberFormat="1" applyBorder="1"/>
    <xf numFmtId="9" fontId="1" fillId="0" borderId="44" xfId="4" applyFont="1" applyBorder="1"/>
    <xf numFmtId="164" fontId="0" fillId="0" borderId="45" xfId="0" applyNumberFormat="1" applyBorder="1"/>
    <xf numFmtId="164" fontId="0" fillId="0" borderId="30" xfId="0" applyNumberFormat="1" applyBorder="1"/>
    <xf numFmtId="0" fontId="0" fillId="0" borderId="47" xfId="0" applyBorder="1"/>
    <xf numFmtId="0" fontId="0" fillId="0" borderId="48" xfId="0" applyBorder="1"/>
    <xf numFmtId="0" fontId="4" fillId="7" borderId="32" xfId="0" applyFont="1" applyFill="1" applyBorder="1" applyAlignment="1">
      <alignment horizontal="left"/>
    </xf>
    <xf numFmtId="3" fontId="4" fillId="7" borderId="31" xfId="1" applyNumberFormat="1" applyFont="1" applyFill="1" applyBorder="1" applyAlignment="1">
      <alignment horizontal="center"/>
    </xf>
    <xf numFmtId="9" fontId="4" fillId="7" borderId="31" xfId="4" applyFont="1" applyFill="1" applyBorder="1"/>
    <xf numFmtId="0" fontId="0" fillId="4" borderId="0" xfId="0" applyFill="1"/>
    <xf numFmtId="0" fontId="0" fillId="0" borderId="15" xfId="0" applyFill="1" applyBorder="1" applyAlignment="1">
      <alignment horizontal="left"/>
    </xf>
    <xf numFmtId="3" fontId="0" fillId="0" borderId="35" xfId="0" applyNumberFormat="1" applyFill="1" applyBorder="1" applyAlignment="1">
      <alignment horizontal="center"/>
    </xf>
    <xf numFmtId="164" fontId="0" fillId="0" borderId="41" xfId="0" applyNumberFormat="1" applyFill="1" applyBorder="1"/>
    <xf numFmtId="9" fontId="1" fillId="0" borderId="41" xfId="4" applyFont="1" applyFill="1" applyBorder="1"/>
    <xf numFmtId="164" fontId="0" fillId="0" borderId="5" xfId="0" applyNumberFormat="1" applyFill="1" applyBorder="1"/>
    <xf numFmtId="166" fontId="1" fillId="0" borderId="0" xfId="4" applyNumberFormat="1" applyFont="1" applyFill="1" applyBorder="1" applyAlignment="1">
      <alignment horizontal="center" vertical="center"/>
    </xf>
    <xf numFmtId="0" fontId="0" fillId="0" borderId="29" xfId="0" applyFill="1" applyBorder="1" applyAlignment="1">
      <alignment horizontal="left"/>
    </xf>
    <xf numFmtId="3" fontId="0" fillId="0" borderId="34" xfId="0" applyNumberFormat="1" applyFill="1" applyBorder="1" applyAlignment="1">
      <alignment horizontal="center"/>
    </xf>
    <xf numFmtId="164" fontId="0" fillId="0" borderId="28" xfId="0" applyNumberFormat="1" applyFill="1" applyBorder="1"/>
    <xf numFmtId="9" fontId="1" fillId="0" borderId="28" xfId="4" applyFont="1" applyFill="1" applyBorder="1"/>
    <xf numFmtId="164" fontId="0" fillId="0" borderId="49" xfId="0" applyNumberFormat="1" applyFill="1" applyBorder="1"/>
    <xf numFmtId="0" fontId="0" fillId="5" borderId="15" xfId="0" applyFill="1" applyBorder="1" applyAlignment="1">
      <alignment horizontal="left"/>
    </xf>
    <xf numFmtId="164" fontId="0" fillId="5" borderId="41" xfId="0" applyNumberFormat="1" applyFill="1" applyBorder="1"/>
    <xf numFmtId="9" fontId="1" fillId="5" borderId="41" xfId="4" applyFont="1" applyFill="1" applyBorder="1"/>
    <xf numFmtId="164" fontId="1" fillId="6" borderId="0" xfId="2" applyNumberFormat="1" applyFont="1" applyFill="1"/>
    <xf numFmtId="0" fontId="0" fillId="5" borderId="7" xfId="0" applyFill="1" applyBorder="1" applyAlignment="1">
      <alignment horizontal="left"/>
    </xf>
    <xf numFmtId="164" fontId="0" fillId="5" borderId="45" xfId="0" applyNumberFormat="1" applyFill="1" applyBorder="1"/>
    <xf numFmtId="164" fontId="0" fillId="5" borderId="30" xfId="0" applyNumberFormat="1" applyFill="1" applyBorder="1"/>
    <xf numFmtId="164" fontId="0" fillId="4" borderId="0" xfId="0" applyNumberFormat="1" applyFill="1"/>
    <xf numFmtId="44" fontId="0" fillId="0" borderId="0" xfId="0" applyNumberFormat="1"/>
    <xf numFmtId="3" fontId="5" fillId="0" borderId="0" xfId="0" applyNumberFormat="1" applyFont="1"/>
    <xf numFmtId="164" fontId="1" fillId="8" borderId="0" xfId="2" applyNumberFormat="1" applyFont="1" applyFill="1"/>
    <xf numFmtId="0" fontId="0" fillId="0" borderId="41" xfId="0" applyFill="1" applyBorder="1" applyAlignment="1">
      <alignment horizontal="left"/>
    </xf>
    <xf numFmtId="164" fontId="0" fillId="0" borderId="37" xfId="0" applyNumberFormat="1" applyFill="1" applyBorder="1"/>
    <xf numFmtId="164" fontId="0" fillId="0" borderId="25" xfId="0" applyNumberFormat="1" applyBorder="1"/>
    <xf numFmtId="164" fontId="0" fillId="0" borderId="10" xfId="0" applyNumberFormat="1" applyBorder="1"/>
    <xf numFmtId="164" fontId="0" fillId="0" borderId="16" xfId="0" applyNumberFormat="1" applyBorder="1"/>
    <xf numFmtId="164" fontId="0" fillId="0" borderId="8" xfId="0" applyNumberFormat="1" applyBorder="1"/>
    <xf numFmtId="164" fontId="4" fillId="7" borderId="22" xfId="2" applyNumberFormat="1" applyFont="1" applyFill="1" applyBorder="1"/>
    <xf numFmtId="0" fontId="2" fillId="7" borderId="50" xfId="0" applyFont="1" applyFill="1" applyBorder="1" applyAlignment="1">
      <alignment horizontal="left"/>
    </xf>
    <xf numFmtId="3" fontId="2" fillId="7" borderId="38" xfId="0" applyNumberFormat="1" applyFont="1" applyFill="1" applyBorder="1" applyAlignment="1">
      <alignment horizontal="center"/>
    </xf>
    <xf numFmtId="164" fontId="2" fillId="7" borderId="22" xfId="0" applyNumberFormat="1" applyFont="1" applyFill="1" applyBorder="1"/>
    <xf numFmtId="9" fontId="2" fillId="7" borderId="22" xfId="4" applyFont="1" applyFill="1" applyBorder="1"/>
    <xf numFmtId="164" fontId="0" fillId="7" borderId="23" xfId="0" applyNumberFormat="1" applyFill="1" applyBorder="1"/>
    <xf numFmtId="164" fontId="0" fillId="7" borderId="22" xfId="0" applyNumberFormat="1" applyFill="1" applyBorder="1"/>
    <xf numFmtId="166" fontId="1" fillId="7" borderId="39" xfId="4" applyNumberFormat="1" applyFont="1" applyFill="1" applyBorder="1" applyAlignment="1">
      <alignment horizontal="center"/>
    </xf>
    <xf numFmtId="0" fontId="2" fillId="9" borderId="11" xfId="0" applyFont="1" applyFill="1" applyBorder="1" applyAlignment="1">
      <alignment horizontal="left"/>
    </xf>
    <xf numFmtId="3" fontId="2" fillId="9" borderId="51" xfId="1" applyNumberFormat="1" applyFont="1" applyFill="1" applyBorder="1" applyAlignment="1">
      <alignment horizontal="center"/>
    </xf>
    <xf numFmtId="164" fontId="2" fillId="9" borderId="12" xfId="0" applyNumberFormat="1" applyFont="1" applyFill="1" applyBorder="1"/>
    <xf numFmtId="9" fontId="2" fillId="9" borderId="12" xfId="4" applyFont="1" applyFill="1" applyBorder="1"/>
    <xf numFmtId="164" fontId="2" fillId="9" borderId="13" xfId="0" applyNumberFormat="1" applyFont="1" applyFill="1" applyBorder="1"/>
    <xf numFmtId="166" fontId="2" fillId="9" borderId="12" xfId="4" applyNumberFormat="1" applyFont="1" applyFill="1" applyBorder="1" applyAlignment="1">
      <alignment horizontal="center"/>
    </xf>
    <xf numFmtId="166" fontId="1" fillId="9" borderId="0" xfId="4" applyNumberFormat="1" applyFont="1" applyFill="1" applyBorder="1" applyAlignment="1">
      <alignment horizontal="center"/>
    </xf>
    <xf numFmtId="44" fontId="2" fillId="9" borderId="52" xfId="2" applyNumberFormat="1" applyFont="1" applyFill="1" applyBorder="1"/>
    <xf numFmtId="164" fontId="2" fillId="9" borderId="53" xfId="0" applyNumberFormat="1" applyFont="1" applyFill="1" applyBorder="1"/>
    <xf numFmtId="164" fontId="2" fillId="5" borderId="0" xfId="2" applyNumberFormat="1" applyFont="1" applyFill="1" applyBorder="1"/>
    <xf numFmtId="164" fontId="2" fillId="5" borderId="0" xfId="0" applyNumberFormat="1" applyFont="1" applyFill="1" applyBorder="1"/>
    <xf numFmtId="164" fontId="2" fillId="9" borderId="11" xfId="0" applyNumberFormat="1" applyFont="1" applyFill="1" applyBorder="1"/>
    <xf numFmtId="164" fontId="2" fillId="9" borderId="52" xfId="2" applyNumberFormat="1" applyFont="1" applyFill="1" applyBorder="1"/>
    <xf numFmtId="165" fontId="1" fillId="0" borderId="0" xfId="1" applyNumberFormat="1" applyFont="1"/>
    <xf numFmtId="164" fontId="1" fillId="0" borderId="0" xfId="2" applyNumberFormat="1" applyFont="1"/>
    <xf numFmtId="0" fontId="0" fillId="0" borderId="0" xfId="0" applyAlignment="1">
      <alignment horizontal="left" vertical="top" wrapText="1"/>
    </xf>
    <xf numFmtId="164" fontId="1" fillId="0" borderId="0" xfId="2" applyNumberFormat="1" applyFont="1" applyAlignment="1">
      <alignment horizontal="left" vertical="top" wrapText="1"/>
    </xf>
    <xf numFmtId="6" fontId="5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6" fontId="0" fillId="0" borderId="0" xfId="0" applyNumberFormat="1"/>
    <xf numFmtId="0" fontId="0" fillId="4" borderId="0" xfId="0" applyFill="1" applyAlignment="1">
      <alignment vertical="top"/>
    </xf>
    <xf numFmtId="0" fontId="0" fillId="9" borderId="11" xfId="0" applyFill="1" applyBorder="1" applyAlignment="1">
      <alignment horizontal="left"/>
    </xf>
    <xf numFmtId="3" fontId="1" fillId="9" borderId="51" xfId="1" applyNumberFormat="1" applyFont="1" applyFill="1" applyBorder="1" applyAlignment="1">
      <alignment horizontal="center"/>
    </xf>
    <xf numFmtId="164" fontId="0" fillId="9" borderId="52" xfId="0" applyNumberFormat="1" applyFill="1" applyBorder="1"/>
    <xf numFmtId="9" fontId="1" fillId="9" borderId="24" xfId="4" applyFont="1" applyFill="1" applyBorder="1"/>
    <xf numFmtId="164" fontId="0" fillId="9" borderId="24" xfId="0" applyNumberFormat="1" applyFill="1" applyBorder="1"/>
    <xf numFmtId="164" fontId="0" fillId="9" borderId="25" xfId="0" applyNumberFormat="1" applyFill="1" applyBorder="1"/>
    <xf numFmtId="166" fontId="1" fillId="9" borderId="12" xfId="4" applyNumberFormat="1" applyFont="1" applyFill="1" applyBorder="1" applyAlignment="1">
      <alignment horizontal="center"/>
    </xf>
    <xf numFmtId="164" fontId="1" fillId="9" borderId="52" xfId="2" applyNumberFormat="1" applyFont="1" applyFill="1" applyBorder="1"/>
    <xf numFmtId="164" fontId="0" fillId="9" borderId="53" xfId="0" applyNumberFormat="1" applyFill="1" applyBorder="1"/>
    <xf numFmtId="0" fontId="0" fillId="9" borderId="0" xfId="0" applyFill="1" applyBorder="1" applyAlignment="1">
      <alignment horizontal="left"/>
    </xf>
    <xf numFmtId="3" fontId="1" fillId="9" borderId="0" xfId="1" applyNumberFormat="1" applyFont="1" applyFill="1" applyBorder="1" applyAlignment="1">
      <alignment horizontal="center"/>
    </xf>
    <xf numFmtId="164" fontId="0" fillId="9" borderId="0" xfId="0" applyNumberFormat="1" applyFill="1" applyBorder="1"/>
    <xf numFmtId="164" fontId="1" fillId="9" borderId="0" xfId="2" applyNumberFormat="1" applyFont="1" applyFill="1" applyBorder="1"/>
    <xf numFmtId="0" fontId="0" fillId="9" borderId="54" xfId="0" applyFill="1" applyBorder="1" applyAlignment="1">
      <alignment horizontal="left"/>
    </xf>
    <xf numFmtId="3" fontId="1" fillId="9" borderId="55" xfId="1" applyNumberFormat="1" applyFont="1" applyFill="1" applyBorder="1" applyAlignment="1">
      <alignment horizontal="center"/>
    </xf>
    <xf numFmtId="164" fontId="0" fillId="9" borderId="54" xfId="0" applyNumberFormat="1" applyFill="1" applyBorder="1"/>
    <xf numFmtId="164" fontId="0" fillId="9" borderId="55" xfId="0" applyNumberFormat="1" applyFill="1" applyBorder="1"/>
    <xf numFmtId="164" fontId="0" fillId="9" borderId="20" xfId="0" applyNumberFormat="1" applyFill="1" applyBorder="1"/>
    <xf numFmtId="166" fontId="1" fillId="9" borderId="56" xfId="4" applyNumberFormat="1" applyFont="1" applyFill="1" applyBorder="1" applyAlignment="1">
      <alignment horizontal="center"/>
    </xf>
    <xf numFmtId="0" fontId="0" fillId="9" borderId="34" xfId="0" applyFill="1" applyBorder="1" applyAlignment="1">
      <alignment horizontal="left"/>
    </xf>
    <xf numFmtId="3" fontId="1" fillId="9" borderId="57" xfId="1" applyNumberFormat="1" applyFont="1" applyFill="1" applyBorder="1" applyAlignment="1">
      <alignment horizontal="center"/>
    </xf>
    <xf numFmtId="164" fontId="0" fillId="9" borderId="43" xfId="0" applyNumberFormat="1" applyFill="1" applyBorder="1"/>
    <xf numFmtId="164" fontId="0" fillId="9" borderId="16" xfId="0" applyNumberFormat="1" applyFill="1" applyBorder="1"/>
    <xf numFmtId="166" fontId="1" fillId="9" borderId="15" xfId="4" applyNumberFormat="1" applyFont="1" applyFill="1" applyBorder="1" applyAlignment="1">
      <alignment horizontal="center"/>
    </xf>
    <xf numFmtId="0" fontId="0" fillId="9" borderId="38" xfId="0" applyFill="1" applyBorder="1" applyAlignment="1">
      <alignment horizontal="left"/>
    </xf>
    <xf numFmtId="3" fontId="1" fillId="9" borderId="58" xfId="1" applyNumberFormat="1" applyFont="1" applyFill="1" applyBorder="1" applyAlignment="1">
      <alignment horizontal="center"/>
    </xf>
    <xf numFmtId="164" fontId="0" fillId="9" borderId="11" xfId="0" applyNumberFormat="1" applyFill="1" applyBorder="1" applyAlignment="1"/>
    <xf numFmtId="164" fontId="0" fillId="9" borderId="24" xfId="0" applyNumberFormat="1" applyFill="1" applyBorder="1" applyAlignment="1"/>
    <xf numFmtId="164" fontId="0" fillId="9" borderId="25" xfId="0" applyNumberFormat="1" applyFill="1" applyBorder="1" applyAlignment="1"/>
    <xf numFmtId="164" fontId="0" fillId="9" borderId="11" xfId="0" applyNumberFormat="1" applyFill="1" applyBorder="1"/>
    <xf numFmtId="166" fontId="1" fillId="9" borderId="14" xfId="4" applyNumberFormat="1" applyFont="1" applyFill="1" applyBorder="1" applyAlignment="1">
      <alignment horizontal="center"/>
    </xf>
    <xf numFmtId="0" fontId="6" fillId="0" borderId="0" xfId="3" applyAlignment="1" applyProtection="1"/>
    <xf numFmtId="9" fontId="2" fillId="3" borderId="23" xfId="4" applyFont="1" applyFill="1" applyBorder="1" applyAlignment="1">
      <alignment horizontal="center"/>
    </xf>
    <xf numFmtId="164" fontId="4" fillId="5" borderId="26" xfId="0" applyNumberFormat="1" applyFont="1" applyFill="1" applyBorder="1" applyAlignment="1"/>
    <xf numFmtId="0" fontId="0" fillId="5" borderId="27" xfId="0" applyFill="1" applyBorder="1" applyAlignment="1"/>
    <xf numFmtId="0" fontId="0" fillId="5" borderId="1" xfId="0" applyFill="1" applyBorder="1" applyAlignment="1"/>
    <xf numFmtId="0" fontId="0" fillId="5" borderId="9" xfId="0" applyFill="1" applyBorder="1" applyAlignment="1"/>
    <xf numFmtId="0" fontId="0" fillId="0" borderId="47" xfId="0" applyBorder="1" applyAlignment="1"/>
    <xf numFmtId="0" fontId="0" fillId="0" borderId="48" xfId="0" applyBorder="1" applyAlignment="1"/>
    <xf numFmtId="0" fontId="6" fillId="0" borderId="0" xfId="3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5" borderId="29" xfId="0" applyFill="1" applyBorder="1" applyAlignment="1"/>
    <xf numFmtId="0" fontId="0" fillId="5" borderId="30" xfId="0" applyFill="1" applyBorder="1" applyAlignment="1"/>
    <xf numFmtId="164" fontId="0" fillId="0" borderId="18" xfId="0" applyNumberFormat="1" applyFill="1" applyBorder="1" applyAlignment="1">
      <alignment horizontal="center" vertical="center"/>
    </xf>
    <xf numFmtId="164" fontId="0" fillId="0" borderId="28" xfId="0" applyNumberFormat="1" applyFill="1" applyBorder="1" applyAlignment="1">
      <alignment horizontal="center" vertical="center"/>
    </xf>
    <xf numFmtId="166" fontId="1" fillId="0" borderId="21" xfId="4" applyNumberFormat="1" applyFont="1" applyFill="1" applyBorder="1" applyAlignment="1">
      <alignment horizontal="center" vertical="center"/>
    </xf>
    <xf numFmtId="166" fontId="1" fillId="0" borderId="45" xfId="4" applyNumberFormat="1" applyFont="1" applyFill="1" applyBorder="1" applyAlignment="1">
      <alignment horizontal="center" vertical="center"/>
    </xf>
    <xf numFmtId="0" fontId="0" fillId="0" borderId="27" xfId="0" applyBorder="1" applyAlignment="1"/>
    <xf numFmtId="164" fontId="4" fillId="5" borderId="1" xfId="0" applyNumberFormat="1" applyFont="1" applyFill="1" applyBorder="1" applyAlignment="1"/>
    <xf numFmtId="0" fontId="0" fillId="0" borderId="9" xfId="0" applyBorder="1" applyAlignment="1"/>
    <xf numFmtId="0" fontId="0" fillId="0" borderId="29" xfId="0" applyBorder="1" applyAlignment="1"/>
    <xf numFmtId="0" fontId="0" fillId="0" borderId="30" xfId="0" applyBorder="1" applyAlignment="1"/>
    <xf numFmtId="164" fontId="0" fillId="0" borderId="42" xfId="0" applyNumberFormat="1" applyBorder="1" applyAlignment="1">
      <alignment horizontal="center" vertical="center"/>
    </xf>
    <xf numFmtId="164" fontId="0" fillId="0" borderId="46" xfId="0" applyNumberFormat="1" applyBorder="1" applyAlignment="1">
      <alignment horizontal="center" vertical="center"/>
    </xf>
    <xf numFmtId="166" fontId="1" fillId="0" borderId="27" xfId="4" applyNumberFormat="1" applyFont="1" applyBorder="1" applyAlignment="1">
      <alignment horizontal="center" vertical="center"/>
    </xf>
    <xf numFmtId="166" fontId="1" fillId="0" borderId="30" xfId="4" applyNumberFormat="1" applyFont="1" applyBorder="1" applyAlignment="1">
      <alignment horizontal="center" vertical="center"/>
    </xf>
    <xf numFmtId="0" fontId="0" fillId="0" borderId="1" xfId="0" applyBorder="1" applyAlignment="1"/>
    <xf numFmtId="164" fontId="0" fillId="5" borderId="18" xfId="0" applyNumberFormat="1" applyFill="1" applyBorder="1" applyAlignment="1">
      <alignment horizontal="center" vertical="center"/>
    </xf>
    <xf numFmtId="164" fontId="0" fillId="5" borderId="28" xfId="0" applyNumberFormat="1" applyFill="1" applyBorder="1" applyAlignment="1">
      <alignment horizontal="center" vertical="center"/>
    </xf>
    <xf numFmtId="166" fontId="1" fillId="5" borderId="21" xfId="4" applyNumberFormat="1" applyFont="1" applyFill="1" applyBorder="1" applyAlignment="1">
      <alignment horizontal="center" vertical="center"/>
    </xf>
    <xf numFmtId="166" fontId="1" fillId="5" borderId="45" xfId="4" applyNumberFormat="1" applyFont="1" applyFill="1" applyBorder="1" applyAlignment="1">
      <alignment horizontal="center" vertical="center"/>
    </xf>
    <xf numFmtId="6" fontId="2" fillId="2" borderId="1" xfId="0" applyNumberFormat="1" applyFont="1" applyFill="1" applyBorder="1" applyAlignment="1">
      <alignment horizontal="center"/>
    </xf>
    <xf numFmtId="6" fontId="2" fillId="2" borderId="0" xfId="0" applyNumberFormat="1" applyFont="1" applyFill="1" applyBorder="1" applyAlignment="1">
      <alignment horizontal="center"/>
    </xf>
    <xf numFmtId="164" fontId="0" fillId="0" borderId="26" xfId="0" applyNumberFormat="1" applyBorder="1" applyAlignment="1"/>
    <xf numFmtId="44" fontId="0" fillId="0" borderId="26" xfId="0" applyNumberFormat="1" applyBorder="1" applyAlignment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AM258"/>
  <sheetViews>
    <sheetView tabSelected="1" topLeftCell="A25" zoomScale="70" zoomScaleNormal="70" workbookViewId="0">
      <selection activeCell="E10" sqref="E10"/>
    </sheetView>
  </sheetViews>
  <sheetFormatPr defaultRowHeight="14.4" x14ac:dyDescent="0.3"/>
  <cols>
    <col min="1" max="1" width="47.88671875" bestFit="1" customWidth="1"/>
    <col min="2" max="2" width="14.109375" customWidth="1"/>
    <col min="3" max="3" width="18.5546875" bestFit="1" customWidth="1"/>
    <col min="4" max="4" width="13.5546875" customWidth="1"/>
    <col min="5" max="5" width="19.44140625" customWidth="1"/>
    <col min="6" max="6" width="20.44140625" bestFit="1" customWidth="1"/>
    <col min="7" max="7" width="17.33203125" style="1" customWidth="1"/>
    <col min="8" max="8" width="17.88671875" bestFit="1" customWidth="1"/>
    <col min="9" max="9" width="15.109375" customWidth="1"/>
    <col min="10" max="10" width="20.44140625" style="2" customWidth="1"/>
    <col min="11" max="11" width="21.33203125" customWidth="1"/>
    <col min="12" max="12" width="17.44140625" customWidth="1"/>
    <col min="13" max="13" width="17.44140625" style="190" hidden="1" customWidth="1"/>
    <col min="14" max="14" width="17.44140625" hidden="1" customWidth="1"/>
    <col min="15" max="17" width="17.44140625" style="133" hidden="1" customWidth="1"/>
    <col min="18" max="29" width="17.44140625" hidden="1" customWidth="1"/>
    <col min="30" max="30" width="51.44140625" hidden="1" customWidth="1"/>
    <col min="31" max="34" width="17.44140625" hidden="1" customWidth="1"/>
    <col min="35" max="35" width="51.44140625" hidden="1" customWidth="1"/>
    <col min="36" max="38" width="17.44140625" hidden="1" customWidth="1"/>
    <col min="39" max="39" width="17.44140625" customWidth="1"/>
    <col min="40" max="45" width="21.33203125" customWidth="1"/>
  </cols>
  <sheetData>
    <row r="1" spans="1:37" ht="15" thickBot="1" x14ac:dyDescent="0.35">
      <c r="M1" s="253" t="s">
        <v>0</v>
      </c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</row>
    <row r="2" spans="1:37" ht="28.8" x14ac:dyDescent="0.3">
      <c r="A2" s="3"/>
      <c r="B2" s="4"/>
      <c r="C2" s="4"/>
      <c r="D2" s="4"/>
      <c r="E2" s="4"/>
      <c r="F2" s="4"/>
      <c r="G2" s="5" t="s">
        <v>1</v>
      </c>
      <c r="H2" s="6" t="s">
        <v>2</v>
      </c>
      <c r="I2" s="7"/>
      <c r="J2" s="8"/>
      <c r="K2" s="7"/>
      <c r="M2" s="9">
        <v>41456</v>
      </c>
      <c r="N2" s="10"/>
      <c r="O2" s="11"/>
      <c r="P2" s="11"/>
      <c r="Q2" s="11"/>
      <c r="R2" s="10"/>
    </row>
    <row r="3" spans="1:37" ht="18.600000000000001" thickBot="1" x14ac:dyDescent="0.4">
      <c r="A3" s="12" t="s">
        <v>3</v>
      </c>
      <c r="B3" s="13"/>
      <c r="C3" s="10"/>
      <c r="D3" s="10"/>
      <c r="E3" s="10"/>
      <c r="F3" s="10"/>
      <c r="G3" s="14">
        <v>41656</v>
      </c>
      <c r="H3" s="224">
        <f>$M$5/26</f>
        <v>0.5494505494505495</v>
      </c>
      <c r="I3" s="15"/>
      <c r="J3" s="16"/>
      <c r="K3" s="15"/>
      <c r="M3" s="17"/>
      <c r="N3" s="10"/>
      <c r="O3" s="11"/>
      <c r="P3" s="11"/>
      <c r="Q3" s="11"/>
      <c r="R3" s="10"/>
    </row>
    <row r="4" spans="1:37" ht="15" thickBot="1" x14ac:dyDescent="0.35">
      <c r="A4" s="18"/>
      <c r="B4" s="10"/>
      <c r="C4" s="10"/>
      <c r="D4" s="19"/>
      <c r="E4" s="10"/>
      <c r="F4" s="10"/>
      <c r="G4" s="20"/>
      <c r="H4" s="21"/>
      <c r="I4" s="10"/>
      <c r="J4" s="22"/>
      <c r="K4" s="10"/>
      <c r="M4" s="17">
        <f>G3-M2</f>
        <v>200</v>
      </c>
      <c r="N4" s="10"/>
      <c r="O4" s="11" t="s">
        <v>4</v>
      </c>
      <c r="P4" s="11"/>
      <c r="Q4" s="10"/>
      <c r="R4" s="10"/>
      <c r="T4" s="3" t="s">
        <v>5</v>
      </c>
      <c r="U4" s="4"/>
      <c r="V4" s="23"/>
      <c r="X4" s="3" t="s">
        <v>6</v>
      </c>
      <c r="Y4" s="4"/>
      <c r="Z4" s="4"/>
      <c r="AA4" s="4"/>
      <c r="AB4" s="23"/>
    </row>
    <row r="5" spans="1:37" ht="29.4" thickBot="1" x14ac:dyDescent="0.35">
      <c r="A5" s="24" t="s">
        <v>7</v>
      </c>
      <c r="B5" s="25" t="s">
        <v>8</v>
      </c>
      <c r="C5" s="25" t="s">
        <v>9</v>
      </c>
      <c r="D5" s="25" t="s">
        <v>10</v>
      </c>
      <c r="E5" s="26" t="s">
        <v>11</v>
      </c>
      <c r="F5" s="25" t="s">
        <v>12</v>
      </c>
      <c r="G5" s="27" t="s">
        <v>13</v>
      </c>
      <c r="H5" s="28" t="s">
        <v>14</v>
      </c>
      <c r="I5" s="29"/>
      <c r="J5" s="30" t="s">
        <v>15</v>
      </c>
      <c r="K5" s="30" t="s">
        <v>16</v>
      </c>
      <c r="M5" s="31">
        <f>M4/14</f>
        <v>14.285714285714286</v>
      </c>
      <c r="N5" s="10"/>
      <c r="O5" t="s">
        <v>17</v>
      </c>
      <c r="P5" t="s">
        <v>18</v>
      </c>
      <c r="Q5" t="s">
        <v>19</v>
      </c>
      <c r="T5" s="18" t="s">
        <v>17</v>
      </c>
      <c r="U5" s="10" t="s">
        <v>18</v>
      </c>
      <c r="V5" s="32" t="s">
        <v>19</v>
      </c>
      <c r="X5" t="s">
        <v>17</v>
      </c>
      <c r="Y5" t="s">
        <v>18</v>
      </c>
      <c r="Z5" t="s">
        <v>17</v>
      </c>
      <c r="AA5" t="s">
        <v>19</v>
      </c>
      <c r="AB5" s="21"/>
      <c r="AD5" t="s">
        <v>17</v>
      </c>
      <c r="AE5" t="s">
        <v>18</v>
      </c>
      <c r="AF5" t="s">
        <v>17</v>
      </c>
      <c r="AG5" t="s">
        <v>19</v>
      </c>
    </row>
    <row r="6" spans="1:37" x14ac:dyDescent="0.3">
      <c r="A6" s="33" t="s">
        <v>20</v>
      </c>
      <c r="B6" s="34">
        <f>P9</f>
        <v>97</v>
      </c>
      <c r="C6" s="35">
        <f t="shared" ref="C6:C12" si="0">Q9</f>
        <v>4101.939999999996</v>
      </c>
      <c r="D6" s="36">
        <v>1</v>
      </c>
      <c r="E6" s="37">
        <f t="shared" ref="E6:E12" si="1">C6*D6</f>
        <v>4101.939999999996</v>
      </c>
      <c r="F6" s="35">
        <f t="shared" ref="F6:F12" si="2">C6-E6</f>
        <v>0</v>
      </c>
      <c r="G6" s="38"/>
      <c r="H6" s="39"/>
      <c r="I6" s="40"/>
      <c r="J6" s="41"/>
      <c r="K6" s="42"/>
      <c r="M6" s="10"/>
      <c r="N6" s="10"/>
      <c r="O6" t="s">
        <v>21</v>
      </c>
      <c r="P6">
        <v>1</v>
      </c>
      <c r="Q6" s="43">
        <v>14578.980000000018</v>
      </c>
      <c r="T6" s="18" t="s">
        <v>21</v>
      </c>
      <c r="U6" s="10">
        <f>Y6</f>
        <v>1</v>
      </c>
      <c r="V6" s="32">
        <f t="shared" ref="V6:V32" si="3">AA6</f>
        <v>14578.980000000018</v>
      </c>
      <c r="X6" t="s">
        <v>21</v>
      </c>
      <c r="Y6">
        <v>1</v>
      </c>
      <c r="Z6" t="s">
        <v>21</v>
      </c>
      <c r="AA6">
        <v>14578.980000000018</v>
      </c>
      <c r="AB6" s="21"/>
      <c r="AD6" t="s">
        <v>21</v>
      </c>
      <c r="AE6">
        <v>1</v>
      </c>
      <c r="AF6" t="s">
        <v>21</v>
      </c>
      <c r="AG6">
        <v>14578.980000000018</v>
      </c>
      <c r="AI6" t="s">
        <v>21</v>
      </c>
      <c r="AJ6">
        <v>1</v>
      </c>
      <c r="AK6">
        <v>14578.980000000018</v>
      </c>
    </row>
    <row r="7" spans="1:37" x14ac:dyDescent="0.3">
      <c r="A7" s="44" t="s">
        <v>22</v>
      </c>
      <c r="B7" s="45">
        <f t="shared" ref="B7:B12" si="4">P10</f>
        <v>35</v>
      </c>
      <c r="C7" s="46">
        <f t="shared" si="0"/>
        <v>4156.7999999999984</v>
      </c>
      <c r="D7" s="47">
        <v>1</v>
      </c>
      <c r="E7" s="48">
        <f t="shared" si="1"/>
        <v>4156.7999999999984</v>
      </c>
      <c r="F7" s="46">
        <f t="shared" si="2"/>
        <v>0</v>
      </c>
      <c r="G7" s="38"/>
      <c r="H7" s="39"/>
      <c r="I7" s="40"/>
      <c r="J7" s="41"/>
      <c r="K7" s="42"/>
      <c r="M7" s="10"/>
      <c r="N7" s="10"/>
      <c r="O7" t="s">
        <v>23</v>
      </c>
      <c r="P7">
        <v>46</v>
      </c>
      <c r="Q7" s="43">
        <v>52267.180000000008</v>
      </c>
      <c r="T7" s="18" t="s">
        <v>23</v>
      </c>
      <c r="U7" s="10">
        <f t="shared" ref="U7:U32" si="5">Y7</f>
        <v>46</v>
      </c>
      <c r="V7" s="32">
        <f t="shared" si="3"/>
        <v>52267.180000000008</v>
      </c>
      <c r="X7" t="s">
        <v>23</v>
      </c>
      <c r="Y7">
        <v>46</v>
      </c>
      <c r="Z7" t="s">
        <v>23</v>
      </c>
      <c r="AA7">
        <v>52267.180000000008</v>
      </c>
      <c r="AB7" s="21"/>
      <c r="AD7" t="s">
        <v>23</v>
      </c>
      <c r="AE7">
        <v>46</v>
      </c>
      <c r="AF7" t="s">
        <v>23</v>
      </c>
      <c r="AG7">
        <v>52267.180000000008</v>
      </c>
      <c r="AI7" t="s">
        <v>23</v>
      </c>
      <c r="AJ7">
        <v>46</v>
      </c>
      <c r="AK7">
        <v>52267.180000000008</v>
      </c>
    </row>
    <row r="8" spans="1:37" x14ac:dyDescent="0.3">
      <c r="A8" s="44" t="s">
        <v>24</v>
      </c>
      <c r="B8" s="45">
        <f t="shared" si="4"/>
        <v>28</v>
      </c>
      <c r="C8" s="46">
        <f t="shared" si="0"/>
        <v>6021.9100000000008</v>
      </c>
      <c r="D8" s="47">
        <v>0.3</v>
      </c>
      <c r="E8" s="48">
        <f t="shared" si="1"/>
        <v>1806.5730000000001</v>
      </c>
      <c r="F8" s="46">
        <f t="shared" si="2"/>
        <v>4215.3370000000004</v>
      </c>
      <c r="G8" s="38"/>
      <c r="H8" s="39"/>
      <c r="I8" s="40"/>
      <c r="J8" s="41"/>
      <c r="K8" s="42"/>
      <c r="M8" s="10"/>
      <c r="N8" s="10"/>
      <c r="O8" t="s">
        <v>25</v>
      </c>
      <c r="P8">
        <v>1</v>
      </c>
      <c r="Q8" s="43">
        <v>2781.2599999999984</v>
      </c>
      <c r="T8" s="18" t="s">
        <v>25</v>
      </c>
      <c r="U8" s="10">
        <f t="shared" si="5"/>
        <v>1</v>
      </c>
      <c r="V8" s="32">
        <f t="shared" si="3"/>
        <v>2781.2599999999984</v>
      </c>
      <c r="X8" t="s">
        <v>25</v>
      </c>
      <c r="Y8">
        <v>1</v>
      </c>
      <c r="Z8" t="s">
        <v>25</v>
      </c>
      <c r="AA8">
        <v>2781.2599999999984</v>
      </c>
      <c r="AB8" s="21"/>
      <c r="AD8" t="s">
        <v>25</v>
      </c>
      <c r="AE8">
        <v>1</v>
      </c>
      <c r="AF8" t="s">
        <v>25</v>
      </c>
      <c r="AG8">
        <v>2781.2599999999984</v>
      </c>
      <c r="AI8" t="s">
        <v>25</v>
      </c>
      <c r="AJ8">
        <v>1</v>
      </c>
      <c r="AK8">
        <v>2781.2599999999984</v>
      </c>
    </row>
    <row r="9" spans="1:37" x14ac:dyDescent="0.3">
      <c r="A9" s="44" t="s">
        <v>26</v>
      </c>
      <c r="B9" s="45">
        <f t="shared" si="4"/>
        <v>281</v>
      </c>
      <c r="C9" s="46">
        <f t="shared" si="0"/>
        <v>227772.80999999988</v>
      </c>
      <c r="D9" s="47">
        <v>1</v>
      </c>
      <c r="E9" s="48">
        <f t="shared" si="1"/>
        <v>227772.80999999988</v>
      </c>
      <c r="F9" s="46">
        <f t="shared" si="2"/>
        <v>0</v>
      </c>
      <c r="G9" s="38"/>
      <c r="H9" s="39"/>
      <c r="I9" s="40"/>
      <c r="J9" s="41"/>
      <c r="K9" s="42"/>
      <c r="M9" s="10"/>
      <c r="N9" s="10"/>
      <c r="O9" t="s">
        <v>20</v>
      </c>
      <c r="P9">
        <v>97</v>
      </c>
      <c r="Q9" s="43">
        <v>4101.939999999996</v>
      </c>
      <c r="T9" s="18" t="s">
        <v>20</v>
      </c>
      <c r="U9" s="10">
        <f t="shared" si="5"/>
        <v>97</v>
      </c>
      <c r="V9" s="32">
        <f t="shared" si="3"/>
        <v>4101.939999999996</v>
      </c>
      <c r="X9" t="s">
        <v>20</v>
      </c>
      <c r="Y9">
        <v>97</v>
      </c>
      <c r="Z9" t="s">
        <v>20</v>
      </c>
      <c r="AA9">
        <v>4101.939999999996</v>
      </c>
      <c r="AB9" s="21"/>
      <c r="AD9" t="s">
        <v>20</v>
      </c>
      <c r="AE9">
        <v>97</v>
      </c>
      <c r="AF9" t="s">
        <v>20</v>
      </c>
      <c r="AG9">
        <v>4101.939999999996</v>
      </c>
      <c r="AI9" t="s">
        <v>20</v>
      </c>
      <c r="AJ9">
        <v>97</v>
      </c>
      <c r="AK9">
        <v>4101.939999999996</v>
      </c>
    </row>
    <row r="10" spans="1:37" x14ac:dyDescent="0.3">
      <c r="A10" s="44" t="s">
        <v>27</v>
      </c>
      <c r="B10" s="45">
        <f t="shared" si="4"/>
        <v>27</v>
      </c>
      <c r="C10" s="46">
        <f t="shared" si="0"/>
        <v>27229.47</v>
      </c>
      <c r="D10" s="47">
        <v>0.3</v>
      </c>
      <c r="E10" s="48">
        <f t="shared" si="1"/>
        <v>8168.8410000000003</v>
      </c>
      <c r="F10" s="46">
        <f t="shared" si="2"/>
        <v>19060.629000000001</v>
      </c>
      <c r="G10" s="38"/>
      <c r="H10" s="49"/>
      <c r="I10" s="50"/>
      <c r="J10" s="51"/>
      <c r="K10" s="52"/>
      <c r="L10" s="53"/>
      <c r="M10" s="10"/>
      <c r="N10" s="10"/>
      <c r="O10" s="44" t="s">
        <v>22</v>
      </c>
      <c r="P10">
        <v>35</v>
      </c>
      <c r="Q10" s="43">
        <v>4156.7999999999984</v>
      </c>
      <c r="T10" s="18" t="s">
        <v>22</v>
      </c>
      <c r="U10" s="10">
        <f t="shared" si="5"/>
        <v>35</v>
      </c>
      <c r="V10" s="32">
        <f t="shared" si="3"/>
        <v>4156.7999999999984</v>
      </c>
      <c r="X10" t="s">
        <v>22</v>
      </c>
      <c r="Y10">
        <v>35</v>
      </c>
      <c r="Z10" t="s">
        <v>22</v>
      </c>
      <c r="AA10">
        <v>4156.7999999999984</v>
      </c>
      <c r="AB10" s="21"/>
      <c r="AD10" t="s">
        <v>22</v>
      </c>
      <c r="AE10">
        <v>35</v>
      </c>
      <c r="AF10" t="s">
        <v>22</v>
      </c>
      <c r="AG10">
        <v>4156.7999999999984</v>
      </c>
      <c r="AI10" t="s">
        <v>22</v>
      </c>
      <c r="AJ10">
        <v>35</v>
      </c>
      <c r="AK10">
        <v>4156.7999999999984</v>
      </c>
    </row>
    <row r="11" spans="1:37" x14ac:dyDescent="0.3">
      <c r="A11" s="44" t="s">
        <v>28</v>
      </c>
      <c r="B11" s="45">
        <f t="shared" si="4"/>
        <v>1503</v>
      </c>
      <c r="C11" s="46">
        <f t="shared" si="0"/>
        <v>1081526.1300000024</v>
      </c>
      <c r="D11" s="47">
        <v>1</v>
      </c>
      <c r="E11" s="46">
        <f t="shared" si="1"/>
        <v>1081526.1300000024</v>
      </c>
      <c r="F11" s="46">
        <f t="shared" si="2"/>
        <v>0</v>
      </c>
      <c r="G11" s="38"/>
      <c r="H11" s="49"/>
      <c r="I11" s="50"/>
      <c r="J11" s="51"/>
      <c r="K11" s="52"/>
      <c r="M11" s="10"/>
      <c r="N11" s="10"/>
      <c r="O11" t="s">
        <v>24</v>
      </c>
      <c r="P11">
        <v>28</v>
      </c>
      <c r="Q11" s="43">
        <v>6021.9100000000008</v>
      </c>
      <c r="T11" s="18" t="s">
        <v>24</v>
      </c>
      <c r="U11" s="10">
        <f t="shared" si="5"/>
        <v>28</v>
      </c>
      <c r="V11" s="32">
        <f t="shared" si="3"/>
        <v>6021.9100000000008</v>
      </c>
      <c r="X11" t="s">
        <v>24</v>
      </c>
      <c r="Y11">
        <v>28</v>
      </c>
      <c r="Z11" t="s">
        <v>24</v>
      </c>
      <c r="AA11">
        <v>6021.9100000000008</v>
      </c>
      <c r="AB11" s="21"/>
      <c r="AD11" s="54" t="s">
        <v>24</v>
      </c>
      <c r="AE11">
        <v>28</v>
      </c>
      <c r="AF11" s="54" t="s">
        <v>24</v>
      </c>
      <c r="AG11">
        <v>6021.9100000000008</v>
      </c>
      <c r="AI11" t="s">
        <v>24</v>
      </c>
      <c r="AJ11">
        <v>28</v>
      </c>
      <c r="AK11">
        <v>6021.9100000000008</v>
      </c>
    </row>
    <row r="12" spans="1:37" x14ac:dyDescent="0.3">
      <c r="A12" s="44" t="s">
        <v>29</v>
      </c>
      <c r="B12" s="45">
        <f t="shared" si="4"/>
        <v>106</v>
      </c>
      <c r="C12" s="46">
        <f t="shared" si="0"/>
        <v>62703.18</v>
      </c>
      <c r="D12" s="47">
        <v>0.3</v>
      </c>
      <c r="E12" s="48">
        <f t="shared" si="1"/>
        <v>18810.953999999998</v>
      </c>
      <c r="F12" s="46">
        <f t="shared" si="2"/>
        <v>43892.226000000002</v>
      </c>
      <c r="G12" s="38"/>
      <c r="H12" s="49"/>
      <c r="I12" s="50"/>
      <c r="J12" s="51"/>
      <c r="K12" s="52"/>
      <c r="M12" s="10"/>
      <c r="N12" s="10"/>
      <c r="O12" t="s">
        <v>26</v>
      </c>
      <c r="P12">
        <v>281</v>
      </c>
      <c r="Q12" s="43">
        <v>227772.80999999988</v>
      </c>
      <c r="T12" s="18" t="s">
        <v>26</v>
      </c>
      <c r="U12" s="10">
        <f t="shared" si="5"/>
        <v>281</v>
      </c>
      <c r="V12" s="32">
        <f t="shared" si="3"/>
        <v>227772.80999999988</v>
      </c>
      <c r="X12" t="s">
        <v>26</v>
      </c>
      <c r="Y12">
        <v>281</v>
      </c>
      <c r="Z12" t="s">
        <v>26</v>
      </c>
      <c r="AA12">
        <v>227772.80999999988</v>
      </c>
      <c r="AB12" s="21"/>
      <c r="AD12" t="s">
        <v>26</v>
      </c>
      <c r="AE12">
        <v>281</v>
      </c>
      <c r="AF12" t="s">
        <v>26</v>
      </c>
      <c r="AG12">
        <v>227772.80999999988</v>
      </c>
      <c r="AI12" t="s">
        <v>26</v>
      </c>
      <c r="AJ12">
        <v>281</v>
      </c>
      <c r="AK12">
        <v>227772.80999999988</v>
      </c>
    </row>
    <row r="13" spans="1:37" ht="15" customHeight="1" thickBot="1" x14ac:dyDescent="0.35">
      <c r="A13" s="55" t="s">
        <v>30</v>
      </c>
      <c r="B13" s="56">
        <f>SUM(B6:B12)</f>
        <v>2077</v>
      </c>
      <c r="C13" s="57">
        <f>SUM(C6:C12)</f>
        <v>1413512.2400000023</v>
      </c>
      <c r="D13" s="58"/>
      <c r="E13" s="57">
        <f>SUM(E6:E12)</f>
        <v>1346344.0480000023</v>
      </c>
      <c r="F13" s="59">
        <f>SUM(F6:F12)</f>
        <v>67168.19200000001</v>
      </c>
      <c r="G13" s="60">
        <v>2724921</v>
      </c>
      <c r="H13" s="61">
        <f>E13/G13</f>
        <v>0.49408553422282786</v>
      </c>
      <c r="I13" s="62"/>
      <c r="J13" s="63">
        <f>(H13/H$3)*G$13</f>
        <v>2450346.167360004</v>
      </c>
      <c r="K13" s="64">
        <f>J13-G13</f>
        <v>-274574.83263999596</v>
      </c>
      <c r="M13" s="10"/>
      <c r="N13" s="10"/>
      <c r="O13" t="s">
        <v>27</v>
      </c>
      <c r="P13">
        <v>27</v>
      </c>
      <c r="Q13" s="43">
        <v>27229.47</v>
      </c>
      <c r="T13" s="18" t="s">
        <v>27</v>
      </c>
      <c r="U13" s="10">
        <f>Y13</f>
        <v>27</v>
      </c>
      <c r="V13" s="32">
        <f t="shared" si="3"/>
        <v>27229.47</v>
      </c>
      <c r="X13" t="s">
        <v>27</v>
      </c>
      <c r="Y13" s="65">
        <v>27</v>
      </c>
      <c r="Z13" t="s">
        <v>27</v>
      </c>
      <c r="AA13" s="65">
        <v>27229.47</v>
      </c>
      <c r="AB13" s="21"/>
      <c r="AD13" s="65" t="s">
        <v>27</v>
      </c>
      <c r="AE13" s="65">
        <v>27</v>
      </c>
      <c r="AF13" s="65" t="s">
        <v>27</v>
      </c>
      <c r="AG13" s="65">
        <v>27229.47</v>
      </c>
      <c r="AI13" s="65" t="s">
        <v>27</v>
      </c>
      <c r="AJ13" s="65">
        <v>27</v>
      </c>
      <c r="AK13" s="65">
        <v>27229.47</v>
      </c>
    </row>
    <row r="14" spans="1:37" ht="15" thickBot="1" x14ac:dyDescent="0.35">
      <c r="A14" s="66"/>
      <c r="B14" s="67"/>
      <c r="C14" s="68"/>
      <c r="D14" s="69"/>
      <c r="E14" s="68"/>
      <c r="F14" s="68"/>
      <c r="G14" s="70"/>
      <c r="H14" s="71"/>
      <c r="I14" s="72"/>
      <c r="J14" s="255"/>
      <c r="K14" s="239"/>
      <c r="M14" s="10"/>
      <c r="N14" s="10"/>
      <c r="O14" t="s">
        <v>28</v>
      </c>
      <c r="P14">
        <v>1503</v>
      </c>
      <c r="Q14" s="43">
        <v>1081526.1300000024</v>
      </c>
      <c r="T14" s="18" t="s">
        <v>28</v>
      </c>
      <c r="U14" s="10">
        <f t="shared" si="5"/>
        <v>1503</v>
      </c>
      <c r="V14" s="32">
        <f t="shared" si="3"/>
        <v>1081526.1300000024</v>
      </c>
      <c r="X14" t="s">
        <v>28</v>
      </c>
      <c r="Y14">
        <v>1503</v>
      </c>
      <c r="Z14" t="s">
        <v>28</v>
      </c>
      <c r="AA14" s="2">
        <v>1081526.1300000024</v>
      </c>
      <c r="AB14" s="21"/>
      <c r="AD14" t="s">
        <v>28</v>
      </c>
      <c r="AE14">
        <v>1503</v>
      </c>
      <c r="AF14" t="s">
        <v>28</v>
      </c>
      <c r="AG14" s="2">
        <v>1081526.1300000024</v>
      </c>
      <c r="AI14" t="s">
        <v>28</v>
      </c>
      <c r="AJ14">
        <v>1503</v>
      </c>
      <c r="AK14" s="2">
        <v>1081526.1300000024</v>
      </c>
    </row>
    <row r="15" spans="1:37" x14ac:dyDescent="0.3">
      <c r="A15" s="73" t="s">
        <v>31</v>
      </c>
      <c r="B15" s="74">
        <f>P7</f>
        <v>46</v>
      </c>
      <c r="C15" s="75">
        <f>Q7</f>
        <v>52267.180000000008</v>
      </c>
      <c r="D15" s="76">
        <v>1</v>
      </c>
      <c r="E15" s="75">
        <f>C15*D15</f>
        <v>52267.180000000008</v>
      </c>
      <c r="F15" s="75">
        <v>0</v>
      </c>
      <c r="G15" s="77"/>
      <c r="H15" s="78"/>
      <c r="I15" s="79"/>
      <c r="J15" s="248"/>
      <c r="K15" s="241"/>
      <c r="M15" s="10"/>
      <c r="N15" s="10"/>
      <c r="O15" t="s">
        <v>29</v>
      </c>
      <c r="P15">
        <v>106</v>
      </c>
      <c r="Q15" s="43">
        <v>62703.18</v>
      </c>
      <c r="T15" s="18" t="s">
        <v>29</v>
      </c>
      <c r="U15" s="10">
        <f t="shared" si="5"/>
        <v>106</v>
      </c>
      <c r="V15" s="32">
        <f t="shared" si="3"/>
        <v>62703.18</v>
      </c>
      <c r="X15" t="s">
        <v>29</v>
      </c>
      <c r="Y15">
        <v>106</v>
      </c>
      <c r="Z15" t="s">
        <v>29</v>
      </c>
      <c r="AA15">
        <v>62703.18</v>
      </c>
      <c r="AB15" s="21"/>
      <c r="AD15" t="s">
        <v>29</v>
      </c>
      <c r="AE15">
        <v>106</v>
      </c>
      <c r="AF15" t="s">
        <v>29</v>
      </c>
      <c r="AG15">
        <v>62703.18</v>
      </c>
      <c r="AI15" t="s">
        <v>29</v>
      </c>
      <c r="AJ15">
        <v>106</v>
      </c>
      <c r="AK15">
        <v>62703.18</v>
      </c>
    </row>
    <row r="16" spans="1:37" x14ac:dyDescent="0.3">
      <c r="A16" s="80" t="s">
        <v>32</v>
      </c>
      <c r="B16" s="45">
        <f>P8</f>
        <v>1</v>
      </c>
      <c r="C16" s="46">
        <f>Q8</f>
        <v>2781.2599999999984</v>
      </c>
      <c r="D16" s="81">
        <v>0.3</v>
      </c>
      <c r="E16" s="46">
        <f>C16*D16</f>
        <v>834.37799999999947</v>
      </c>
      <c r="F16" s="46">
        <f>C16-E16</f>
        <v>1946.8819999999989</v>
      </c>
      <c r="G16" s="77"/>
      <c r="H16" s="78"/>
      <c r="I16" s="79"/>
      <c r="J16" s="242"/>
      <c r="K16" s="243"/>
      <c r="M16" s="10"/>
      <c r="N16" s="10"/>
      <c r="O16" s="18" t="s">
        <v>33</v>
      </c>
      <c r="P16">
        <v>41</v>
      </c>
      <c r="Q16" s="43">
        <v>55641.69</v>
      </c>
      <c r="T16" s="18" t="s">
        <v>33</v>
      </c>
      <c r="U16">
        <v>41</v>
      </c>
      <c r="V16">
        <v>55641.69</v>
      </c>
      <c r="Y16" s="82">
        <v>42</v>
      </c>
      <c r="AA16">
        <v>58187.929999999986</v>
      </c>
      <c r="AB16" s="21"/>
      <c r="AE16" s="82">
        <v>42</v>
      </c>
      <c r="AG16">
        <v>58187.929999999986</v>
      </c>
      <c r="AI16" t="s">
        <v>33</v>
      </c>
      <c r="AJ16" s="82">
        <v>42</v>
      </c>
      <c r="AK16">
        <v>58187.929999999986</v>
      </c>
    </row>
    <row r="17" spans="1:37" ht="15" customHeight="1" thickBot="1" x14ac:dyDescent="0.35">
      <c r="A17" s="83" t="s">
        <v>34</v>
      </c>
      <c r="B17" s="84">
        <f>SUM(B15:B16)</f>
        <v>47</v>
      </c>
      <c r="C17" s="85">
        <f>SUM(C15:C16)</f>
        <v>55048.44</v>
      </c>
      <c r="D17" s="86"/>
      <c r="E17" s="85">
        <f>SUM(E15:E16)</f>
        <v>53101.558000000005</v>
      </c>
      <c r="F17" s="85">
        <f>F16</f>
        <v>1946.8819999999989</v>
      </c>
      <c r="G17" s="87">
        <v>100000</v>
      </c>
      <c r="H17" s="88">
        <f>E17/G17</f>
        <v>0.53101558000000004</v>
      </c>
      <c r="I17" s="89"/>
      <c r="J17" s="90">
        <f>(H17/H$3)*G$17</f>
        <v>96644.835559999992</v>
      </c>
      <c r="K17" s="91">
        <f>J17-G17</f>
        <v>-3355.1644400000077</v>
      </c>
      <c r="M17" s="10"/>
      <c r="N17" s="10"/>
      <c r="O17" t="s">
        <v>35</v>
      </c>
      <c r="P17">
        <v>428</v>
      </c>
      <c r="Q17" s="43">
        <v>426090.10999999993</v>
      </c>
      <c r="T17" s="18" t="s">
        <v>35</v>
      </c>
      <c r="U17" s="10">
        <f t="shared" si="5"/>
        <v>428</v>
      </c>
      <c r="V17" s="32">
        <f t="shared" si="3"/>
        <v>426090.10999999993</v>
      </c>
      <c r="X17" t="s">
        <v>35</v>
      </c>
      <c r="Y17">
        <v>428</v>
      </c>
      <c r="Z17" t="s">
        <v>35</v>
      </c>
      <c r="AA17">
        <v>426090.10999999993</v>
      </c>
      <c r="AB17" s="21"/>
      <c r="AD17" t="s">
        <v>35</v>
      </c>
      <c r="AE17">
        <v>428</v>
      </c>
      <c r="AF17" s="2" t="s">
        <v>35</v>
      </c>
      <c r="AG17">
        <v>426090.10999999993</v>
      </c>
      <c r="AI17" t="s">
        <v>35</v>
      </c>
      <c r="AJ17">
        <v>428</v>
      </c>
      <c r="AK17">
        <v>426090.10999999993</v>
      </c>
    </row>
    <row r="18" spans="1:37" ht="15" thickBot="1" x14ac:dyDescent="0.35">
      <c r="A18" s="66"/>
      <c r="B18" s="92"/>
      <c r="C18" s="70"/>
      <c r="D18" s="93"/>
      <c r="E18" s="70"/>
      <c r="F18" s="70"/>
      <c r="G18" s="70"/>
      <c r="H18" s="71"/>
      <c r="I18" s="72"/>
      <c r="J18" s="255"/>
      <c r="K18" s="239"/>
      <c r="M18" s="10"/>
      <c r="N18" s="10"/>
      <c r="O18" t="s">
        <v>36</v>
      </c>
      <c r="P18">
        <v>80</v>
      </c>
      <c r="Q18" s="43">
        <v>43782.27</v>
      </c>
      <c r="T18" s="18" t="s">
        <v>36</v>
      </c>
      <c r="U18" s="10">
        <f t="shared" si="5"/>
        <v>80</v>
      </c>
      <c r="V18" s="32">
        <f t="shared" si="3"/>
        <v>43782.27</v>
      </c>
      <c r="X18" t="s">
        <v>36</v>
      </c>
      <c r="Y18">
        <v>80</v>
      </c>
      <c r="Z18" t="s">
        <v>36</v>
      </c>
      <c r="AA18">
        <v>43782.27</v>
      </c>
      <c r="AB18" s="21"/>
      <c r="AD18" t="s">
        <v>36</v>
      </c>
      <c r="AE18">
        <v>80</v>
      </c>
      <c r="AF18" s="2" t="s">
        <v>36</v>
      </c>
      <c r="AG18">
        <v>43782.27</v>
      </c>
      <c r="AI18" t="s">
        <v>36</v>
      </c>
      <c r="AJ18">
        <v>80</v>
      </c>
      <c r="AK18">
        <v>43782.27</v>
      </c>
    </row>
    <row r="19" spans="1:37" x14ac:dyDescent="0.3">
      <c r="A19" s="73" t="s">
        <v>37</v>
      </c>
      <c r="B19" s="74"/>
      <c r="C19" s="75"/>
      <c r="D19" s="76">
        <v>1</v>
      </c>
      <c r="E19" s="75">
        <f>C19*D19</f>
        <v>0</v>
      </c>
      <c r="F19" s="75">
        <v>0</v>
      </c>
      <c r="G19" s="77"/>
      <c r="H19" s="78"/>
      <c r="I19" s="79"/>
      <c r="J19" s="248"/>
      <c r="K19" s="241"/>
      <c r="M19" s="10"/>
      <c r="N19" s="10"/>
      <c r="O19" t="s">
        <v>38</v>
      </c>
      <c r="P19">
        <v>257</v>
      </c>
      <c r="Q19" s="43">
        <v>265958.35999999987</v>
      </c>
      <c r="T19" s="18" t="s">
        <v>38</v>
      </c>
      <c r="U19" s="10">
        <f t="shared" si="5"/>
        <v>257</v>
      </c>
      <c r="V19" s="32">
        <f t="shared" si="3"/>
        <v>265958.35999999987</v>
      </c>
      <c r="X19" t="s">
        <v>38</v>
      </c>
      <c r="Y19">
        <v>257</v>
      </c>
      <c r="Z19" t="s">
        <v>38</v>
      </c>
      <c r="AA19">
        <v>265958.35999999987</v>
      </c>
      <c r="AB19" s="21"/>
      <c r="AD19" t="s">
        <v>38</v>
      </c>
      <c r="AE19">
        <v>257</v>
      </c>
      <c r="AF19" s="2" t="s">
        <v>38</v>
      </c>
      <c r="AG19">
        <v>265958.35999999987</v>
      </c>
      <c r="AI19" t="s">
        <v>38</v>
      </c>
      <c r="AJ19">
        <v>257</v>
      </c>
      <c r="AK19">
        <v>265958.35999999987</v>
      </c>
    </row>
    <row r="20" spans="1:37" x14ac:dyDescent="0.3">
      <c r="A20" s="80" t="s">
        <v>39</v>
      </c>
      <c r="B20" s="45">
        <f>P6</f>
        <v>1</v>
      </c>
      <c r="C20" s="46">
        <f>Q6</f>
        <v>14578.980000000018</v>
      </c>
      <c r="D20" s="81">
        <v>0.3</v>
      </c>
      <c r="E20" s="46">
        <f>C20*D20</f>
        <v>4373.694000000005</v>
      </c>
      <c r="F20" s="46">
        <f>C20-E20</f>
        <v>10205.286000000013</v>
      </c>
      <c r="G20" s="77"/>
      <c r="H20" s="78"/>
      <c r="I20" s="79"/>
      <c r="J20" s="242"/>
      <c r="K20" s="243"/>
      <c r="M20" s="10"/>
      <c r="N20" s="10"/>
      <c r="O20" t="s">
        <v>40</v>
      </c>
      <c r="P20">
        <v>22</v>
      </c>
      <c r="Q20" s="43">
        <v>20886.61</v>
      </c>
      <c r="T20" s="18" t="s">
        <v>40</v>
      </c>
      <c r="U20" s="10">
        <f t="shared" si="5"/>
        <v>22</v>
      </c>
      <c r="V20" s="32">
        <f t="shared" si="3"/>
        <v>20886.61</v>
      </c>
      <c r="X20" t="s">
        <v>40</v>
      </c>
      <c r="Y20">
        <v>22</v>
      </c>
      <c r="Z20" t="s">
        <v>40</v>
      </c>
      <c r="AA20">
        <v>20886.61</v>
      </c>
      <c r="AB20" s="21"/>
      <c r="AD20" t="s">
        <v>40</v>
      </c>
      <c r="AE20">
        <v>22</v>
      </c>
      <c r="AF20" s="2" t="s">
        <v>40</v>
      </c>
      <c r="AG20">
        <v>20886.61</v>
      </c>
      <c r="AI20" t="s">
        <v>40</v>
      </c>
      <c r="AJ20">
        <v>22</v>
      </c>
      <c r="AK20">
        <v>20886.61</v>
      </c>
    </row>
    <row r="21" spans="1:37" ht="15" customHeight="1" thickBot="1" x14ac:dyDescent="0.35">
      <c r="A21" s="83" t="s">
        <v>41</v>
      </c>
      <c r="B21" s="84">
        <f>SUM(B19:B20)</f>
        <v>1</v>
      </c>
      <c r="C21" s="85">
        <f>SUM(C19:C20)</f>
        <v>14578.980000000018</v>
      </c>
      <c r="D21" s="86"/>
      <c r="E21" s="85">
        <f>SUM(E19:E20)</f>
        <v>4373.694000000005</v>
      </c>
      <c r="F21" s="85">
        <f>F20</f>
        <v>10205.286000000013</v>
      </c>
      <c r="G21" s="87">
        <v>100000</v>
      </c>
      <c r="H21" s="88">
        <f>E21/G21</f>
        <v>4.373694000000005E-2</v>
      </c>
      <c r="I21" s="89"/>
      <c r="J21" s="90">
        <f>(H21/H$3)*G21</f>
        <v>7960.1230800000085</v>
      </c>
      <c r="K21" s="91">
        <f>J21-G21</f>
        <v>-92039.876919999995</v>
      </c>
      <c r="M21" s="10"/>
      <c r="N21" s="10"/>
      <c r="O21" t="s">
        <v>42</v>
      </c>
      <c r="P21">
        <v>643</v>
      </c>
      <c r="Q21" s="43">
        <v>621624.16999999958</v>
      </c>
      <c r="T21" s="18" t="s">
        <v>42</v>
      </c>
      <c r="U21" s="10">
        <f t="shared" si="5"/>
        <v>643</v>
      </c>
      <c r="V21" s="32">
        <f t="shared" si="3"/>
        <v>621624.16999999958</v>
      </c>
      <c r="X21" t="s">
        <v>42</v>
      </c>
      <c r="Y21">
        <v>643</v>
      </c>
      <c r="Z21" t="s">
        <v>42</v>
      </c>
      <c r="AA21">
        <v>621624.16999999958</v>
      </c>
      <c r="AB21" s="21"/>
      <c r="AD21" t="s">
        <v>42</v>
      </c>
      <c r="AE21">
        <v>643</v>
      </c>
      <c r="AF21" t="s">
        <v>42</v>
      </c>
      <c r="AG21">
        <v>621624.16999999958</v>
      </c>
      <c r="AI21" t="s">
        <v>42</v>
      </c>
      <c r="AJ21">
        <v>643</v>
      </c>
      <c r="AK21">
        <v>621624.16999999958</v>
      </c>
    </row>
    <row r="22" spans="1:37" ht="15" thickBot="1" x14ac:dyDescent="0.35">
      <c r="A22" s="66"/>
      <c r="B22" s="92"/>
      <c r="C22" s="70"/>
      <c r="D22" s="93"/>
      <c r="E22" s="70"/>
      <c r="F22" s="70"/>
      <c r="G22" s="70"/>
      <c r="H22" s="71"/>
      <c r="I22" s="72"/>
      <c r="J22" s="255"/>
      <c r="K22" s="239"/>
      <c r="M22" s="10"/>
      <c r="N22" s="10"/>
      <c r="O22" t="s">
        <v>43</v>
      </c>
      <c r="P22">
        <v>53</v>
      </c>
      <c r="Q22" s="43">
        <v>75178.760000000009</v>
      </c>
      <c r="T22" s="18" t="s">
        <v>43</v>
      </c>
      <c r="U22" s="10">
        <f t="shared" si="5"/>
        <v>53</v>
      </c>
      <c r="V22" s="32">
        <f t="shared" si="3"/>
        <v>75178.760000000009</v>
      </c>
      <c r="X22" t="s">
        <v>43</v>
      </c>
      <c r="Y22">
        <v>53</v>
      </c>
      <c r="Z22" t="s">
        <v>43</v>
      </c>
      <c r="AA22">
        <v>75178.760000000009</v>
      </c>
      <c r="AB22" s="21"/>
      <c r="AD22" t="s">
        <v>43</v>
      </c>
      <c r="AE22">
        <v>53</v>
      </c>
      <c r="AF22" t="s">
        <v>43</v>
      </c>
      <c r="AG22">
        <v>75178.760000000009</v>
      </c>
      <c r="AI22" t="s">
        <v>43</v>
      </c>
      <c r="AJ22">
        <v>53</v>
      </c>
      <c r="AK22">
        <v>75178.760000000009</v>
      </c>
    </row>
    <row r="23" spans="1:37" x14ac:dyDescent="0.3">
      <c r="A23" s="94" t="s">
        <v>44</v>
      </c>
      <c r="B23" s="95">
        <f>P17</f>
        <v>428</v>
      </c>
      <c r="C23" s="96">
        <f>Q17</f>
        <v>426090.10999999993</v>
      </c>
      <c r="D23" s="97">
        <v>1</v>
      </c>
      <c r="E23" s="96">
        <f>C23*D23</f>
        <v>426090.10999999993</v>
      </c>
      <c r="F23" s="98"/>
      <c r="G23" s="99"/>
      <c r="H23" s="100"/>
      <c r="I23" s="101"/>
      <c r="J23" s="248"/>
      <c r="K23" s="241"/>
      <c r="M23" s="10"/>
      <c r="N23" s="10"/>
      <c r="O23" t="s">
        <v>45</v>
      </c>
      <c r="P23">
        <v>920</v>
      </c>
      <c r="Q23" s="43">
        <v>480387.74999999924</v>
      </c>
      <c r="T23" s="18" t="s">
        <v>45</v>
      </c>
      <c r="U23" s="10">
        <f t="shared" si="5"/>
        <v>920</v>
      </c>
      <c r="V23" s="32">
        <f t="shared" si="3"/>
        <v>480387.74999999924</v>
      </c>
      <c r="X23" t="s">
        <v>45</v>
      </c>
      <c r="Y23">
        <v>920</v>
      </c>
      <c r="Z23" t="s">
        <v>45</v>
      </c>
      <c r="AA23">
        <v>480387.74999999924</v>
      </c>
      <c r="AB23" s="21"/>
      <c r="AD23" t="s">
        <v>45</v>
      </c>
      <c r="AE23">
        <v>920</v>
      </c>
      <c r="AF23" s="2" t="s">
        <v>45</v>
      </c>
      <c r="AG23">
        <v>480387.74999999924</v>
      </c>
      <c r="AI23" t="s">
        <v>45</v>
      </c>
      <c r="AJ23">
        <v>920</v>
      </c>
      <c r="AK23">
        <v>480387.74999999924</v>
      </c>
    </row>
    <row r="24" spans="1:37" x14ac:dyDescent="0.3">
      <c r="A24" s="94" t="s">
        <v>46</v>
      </c>
      <c r="B24" s="95">
        <f>P18</f>
        <v>80</v>
      </c>
      <c r="C24" s="102">
        <f>Q18</f>
        <v>43782.27</v>
      </c>
      <c r="D24" s="103">
        <v>0.3</v>
      </c>
      <c r="E24" s="102">
        <f>C24*D24</f>
        <v>13134.680999999999</v>
      </c>
      <c r="F24" s="104">
        <f>C24-E24</f>
        <v>30647.589</v>
      </c>
      <c r="G24" s="105"/>
      <c r="H24" s="106"/>
      <c r="I24" s="101"/>
      <c r="J24" s="242"/>
      <c r="K24" s="243"/>
      <c r="M24" s="10"/>
      <c r="N24" s="10"/>
      <c r="O24" t="s">
        <v>47</v>
      </c>
      <c r="P24">
        <v>247</v>
      </c>
      <c r="Q24" s="43">
        <v>370538.92</v>
      </c>
      <c r="T24" s="18" t="s">
        <v>47</v>
      </c>
      <c r="U24" s="10">
        <f t="shared" si="5"/>
        <v>247</v>
      </c>
      <c r="V24" s="32">
        <f t="shared" si="3"/>
        <v>370538.92</v>
      </c>
      <c r="X24" t="s">
        <v>47</v>
      </c>
      <c r="Y24">
        <v>247</v>
      </c>
      <c r="Z24" t="s">
        <v>47</v>
      </c>
      <c r="AA24">
        <v>370538.92</v>
      </c>
      <c r="AB24" s="21"/>
      <c r="AD24" t="s">
        <v>47</v>
      </c>
      <c r="AE24">
        <v>247</v>
      </c>
      <c r="AF24" s="2" t="s">
        <v>47</v>
      </c>
      <c r="AG24">
        <v>370538.92</v>
      </c>
      <c r="AI24" t="s">
        <v>47</v>
      </c>
      <c r="AJ24">
        <v>247</v>
      </c>
      <c r="AK24">
        <v>370538.92</v>
      </c>
    </row>
    <row r="25" spans="1:37" ht="15" customHeight="1" thickBot="1" x14ac:dyDescent="0.35">
      <c r="A25" s="83" t="s">
        <v>48</v>
      </c>
      <c r="B25" s="84">
        <f>SUM(B23:B24)</f>
        <v>508</v>
      </c>
      <c r="C25" s="85">
        <f>SUM(C23:C24)</f>
        <v>469872.37999999995</v>
      </c>
      <c r="D25" s="86"/>
      <c r="E25" s="85">
        <f>SUM(E23:E24)</f>
        <v>439224.79099999991</v>
      </c>
      <c r="F25" s="85">
        <f>F24</f>
        <v>30647.589</v>
      </c>
      <c r="G25" s="87">
        <v>750000</v>
      </c>
      <c r="H25" s="88">
        <f>E25/G25</f>
        <v>0.5856330546666666</v>
      </c>
      <c r="I25" s="89"/>
      <c r="J25" s="90">
        <f>(H25/H$3)*G25</f>
        <v>799389.11961999978</v>
      </c>
      <c r="K25" s="91">
        <f>J25-G25</f>
        <v>49389.119619999779</v>
      </c>
      <c r="M25" s="10"/>
      <c r="N25" s="10"/>
      <c r="O25" t="s">
        <v>49</v>
      </c>
      <c r="P25">
        <v>155</v>
      </c>
      <c r="Q25" s="43">
        <v>214224.63000000015</v>
      </c>
      <c r="T25" s="18" t="s">
        <v>49</v>
      </c>
      <c r="U25" s="10">
        <f t="shared" si="5"/>
        <v>155</v>
      </c>
      <c r="V25" s="32">
        <f t="shared" si="3"/>
        <v>214224.63000000015</v>
      </c>
      <c r="X25" t="s">
        <v>49</v>
      </c>
      <c r="Y25">
        <v>155</v>
      </c>
      <c r="Z25" t="s">
        <v>49</v>
      </c>
      <c r="AA25">
        <v>214224.63000000015</v>
      </c>
      <c r="AB25" s="21"/>
      <c r="AD25" t="s">
        <v>49</v>
      </c>
      <c r="AE25">
        <v>155</v>
      </c>
      <c r="AF25" t="s">
        <v>49</v>
      </c>
      <c r="AG25">
        <v>214224.63000000015</v>
      </c>
      <c r="AI25" t="s">
        <v>49</v>
      </c>
      <c r="AJ25">
        <v>155</v>
      </c>
      <c r="AK25">
        <v>214224.63000000015</v>
      </c>
    </row>
    <row r="26" spans="1:37" ht="15" thickBot="1" x14ac:dyDescent="0.35">
      <c r="A26" s="66"/>
      <c r="B26" s="92"/>
      <c r="C26" s="70"/>
      <c r="D26" s="93"/>
      <c r="E26" s="70"/>
      <c r="F26" s="70"/>
      <c r="G26" s="70"/>
      <c r="H26" s="71"/>
      <c r="I26" s="72"/>
      <c r="J26" s="225"/>
      <c r="K26" s="226"/>
      <c r="M26" s="10"/>
      <c r="N26" s="10"/>
      <c r="O26" t="s">
        <v>50</v>
      </c>
      <c r="P26">
        <v>160</v>
      </c>
      <c r="Q26" s="43">
        <v>191385.23</v>
      </c>
      <c r="T26" s="18" t="s">
        <v>50</v>
      </c>
      <c r="U26" s="10">
        <f t="shared" si="5"/>
        <v>160</v>
      </c>
      <c r="V26" s="32">
        <f t="shared" si="3"/>
        <v>191385.23</v>
      </c>
      <c r="X26" t="s">
        <v>50</v>
      </c>
      <c r="Y26">
        <v>160</v>
      </c>
      <c r="Z26" t="s">
        <v>50</v>
      </c>
      <c r="AA26">
        <v>191385.23</v>
      </c>
      <c r="AB26" s="21"/>
      <c r="AD26" t="s">
        <v>50</v>
      </c>
      <c r="AE26">
        <v>160</v>
      </c>
      <c r="AF26" t="s">
        <v>50</v>
      </c>
      <c r="AG26">
        <v>191385.23</v>
      </c>
      <c r="AI26" t="s">
        <v>50</v>
      </c>
      <c r="AJ26">
        <v>160</v>
      </c>
      <c r="AK26">
        <v>191385.23</v>
      </c>
    </row>
    <row r="27" spans="1:37" x14ac:dyDescent="0.3">
      <c r="A27" s="73" t="s">
        <v>51</v>
      </c>
      <c r="B27" s="107">
        <f>P19</f>
        <v>257</v>
      </c>
      <c r="C27" s="108">
        <f>Q19</f>
        <v>265958.35999999987</v>
      </c>
      <c r="D27" s="109">
        <v>1</v>
      </c>
      <c r="E27" s="110">
        <f>C27*D27</f>
        <v>265958.35999999987</v>
      </c>
      <c r="F27" s="110">
        <v>0</v>
      </c>
      <c r="G27" s="77"/>
      <c r="H27" s="78"/>
      <c r="I27" s="79"/>
      <c r="J27" s="227"/>
      <c r="K27" s="228"/>
      <c r="M27" s="10"/>
      <c r="N27" s="10"/>
      <c r="O27" t="s">
        <v>52</v>
      </c>
      <c r="P27">
        <v>25</v>
      </c>
      <c r="Q27" s="43">
        <v>18448.8</v>
      </c>
      <c r="T27" s="18" t="s">
        <v>52</v>
      </c>
      <c r="U27" s="10">
        <f t="shared" si="5"/>
        <v>25</v>
      </c>
      <c r="V27" s="32">
        <f t="shared" si="3"/>
        <v>18448.8</v>
      </c>
      <c r="X27" t="s">
        <v>52</v>
      </c>
      <c r="Y27">
        <v>25</v>
      </c>
      <c r="Z27" t="s">
        <v>52</v>
      </c>
      <c r="AA27">
        <v>18448.8</v>
      </c>
      <c r="AB27" s="21"/>
      <c r="AD27" t="s">
        <v>52</v>
      </c>
      <c r="AE27">
        <v>25</v>
      </c>
      <c r="AF27" s="2" t="s">
        <v>52</v>
      </c>
      <c r="AG27">
        <v>18448.8</v>
      </c>
      <c r="AI27" t="s">
        <v>52</v>
      </c>
      <c r="AJ27">
        <v>25</v>
      </c>
      <c r="AK27">
        <v>18448.8</v>
      </c>
    </row>
    <row r="28" spans="1:37" x14ac:dyDescent="0.3">
      <c r="A28" s="80" t="s">
        <v>53</v>
      </c>
      <c r="B28" s="111">
        <f>P20</f>
        <v>22</v>
      </c>
      <c r="C28" s="112">
        <f>Q20</f>
        <v>20886.61</v>
      </c>
      <c r="D28" s="113">
        <v>0.3</v>
      </c>
      <c r="E28" s="114">
        <f>C28*D28</f>
        <v>6265.9830000000002</v>
      </c>
      <c r="F28" s="114">
        <f>C28-E28</f>
        <v>14620.627</v>
      </c>
      <c r="G28" s="77"/>
      <c r="H28" s="78"/>
      <c r="I28" s="79"/>
      <c r="J28" s="233"/>
      <c r="K28" s="234"/>
      <c r="M28" s="10"/>
      <c r="N28" s="10"/>
      <c r="O28" t="s">
        <v>54</v>
      </c>
      <c r="P28">
        <v>1297</v>
      </c>
      <c r="Q28" s="43">
        <v>24116.36000000003</v>
      </c>
      <c r="T28" s="18" t="s">
        <v>54</v>
      </c>
      <c r="U28" s="10">
        <f t="shared" si="5"/>
        <v>1297</v>
      </c>
      <c r="V28" s="32">
        <f t="shared" si="3"/>
        <v>24116.36000000003</v>
      </c>
      <c r="X28" t="s">
        <v>54</v>
      </c>
      <c r="Y28">
        <v>1297</v>
      </c>
      <c r="Z28" t="s">
        <v>54</v>
      </c>
      <c r="AA28">
        <v>24116.36000000003</v>
      </c>
      <c r="AB28" s="21"/>
      <c r="AD28" t="s">
        <v>54</v>
      </c>
      <c r="AE28">
        <v>1297</v>
      </c>
      <c r="AF28" s="2" t="s">
        <v>54</v>
      </c>
      <c r="AG28">
        <v>24116.36000000003</v>
      </c>
      <c r="AI28" t="s">
        <v>54</v>
      </c>
      <c r="AJ28">
        <v>1297</v>
      </c>
      <c r="AK28">
        <v>24116.36000000003</v>
      </c>
    </row>
    <row r="29" spans="1:37" ht="15" customHeight="1" thickBot="1" x14ac:dyDescent="0.35">
      <c r="A29" s="83" t="s">
        <v>55</v>
      </c>
      <c r="B29" s="84">
        <f>SUM(B27:B28)</f>
        <v>279</v>
      </c>
      <c r="C29" s="85">
        <f>SUM(C27:C28)</f>
        <v>286844.96999999986</v>
      </c>
      <c r="D29" s="86"/>
      <c r="E29" s="85">
        <f>SUM(E27:E28)</f>
        <v>272224.34299999988</v>
      </c>
      <c r="F29" s="85">
        <f>F28</f>
        <v>14620.627</v>
      </c>
      <c r="G29" s="87">
        <v>429000</v>
      </c>
      <c r="H29" s="88">
        <f>E29/G29</f>
        <v>0.63455557808857777</v>
      </c>
      <c r="I29" s="89"/>
      <c r="J29" s="90">
        <f>(H29/H$3)*G29</f>
        <v>495448.30425999971</v>
      </c>
      <c r="K29" s="91">
        <f>J29-G29</f>
        <v>66448.304259999713</v>
      </c>
      <c r="M29" s="10"/>
      <c r="N29" s="10"/>
      <c r="O29" t="s">
        <v>56</v>
      </c>
      <c r="P29">
        <v>49</v>
      </c>
      <c r="Q29" s="43">
        <v>49815.999999999993</v>
      </c>
      <c r="T29" s="18" t="s">
        <v>56</v>
      </c>
      <c r="U29" s="10">
        <f t="shared" si="5"/>
        <v>49</v>
      </c>
      <c r="V29" s="32">
        <f t="shared" si="3"/>
        <v>49815.999999999993</v>
      </c>
      <c r="X29" t="s">
        <v>56</v>
      </c>
      <c r="Y29">
        <v>49</v>
      </c>
      <c r="Z29" t="s">
        <v>56</v>
      </c>
      <c r="AA29">
        <v>49815.999999999993</v>
      </c>
      <c r="AB29" s="21"/>
      <c r="AD29" t="s">
        <v>56</v>
      </c>
      <c r="AE29">
        <v>49</v>
      </c>
      <c r="AF29" s="2" t="s">
        <v>56</v>
      </c>
      <c r="AG29">
        <v>49815.999999999993</v>
      </c>
      <c r="AI29" t="s">
        <v>56</v>
      </c>
      <c r="AJ29">
        <v>49</v>
      </c>
      <c r="AK29">
        <v>49815.999999999993</v>
      </c>
    </row>
    <row r="30" spans="1:37" ht="15" thickBot="1" x14ac:dyDescent="0.35">
      <c r="A30" s="66"/>
      <c r="B30" s="92"/>
      <c r="C30" s="70"/>
      <c r="D30" s="93"/>
      <c r="E30" s="70"/>
      <c r="F30" s="70"/>
      <c r="G30" s="70"/>
      <c r="H30" s="71"/>
      <c r="I30" s="72"/>
      <c r="J30" s="256"/>
      <c r="K30" s="239"/>
      <c r="M30" s="10"/>
      <c r="N30" s="10"/>
      <c r="O30" t="s">
        <v>57</v>
      </c>
      <c r="P30">
        <v>29</v>
      </c>
      <c r="Q30" s="43">
        <v>44477.899999999987</v>
      </c>
      <c r="T30" s="18" t="s">
        <v>57</v>
      </c>
      <c r="U30" s="10">
        <f t="shared" si="5"/>
        <v>29</v>
      </c>
      <c r="V30" s="32">
        <f t="shared" si="3"/>
        <v>44477.899999999987</v>
      </c>
      <c r="X30" t="s">
        <v>57</v>
      </c>
      <c r="Y30">
        <v>29</v>
      </c>
      <c r="Z30" t="s">
        <v>57</v>
      </c>
      <c r="AA30">
        <v>44477.899999999987</v>
      </c>
      <c r="AB30" s="21"/>
      <c r="AD30" t="s">
        <v>57</v>
      </c>
      <c r="AE30">
        <v>29</v>
      </c>
      <c r="AF30" s="2" t="s">
        <v>57</v>
      </c>
      <c r="AG30">
        <v>44477.899999999987</v>
      </c>
      <c r="AI30" t="s">
        <v>57</v>
      </c>
      <c r="AJ30">
        <v>29</v>
      </c>
      <c r="AK30">
        <v>44477.899999999987</v>
      </c>
    </row>
    <row r="31" spans="1:37" x14ac:dyDescent="0.3">
      <c r="A31" s="115" t="s">
        <v>58</v>
      </c>
      <c r="B31" s="116">
        <f>P21</f>
        <v>643</v>
      </c>
      <c r="C31" s="117">
        <f>Q21</f>
        <v>621624.16999999958</v>
      </c>
      <c r="D31" s="118">
        <v>1</v>
      </c>
      <c r="E31" s="119">
        <f>C31*D31</f>
        <v>621624.16999999958</v>
      </c>
      <c r="F31" s="120"/>
      <c r="G31" s="244"/>
      <c r="H31" s="246"/>
      <c r="I31" s="121"/>
      <c r="J31" s="248"/>
      <c r="K31" s="241"/>
      <c r="M31" s="10"/>
      <c r="N31" s="10"/>
      <c r="O31" t="s">
        <v>59</v>
      </c>
      <c r="P31">
        <v>53</v>
      </c>
      <c r="Q31" s="43">
        <v>48944.53</v>
      </c>
      <c r="T31" t="s">
        <v>59</v>
      </c>
      <c r="U31" s="10">
        <f t="shared" si="5"/>
        <v>53</v>
      </c>
      <c r="V31" s="32">
        <f t="shared" si="3"/>
        <v>48944.53</v>
      </c>
      <c r="X31" t="s">
        <v>59</v>
      </c>
      <c r="Y31">
        <v>53</v>
      </c>
      <c r="Z31" t="s">
        <v>59</v>
      </c>
      <c r="AA31">
        <v>48944.53</v>
      </c>
      <c r="AB31" s="21"/>
      <c r="AD31" t="s">
        <v>59</v>
      </c>
      <c r="AE31">
        <v>53</v>
      </c>
      <c r="AG31">
        <v>48944.53</v>
      </c>
      <c r="AI31" t="s">
        <v>59</v>
      </c>
      <c r="AJ31">
        <v>53</v>
      </c>
      <c r="AK31">
        <v>48944.53</v>
      </c>
    </row>
    <row r="32" spans="1:37" ht="15" thickBot="1" x14ac:dyDescent="0.35">
      <c r="A32" s="122" t="s">
        <v>60</v>
      </c>
      <c r="B32" s="123">
        <f>P22</f>
        <v>53</v>
      </c>
      <c r="C32" s="124">
        <f>Q22</f>
        <v>75178.760000000009</v>
      </c>
      <c r="D32" s="125">
        <v>0.3</v>
      </c>
      <c r="E32" s="126">
        <f>C32*D32</f>
        <v>22553.628000000001</v>
      </c>
      <c r="F32" s="127">
        <f>C32-E32</f>
        <v>52625.132000000012</v>
      </c>
      <c r="G32" s="245"/>
      <c r="H32" s="247"/>
      <c r="I32" s="121"/>
      <c r="J32" s="242"/>
      <c r="K32" s="243"/>
      <c r="M32" s="10"/>
      <c r="N32" s="10"/>
      <c r="O32" t="s">
        <v>61</v>
      </c>
      <c r="P32">
        <v>6585</v>
      </c>
      <c r="Q32" s="43">
        <v>4437187.9900000012</v>
      </c>
      <c r="T32" s="128" t="s">
        <v>61</v>
      </c>
      <c r="U32" s="10">
        <f t="shared" si="5"/>
        <v>6585</v>
      </c>
      <c r="V32" s="32">
        <f t="shared" si="3"/>
        <v>4437187.9900000012</v>
      </c>
      <c r="X32" t="s">
        <v>61</v>
      </c>
      <c r="Y32">
        <v>6585</v>
      </c>
      <c r="Z32" t="s">
        <v>61</v>
      </c>
      <c r="AA32">
        <v>4437187.9900000012</v>
      </c>
      <c r="AB32" s="129"/>
      <c r="AD32" t="s">
        <v>61</v>
      </c>
      <c r="AE32">
        <v>6585</v>
      </c>
      <c r="AF32" s="2" t="s">
        <v>61</v>
      </c>
      <c r="AG32">
        <v>4437187.9900000012</v>
      </c>
      <c r="AI32" t="s">
        <v>61</v>
      </c>
      <c r="AJ32">
        <v>6585</v>
      </c>
      <c r="AK32">
        <v>4437187.9900000012</v>
      </c>
    </row>
    <row r="33" spans="1:39" ht="15" customHeight="1" thickBot="1" x14ac:dyDescent="0.35">
      <c r="A33" s="130" t="s">
        <v>62</v>
      </c>
      <c r="B33" s="131">
        <f>SUM(B31:B32)</f>
        <v>696</v>
      </c>
      <c r="C33" s="87">
        <f>SUM(C31:C32)</f>
        <v>696802.92999999959</v>
      </c>
      <c r="D33" s="132"/>
      <c r="E33" s="87">
        <f>SUM(E31:E32)</f>
        <v>644177.7979999996</v>
      </c>
      <c r="F33" s="87">
        <f>F32</f>
        <v>52625.132000000012</v>
      </c>
      <c r="G33" s="87">
        <v>1000000</v>
      </c>
      <c r="H33" s="88">
        <f>E33/G33</f>
        <v>0.64417779799999964</v>
      </c>
      <c r="I33" s="89"/>
      <c r="J33" s="90">
        <f>(H33/H$3)*G33</f>
        <v>1172403.5923599992</v>
      </c>
      <c r="K33" s="91">
        <f>J33-G33</f>
        <v>172403.59235999919</v>
      </c>
      <c r="M33" s="10"/>
      <c r="N33" s="10"/>
      <c r="O33" s="11"/>
      <c r="P33" s="11"/>
    </row>
    <row r="34" spans="1:39" ht="15" thickBot="1" x14ac:dyDescent="0.35">
      <c r="A34" s="66"/>
      <c r="B34" s="92"/>
      <c r="C34" s="70"/>
      <c r="D34" s="93"/>
      <c r="E34" s="70"/>
      <c r="F34" s="70"/>
      <c r="G34" s="70"/>
      <c r="H34" s="71"/>
      <c r="I34" s="72"/>
      <c r="J34" s="225"/>
      <c r="K34" s="226"/>
      <c r="M34" s="10"/>
      <c r="N34" s="10"/>
      <c r="O34" s="11"/>
      <c r="P34" s="11"/>
    </row>
    <row r="35" spans="1:39" x14ac:dyDescent="0.3">
      <c r="A35" s="134" t="s">
        <v>63</v>
      </c>
      <c r="B35" s="135">
        <f>P24</f>
        <v>247</v>
      </c>
      <c r="C35" s="136">
        <f>Q24</f>
        <v>370538.92</v>
      </c>
      <c r="D35" s="137">
        <v>1</v>
      </c>
      <c r="E35" s="136">
        <f>C35*D35</f>
        <v>370538.92</v>
      </c>
      <c r="F35" s="138"/>
      <c r="G35" s="235"/>
      <c r="H35" s="237"/>
      <c r="I35" s="139"/>
      <c r="J35" s="227"/>
      <c r="K35" s="228"/>
      <c r="M35" s="10"/>
      <c r="N35" s="10"/>
      <c r="O35" s="11"/>
      <c r="P35" s="11"/>
    </row>
    <row r="36" spans="1:39" x14ac:dyDescent="0.3">
      <c r="A36" s="140" t="s">
        <v>64</v>
      </c>
      <c r="B36" s="141">
        <f>P25</f>
        <v>155</v>
      </c>
      <c r="C36" s="142">
        <f>Q25</f>
        <v>214224.63000000015</v>
      </c>
      <c r="D36" s="143">
        <v>0.3</v>
      </c>
      <c r="E36" s="142">
        <f>C36*D36</f>
        <v>64267.389000000039</v>
      </c>
      <c r="F36" s="144">
        <f>C36-E36</f>
        <v>149957.2410000001</v>
      </c>
      <c r="G36" s="236"/>
      <c r="H36" s="238"/>
      <c r="I36" s="139"/>
      <c r="J36" s="233"/>
      <c r="K36" s="234"/>
      <c r="M36" s="10"/>
      <c r="N36" s="10"/>
      <c r="O36" s="11"/>
      <c r="P36"/>
      <c r="Q36"/>
    </row>
    <row r="37" spans="1:39" ht="15" customHeight="1" thickBot="1" x14ac:dyDescent="0.35">
      <c r="A37" s="83" t="s">
        <v>65</v>
      </c>
      <c r="B37" s="131">
        <f>SUM(B35:B36)</f>
        <v>402</v>
      </c>
      <c r="C37" s="87">
        <f>SUM(C35:C36)</f>
        <v>584763.55000000016</v>
      </c>
      <c r="D37" s="132"/>
      <c r="E37" s="87">
        <f>SUM(E35:E36)</f>
        <v>434806.30900000001</v>
      </c>
      <c r="F37" s="87">
        <f>F36</f>
        <v>149957.2410000001</v>
      </c>
      <c r="G37" s="87">
        <v>450000</v>
      </c>
      <c r="H37" s="88">
        <f>E37/G37</f>
        <v>0.96623624222222226</v>
      </c>
      <c r="I37" s="89"/>
      <c r="J37" s="90">
        <f>(H37/H$3)*G37</f>
        <v>791347.48237999994</v>
      </c>
      <c r="K37" s="91">
        <f>J37-G37</f>
        <v>341347.48237999994</v>
      </c>
      <c r="M37" s="10"/>
      <c r="N37" s="10"/>
      <c r="O37" s="11"/>
      <c r="P37" s="11"/>
    </row>
    <row r="38" spans="1:39" ht="15" thickBot="1" x14ac:dyDescent="0.35">
      <c r="A38" s="66"/>
      <c r="B38" s="92"/>
      <c r="C38" s="70"/>
      <c r="D38" s="93"/>
      <c r="E38" s="70"/>
      <c r="F38" s="70"/>
      <c r="G38" s="70"/>
      <c r="H38" s="71"/>
      <c r="I38" s="72"/>
      <c r="J38" s="225"/>
      <c r="K38" s="239"/>
      <c r="M38" s="10"/>
      <c r="N38" s="10"/>
      <c r="O38" s="11"/>
      <c r="P38" s="11"/>
    </row>
    <row r="39" spans="1:39" x14ac:dyDescent="0.3">
      <c r="A39" s="145" t="s">
        <v>66</v>
      </c>
      <c r="B39" s="107">
        <f>P26</f>
        <v>160</v>
      </c>
      <c r="C39" s="146">
        <f>Q26</f>
        <v>191385.23</v>
      </c>
      <c r="D39" s="147">
        <v>1</v>
      </c>
      <c r="E39" s="108">
        <f>C39*D39</f>
        <v>191385.23</v>
      </c>
      <c r="F39" s="110"/>
      <c r="G39" s="249"/>
      <c r="H39" s="251"/>
      <c r="I39" s="101"/>
      <c r="J39" s="248"/>
      <c r="K39" s="241"/>
      <c r="M39" s="10"/>
      <c r="N39" s="10"/>
      <c r="O39" s="11"/>
      <c r="P39" s="11"/>
      <c r="U39" s="43"/>
      <c r="V39" s="43"/>
      <c r="W39" s="43"/>
      <c r="X39" s="43"/>
      <c r="AD39" s="54"/>
      <c r="AE39" s="54"/>
      <c r="AF39" s="148"/>
      <c r="AG39" s="54"/>
    </row>
    <row r="40" spans="1:39" x14ac:dyDescent="0.3">
      <c r="A40" s="149" t="s">
        <v>67</v>
      </c>
      <c r="B40" s="95">
        <f>P27</f>
        <v>25</v>
      </c>
      <c r="C40" s="102">
        <f>Q27</f>
        <v>18448.8</v>
      </c>
      <c r="D40" s="103">
        <v>0.3</v>
      </c>
      <c r="E40" s="150">
        <f>C40*D40</f>
        <v>5534.6399999999994</v>
      </c>
      <c r="F40" s="151">
        <f>C40-E40</f>
        <v>12914.16</v>
      </c>
      <c r="G40" s="250"/>
      <c r="H40" s="252"/>
      <c r="I40" s="101"/>
      <c r="J40" s="242"/>
      <c r="K40" s="243"/>
      <c r="M40" s="10"/>
      <c r="N40" s="10"/>
      <c r="O40" s="11"/>
      <c r="P40" s="11"/>
      <c r="Q40" s="152"/>
      <c r="T40" s="153"/>
      <c r="U40" s="43"/>
      <c r="V40" s="43"/>
      <c r="W40" s="43"/>
      <c r="X40" s="43"/>
      <c r="AM40" s="154"/>
    </row>
    <row r="41" spans="1:39" ht="15" customHeight="1" thickBot="1" x14ac:dyDescent="0.35">
      <c r="A41" s="130" t="s">
        <v>68</v>
      </c>
      <c r="B41" s="131">
        <f>SUM(B39:B40)</f>
        <v>185</v>
      </c>
      <c r="C41" s="87">
        <f>SUM(C39:C40)</f>
        <v>209834.03</v>
      </c>
      <c r="D41" s="132"/>
      <c r="E41" s="87">
        <f>SUM(E39:E40)</f>
        <v>196919.87</v>
      </c>
      <c r="F41" s="87">
        <f>F40</f>
        <v>12914.16</v>
      </c>
      <c r="G41" s="87">
        <v>325000</v>
      </c>
      <c r="H41" s="88">
        <f>E41/G41</f>
        <v>0.60590729230769225</v>
      </c>
      <c r="I41" s="89"/>
      <c r="J41" s="90">
        <f>(H41/H$3)*G41</f>
        <v>358394.16339999996</v>
      </c>
      <c r="K41" s="91">
        <f>J41-G41</f>
        <v>33394.163399999961</v>
      </c>
      <c r="M41" s="10"/>
      <c r="N41" s="10"/>
      <c r="O41" s="11"/>
      <c r="P41" s="11"/>
      <c r="Q41" s="152"/>
      <c r="U41" s="43"/>
      <c r="V41" s="43"/>
      <c r="W41" s="43"/>
      <c r="X41" s="43"/>
      <c r="AD41" s="65"/>
      <c r="AE41" s="65"/>
      <c r="AF41" s="155"/>
      <c r="AG41" s="65"/>
    </row>
    <row r="42" spans="1:39" ht="15" thickBot="1" x14ac:dyDescent="0.35">
      <c r="A42" s="66"/>
      <c r="B42" s="92"/>
      <c r="C42" s="70"/>
      <c r="D42" s="93"/>
      <c r="E42" s="70"/>
      <c r="F42" s="70"/>
      <c r="G42" s="70"/>
      <c r="H42" s="71"/>
      <c r="I42" s="72"/>
      <c r="J42" s="225"/>
      <c r="K42" s="226"/>
      <c r="M42" s="10"/>
      <c r="N42" s="10"/>
      <c r="O42" s="11"/>
      <c r="P42" s="11"/>
    </row>
    <row r="43" spans="1:39" x14ac:dyDescent="0.3">
      <c r="A43" s="156" t="s">
        <v>69</v>
      </c>
      <c r="B43" s="135">
        <f>P29</f>
        <v>49</v>
      </c>
      <c r="C43" s="136">
        <f>Q29</f>
        <v>49815.999999999993</v>
      </c>
      <c r="D43" s="118">
        <v>1</v>
      </c>
      <c r="E43" s="119">
        <f>C43*D43</f>
        <v>49815.999999999993</v>
      </c>
      <c r="F43" s="157"/>
      <c r="G43" s="235"/>
      <c r="H43" s="237"/>
      <c r="I43" s="139"/>
      <c r="J43" s="227"/>
      <c r="K43" s="228"/>
      <c r="M43" s="10"/>
      <c r="N43" s="10"/>
      <c r="O43" s="11"/>
      <c r="P43" s="11"/>
      <c r="AD43" s="65"/>
      <c r="AE43" s="65"/>
      <c r="AF43" s="155"/>
      <c r="AG43" s="65"/>
      <c r="AI43" s="65"/>
      <c r="AJ43" s="65"/>
      <c r="AK43" s="65"/>
    </row>
    <row r="44" spans="1:39" x14ac:dyDescent="0.3">
      <c r="A44" s="140" t="s">
        <v>70</v>
      </c>
      <c r="B44" s="141">
        <f>P30</f>
        <v>29</v>
      </c>
      <c r="C44" s="142">
        <f>Q30</f>
        <v>44477.899999999987</v>
      </c>
      <c r="D44" s="125">
        <v>0.3</v>
      </c>
      <c r="E44" s="126">
        <f>C44*D44</f>
        <v>13343.369999999995</v>
      </c>
      <c r="F44" s="106">
        <f>C44-E44</f>
        <v>31134.529999999992</v>
      </c>
      <c r="G44" s="236"/>
      <c r="H44" s="238"/>
      <c r="I44" s="139"/>
      <c r="J44" s="233"/>
      <c r="K44" s="234"/>
      <c r="M44" s="10"/>
      <c r="N44" s="10"/>
      <c r="O44" s="11"/>
      <c r="P44" s="11"/>
      <c r="AD44" s="65"/>
      <c r="AE44" s="65"/>
      <c r="AF44" s="65"/>
      <c r="AG44" s="65"/>
    </row>
    <row r="45" spans="1:39" ht="15" customHeight="1" thickBot="1" x14ac:dyDescent="0.35">
      <c r="A45" s="130" t="s">
        <v>71</v>
      </c>
      <c r="B45" s="131">
        <f>SUM(B43:B44)</f>
        <v>78</v>
      </c>
      <c r="C45" s="87">
        <f>SUM(C43:C44)</f>
        <v>94293.89999999998</v>
      </c>
      <c r="D45" s="132"/>
      <c r="E45" s="87">
        <f>SUM(E43:E44)</f>
        <v>63159.369999999988</v>
      </c>
      <c r="F45" s="87">
        <f>F44</f>
        <v>31134.529999999992</v>
      </c>
      <c r="G45" s="87">
        <v>300000</v>
      </c>
      <c r="H45" s="88">
        <f>E45/G45</f>
        <v>0.21053123333333329</v>
      </c>
      <c r="I45" s="89"/>
      <c r="J45" s="90">
        <f>(H45/H$3)*G45</f>
        <v>114950.05339999998</v>
      </c>
      <c r="K45" s="91">
        <f>J45-G45</f>
        <v>-185049.94660000002</v>
      </c>
      <c r="M45" s="10"/>
      <c r="N45" s="10"/>
      <c r="O45" s="11"/>
      <c r="P45" s="11"/>
      <c r="AD45" s="65"/>
      <c r="AE45" s="65"/>
      <c r="AF45" s="65"/>
      <c r="AG45" s="65"/>
    </row>
    <row r="46" spans="1:39" ht="15" thickBot="1" x14ac:dyDescent="0.35">
      <c r="A46" s="66"/>
      <c r="B46" s="92"/>
      <c r="C46" s="70"/>
      <c r="D46" s="93"/>
      <c r="E46" s="70"/>
      <c r="F46" s="158"/>
      <c r="G46" s="70"/>
      <c r="H46" s="71"/>
      <c r="I46" s="72"/>
      <c r="J46" s="225"/>
      <c r="K46" s="239"/>
      <c r="M46" s="10"/>
      <c r="N46" s="10"/>
      <c r="O46" s="11"/>
      <c r="P46" s="11"/>
      <c r="AF46" s="2"/>
    </row>
    <row r="47" spans="1:39" x14ac:dyDescent="0.3">
      <c r="A47" s="156" t="s">
        <v>72</v>
      </c>
      <c r="B47" s="135">
        <f>P31</f>
        <v>53</v>
      </c>
      <c r="C47" s="136">
        <f>Q31</f>
        <v>48944.53</v>
      </c>
      <c r="D47" s="118">
        <v>1</v>
      </c>
      <c r="E47" s="119">
        <f>C47*D47</f>
        <v>48944.53</v>
      </c>
      <c r="F47" s="157"/>
      <c r="G47" s="235"/>
      <c r="H47" s="237"/>
      <c r="I47" s="139"/>
      <c r="J47" s="240"/>
      <c r="K47" s="241"/>
      <c r="M47" s="10"/>
      <c r="N47" s="10"/>
      <c r="O47" s="11"/>
      <c r="P47" s="11"/>
      <c r="AF47" s="2"/>
    </row>
    <row r="48" spans="1:39" x14ac:dyDescent="0.3">
      <c r="A48" s="140" t="s">
        <v>73</v>
      </c>
      <c r="B48" s="141"/>
      <c r="C48" s="142"/>
      <c r="D48" s="125">
        <v>0.3</v>
      </c>
      <c r="E48" s="126">
        <f>C48*D48</f>
        <v>0</v>
      </c>
      <c r="F48" s="106">
        <f>C48-E48</f>
        <v>0</v>
      </c>
      <c r="G48" s="236"/>
      <c r="H48" s="238"/>
      <c r="I48" s="139"/>
      <c r="J48" s="240"/>
      <c r="K48" s="241"/>
      <c r="M48" s="10"/>
      <c r="N48" s="10"/>
      <c r="O48" s="11"/>
      <c r="P48" s="11"/>
      <c r="AF48" s="2"/>
    </row>
    <row r="49" spans="1:16" ht="15" customHeight="1" thickBot="1" x14ac:dyDescent="0.35">
      <c r="A49" s="130" t="s">
        <v>74</v>
      </c>
      <c r="B49" s="131">
        <f>SUM(B47:B48)</f>
        <v>53</v>
      </c>
      <c r="C49" s="87">
        <f>SUM(C47:C48)</f>
        <v>48944.53</v>
      </c>
      <c r="D49" s="132"/>
      <c r="E49" s="87">
        <f>SUM(E47:E48)</f>
        <v>48944.53</v>
      </c>
      <c r="F49" s="87">
        <f>F48</f>
        <v>0</v>
      </c>
      <c r="G49" s="87">
        <v>275000</v>
      </c>
      <c r="H49" s="88">
        <f>E49/G49</f>
        <v>0.17798010909090908</v>
      </c>
      <c r="I49" s="89"/>
      <c r="J49" s="240"/>
      <c r="K49" s="241"/>
      <c r="M49" s="10"/>
      <c r="N49" s="10"/>
      <c r="O49" s="11"/>
      <c r="P49" s="11"/>
    </row>
    <row r="50" spans="1:16" ht="15" thickBot="1" x14ac:dyDescent="0.35">
      <c r="A50" s="66"/>
      <c r="B50" s="92"/>
      <c r="C50" s="70"/>
      <c r="D50" s="93"/>
      <c r="E50" s="70"/>
      <c r="F50" s="158"/>
      <c r="G50" s="70"/>
      <c r="H50" s="71"/>
      <c r="I50" s="72"/>
      <c r="J50" s="240"/>
      <c r="K50" s="241"/>
      <c r="M50" s="10"/>
      <c r="N50" s="10"/>
      <c r="O50" s="11"/>
      <c r="P50" s="11"/>
    </row>
    <row r="51" spans="1:16" ht="16.5" customHeight="1" x14ac:dyDescent="0.3">
      <c r="A51" s="115" t="s">
        <v>75</v>
      </c>
      <c r="B51" s="123">
        <f>P23</f>
        <v>920</v>
      </c>
      <c r="C51" s="124">
        <f>Q23</f>
        <v>480387.74999999924</v>
      </c>
      <c r="D51" s="125">
        <v>0.3</v>
      </c>
      <c r="E51" s="119">
        <f>C51*D51</f>
        <v>144116.32499999978</v>
      </c>
      <c r="F51" s="159">
        <f>C51-E51</f>
        <v>336271.42499999946</v>
      </c>
      <c r="G51" s="160"/>
      <c r="H51" s="161"/>
      <c r="I51" s="121"/>
      <c r="J51" s="242"/>
      <c r="K51" s="243"/>
      <c r="M51" s="10"/>
      <c r="N51" s="10"/>
      <c r="O51" s="11"/>
      <c r="P51" s="11"/>
    </row>
    <row r="52" spans="1:16" ht="15" customHeight="1" thickBot="1" x14ac:dyDescent="0.35">
      <c r="A52" s="130" t="s">
        <v>76</v>
      </c>
      <c r="B52" s="131">
        <f>B51</f>
        <v>920</v>
      </c>
      <c r="C52" s="87">
        <f>C51</f>
        <v>480387.74999999924</v>
      </c>
      <c r="D52" s="132"/>
      <c r="E52" s="87">
        <f>E51</f>
        <v>144116.32499999978</v>
      </c>
      <c r="F52" s="87">
        <f>F51</f>
        <v>336271.42499999946</v>
      </c>
      <c r="G52" s="87">
        <v>916667</v>
      </c>
      <c r="H52" s="88"/>
      <c r="I52" s="89"/>
      <c r="J52" s="162">
        <f>(H52/H$3)*G$52</f>
        <v>0</v>
      </c>
      <c r="K52" s="91">
        <f>J52-G52</f>
        <v>-916667</v>
      </c>
      <c r="M52" s="10"/>
      <c r="N52" s="10"/>
      <c r="O52" s="11"/>
      <c r="P52" s="11"/>
    </row>
    <row r="53" spans="1:16" ht="15" thickBot="1" x14ac:dyDescent="0.35">
      <c r="A53" s="66"/>
      <c r="B53" s="92"/>
      <c r="C53" s="70"/>
      <c r="D53" s="93"/>
      <c r="E53" s="70"/>
      <c r="F53" s="158"/>
      <c r="G53" s="70"/>
      <c r="H53" s="71"/>
      <c r="I53" s="72"/>
      <c r="J53" s="225"/>
      <c r="K53" s="226"/>
      <c r="M53" s="10"/>
      <c r="N53" s="10"/>
      <c r="O53" s="11"/>
      <c r="P53" s="11"/>
    </row>
    <row r="54" spans="1:16" ht="15" thickBot="1" x14ac:dyDescent="0.35">
      <c r="A54" s="163" t="s">
        <v>77</v>
      </c>
      <c r="B54" s="164">
        <f>P28</f>
        <v>1297</v>
      </c>
      <c r="C54" s="165">
        <f>Q28</f>
        <v>24116.36000000003</v>
      </c>
      <c r="D54" s="166">
        <v>1</v>
      </c>
      <c r="E54" s="165">
        <f>C54*D54</f>
        <v>24116.36000000003</v>
      </c>
      <c r="F54" s="167"/>
      <c r="G54" s="168">
        <v>546455</v>
      </c>
      <c r="H54" s="169"/>
      <c r="I54" s="79"/>
      <c r="J54" s="227"/>
      <c r="K54" s="228"/>
      <c r="M54" s="10"/>
      <c r="N54" s="10"/>
      <c r="O54" s="11"/>
      <c r="P54" s="11"/>
    </row>
    <row r="55" spans="1:16" ht="15" thickBot="1" x14ac:dyDescent="0.35">
      <c r="A55" s="66"/>
      <c r="B55" s="92"/>
      <c r="C55" s="70"/>
      <c r="D55" s="69"/>
      <c r="E55" s="68"/>
      <c r="F55" s="159"/>
      <c r="G55" s="70"/>
      <c r="H55" s="71"/>
      <c r="I55" s="79"/>
      <c r="J55" s="227"/>
      <c r="K55" s="228"/>
      <c r="M55" s="10"/>
      <c r="N55" s="10"/>
      <c r="O55" s="11"/>
      <c r="P55" s="11"/>
    </row>
    <row r="56" spans="1:16" ht="15" thickBot="1" x14ac:dyDescent="0.35">
      <c r="A56" s="130" t="s">
        <v>78</v>
      </c>
      <c r="B56" s="131">
        <f>B55</f>
        <v>0</v>
      </c>
      <c r="C56" s="87">
        <v>178034</v>
      </c>
      <c r="D56" s="132"/>
      <c r="E56" s="87">
        <f>C56</f>
        <v>178034</v>
      </c>
      <c r="F56" s="87">
        <f>F55</f>
        <v>0</v>
      </c>
      <c r="G56" s="87">
        <v>546455</v>
      </c>
      <c r="H56" s="88">
        <f>E56/G56</f>
        <v>0.32579809865405202</v>
      </c>
      <c r="I56" s="79"/>
      <c r="J56" s="227"/>
      <c r="K56" s="228"/>
      <c r="M56" s="10"/>
      <c r="N56" s="10"/>
      <c r="O56" s="11"/>
      <c r="P56" s="11"/>
    </row>
    <row r="57" spans="1:16" ht="15" thickBot="1" x14ac:dyDescent="0.35">
      <c r="A57" s="66"/>
      <c r="B57" s="92"/>
      <c r="C57" s="70"/>
      <c r="D57" s="69"/>
      <c r="E57" s="68"/>
      <c r="F57" s="159"/>
      <c r="G57" s="70"/>
      <c r="H57" s="71"/>
      <c r="I57" s="72"/>
      <c r="J57" s="229"/>
      <c r="K57" s="230"/>
      <c r="M57" s="10"/>
      <c r="N57" s="10"/>
      <c r="O57" s="11"/>
      <c r="P57" s="11"/>
    </row>
    <row r="58" spans="1:16" ht="15" thickBot="1" x14ac:dyDescent="0.35">
      <c r="A58" s="170" t="s">
        <v>11</v>
      </c>
      <c r="B58" s="171"/>
      <c r="C58" s="172"/>
      <c r="D58" s="173"/>
      <c r="E58" s="172">
        <f>SUM(E13,E17,E21,E25,E29,E33,E37,E41,E45,E49,E52,E54,E56)</f>
        <v>3849542.9960000012</v>
      </c>
      <c r="F58" s="172"/>
      <c r="G58" s="174">
        <f>SUM(G13:G54)</f>
        <v>7917043</v>
      </c>
      <c r="H58" s="175">
        <f>SUM(E58)/G58</f>
        <v>0.48623494857865507</v>
      </c>
      <c r="I58" s="176"/>
      <c r="J58" s="177">
        <f>(H58/H$3)*G58</f>
        <v>7006168.2527200012</v>
      </c>
      <c r="K58" s="178">
        <f>J58-G58</f>
        <v>-910874.74727999885</v>
      </c>
      <c r="M58" s="10"/>
      <c r="N58" s="10"/>
      <c r="O58" s="11"/>
      <c r="P58" s="11"/>
    </row>
    <row r="59" spans="1:16" ht="15" thickBot="1" x14ac:dyDescent="0.35">
      <c r="A59" s="66"/>
      <c r="B59" s="92"/>
      <c r="C59" s="70"/>
      <c r="D59" s="93"/>
      <c r="E59" s="70"/>
      <c r="F59" s="158"/>
      <c r="G59" s="70"/>
      <c r="H59" s="71"/>
      <c r="I59" s="72"/>
      <c r="J59" s="179"/>
      <c r="K59" s="180"/>
      <c r="M59" s="10"/>
      <c r="N59" s="10"/>
      <c r="O59" s="11"/>
      <c r="P59" s="11"/>
    </row>
    <row r="60" spans="1:16" ht="15" thickBot="1" x14ac:dyDescent="0.35">
      <c r="A60" s="170" t="s">
        <v>12</v>
      </c>
      <c r="B60" s="171"/>
      <c r="C60" s="181"/>
      <c r="D60" s="173"/>
      <c r="E60" s="172"/>
      <c r="F60" s="172">
        <f>SUM(F13,F17,F21,F25,F29,F33,F37,F41,F45,F49,F52)</f>
        <v>707491.06399999955</v>
      </c>
      <c r="G60" s="174"/>
      <c r="H60" s="175"/>
      <c r="I60" s="176"/>
      <c r="J60" s="182">
        <f>(H60/H$3)*G60</f>
        <v>0</v>
      </c>
      <c r="K60" s="178">
        <f>J60-G60</f>
        <v>0</v>
      </c>
      <c r="M60" s="10"/>
      <c r="N60" s="10"/>
      <c r="O60" s="11"/>
      <c r="P60" s="11"/>
    </row>
    <row r="61" spans="1:16" ht="15" thickBot="1" x14ac:dyDescent="0.35">
      <c r="A61" s="66"/>
      <c r="B61" s="92"/>
      <c r="D61" s="93"/>
      <c r="E61" s="70"/>
      <c r="F61" s="158"/>
      <c r="G61" s="70"/>
      <c r="H61" s="71"/>
      <c r="I61" s="72"/>
      <c r="J61" s="179"/>
      <c r="K61" s="180"/>
      <c r="M61" s="10"/>
      <c r="N61" s="10"/>
      <c r="O61" s="11"/>
      <c r="P61" s="11"/>
    </row>
    <row r="62" spans="1:16" ht="15" thickBot="1" x14ac:dyDescent="0.35">
      <c r="A62" s="170" t="s">
        <v>61</v>
      </c>
      <c r="B62" s="171">
        <f>SUM(B13,B17,B21,B25,B29,B33,B37,B41,B45,B49,B52,B54,B56)</f>
        <v>6543</v>
      </c>
      <c r="C62" s="181">
        <f>SUM(C13,C17,C21,C25,C29,C33,C37,C41,C45,C49,C52,C54,C56)</f>
        <v>4557034.0600000015</v>
      </c>
      <c r="D62" s="173"/>
      <c r="E62" s="172"/>
      <c r="F62" s="172">
        <f>SUM(E58:F61)</f>
        <v>4557034.0600000005</v>
      </c>
      <c r="G62" s="174">
        <f>SUM(G58:G61)</f>
        <v>7917043</v>
      </c>
      <c r="H62" s="175">
        <f>SUM(C62)/G62</f>
        <v>0.57559799283646707</v>
      </c>
      <c r="I62" s="176"/>
      <c r="J62" s="182">
        <f>(H62/H$3)*G62</f>
        <v>8293801.9892000016</v>
      </c>
      <c r="K62" s="178">
        <f>J62-G62</f>
        <v>376758.98920000158</v>
      </c>
      <c r="M62" s="10"/>
      <c r="N62" s="10"/>
      <c r="O62" s="11"/>
      <c r="P62" s="11"/>
    </row>
    <row r="63" spans="1:16" x14ac:dyDescent="0.3">
      <c r="C63" s="82"/>
      <c r="M63" s="10"/>
      <c r="N63" s="10"/>
      <c r="O63" s="11"/>
      <c r="P63" s="11"/>
    </row>
    <row r="64" spans="1:16" x14ac:dyDescent="0.3">
      <c r="B64" s="183"/>
      <c r="C64" s="184"/>
      <c r="D64" s="184"/>
      <c r="E64" s="184"/>
      <c r="F64" s="184"/>
      <c r="G64" s="184"/>
      <c r="H64" s="184"/>
      <c r="I64" s="184"/>
      <c r="J64" s="184"/>
      <c r="K64" s="184"/>
      <c r="M64" s="10"/>
      <c r="N64" s="10"/>
      <c r="O64" s="11"/>
      <c r="P64" s="11"/>
    </row>
    <row r="65" spans="1:37" ht="15" customHeight="1" x14ac:dyDescent="0.3">
      <c r="A65" s="231" t="s">
        <v>79</v>
      </c>
      <c r="B65" s="231"/>
      <c r="C65" s="231"/>
      <c r="D65" s="231"/>
      <c r="E65" s="231"/>
      <c r="F65" s="231"/>
      <c r="G65" s="231"/>
      <c r="H65" s="231"/>
      <c r="I65" s="185"/>
      <c r="J65" s="186"/>
      <c r="K65" s="185"/>
      <c r="M65" s="10"/>
      <c r="N65" s="10"/>
      <c r="O65" s="11"/>
      <c r="P65" s="11"/>
    </row>
    <row r="66" spans="1:37" x14ac:dyDescent="0.3">
      <c r="A66" s="232"/>
      <c r="B66" s="232"/>
      <c r="C66" s="232"/>
      <c r="D66" s="232"/>
      <c r="E66" s="232"/>
      <c r="F66" s="232"/>
      <c r="G66" s="232"/>
      <c r="H66" s="232"/>
      <c r="I66" s="185"/>
      <c r="J66" s="186"/>
      <c r="K66" s="185"/>
      <c r="L66" s="82"/>
      <c r="M66" s="10"/>
      <c r="N66" s="10"/>
      <c r="O66" s="11"/>
      <c r="P66" s="11"/>
      <c r="Q66"/>
    </row>
    <row r="67" spans="1:37" x14ac:dyDescent="0.3">
      <c r="M67" s="10"/>
      <c r="N67" s="10"/>
      <c r="O67" s="11"/>
      <c r="P67" s="11"/>
    </row>
    <row r="68" spans="1:37" ht="21" customHeight="1" x14ac:dyDescent="0.3">
      <c r="G68" s="82"/>
      <c r="J68" s="187"/>
      <c r="M68" s="10"/>
      <c r="N68" s="10"/>
      <c r="O68" s="11"/>
      <c r="R68" s="10"/>
    </row>
    <row r="69" spans="1:37" ht="21" customHeight="1" x14ac:dyDescent="0.3">
      <c r="B69" s="188"/>
      <c r="C69" s="82"/>
      <c r="G69"/>
      <c r="M69" s="10"/>
      <c r="N69" s="10"/>
      <c r="O69" s="10"/>
      <c r="P69" s="10"/>
      <c r="Q69" s="10"/>
      <c r="R69" s="10"/>
    </row>
    <row r="70" spans="1:37" s="189" customFormat="1" ht="39.75" customHeight="1" x14ac:dyDescent="0.3">
      <c r="A70"/>
      <c r="B70"/>
      <c r="C70"/>
      <c r="D70"/>
      <c r="E70"/>
      <c r="F70"/>
      <c r="G70" s="1"/>
      <c r="H70"/>
      <c r="I70"/>
      <c r="J70" s="2"/>
      <c r="K70"/>
      <c r="M70" s="10"/>
      <c r="N70" s="10"/>
      <c r="O70" s="10"/>
      <c r="P70" s="10"/>
      <c r="Q70" s="10"/>
      <c r="R70" s="10"/>
      <c r="S70"/>
      <c r="T70"/>
      <c r="U70"/>
      <c r="V70"/>
      <c r="W70"/>
      <c r="X70"/>
      <c r="Y70"/>
      <c r="Z70"/>
      <c r="AA70"/>
      <c r="AB70"/>
      <c r="AD70"/>
      <c r="AE70"/>
      <c r="AF70"/>
      <c r="AG70"/>
      <c r="AH70"/>
      <c r="AI70"/>
      <c r="AJ70"/>
      <c r="AK70"/>
    </row>
    <row r="71" spans="1:37" s="189" customFormat="1" ht="39.75" hidden="1" customHeight="1" x14ac:dyDescent="0.3">
      <c r="A71" t="s">
        <v>80</v>
      </c>
      <c r="B71">
        <f t="shared" ref="B71:G71" si="6">SUM(B68:B70)</f>
        <v>0</v>
      </c>
      <c r="C71">
        <f t="shared" si="6"/>
        <v>0</v>
      </c>
      <c r="D71">
        <f t="shared" si="6"/>
        <v>0</v>
      </c>
      <c r="E71">
        <f t="shared" si="6"/>
        <v>0</v>
      </c>
      <c r="F71">
        <f t="shared" si="6"/>
        <v>0</v>
      </c>
      <c r="G71" s="1">
        <f t="shared" si="6"/>
        <v>0</v>
      </c>
      <c r="H71"/>
      <c r="I71"/>
      <c r="J71" s="2"/>
      <c r="K71"/>
      <c r="M71" s="190"/>
      <c r="O71" s="10"/>
      <c r="P71" s="10"/>
      <c r="Q71" s="10"/>
      <c r="R71" s="10"/>
      <c r="T71"/>
      <c r="U71"/>
      <c r="V71"/>
      <c r="X71"/>
      <c r="Y71"/>
      <c r="Z71"/>
      <c r="AA71"/>
      <c r="AB71"/>
      <c r="AD71"/>
      <c r="AE71"/>
      <c r="AF71"/>
      <c r="AG71"/>
      <c r="AH71"/>
    </row>
    <row r="72" spans="1:37" hidden="1" x14ac:dyDescent="0.3">
      <c r="O72" s="10"/>
      <c r="P72" s="10"/>
      <c r="Q72" s="10"/>
      <c r="S72" s="189"/>
      <c r="T72" s="189"/>
      <c r="U72" s="189"/>
      <c r="V72" s="189"/>
      <c r="W72" s="189"/>
      <c r="AI72" s="189"/>
      <c r="AJ72" s="189"/>
      <c r="AK72" s="189"/>
    </row>
    <row r="73" spans="1:37" hidden="1" x14ac:dyDescent="0.3">
      <c r="O73" s="191"/>
      <c r="P73" s="191"/>
      <c r="T73" s="189"/>
      <c r="U73" s="189"/>
      <c r="V73" s="189"/>
      <c r="AB73" s="189"/>
      <c r="AH73" s="189"/>
    </row>
    <row r="74" spans="1:37" ht="15" hidden="1" thickBot="1" x14ac:dyDescent="0.35">
      <c r="A74" s="192" t="s">
        <v>61</v>
      </c>
      <c r="B74" s="193">
        <v>6196</v>
      </c>
      <c r="C74" s="194">
        <v>3871765.8300001109</v>
      </c>
      <c r="D74" s="195">
        <v>0.78696050117264404</v>
      </c>
      <c r="E74" s="196">
        <v>3046926.7780000055</v>
      </c>
      <c r="F74" s="197">
        <v>824839.05199999909</v>
      </c>
      <c r="G74" s="194">
        <v>7182150.0000000009</v>
      </c>
      <c r="H74" s="198">
        <v>0.42423602653801512</v>
      </c>
      <c r="I74" s="176"/>
      <c r="J74" s="199">
        <v>7493792.8864324465</v>
      </c>
      <c r="K74" s="200">
        <v>311642.88643244561</v>
      </c>
      <c r="X74" s="189"/>
      <c r="Y74" s="189"/>
      <c r="Z74" s="189"/>
      <c r="AA74" s="189"/>
      <c r="AB74" s="189"/>
      <c r="AH74" s="189"/>
    </row>
    <row r="75" spans="1:37" hidden="1" x14ac:dyDescent="0.3">
      <c r="A75" s="201"/>
      <c r="B75" s="202"/>
      <c r="C75" s="203"/>
      <c r="D75" s="203"/>
      <c r="E75" s="203"/>
      <c r="F75" s="203"/>
      <c r="G75" s="203"/>
      <c r="H75" s="203"/>
      <c r="I75" s="176"/>
      <c r="J75" s="204"/>
      <c r="K75" s="203"/>
      <c r="X75" s="189"/>
      <c r="Y75" s="189"/>
      <c r="Z75" s="189"/>
      <c r="AA75" s="189"/>
    </row>
    <row r="76" spans="1:37" hidden="1" x14ac:dyDescent="0.3"/>
    <row r="77" spans="1:37" ht="15" hidden="1" thickBot="1" x14ac:dyDescent="0.35">
      <c r="A77" s="205" t="s">
        <v>81</v>
      </c>
      <c r="B77" s="206"/>
      <c r="C77" s="207"/>
      <c r="D77" s="208"/>
      <c r="E77" s="208">
        <v>3046926.7780000055</v>
      </c>
      <c r="F77" s="209"/>
      <c r="G77" s="207">
        <v>7182150.0000000009</v>
      </c>
      <c r="H77" s="210">
        <v>0.42423602653801512</v>
      </c>
      <c r="I77" s="176"/>
      <c r="J77" s="199">
        <v>7493792.8864324465</v>
      </c>
      <c r="K77" s="200">
        <v>311642.88643244561</v>
      </c>
    </row>
    <row r="78" spans="1:37" ht="15" hidden="1" thickBot="1" x14ac:dyDescent="0.35">
      <c r="A78" s="211" t="s">
        <v>82</v>
      </c>
      <c r="B78" s="212"/>
      <c r="C78" s="213"/>
      <c r="D78" s="203"/>
      <c r="E78" s="203"/>
      <c r="F78" s="214">
        <v>824839.05199999909</v>
      </c>
      <c r="G78" s="213"/>
      <c r="H78" s="215">
        <v>0.2914625625441693</v>
      </c>
      <c r="I78" s="176"/>
      <c r="J78" s="199">
        <v>2028658.2089729707</v>
      </c>
      <c r="K78" s="200">
        <v>-801341.79102702928</v>
      </c>
    </row>
    <row r="79" spans="1:37" ht="15" hidden="1" thickBot="1" x14ac:dyDescent="0.35">
      <c r="A79" s="216" t="s">
        <v>83</v>
      </c>
      <c r="B79" s="217"/>
      <c r="C79" s="218">
        <v>3871765.8300000047</v>
      </c>
      <c r="D79" s="219"/>
      <c r="E79" s="219"/>
      <c r="F79" s="220"/>
      <c r="G79" s="221"/>
      <c r="H79" s="222">
        <v>0.38670673431780433</v>
      </c>
      <c r="I79" s="176"/>
      <c r="J79" s="199">
        <v>9522451.0954054166</v>
      </c>
      <c r="K79" s="200">
        <v>-489698.90459458344</v>
      </c>
    </row>
    <row r="80" spans="1:37" hidden="1" x14ac:dyDescent="0.3">
      <c r="A80" s="201"/>
      <c r="B80" s="202"/>
      <c r="C80" s="203"/>
      <c r="D80" s="203"/>
      <c r="E80" s="203"/>
      <c r="F80" s="203"/>
      <c r="G80" s="203"/>
      <c r="H80" s="176"/>
      <c r="I80" s="176"/>
      <c r="J80" s="204"/>
      <c r="K80" s="203"/>
    </row>
    <row r="81" spans="1:33" hidden="1" x14ac:dyDescent="0.3">
      <c r="B81" s="183">
        <v>6196</v>
      </c>
      <c r="C81" s="1">
        <v>3871765.8300000052</v>
      </c>
      <c r="D81" s="1"/>
      <c r="E81" s="1"/>
      <c r="F81" s="1"/>
      <c r="G81" s="1">
        <v>7182150.0000000009</v>
      </c>
      <c r="H81" s="1"/>
      <c r="I81" s="1"/>
      <c r="J81" s="184">
        <v>7423408.4691351494</v>
      </c>
      <c r="K81" s="1">
        <v>241258.46913514897</v>
      </c>
    </row>
    <row r="82" spans="1:33" hidden="1" x14ac:dyDescent="0.3"/>
    <row r="83" spans="1:33" hidden="1" x14ac:dyDescent="0.3">
      <c r="C83" s="82"/>
    </row>
    <row r="84" spans="1:33" hidden="1" x14ac:dyDescent="0.3">
      <c r="A84" s="223"/>
      <c r="B84" s="188"/>
      <c r="Q84"/>
    </row>
    <row r="85" spans="1:33" hidden="1" x14ac:dyDescent="0.3">
      <c r="AG85" s="189"/>
    </row>
    <row r="86" spans="1:33" hidden="1" x14ac:dyDescent="0.3">
      <c r="AG86" s="189"/>
    </row>
    <row r="87" spans="1:33" x14ac:dyDescent="0.3">
      <c r="M87" s="10"/>
      <c r="N87" s="10"/>
    </row>
    <row r="88" spans="1:33" x14ac:dyDescent="0.3">
      <c r="M88" s="10"/>
      <c r="N88" s="10"/>
      <c r="R88" s="10"/>
      <c r="S88" s="10"/>
    </row>
    <row r="89" spans="1:33" x14ac:dyDescent="0.3">
      <c r="M89" s="10"/>
      <c r="N89" s="10"/>
      <c r="O89" s="10"/>
      <c r="P89" s="10"/>
      <c r="Q89" s="10"/>
      <c r="R89" s="10"/>
      <c r="S89" s="10"/>
      <c r="T89" s="10"/>
      <c r="U89" s="10"/>
    </row>
    <row r="90" spans="1:33" x14ac:dyDescent="0.3">
      <c r="M90" s="10"/>
      <c r="N90" s="10"/>
      <c r="O90" s="10"/>
      <c r="P90" s="10"/>
      <c r="Q90" s="10"/>
      <c r="R90" s="10"/>
      <c r="S90" s="10"/>
      <c r="T90" s="10"/>
      <c r="U90" s="10"/>
    </row>
    <row r="91" spans="1:33" x14ac:dyDescent="0.3">
      <c r="M91" s="10"/>
      <c r="N91" s="10"/>
      <c r="O91" s="10"/>
      <c r="P91" s="10"/>
      <c r="Q91" s="10"/>
      <c r="R91" s="10"/>
      <c r="S91" s="10"/>
      <c r="T91" s="10"/>
      <c r="U91" s="10"/>
    </row>
    <row r="92" spans="1:33" x14ac:dyDescent="0.3">
      <c r="M92" s="10"/>
      <c r="N92" s="10"/>
      <c r="O92" s="10"/>
      <c r="P92" s="10"/>
      <c r="Q92" s="10"/>
      <c r="R92" s="10"/>
      <c r="S92" s="10"/>
      <c r="T92" s="10"/>
      <c r="U92" s="10"/>
    </row>
    <row r="93" spans="1:33" x14ac:dyDescent="0.3">
      <c r="M93" s="10"/>
      <c r="N93" s="10"/>
      <c r="O93" s="10"/>
      <c r="P93" s="10"/>
      <c r="Q93" s="10"/>
      <c r="R93" s="10"/>
      <c r="S93" s="10"/>
      <c r="T93" s="10"/>
      <c r="U93" s="10"/>
    </row>
    <row r="94" spans="1:33" x14ac:dyDescent="0.3">
      <c r="M94" s="10"/>
      <c r="N94" s="10"/>
      <c r="O94" s="10"/>
      <c r="P94" s="10"/>
      <c r="Q94" s="10"/>
      <c r="R94" s="10"/>
      <c r="S94" s="10"/>
      <c r="T94" s="10"/>
      <c r="U94" s="10"/>
    </row>
    <row r="95" spans="1:33" x14ac:dyDescent="0.3">
      <c r="M95" s="10"/>
      <c r="N95" s="10"/>
      <c r="O95" s="10"/>
      <c r="P95" s="10"/>
      <c r="Q95" s="10"/>
      <c r="R95" s="10"/>
      <c r="S95" s="10"/>
      <c r="T95" s="10"/>
      <c r="U95" s="10"/>
    </row>
    <row r="96" spans="1:33" x14ac:dyDescent="0.3">
      <c r="M96" s="10"/>
      <c r="N96" s="10"/>
      <c r="O96" s="10"/>
      <c r="P96" s="10"/>
      <c r="Q96" s="10"/>
      <c r="R96" s="10"/>
      <c r="S96" s="10"/>
      <c r="T96" s="10"/>
      <c r="U96" s="10"/>
      <c r="AD96" s="189"/>
      <c r="AE96" s="189"/>
      <c r="AF96" s="189"/>
    </row>
    <row r="97" spans="13:32" x14ac:dyDescent="0.3">
      <c r="M97" s="10"/>
      <c r="N97" s="10"/>
      <c r="O97" s="10"/>
      <c r="P97" s="10"/>
      <c r="Q97" s="10"/>
      <c r="R97" s="10"/>
      <c r="S97" s="10"/>
      <c r="T97" s="10"/>
      <c r="U97" s="10"/>
      <c r="AD97" s="189"/>
      <c r="AE97" s="189"/>
      <c r="AF97" s="189"/>
    </row>
    <row r="98" spans="13:32" x14ac:dyDescent="0.3">
      <c r="M98" s="10"/>
      <c r="N98" s="10"/>
      <c r="O98" s="10"/>
      <c r="P98" s="10"/>
      <c r="Q98" s="10"/>
      <c r="R98" s="10"/>
      <c r="S98" s="10"/>
      <c r="T98" s="10"/>
      <c r="U98" s="10"/>
    </row>
    <row r="99" spans="13:32" x14ac:dyDescent="0.3">
      <c r="M99" s="10"/>
      <c r="N99" s="10"/>
      <c r="O99" s="10"/>
      <c r="P99" s="10"/>
      <c r="Q99" s="10"/>
      <c r="R99" s="10"/>
      <c r="S99" s="10"/>
      <c r="T99" s="10"/>
      <c r="U99" s="10"/>
    </row>
    <row r="100" spans="13:32" x14ac:dyDescent="0.3">
      <c r="M100" s="10"/>
      <c r="N100" s="10"/>
      <c r="O100" s="10"/>
      <c r="P100" s="10"/>
      <c r="Q100" s="10"/>
      <c r="R100" s="10"/>
      <c r="S100" s="10"/>
      <c r="T100" s="10"/>
      <c r="U100" s="10"/>
    </row>
    <row r="101" spans="13:32" x14ac:dyDescent="0.3">
      <c r="M101" s="10"/>
      <c r="N101" s="10"/>
      <c r="O101" s="10"/>
      <c r="P101" s="10"/>
      <c r="Q101" s="10"/>
      <c r="R101" s="10"/>
      <c r="S101" s="10"/>
      <c r="T101" s="10"/>
      <c r="U101" s="10"/>
    </row>
    <row r="102" spans="13:32" x14ac:dyDescent="0.3">
      <c r="M102" s="10"/>
      <c r="N102" s="10"/>
      <c r="O102" s="10"/>
      <c r="P102" s="10"/>
      <c r="Q102" s="10"/>
      <c r="R102" s="10"/>
      <c r="S102" s="10"/>
      <c r="T102" s="10"/>
      <c r="U102" s="10"/>
    </row>
    <row r="103" spans="13:32" x14ac:dyDescent="0.3">
      <c r="M103" s="10"/>
      <c r="N103" s="10"/>
      <c r="O103" s="10"/>
      <c r="P103" s="10"/>
      <c r="Q103" s="10"/>
      <c r="R103" s="10"/>
      <c r="S103" s="10"/>
      <c r="T103" s="10"/>
      <c r="U103" s="10"/>
    </row>
    <row r="104" spans="13:32" x14ac:dyDescent="0.3">
      <c r="M104" s="10"/>
      <c r="N104" s="10"/>
      <c r="O104" s="10"/>
      <c r="P104" s="10"/>
      <c r="Q104" s="10"/>
      <c r="R104" s="10"/>
      <c r="S104" s="10"/>
      <c r="T104" s="10"/>
      <c r="U104" s="10"/>
    </row>
    <row r="105" spans="13:32" x14ac:dyDescent="0.3"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13:32" x14ac:dyDescent="0.3"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13:32" x14ac:dyDescent="0.3"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13:32" x14ac:dyDescent="0.3"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3:32" x14ac:dyDescent="0.3"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13:32" x14ac:dyDescent="0.3">
      <c r="M110" s="10"/>
      <c r="N110" s="10"/>
      <c r="O110" s="10"/>
      <c r="P110" s="10"/>
      <c r="Q110" s="10"/>
      <c r="R110" s="10"/>
      <c r="S110" s="10"/>
      <c r="T110" s="10"/>
      <c r="U110" s="10"/>
    </row>
    <row r="111" spans="13:32" x14ac:dyDescent="0.3"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13:32" x14ac:dyDescent="0.3"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3:21" x14ac:dyDescent="0.3">
      <c r="M113" s="10"/>
      <c r="N113" s="10"/>
      <c r="O113" s="10"/>
      <c r="P113" s="10"/>
      <c r="Q113" s="10"/>
      <c r="R113" s="10"/>
      <c r="S113" s="10"/>
      <c r="T113" s="10"/>
      <c r="U113" s="10"/>
    </row>
    <row r="114" spans="13:21" x14ac:dyDescent="0.3"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13:21" x14ac:dyDescent="0.3"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13:21" x14ac:dyDescent="0.3"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13:21" x14ac:dyDescent="0.3"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13:21" x14ac:dyDescent="0.3"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13:21" x14ac:dyDescent="0.3">
      <c r="M119" s="10"/>
      <c r="N119" s="10"/>
      <c r="O119" s="10"/>
      <c r="P119" s="10"/>
      <c r="Q119" s="10"/>
      <c r="R119" s="10"/>
      <c r="S119" s="10"/>
      <c r="T119" s="10"/>
      <c r="U119" s="10"/>
    </row>
    <row r="120" spans="13:21" x14ac:dyDescent="0.3"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13:21" x14ac:dyDescent="0.3">
      <c r="M121" s="10"/>
      <c r="N121" s="10"/>
      <c r="O121" s="10"/>
      <c r="P121" s="10"/>
      <c r="Q121" s="10"/>
      <c r="R121" s="10"/>
      <c r="S121" s="10"/>
      <c r="T121" s="10"/>
      <c r="U121" s="10"/>
    </row>
    <row r="122" spans="13:21" x14ac:dyDescent="0.3">
      <c r="M122" s="10"/>
      <c r="N122" s="10"/>
      <c r="O122" s="10"/>
      <c r="P122" s="10"/>
      <c r="Q122" s="10"/>
      <c r="R122" s="10"/>
      <c r="S122" s="10"/>
      <c r="T122" s="10"/>
      <c r="U122" s="10"/>
    </row>
    <row r="123" spans="13:21" x14ac:dyDescent="0.3">
      <c r="M123" s="10"/>
      <c r="N123" s="10"/>
      <c r="O123" s="10"/>
      <c r="P123" s="10"/>
      <c r="Q123" s="10"/>
      <c r="R123" s="10"/>
      <c r="S123" s="10"/>
      <c r="T123" s="10"/>
      <c r="U123" s="10"/>
    </row>
    <row r="124" spans="13:21" x14ac:dyDescent="0.3">
      <c r="M124" s="10"/>
      <c r="N124" s="10"/>
      <c r="O124" s="10"/>
      <c r="P124" s="10"/>
      <c r="Q124" s="10"/>
      <c r="R124" s="10"/>
      <c r="S124" s="10"/>
      <c r="T124" s="10"/>
      <c r="U124" s="10"/>
    </row>
    <row r="125" spans="13:21" x14ac:dyDescent="0.3">
      <c r="M125" s="10"/>
      <c r="N125" s="10"/>
      <c r="O125" s="10"/>
      <c r="P125" s="10"/>
      <c r="Q125" s="10"/>
      <c r="R125" s="10"/>
      <c r="S125" s="10"/>
      <c r="T125" s="10"/>
      <c r="U125" s="10"/>
    </row>
    <row r="126" spans="13:21" x14ac:dyDescent="0.3">
      <c r="M126" s="10"/>
      <c r="N126" s="10"/>
      <c r="O126" s="10"/>
      <c r="P126" s="10"/>
      <c r="Q126" s="10"/>
      <c r="R126" s="10"/>
      <c r="S126" s="10"/>
      <c r="T126" s="10"/>
      <c r="U126" s="10"/>
    </row>
    <row r="127" spans="13:21" x14ac:dyDescent="0.3">
      <c r="M127" s="10"/>
      <c r="N127" s="10"/>
      <c r="O127" s="10"/>
      <c r="P127" s="10"/>
      <c r="Q127" s="10"/>
      <c r="R127" s="10"/>
      <c r="S127" s="10"/>
      <c r="T127" s="10"/>
      <c r="U127" s="10"/>
    </row>
    <row r="128" spans="13:21" x14ac:dyDescent="0.3">
      <c r="M128" s="10"/>
      <c r="N128" s="10"/>
      <c r="O128" s="10"/>
      <c r="P128" s="10"/>
      <c r="Q128" s="10"/>
      <c r="R128" s="10"/>
      <c r="S128" s="10"/>
      <c r="T128" s="10"/>
      <c r="U128" s="10"/>
    </row>
    <row r="129" spans="13:21" x14ac:dyDescent="0.3">
      <c r="M129" s="10"/>
      <c r="N129" s="10"/>
      <c r="O129" s="10"/>
      <c r="P129" s="10"/>
      <c r="Q129" s="10"/>
      <c r="R129" s="10"/>
      <c r="S129" s="10"/>
      <c r="T129" s="10"/>
      <c r="U129" s="10"/>
    </row>
    <row r="130" spans="13:21" x14ac:dyDescent="0.3">
      <c r="M130" s="10"/>
      <c r="N130" s="10"/>
      <c r="O130" s="10"/>
      <c r="P130" s="10"/>
      <c r="Q130" s="10"/>
      <c r="R130" s="10"/>
      <c r="S130" s="10"/>
      <c r="T130" s="10"/>
      <c r="U130" s="10"/>
    </row>
    <row r="131" spans="13:21" x14ac:dyDescent="0.3">
      <c r="M131" s="10"/>
      <c r="N131" s="10"/>
      <c r="O131" s="10"/>
      <c r="P131" s="10"/>
      <c r="Q131" s="10"/>
      <c r="R131" s="10"/>
      <c r="S131" s="10"/>
      <c r="T131" s="10"/>
      <c r="U131" s="10"/>
    </row>
    <row r="132" spans="13:21" x14ac:dyDescent="0.3">
      <c r="M132" s="10"/>
      <c r="N132" s="10"/>
      <c r="O132" s="10"/>
      <c r="P132" s="10"/>
      <c r="Q132" s="10"/>
      <c r="R132" s="10"/>
      <c r="S132" s="10"/>
      <c r="T132" s="10"/>
      <c r="U132" s="10"/>
    </row>
    <row r="133" spans="13:21" x14ac:dyDescent="0.3">
      <c r="M133" s="10"/>
      <c r="N133" s="10"/>
      <c r="O133" s="10"/>
      <c r="P133" s="10"/>
      <c r="Q133" s="10"/>
      <c r="R133" s="10"/>
      <c r="S133" s="10"/>
      <c r="T133" s="10"/>
      <c r="U133" s="10"/>
    </row>
    <row r="134" spans="13:21" x14ac:dyDescent="0.3">
      <c r="M134" s="10"/>
      <c r="N134" s="10"/>
      <c r="O134" s="10"/>
      <c r="P134" s="10"/>
      <c r="Q134" s="10"/>
      <c r="R134" s="10"/>
      <c r="S134" s="10"/>
      <c r="T134" s="10"/>
      <c r="U134" s="10"/>
    </row>
    <row r="135" spans="13:21" x14ac:dyDescent="0.3">
      <c r="M135" s="10"/>
      <c r="N135" s="10"/>
      <c r="O135" s="10"/>
      <c r="P135" s="10"/>
      <c r="Q135" s="10"/>
      <c r="R135" s="10"/>
      <c r="S135" s="10"/>
      <c r="T135" s="10"/>
      <c r="U135" s="10"/>
    </row>
    <row r="136" spans="13:21" x14ac:dyDescent="0.3">
      <c r="M136" s="10"/>
      <c r="N136" s="10"/>
      <c r="O136" s="10"/>
      <c r="P136" s="10"/>
      <c r="Q136" s="10"/>
      <c r="R136" s="10"/>
      <c r="S136" s="10"/>
      <c r="T136" s="10"/>
      <c r="U136" s="10"/>
    </row>
    <row r="137" spans="13:21" x14ac:dyDescent="0.3"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13:21" x14ac:dyDescent="0.3">
      <c r="M138" s="10"/>
      <c r="N138" s="10"/>
      <c r="O138" s="10"/>
      <c r="P138" s="10"/>
      <c r="Q138" s="10"/>
      <c r="R138" s="10"/>
      <c r="S138" s="10"/>
      <c r="T138" s="10"/>
      <c r="U138" s="10"/>
    </row>
    <row r="139" spans="13:21" x14ac:dyDescent="0.3">
      <c r="M139" s="10"/>
      <c r="N139" s="10"/>
      <c r="O139" s="10"/>
      <c r="P139" s="10"/>
      <c r="Q139" s="10"/>
      <c r="R139" s="10"/>
      <c r="S139" s="10"/>
      <c r="T139" s="10"/>
      <c r="U139" s="10"/>
    </row>
    <row r="140" spans="13:21" x14ac:dyDescent="0.3">
      <c r="M140" s="10"/>
      <c r="N140" s="10"/>
      <c r="O140" s="10"/>
      <c r="P140" s="10"/>
      <c r="Q140" s="10"/>
      <c r="R140" s="10"/>
      <c r="S140" s="10"/>
      <c r="T140" s="10"/>
      <c r="U140" s="10"/>
    </row>
    <row r="141" spans="13:21" x14ac:dyDescent="0.3">
      <c r="M141" s="10"/>
      <c r="N141" s="10"/>
      <c r="O141" s="10"/>
      <c r="P141" s="10"/>
      <c r="Q141" s="10"/>
      <c r="R141" s="10"/>
      <c r="S141" s="10"/>
      <c r="T141" s="10"/>
      <c r="U141" s="10"/>
    </row>
    <row r="142" spans="13:21" x14ac:dyDescent="0.3">
      <c r="M142" s="10"/>
      <c r="N142" s="10"/>
      <c r="O142" s="10"/>
      <c r="P142" s="10"/>
      <c r="Q142" s="10"/>
      <c r="R142" s="10"/>
      <c r="S142" s="10"/>
      <c r="T142" s="10"/>
      <c r="U142" s="10"/>
    </row>
    <row r="143" spans="13:21" x14ac:dyDescent="0.3">
      <c r="M143" s="10"/>
      <c r="N143" s="10"/>
      <c r="O143" s="10"/>
      <c r="P143" s="10"/>
      <c r="Q143" s="10"/>
      <c r="R143" s="10"/>
      <c r="S143" s="10"/>
      <c r="T143" s="10"/>
      <c r="U143" s="10"/>
    </row>
    <row r="144" spans="13:21" x14ac:dyDescent="0.3">
      <c r="M144" s="10"/>
      <c r="N144" s="10"/>
      <c r="O144" s="10"/>
      <c r="P144" s="10"/>
      <c r="Q144" s="10"/>
      <c r="R144" s="10"/>
      <c r="S144" s="10"/>
      <c r="T144" s="10"/>
      <c r="U144" s="10"/>
    </row>
    <row r="145" spans="13:21" x14ac:dyDescent="0.3">
      <c r="M145" s="10"/>
      <c r="N145" s="10"/>
      <c r="O145" s="10"/>
      <c r="P145" s="10"/>
      <c r="Q145" s="10"/>
      <c r="R145" s="10"/>
      <c r="S145" s="10"/>
      <c r="T145" s="10"/>
      <c r="U145" s="10"/>
    </row>
    <row r="146" spans="13:21" x14ac:dyDescent="0.3">
      <c r="M146" s="10"/>
      <c r="N146" s="10"/>
      <c r="O146" s="10"/>
      <c r="P146" s="10"/>
      <c r="Q146" s="10"/>
      <c r="R146" s="10">
        <f>SUM(R32:R143)</f>
        <v>0</v>
      </c>
      <c r="S146" s="10"/>
      <c r="T146" s="10"/>
      <c r="U146" s="10"/>
    </row>
    <row r="147" spans="13:21" x14ac:dyDescent="0.3"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3:21" x14ac:dyDescent="0.3">
      <c r="M148" s="10"/>
      <c r="N148" s="10"/>
      <c r="O148" s="10"/>
      <c r="P148" s="10"/>
      <c r="Q148" s="10"/>
      <c r="R148" s="10"/>
      <c r="S148" s="10"/>
      <c r="T148" s="10"/>
      <c r="U148" s="10"/>
    </row>
    <row r="149" spans="13:21" x14ac:dyDescent="0.3">
      <c r="M149" s="10"/>
      <c r="N149" s="10"/>
      <c r="O149" s="10"/>
      <c r="P149" s="10"/>
      <c r="Q149" s="10"/>
      <c r="R149" s="10"/>
      <c r="S149" s="10"/>
      <c r="T149" s="10"/>
      <c r="U149" s="10"/>
    </row>
    <row r="150" spans="13:21" x14ac:dyDescent="0.3"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13:21" x14ac:dyDescent="0.3">
      <c r="M151" s="10"/>
      <c r="N151" s="10"/>
      <c r="O151" s="10"/>
      <c r="P151" s="10"/>
      <c r="Q151" s="10"/>
      <c r="R151" s="10"/>
      <c r="S151" s="10"/>
      <c r="T151" s="10"/>
      <c r="U151" s="10"/>
    </row>
    <row r="152" spans="13:21" x14ac:dyDescent="0.3">
      <c r="M152" s="10"/>
      <c r="N152" s="10"/>
      <c r="O152" s="10"/>
      <c r="P152" s="10"/>
      <c r="Q152" s="10"/>
      <c r="R152" s="10"/>
      <c r="S152" s="10"/>
      <c r="T152" s="10"/>
      <c r="U152" s="10"/>
    </row>
    <row r="153" spans="13:21" x14ac:dyDescent="0.3">
      <c r="M153" s="10"/>
      <c r="N153" s="10"/>
      <c r="O153" s="10"/>
      <c r="P153" s="10"/>
      <c r="Q153" s="10"/>
      <c r="R153" s="10"/>
      <c r="S153" s="10"/>
      <c r="T153" s="10"/>
      <c r="U153" s="10"/>
    </row>
    <row r="154" spans="13:21" x14ac:dyDescent="0.3">
      <c r="M154" s="10"/>
      <c r="N154" s="10"/>
      <c r="O154" s="10"/>
      <c r="P154" s="10"/>
      <c r="Q154" s="10"/>
      <c r="R154" s="10"/>
      <c r="S154" s="10"/>
      <c r="T154" s="10"/>
      <c r="U154" s="10"/>
    </row>
    <row r="155" spans="13:21" x14ac:dyDescent="0.3"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13:21" x14ac:dyDescent="0.3">
      <c r="M156" s="10"/>
      <c r="N156" s="10"/>
      <c r="O156" s="10"/>
      <c r="P156" s="10"/>
      <c r="Q156" s="10"/>
      <c r="R156" s="10"/>
      <c r="S156" s="10"/>
      <c r="T156" s="10"/>
      <c r="U156" s="10"/>
    </row>
    <row r="157" spans="13:21" x14ac:dyDescent="0.3">
      <c r="M157" s="10"/>
      <c r="N157" s="10"/>
      <c r="O157" s="10"/>
      <c r="P157" s="10"/>
      <c r="Q157" s="10"/>
      <c r="R157" s="10"/>
      <c r="S157" s="10"/>
      <c r="T157" s="10"/>
      <c r="U157" s="10"/>
    </row>
    <row r="158" spans="13:21" x14ac:dyDescent="0.3">
      <c r="M158" s="10"/>
      <c r="N158" s="10"/>
      <c r="O158" s="10"/>
      <c r="P158" s="10"/>
      <c r="Q158" s="10"/>
      <c r="R158" s="10"/>
      <c r="S158" s="10"/>
      <c r="T158" s="10"/>
      <c r="U158" s="10"/>
    </row>
    <row r="159" spans="13:21" x14ac:dyDescent="0.3">
      <c r="M159" s="10"/>
      <c r="N159" s="10"/>
      <c r="O159" s="10"/>
      <c r="P159" s="10"/>
      <c r="Q159" s="10"/>
      <c r="R159" s="10"/>
      <c r="S159" s="10"/>
      <c r="T159" s="10"/>
      <c r="U159" s="10"/>
    </row>
    <row r="160" spans="13:21" x14ac:dyDescent="0.3">
      <c r="M160" s="10"/>
      <c r="N160" s="10"/>
      <c r="O160" s="10"/>
      <c r="P160" s="10"/>
      <c r="Q160" s="10"/>
      <c r="R160" s="10"/>
      <c r="S160" s="10"/>
      <c r="T160" s="10"/>
      <c r="U160" s="10"/>
    </row>
    <row r="161" spans="13:21" x14ac:dyDescent="0.3">
      <c r="M161" s="10"/>
      <c r="N161" s="10"/>
      <c r="O161" s="10"/>
      <c r="P161" s="10"/>
      <c r="Q161" s="10"/>
      <c r="R161" s="10"/>
      <c r="S161" s="10"/>
      <c r="T161" s="10"/>
      <c r="U161" s="10"/>
    </row>
    <row r="162" spans="13:21" x14ac:dyDescent="0.3"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3:21" x14ac:dyDescent="0.3">
      <c r="M163" s="10"/>
      <c r="N163" s="10"/>
      <c r="O163" s="10"/>
      <c r="P163" s="10"/>
      <c r="Q163" s="10"/>
      <c r="R163" s="10"/>
      <c r="S163" s="10"/>
      <c r="T163" s="10"/>
      <c r="U163" s="10"/>
    </row>
    <row r="164" spans="13:21" x14ac:dyDescent="0.3">
      <c r="M164" s="10"/>
      <c r="N164" s="10"/>
      <c r="O164" s="10"/>
      <c r="P164" s="10"/>
      <c r="Q164" s="10"/>
      <c r="R164" s="10"/>
      <c r="S164" s="10"/>
      <c r="T164" s="10"/>
      <c r="U164" s="10"/>
    </row>
    <row r="165" spans="13:21" x14ac:dyDescent="0.3">
      <c r="M165" s="10"/>
      <c r="N165" s="10"/>
      <c r="O165" s="10"/>
      <c r="P165" s="10"/>
      <c r="Q165" s="10"/>
      <c r="R165" s="10"/>
      <c r="S165" s="10"/>
      <c r="T165" s="10"/>
      <c r="U165" s="10"/>
    </row>
    <row r="166" spans="13:21" x14ac:dyDescent="0.3">
      <c r="M166" s="10"/>
      <c r="N166" s="10"/>
      <c r="O166" s="10"/>
      <c r="P166" s="10"/>
      <c r="Q166" s="10"/>
      <c r="R166" s="10"/>
      <c r="S166" s="10"/>
      <c r="T166" s="10"/>
      <c r="U166" s="10"/>
    </row>
    <row r="167" spans="13:21" x14ac:dyDescent="0.3">
      <c r="M167" s="10"/>
      <c r="N167" s="10"/>
      <c r="O167" s="10"/>
      <c r="P167" s="10"/>
      <c r="Q167" s="10"/>
      <c r="R167" s="10"/>
      <c r="S167" s="10"/>
      <c r="T167" s="10"/>
      <c r="U167" s="10"/>
    </row>
    <row r="168" spans="13:21" x14ac:dyDescent="0.3">
      <c r="M168" s="10"/>
      <c r="N168" s="10"/>
      <c r="O168" s="10"/>
      <c r="P168" s="10"/>
      <c r="Q168" s="10"/>
      <c r="R168" s="10"/>
      <c r="S168" s="10"/>
      <c r="T168" s="10"/>
      <c r="U168" s="10"/>
    </row>
    <row r="169" spans="13:21" x14ac:dyDescent="0.3">
      <c r="M169" s="10"/>
      <c r="N169" s="10"/>
      <c r="O169" s="10"/>
      <c r="P169" s="10"/>
      <c r="Q169" s="10"/>
      <c r="R169" s="10"/>
      <c r="S169" s="10"/>
      <c r="T169" s="10"/>
      <c r="U169" s="10"/>
    </row>
    <row r="170" spans="13:21" x14ac:dyDescent="0.3">
      <c r="M170" s="10"/>
      <c r="N170" s="10"/>
      <c r="O170" s="10"/>
      <c r="P170" s="10"/>
      <c r="Q170" s="10"/>
      <c r="R170" s="10"/>
      <c r="S170" s="10"/>
      <c r="T170" s="10"/>
      <c r="U170" s="10"/>
    </row>
    <row r="171" spans="13:21" x14ac:dyDescent="0.3">
      <c r="M171" s="10"/>
      <c r="N171" s="10"/>
      <c r="O171" s="10"/>
      <c r="P171" s="10"/>
      <c r="Q171" s="10"/>
      <c r="R171" s="10"/>
      <c r="S171" s="10"/>
      <c r="T171" s="10"/>
      <c r="U171" s="10"/>
    </row>
    <row r="172" spans="13:21" x14ac:dyDescent="0.3">
      <c r="M172" s="10"/>
      <c r="N172" s="10"/>
      <c r="O172" s="10"/>
      <c r="P172" s="10"/>
      <c r="Q172" s="10"/>
      <c r="R172" s="10"/>
      <c r="S172" s="10"/>
      <c r="T172" s="10"/>
      <c r="U172" s="10"/>
    </row>
    <row r="173" spans="13:21" x14ac:dyDescent="0.3"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13:21" x14ac:dyDescent="0.3">
      <c r="M174" s="10"/>
      <c r="N174" s="10"/>
      <c r="O174" s="10"/>
      <c r="P174" s="10"/>
      <c r="Q174" s="10"/>
      <c r="R174" s="10"/>
      <c r="S174" s="10"/>
      <c r="T174" s="10"/>
      <c r="U174" s="10"/>
    </row>
    <row r="175" spans="13:21" x14ac:dyDescent="0.3">
      <c r="M175" s="10"/>
      <c r="N175" s="10"/>
      <c r="O175" s="10"/>
      <c r="P175" s="10"/>
      <c r="Q175" s="10"/>
      <c r="R175" s="10"/>
      <c r="S175" s="10"/>
      <c r="T175" s="10"/>
      <c r="U175" s="10"/>
    </row>
    <row r="176" spans="13:21" x14ac:dyDescent="0.3">
      <c r="M176" s="10"/>
      <c r="N176" s="10"/>
      <c r="O176" s="10"/>
      <c r="P176" s="10"/>
      <c r="Q176" s="10"/>
      <c r="R176" s="10"/>
      <c r="S176" s="10"/>
      <c r="T176" s="10"/>
      <c r="U176" s="10"/>
    </row>
    <row r="177" spans="13:21" x14ac:dyDescent="0.3"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13:21" x14ac:dyDescent="0.3">
      <c r="M178" s="10"/>
      <c r="N178" s="10"/>
      <c r="O178" s="10"/>
      <c r="P178" s="10"/>
      <c r="Q178" s="10"/>
      <c r="R178" s="10"/>
      <c r="S178" s="10"/>
      <c r="T178" s="10"/>
      <c r="U178" s="10"/>
    </row>
    <row r="179" spans="13:21" x14ac:dyDescent="0.3">
      <c r="M179" s="10"/>
      <c r="N179" s="10"/>
      <c r="O179" s="10"/>
      <c r="P179" s="10"/>
      <c r="Q179" s="10"/>
      <c r="R179" s="10"/>
      <c r="S179" s="10"/>
      <c r="T179" s="10"/>
      <c r="U179" s="10"/>
    </row>
    <row r="180" spans="13:21" x14ac:dyDescent="0.3">
      <c r="M180" s="10"/>
      <c r="N180" s="10"/>
      <c r="O180" s="10"/>
      <c r="P180" s="10"/>
      <c r="Q180" s="10"/>
      <c r="R180" s="10"/>
      <c r="S180" s="10"/>
      <c r="T180" s="10"/>
      <c r="U180" s="10"/>
    </row>
    <row r="181" spans="13:21" x14ac:dyDescent="0.3">
      <c r="M181" s="10"/>
      <c r="N181" s="10"/>
      <c r="O181" s="10"/>
      <c r="P181" s="10"/>
      <c r="Q181" s="10"/>
      <c r="R181" s="10"/>
      <c r="S181" s="10"/>
      <c r="T181" s="10"/>
      <c r="U181" s="10"/>
    </row>
    <row r="182" spans="13:21" x14ac:dyDescent="0.3">
      <c r="M182" s="10"/>
      <c r="N182" s="10"/>
      <c r="O182" s="10"/>
      <c r="P182" s="10"/>
      <c r="Q182" s="10"/>
      <c r="R182" s="10"/>
      <c r="S182" s="10"/>
      <c r="T182" s="10"/>
      <c r="U182" s="10"/>
    </row>
    <row r="183" spans="13:21" x14ac:dyDescent="0.3">
      <c r="M183" s="10"/>
      <c r="N183" s="10"/>
      <c r="O183" s="10"/>
      <c r="P183" s="10"/>
      <c r="Q183" s="10"/>
      <c r="R183" s="10"/>
      <c r="S183" s="10"/>
      <c r="T183" s="10"/>
      <c r="U183" s="10"/>
    </row>
    <row r="184" spans="13:21" x14ac:dyDescent="0.3"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13:21" x14ac:dyDescent="0.3"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13:21" x14ac:dyDescent="0.3">
      <c r="M186" s="10"/>
      <c r="N186" s="10"/>
      <c r="O186" s="10"/>
      <c r="P186" s="10"/>
      <c r="Q186" s="10"/>
      <c r="R186" s="10"/>
      <c r="S186" s="10"/>
      <c r="T186" s="10"/>
      <c r="U186" s="10"/>
    </row>
    <row r="187" spans="13:21" x14ac:dyDescent="0.3">
      <c r="M187" s="10"/>
      <c r="N187" s="10"/>
      <c r="O187" s="10"/>
      <c r="P187" s="10"/>
      <c r="Q187" s="10"/>
      <c r="R187" s="10"/>
      <c r="S187" s="10"/>
      <c r="T187" s="10"/>
      <c r="U187" s="10"/>
    </row>
    <row r="188" spans="13:21" x14ac:dyDescent="0.3">
      <c r="M188" s="10"/>
      <c r="N188" s="10"/>
      <c r="O188" s="10"/>
      <c r="P188" s="10"/>
      <c r="Q188" s="10"/>
      <c r="R188" s="10"/>
      <c r="S188" s="10"/>
      <c r="T188" s="10"/>
      <c r="U188" s="10"/>
    </row>
    <row r="189" spans="13:21" x14ac:dyDescent="0.3"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13:21" x14ac:dyDescent="0.3"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13:21" x14ac:dyDescent="0.3">
      <c r="M191" s="10"/>
      <c r="N191" s="10"/>
      <c r="O191" s="10"/>
      <c r="P191" s="10"/>
      <c r="Q191" s="10"/>
      <c r="R191" s="10"/>
      <c r="S191" s="10"/>
      <c r="T191" s="10"/>
      <c r="U191" s="10"/>
    </row>
    <row r="192" spans="13:21" x14ac:dyDescent="0.3">
      <c r="M192" s="10"/>
      <c r="N192" s="10"/>
      <c r="O192" s="10"/>
      <c r="P192" s="10"/>
      <c r="Q192" s="10"/>
      <c r="R192" s="10"/>
      <c r="S192" s="10"/>
      <c r="T192" s="10"/>
      <c r="U192" s="10"/>
    </row>
    <row r="193" spans="13:21" x14ac:dyDescent="0.3">
      <c r="M193" s="10"/>
      <c r="N193" s="10"/>
      <c r="O193" s="10"/>
      <c r="P193" s="10"/>
      <c r="Q193" s="10"/>
      <c r="R193" s="10"/>
      <c r="S193" s="10"/>
      <c r="T193" s="10"/>
      <c r="U193" s="10"/>
    </row>
    <row r="194" spans="13:21" x14ac:dyDescent="0.3">
      <c r="M194" s="10"/>
      <c r="N194" s="10"/>
      <c r="O194" s="10"/>
      <c r="P194" s="10"/>
      <c r="Q194" s="10"/>
      <c r="R194" s="10"/>
      <c r="S194" s="10"/>
      <c r="T194" s="10"/>
      <c r="U194" s="10"/>
    </row>
    <row r="195" spans="13:21" x14ac:dyDescent="0.3">
      <c r="M195" s="10"/>
      <c r="N195" s="10"/>
      <c r="O195" s="10"/>
      <c r="P195" s="10"/>
      <c r="Q195" s="10"/>
      <c r="R195" s="10"/>
      <c r="S195" s="10"/>
      <c r="T195" s="10"/>
      <c r="U195" s="10"/>
    </row>
    <row r="196" spans="13:21" x14ac:dyDescent="0.3">
      <c r="M196" s="10"/>
      <c r="N196" s="10"/>
      <c r="O196" s="10"/>
      <c r="P196" s="10"/>
      <c r="Q196" s="10"/>
      <c r="R196" s="10"/>
      <c r="S196" s="10"/>
      <c r="T196" s="10"/>
      <c r="U196" s="10"/>
    </row>
    <row r="197" spans="13:21" x14ac:dyDescent="0.3"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13:21" x14ac:dyDescent="0.3">
      <c r="M198" s="10"/>
      <c r="N198" s="10"/>
      <c r="O198" s="10"/>
      <c r="P198" s="10"/>
      <c r="Q198" s="10"/>
      <c r="R198" s="10"/>
      <c r="S198" s="10"/>
      <c r="T198" s="10"/>
      <c r="U198" s="10"/>
    </row>
    <row r="199" spans="13:21" x14ac:dyDescent="0.3">
      <c r="M199" s="10"/>
      <c r="N199" s="10"/>
      <c r="O199" s="10"/>
      <c r="P199" s="10"/>
      <c r="Q199" s="10"/>
      <c r="R199" s="10"/>
      <c r="S199" s="10"/>
      <c r="T199" s="10"/>
      <c r="U199" s="10"/>
    </row>
    <row r="200" spans="13:21" x14ac:dyDescent="0.3">
      <c r="M200" s="10"/>
      <c r="N200" s="10"/>
      <c r="O200" s="10"/>
      <c r="P200" s="10"/>
      <c r="Q200" s="10"/>
      <c r="R200" s="10"/>
      <c r="S200" s="10"/>
      <c r="T200" s="10"/>
      <c r="U200" s="10"/>
    </row>
    <row r="201" spans="13:21" x14ac:dyDescent="0.3">
      <c r="M201" s="10"/>
      <c r="N201" s="10"/>
      <c r="O201" s="10"/>
      <c r="P201" s="10"/>
      <c r="Q201" s="10"/>
      <c r="R201" s="10"/>
      <c r="S201" s="10"/>
      <c r="T201" s="10"/>
      <c r="U201" s="10"/>
    </row>
    <row r="202" spans="13:21" x14ac:dyDescent="0.3">
      <c r="M202" s="10"/>
      <c r="N202" s="10"/>
      <c r="O202" s="10"/>
      <c r="P202" s="10"/>
      <c r="Q202" s="10"/>
      <c r="R202" s="10"/>
      <c r="S202" s="10"/>
      <c r="T202" s="10"/>
      <c r="U202" s="10"/>
    </row>
    <row r="203" spans="13:21" x14ac:dyDescent="0.3">
      <c r="M203" s="10"/>
      <c r="N203" s="10"/>
      <c r="O203" s="10"/>
      <c r="P203" s="10"/>
      <c r="Q203" s="10"/>
      <c r="R203" s="10"/>
      <c r="S203" s="10"/>
      <c r="T203" s="10"/>
      <c r="U203" s="10"/>
    </row>
    <row r="204" spans="13:21" x14ac:dyDescent="0.3">
      <c r="M204" s="10"/>
      <c r="N204" s="10"/>
      <c r="O204" s="10"/>
      <c r="P204" s="10"/>
      <c r="Q204" s="10"/>
      <c r="R204" s="10"/>
      <c r="S204" s="10"/>
      <c r="T204" s="10"/>
      <c r="U204" s="10"/>
    </row>
    <row r="205" spans="13:21" x14ac:dyDescent="0.3">
      <c r="M205" s="10"/>
      <c r="N205" s="10"/>
      <c r="O205" s="10"/>
      <c r="P205" s="10"/>
      <c r="Q205" s="10"/>
      <c r="R205" s="10"/>
      <c r="S205" s="10"/>
      <c r="T205" s="10"/>
      <c r="U205" s="10"/>
    </row>
    <row r="206" spans="13:21" x14ac:dyDescent="0.3">
      <c r="M206" s="10"/>
      <c r="N206" s="10"/>
      <c r="O206" s="10"/>
      <c r="P206" s="10"/>
      <c r="Q206" s="10"/>
      <c r="R206" s="10"/>
      <c r="S206" s="10"/>
      <c r="T206" s="10"/>
      <c r="U206" s="10"/>
    </row>
    <row r="207" spans="13:21" x14ac:dyDescent="0.3">
      <c r="M207" s="10"/>
      <c r="N207" s="10"/>
      <c r="O207" s="10"/>
      <c r="P207" s="10"/>
      <c r="Q207" s="10"/>
      <c r="R207" s="10"/>
      <c r="S207" s="10"/>
      <c r="T207" s="10"/>
      <c r="U207" s="10"/>
    </row>
    <row r="208" spans="13:21" x14ac:dyDescent="0.3">
      <c r="M208" s="10"/>
      <c r="N208" s="10"/>
      <c r="O208" s="10"/>
      <c r="P208" s="10"/>
      <c r="Q208" s="10"/>
      <c r="R208" s="10"/>
      <c r="S208" s="10"/>
      <c r="T208" s="10"/>
      <c r="U208" s="10"/>
    </row>
    <row r="209" spans="13:21" x14ac:dyDescent="0.3">
      <c r="M209" s="10"/>
      <c r="N209" s="10"/>
      <c r="O209" s="10"/>
      <c r="P209" s="10"/>
      <c r="Q209" s="10"/>
      <c r="R209" s="10"/>
      <c r="S209" s="10"/>
      <c r="T209" s="10"/>
      <c r="U209" s="10"/>
    </row>
    <row r="210" spans="13:21" x14ac:dyDescent="0.3">
      <c r="M210" s="10"/>
      <c r="N210" s="10"/>
      <c r="O210" s="10"/>
      <c r="P210" s="10"/>
      <c r="Q210" s="10"/>
      <c r="R210" s="10"/>
      <c r="S210" s="10"/>
      <c r="T210" s="10"/>
      <c r="U210" s="10"/>
    </row>
    <row r="211" spans="13:21" x14ac:dyDescent="0.3">
      <c r="M211" s="10"/>
      <c r="N211" s="10"/>
      <c r="O211" s="10"/>
      <c r="P211" s="10"/>
      <c r="Q211" s="10"/>
      <c r="R211" s="10"/>
      <c r="S211" s="10"/>
      <c r="T211" s="10"/>
      <c r="U211" s="10"/>
    </row>
    <row r="212" spans="13:21" x14ac:dyDescent="0.3">
      <c r="M212" s="10"/>
      <c r="N212" s="10"/>
      <c r="O212" s="10"/>
      <c r="P212" s="10"/>
      <c r="Q212" s="10"/>
      <c r="R212" s="10"/>
      <c r="S212" s="10"/>
      <c r="T212" s="10"/>
      <c r="U212" s="10"/>
    </row>
    <row r="213" spans="13:21" x14ac:dyDescent="0.3">
      <c r="M213" s="10"/>
      <c r="N213" s="10"/>
      <c r="O213" s="10"/>
      <c r="P213" s="10"/>
      <c r="Q213" s="10"/>
      <c r="R213" s="10"/>
      <c r="S213" s="10"/>
      <c r="T213" s="10"/>
      <c r="U213" s="10"/>
    </row>
    <row r="214" spans="13:21" x14ac:dyDescent="0.3">
      <c r="M214" s="10"/>
      <c r="N214" s="10"/>
      <c r="O214" s="10"/>
      <c r="P214" s="10"/>
      <c r="Q214" s="10"/>
      <c r="R214" s="10"/>
      <c r="S214" s="10"/>
      <c r="T214" s="10"/>
      <c r="U214" s="10"/>
    </row>
    <row r="215" spans="13:21" x14ac:dyDescent="0.3">
      <c r="M215" s="10"/>
      <c r="N215" s="10"/>
      <c r="O215" s="10"/>
      <c r="P215" s="10"/>
      <c r="Q215" s="10"/>
      <c r="R215" s="10"/>
      <c r="S215" s="10"/>
      <c r="T215" s="10"/>
      <c r="U215" s="10"/>
    </row>
    <row r="216" spans="13:21" x14ac:dyDescent="0.3">
      <c r="M216" s="10"/>
      <c r="N216" s="10"/>
      <c r="O216" s="10"/>
      <c r="P216" s="10"/>
      <c r="Q216" s="10"/>
      <c r="R216" s="10"/>
      <c r="S216" s="10"/>
      <c r="T216" s="10"/>
      <c r="U216" s="10"/>
    </row>
    <row r="217" spans="13:21" x14ac:dyDescent="0.3">
      <c r="M217" s="10"/>
      <c r="N217" s="10"/>
      <c r="O217" s="10"/>
      <c r="P217" s="10"/>
      <c r="Q217" s="10"/>
      <c r="R217" s="10"/>
      <c r="S217" s="10"/>
      <c r="T217" s="10"/>
      <c r="U217" s="10"/>
    </row>
    <row r="218" spans="13:21" x14ac:dyDescent="0.3">
      <c r="M218" s="10"/>
      <c r="N218" s="10"/>
      <c r="O218" s="10"/>
      <c r="P218" s="10"/>
      <c r="Q218" s="10"/>
      <c r="R218" s="10"/>
      <c r="S218" s="10"/>
      <c r="T218" s="10"/>
      <c r="U218" s="10"/>
    </row>
    <row r="219" spans="13:21" x14ac:dyDescent="0.3">
      <c r="M219" s="10"/>
      <c r="N219" s="10"/>
      <c r="O219" s="10"/>
      <c r="P219" s="10"/>
      <c r="Q219" s="10"/>
      <c r="R219" s="10"/>
      <c r="S219" s="10"/>
      <c r="T219" s="10"/>
      <c r="U219" s="10"/>
    </row>
    <row r="220" spans="13:21" x14ac:dyDescent="0.3">
      <c r="M220" s="10"/>
      <c r="N220" s="10"/>
      <c r="O220" s="10"/>
      <c r="P220" s="10"/>
      <c r="Q220" s="10"/>
      <c r="R220" s="10"/>
      <c r="S220" s="10"/>
      <c r="T220" s="10"/>
      <c r="U220" s="10"/>
    </row>
    <row r="221" spans="13:21" x14ac:dyDescent="0.3">
      <c r="M221" s="10"/>
      <c r="N221" s="10"/>
      <c r="O221" s="10"/>
      <c r="P221" s="10"/>
      <c r="Q221" s="10"/>
      <c r="R221" s="10"/>
      <c r="S221" s="10"/>
      <c r="T221" s="10"/>
      <c r="U221" s="10"/>
    </row>
    <row r="222" spans="13:21" x14ac:dyDescent="0.3">
      <c r="M222" s="10"/>
      <c r="N222" s="10"/>
      <c r="O222" s="10"/>
      <c r="P222" s="10"/>
      <c r="Q222" s="10"/>
      <c r="R222" s="10"/>
      <c r="S222" s="10"/>
      <c r="T222" s="10"/>
      <c r="U222" s="10"/>
    </row>
    <row r="223" spans="13:21" x14ac:dyDescent="0.3">
      <c r="M223" s="10"/>
      <c r="N223" s="10"/>
      <c r="O223" s="10"/>
      <c r="P223" s="10"/>
      <c r="Q223" s="10"/>
      <c r="R223" s="10"/>
      <c r="S223" s="10"/>
      <c r="T223" s="10"/>
      <c r="U223" s="10"/>
    </row>
    <row r="224" spans="13:21" x14ac:dyDescent="0.3">
      <c r="M224" s="10"/>
      <c r="N224" s="10"/>
      <c r="O224" s="10"/>
      <c r="P224" s="10"/>
      <c r="Q224" s="10"/>
      <c r="R224" s="10"/>
      <c r="S224" s="10"/>
      <c r="T224" s="10"/>
      <c r="U224" s="10"/>
    </row>
    <row r="225" spans="13:21" x14ac:dyDescent="0.3">
      <c r="M225" s="10"/>
      <c r="N225" s="10"/>
      <c r="O225" s="10"/>
      <c r="P225" s="10"/>
      <c r="Q225" s="10"/>
      <c r="R225" s="10"/>
      <c r="S225" s="10"/>
      <c r="T225" s="10"/>
      <c r="U225" s="10"/>
    </row>
    <row r="226" spans="13:21" x14ac:dyDescent="0.3">
      <c r="M226" s="10"/>
      <c r="N226" s="10"/>
      <c r="O226" s="10"/>
      <c r="P226" s="10"/>
      <c r="Q226" s="10"/>
      <c r="R226" s="10"/>
      <c r="S226" s="10"/>
      <c r="T226" s="10"/>
      <c r="U226" s="10"/>
    </row>
    <row r="227" spans="13:21" x14ac:dyDescent="0.3">
      <c r="M227" s="10"/>
      <c r="N227" s="10"/>
      <c r="O227" s="10"/>
      <c r="P227" s="10"/>
      <c r="Q227" s="10"/>
      <c r="R227" s="10"/>
      <c r="S227" s="10"/>
      <c r="T227" s="10"/>
      <c r="U227" s="10"/>
    </row>
    <row r="228" spans="13:21" x14ac:dyDescent="0.3">
      <c r="M228" s="10"/>
      <c r="N228" s="10"/>
      <c r="O228" s="10"/>
      <c r="P228" s="10"/>
      <c r="Q228" s="10"/>
      <c r="R228" s="10"/>
      <c r="S228" s="10"/>
      <c r="T228" s="10"/>
      <c r="U228" s="10"/>
    </row>
    <row r="229" spans="13:21" x14ac:dyDescent="0.3">
      <c r="M229" s="10"/>
      <c r="N229" s="10"/>
      <c r="O229" s="10"/>
      <c r="P229" s="10"/>
      <c r="Q229" s="10"/>
      <c r="R229" s="10"/>
      <c r="S229" s="10"/>
      <c r="T229" s="10"/>
      <c r="U229" s="10"/>
    </row>
    <row r="230" spans="13:21" x14ac:dyDescent="0.3">
      <c r="M230" s="10"/>
      <c r="N230" s="10"/>
      <c r="O230" s="10"/>
      <c r="P230" s="10"/>
      <c r="Q230" s="10"/>
      <c r="R230" s="10"/>
      <c r="S230" s="10"/>
      <c r="T230" s="10"/>
      <c r="U230" s="10"/>
    </row>
    <row r="231" spans="13:21" x14ac:dyDescent="0.3">
      <c r="M231" s="10"/>
      <c r="N231" s="10"/>
      <c r="O231" s="10"/>
      <c r="P231" s="10"/>
      <c r="Q231" s="10"/>
      <c r="R231" s="10"/>
      <c r="S231" s="10"/>
      <c r="T231" s="10"/>
      <c r="U231" s="10"/>
    </row>
    <row r="232" spans="13:21" x14ac:dyDescent="0.3">
      <c r="M232" s="10"/>
      <c r="N232" s="10"/>
      <c r="O232" s="10"/>
      <c r="P232" s="10"/>
      <c r="Q232" s="10"/>
      <c r="R232" s="10"/>
      <c r="S232" s="10"/>
      <c r="T232" s="10"/>
      <c r="U232" s="10"/>
    </row>
    <row r="233" spans="13:21" x14ac:dyDescent="0.3">
      <c r="M233" s="10"/>
      <c r="N233" s="10"/>
      <c r="O233" s="10"/>
      <c r="P233" s="10"/>
      <c r="Q233" s="10"/>
      <c r="R233" s="10"/>
      <c r="S233" s="10"/>
      <c r="T233" s="10"/>
      <c r="U233" s="10"/>
    </row>
    <row r="234" spans="13:21" x14ac:dyDescent="0.3">
      <c r="M234" s="10"/>
      <c r="N234" s="10"/>
      <c r="O234" s="10"/>
      <c r="P234" s="10"/>
      <c r="Q234" s="10"/>
      <c r="R234" s="10"/>
      <c r="S234" s="10"/>
      <c r="T234" s="10"/>
      <c r="U234" s="10"/>
    </row>
    <row r="235" spans="13:21" x14ac:dyDescent="0.3">
      <c r="M235" s="10"/>
      <c r="N235" s="10"/>
      <c r="O235" s="10"/>
      <c r="P235" s="10"/>
      <c r="Q235" s="10"/>
      <c r="R235" s="10"/>
      <c r="S235" s="10"/>
      <c r="T235" s="10"/>
      <c r="U235" s="10"/>
    </row>
    <row r="236" spans="13:21" x14ac:dyDescent="0.3">
      <c r="M236" s="10"/>
      <c r="N236" s="10"/>
      <c r="O236" s="10"/>
      <c r="P236" s="10"/>
      <c r="Q236" s="10"/>
      <c r="R236" s="10"/>
      <c r="S236" s="10"/>
      <c r="T236" s="10"/>
      <c r="U236" s="10"/>
    </row>
    <row r="237" spans="13:21" x14ac:dyDescent="0.3">
      <c r="M237" s="10"/>
      <c r="N237" s="10"/>
      <c r="O237" s="10"/>
      <c r="P237" s="10"/>
      <c r="Q237" s="10"/>
      <c r="R237" s="10"/>
      <c r="S237" s="10"/>
      <c r="T237" s="10"/>
      <c r="U237" s="10"/>
    </row>
    <row r="238" spans="13:21" x14ac:dyDescent="0.3">
      <c r="M238" s="10"/>
      <c r="N238" s="10"/>
      <c r="O238" s="10"/>
      <c r="P238" s="10"/>
      <c r="Q238" s="10"/>
      <c r="R238" s="10"/>
      <c r="S238" s="10"/>
      <c r="T238" s="10"/>
      <c r="U238" s="10"/>
    </row>
    <row r="239" spans="13:21" x14ac:dyDescent="0.3">
      <c r="M239" s="10"/>
      <c r="N239" s="10"/>
      <c r="O239" s="10"/>
      <c r="P239" s="10"/>
      <c r="Q239" s="10"/>
      <c r="R239" s="10"/>
      <c r="S239" s="10"/>
      <c r="T239" s="10"/>
      <c r="U239" s="10"/>
    </row>
    <row r="240" spans="13:21" x14ac:dyDescent="0.3">
      <c r="M240" s="10"/>
      <c r="N240" s="10"/>
      <c r="O240" s="10"/>
      <c r="P240" s="10"/>
      <c r="Q240" s="10"/>
      <c r="R240" s="10"/>
      <c r="S240" s="10"/>
      <c r="T240" s="10"/>
      <c r="U240" s="10"/>
    </row>
    <row r="241" spans="13:21" x14ac:dyDescent="0.3"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13:21" x14ac:dyDescent="0.3">
      <c r="M242" s="10"/>
      <c r="N242" s="10"/>
      <c r="O242" s="10"/>
      <c r="P242" s="10"/>
      <c r="Q242" s="10"/>
      <c r="R242" s="10"/>
      <c r="S242" s="10"/>
      <c r="T242" s="10"/>
      <c r="U242" s="10"/>
    </row>
    <row r="243" spans="13:21" x14ac:dyDescent="0.3">
      <c r="M243" s="10"/>
      <c r="N243" s="10"/>
      <c r="O243" s="10"/>
      <c r="P243" s="10"/>
      <c r="Q243" s="10"/>
      <c r="R243" s="10"/>
      <c r="S243" s="10"/>
      <c r="T243" s="10"/>
      <c r="U243" s="10"/>
    </row>
    <row r="244" spans="13:21" x14ac:dyDescent="0.3">
      <c r="M244" s="10"/>
      <c r="N244" s="10"/>
      <c r="O244" s="10"/>
      <c r="P244" s="10"/>
      <c r="Q244" s="10"/>
      <c r="R244" s="10"/>
      <c r="S244" s="10"/>
      <c r="T244" s="10"/>
      <c r="U244" s="10"/>
    </row>
    <row r="245" spans="13:21" x14ac:dyDescent="0.3">
      <c r="M245" s="10"/>
      <c r="N245" s="10"/>
      <c r="O245" s="10"/>
      <c r="P245" s="10"/>
      <c r="Q245" s="10"/>
      <c r="R245" s="10"/>
      <c r="S245" s="10"/>
      <c r="T245" s="10"/>
      <c r="U245" s="10"/>
    </row>
    <row r="246" spans="13:21" x14ac:dyDescent="0.3">
      <c r="M246" s="10"/>
      <c r="N246" s="10"/>
      <c r="O246" s="10"/>
      <c r="P246" s="10"/>
      <c r="Q246" s="10"/>
      <c r="R246" s="10"/>
      <c r="S246" s="10"/>
      <c r="T246" s="10"/>
      <c r="U246" s="10"/>
    </row>
    <row r="247" spans="13:21" x14ac:dyDescent="0.3">
      <c r="M247" s="10"/>
      <c r="N247" s="10"/>
      <c r="O247" s="10"/>
      <c r="P247" s="10"/>
      <c r="Q247" s="10"/>
      <c r="R247" s="10"/>
      <c r="S247" s="10"/>
      <c r="T247" s="10"/>
      <c r="U247" s="10"/>
    </row>
    <row r="248" spans="13:21" x14ac:dyDescent="0.3">
      <c r="M248" s="10"/>
      <c r="N248" s="10"/>
      <c r="O248" s="10"/>
      <c r="P248" s="10"/>
      <c r="Q248" s="10"/>
      <c r="R248" s="10"/>
      <c r="S248" s="10"/>
      <c r="T248" s="10"/>
      <c r="U248" s="10"/>
    </row>
    <row r="249" spans="13:21" x14ac:dyDescent="0.3">
      <c r="M249" s="10"/>
      <c r="N249" s="10"/>
      <c r="O249" s="10"/>
      <c r="P249" s="10"/>
      <c r="Q249" s="10"/>
      <c r="R249" s="10"/>
      <c r="S249" s="10"/>
      <c r="T249" s="10"/>
      <c r="U249" s="10"/>
    </row>
    <row r="250" spans="13:21" x14ac:dyDescent="0.3">
      <c r="M250" s="10"/>
      <c r="N250" s="10"/>
      <c r="O250" s="10"/>
      <c r="P250" s="10"/>
      <c r="Q250" s="10"/>
      <c r="R250" s="10"/>
      <c r="S250" s="10"/>
      <c r="T250" s="10"/>
      <c r="U250" s="10"/>
    </row>
    <row r="251" spans="13:21" x14ac:dyDescent="0.3">
      <c r="M251" s="10"/>
      <c r="N251" s="10"/>
      <c r="O251" s="10"/>
      <c r="P251" s="10"/>
      <c r="Q251" s="10"/>
      <c r="R251" s="10"/>
      <c r="S251" s="10"/>
      <c r="T251" s="10"/>
      <c r="U251" s="10"/>
    </row>
    <row r="252" spans="13:21" x14ac:dyDescent="0.3">
      <c r="M252" s="10"/>
      <c r="N252" s="10"/>
      <c r="O252" s="10"/>
      <c r="P252" s="10"/>
      <c r="Q252" s="10"/>
      <c r="R252" s="10"/>
      <c r="S252" s="10"/>
      <c r="T252" s="10"/>
      <c r="U252" s="10"/>
    </row>
    <row r="253" spans="13:21" x14ac:dyDescent="0.3">
      <c r="M253" s="10"/>
      <c r="N253" s="10"/>
      <c r="O253" s="10"/>
      <c r="P253" s="10"/>
      <c r="Q253" s="10"/>
      <c r="R253" s="10"/>
      <c r="S253" s="10"/>
      <c r="T253" s="10"/>
      <c r="U253" s="10"/>
    </row>
    <row r="254" spans="13:21" x14ac:dyDescent="0.3">
      <c r="M254" s="10"/>
      <c r="N254" s="10"/>
      <c r="O254" s="10"/>
      <c r="P254" s="10"/>
      <c r="Q254" s="10"/>
      <c r="R254" s="10"/>
      <c r="S254" s="10"/>
      <c r="T254" s="10"/>
      <c r="U254" s="10"/>
    </row>
    <row r="255" spans="13:21" x14ac:dyDescent="0.3">
      <c r="M255" s="10"/>
      <c r="N255" s="10"/>
      <c r="O255" s="10"/>
      <c r="P255" s="10"/>
      <c r="Q255" s="10"/>
      <c r="R255" s="10"/>
      <c r="S255" s="10"/>
      <c r="T255" s="10"/>
      <c r="U255" s="10"/>
    </row>
    <row r="256" spans="13:21" x14ac:dyDescent="0.3">
      <c r="M256" s="10"/>
      <c r="N256" s="10"/>
      <c r="O256" s="10"/>
      <c r="P256" s="10"/>
      <c r="Q256" s="10"/>
      <c r="R256" s="10"/>
      <c r="S256" s="10"/>
      <c r="T256" s="10"/>
      <c r="U256" s="10"/>
    </row>
    <row r="257" spans="15:21" x14ac:dyDescent="0.3">
      <c r="O257" s="10"/>
      <c r="P257" s="10"/>
      <c r="Q257" s="10"/>
      <c r="R257" s="10"/>
      <c r="S257" s="10"/>
      <c r="T257" s="10"/>
      <c r="U257" s="10"/>
    </row>
    <row r="258" spans="15:21" x14ac:dyDescent="0.3">
      <c r="O258" s="10"/>
      <c r="P258" s="10"/>
      <c r="Q258" s="10"/>
      <c r="T258" s="10"/>
      <c r="U258" s="10"/>
    </row>
  </sheetData>
  <mergeCells count="23">
    <mergeCell ref="M1:AB1"/>
    <mergeCell ref="J14:K16"/>
    <mergeCell ref="J18:K20"/>
    <mergeCell ref="J22:K24"/>
    <mergeCell ref="J26:K28"/>
    <mergeCell ref="J30:K32"/>
    <mergeCell ref="G31:G32"/>
    <mergeCell ref="H31:H32"/>
    <mergeCell ref="J34:K36"/>
    <mergeCell ref="G35:G36"/>
    <mergeCell ref="H35:H36"/>
    <mergeCell ref="J38:K40"/>
    <mergeCell ref="G39:G40"/>
    <mergeCell ref="H39:H40"/>
    <mergeCell ref="J53:K57"/>
    <mergeCell ref="A65:H65"/>
    <mergeCell ref="A66:H66"/>
    <mergeCell ref="J42:K44"/>
    <mergeCell ref="G43:G44"/>
    <mergeCell ref="H43:H44"/>
    <mergeCell ref="J46:K51"/>
    <mergeCell ref="G47:G48"/>
    <mergeCell ref="H47:H48"/>
  </mergeCells>
  <conditionalFormatting sqref="H13:I13 H58:I58 H15:I15 H24 H74:I74 I75 H79:I80 H31:I32 H35:I36 H39:I40">
    <cfRule type="cellIs" dxfId="39" priority="40" operator="greaterThan">
      <formula>$H$3</formula>
    </cfRule>
  </conditionalFormatting>
  <conditionalFormatting sqref="H13:I13">
    <cfRule type="cellIs" dxfId="38" priority="39" operator="greaterThan">
      <formula>$H$3</formula>
    </cfRule>
  </conditionalFormatting>
  <conditionalFormatting sqref="I77:I78">
    <cfRule type="cellIs" dxfId="37" priority="38" operator="greaterThan">
      <formula>$H$3</formula>
    </cfRule>
  </conditionalFormatting>
  <conditionalFormatting sqref="H77:H78">
    <cfRule type="cellIs" dxfId="36" priority="37" operator="greaterThan">
      <formula>$H$3</formula>
    </cfRule>
  </conditionalFormatting>
  <conditionalFormatting sqref="I54:I56">
    <cfRule type="cellIs" dxfId="35" priority="36" operator="greaterThan">
      <formula>$H$3</formula>
    </cfRule>
  </conditionalFormatting>
  <conditionalFormatting sqref="H43:H44">
    <cfRule type="cellIs" dxfId="34" priority="34" operator="greaterThan">
      <formula>$H$3</formula>
    </cfRule>
  </conditionalFormatting>
  <conditionalFormatting sqref="I43:I44">
    <cfRule type="cellIs" dxfId="33" priority="35" operator="greaterThan">
      <formula>$H$3</formula>
    </cfRule>
  </conditionalFormatting>
  <conditionalFormatting sqref="H16:I16">
    <cfRule type="cellIs" dxfId="32" priority="33" operator="greaterThan">
      <formula>$H$3</formula>
    </cfRule>
  </conditionalFormatting>
  <conditionalFormatting sqref="H23">
    <cfRule type="cellIs" dxfId="31" priority="32" operator="greaterThan">
      <formula>$H$3</formula>
    </cfRule>
  </conditionalFormatting>
  <conditionalFormatting sqref="H17:I17">
    <cfRule type="cellIs" dxfId="30" priority="30" operator="greaterThan">
      <formula>$H$3</formula>
    </cfRule>
  </conditionalFormatting>
  <conditionalFormatting sqref="H17:I17">
    <cfRule type="cellIs" dxfId="29" priority="31" operator="greaterThan">
      <formula>$H$3</formula>
    </cfRule>
  </conditionalFormatting>
  <conditionalFormatting sqref="H25:I25">
    <cfRule type="cellIs" dxfId="28" priority="28" operator="greaterThan">
      <formula>$H$3</formula>
    </cfRule>
  </conditionalFormatting>
  <conditionalFormatting sqref="H25:I25">
    <cfRule type="cellIs" dxfId="27" priority="29" operator="greaterThan">
      <formula>$H$3</formula>
    </cfRule>
  </conditionalFormatting>
  <conditionalFormatting sqref="H19:I19">
    <cfRule type="cellIs" dxfId="26" priority="27" operator="greaterThan">
      <formula>$H$3</formula>
    </cfRule>
  </conditionalFormatting>
  <conditionalFormatting sqref="H20:I20">
    <cfRule type="cellIs" dxfId="25" priority="26" operator="greaterThan">
      <formula>$H$3</formula>
    </cfRule>
  </conditionalFormatting>
  <conditionalFormatting sqref="H21:I21">
    <cfRule type="cellIs" dxfId="24" priority="24" operator="greaterThan">
      <formula>$H$3</formula>
    </cfRule>
  </conditionalFormatting>
  <conditionalFormatting sqref="H21:I21">
    <cfRule type="cellIs" dxfId="23" priority="25" operator="greaterThan">
      <formula>$H$3</formula>
    </cfRule>
  </conditionalFormatting>
  <conditionalFormatting sqref="H29:I29">
    <cfRule type="cellIs" dxfId="22" priority="22" operator="greaterThan">
      <formula>$H$3</formula>
    </cfRule>
  </conditionalFormatting>
  <conditionalFormatting sqref="H29:I29">
    <cfRule type="cellIs" dxfId="21" priority="23" operator="greaterThan">
      <formula>$H$3</formula>
    </cfRule>
  </conditionalFormatting>
  <conditionalFormatting sqref="H27:I27">
    <cfRule type="cellIs" dxfId="20" priority="21" operator="greaterThan">
      <formula>$H$3</formula>
    </cfRule>
  </conditionalFormatting>
  <conditionalFormatting sqref="H28:I28">
    <cfRule type="cellIs" dxfId="19" priority="20" operator="greaterThan">
      <formula>$H$3</formula>
    </cfRule>
  </conditionalFormatting>
  <conditionalFormatting sqref="H33:I33">
    <cfRule type="cellIs" dxfId="18" priority="18" operator="greaterThan">
      <formula>$H$3</formula>
    </cfRule>
  </conditionalFormatting>
  <conditionalFormatting sqref="H33:I33">
    <cfRule type="cellIs" dxfId="17" priority="19" operator="greaterThan">
      <formula>$H$3</formula>
    </cfRule>
  </conditionalFormatting>
  <conditionalFormatting sqref="H37:I37">
    <cfRule type="cellIs" dxfId="16" priority="16" operator="greaterThan">
      <formula>$H$3</formula>
    </cfRule>
  </conditionalFormatting>
  <conditionalFormatting sqref="H37:I37">
    <cfRule type="cellIs" dxfId="15" priority="17" operator="greaterThan">
      <formula>$H$3</formula>
    </cfRule>
  </conditionalFormatting>
  <conditionalFormatting sqref="H41:I41">
    <cfRule type="cellIs" dxfId="14" priority="14" operator="greaterThan">
      <formula>$H$3</formula>
    </cfRule>
  </conditionalFormatting>
  <conditionalFormatting sqref="H41:I41">
    <cfRule type="cellIs" dxfId="13" priority="15" operator="greaterThan">
      <formula>$H$3</formula>
    </cfRule>
  </conditionalFormatting>
  <conditionalFormatting sqref="H45:I45">
    <cfRule type="cellIs" dxfId="12" priority="12" operator="greaterThan">
      <formula>$H$3</formula>
    </cfRule>
  </conditionalFormatting>
  <conditionalFormatting sqref="H45:I45">
    <cfRule type="cellIs" dxfId="11" priority="13" operator="greaterThan">
      <formula>$H$3</formula>
    </cfRule>
  </conditionalFormatting>
  <conditionalFormatting sqref="H52:I52">
    <cfRule type="cellIs" dxfId="10" priority="10" operator="greaterThan">
      <formula>$H$3</formula>
    </cfRule>
  </conditionalFormatting>
  <conditionalFormatting sqref="H52:I52">
    <cfRule type="cellIs" dxfId="9" priority="11" operator="greaterThan">
      <formula>$H$3</formula>
    </cfRule>
  </conditionalFormatting>
  <conditionalFormatting sqref="H60:I60">
    <cfRule type="cellIs" dxfId="8" priority="9" operator="greaterThan">
      <formula>$H$3</formula>
    </cfRule>
  </conditionalFormatting>
  <conditionalFormatting sqref="H62:I62">
    <cfRule type="cellIs" dxfId="7" priority="8" operator="greaterThan">
      <formula>$H$3</formula>
    </cfRule>
  </conditionalFormatting>
  <conditionalFormatting sqref="H47:H48">
    <cfRule type="cellIs" dxfId="6" priority="6" operator="greaterThan">
      <formula>$H$3</formula>
    </cfRule>
  </conditionalFormatting>
  <conditionalFormatting sqref="I47:I48">
    <cfRule type="cellIs" dxfId="5" priority="7" operator="greaterThan">
      <formula>$H$3</formula>
    </cfRule>
  </conditionalFormatting>
  <conditionalFormatting sqref="H49:I49">
    <cfRule type="cellIs" dxfId="4" priority="4" operator="greaterThan">
      <formula>$H$3</formula>
    </cfRule>
  </conditionalFormatting>
  <conditionalFormatting sqref="H49:I49">
    <cfRule type="cellIs" dxfId="3" priority="5" operator="greaterThan">
      <formula>$H$3</formula>
    </cfRule>
  </conditionalFormatting>
  <conditionalFormatting sqref="H54">
    <cfRule type="cellIs" dxfId="2" priority="3" operator="greaterThan">
      <formula>$H$3</formula>
    </cfRule>
  </conditionalFormatting>
  <conditionalFormatting sqref="H56">
    <cfRule type="cellIs" dxfId="1" priority="1" operator="greaterThan">
      <formula>$H$3</formula>
    </cfRule>
  </conditionalFormatting>
  <conditionalFormatting sqref="H56">
    <cfRule type="cellIs" dxfId="0" priority="2" operator="greaterThan">
      <formula>$H$3</formula>
    </cfRule>
  </conditionalFormatting>
  <pageMargins left="0.2" right="0.2" top="0.75" bottom="0.75" header="0.3" footer="0.3"/>
  <pageSetup scale="6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SFY 2014 Budget for 20140121</vt:lpstr>
      <vt:lpstr>'SFY 2014 Budget for 20140121'!Print_Area</vt:lpstr>
    </vt:vector>
  </TitlesOfParts>
  <Company>IDHW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bartletm</dc:creator>
  <cp:lastModifiedBy>bartletm</cp:lastModifiedBy>
  <dcterms:created xsi:type="dcterms:W3CDTF">2014-01-24T18:04:09Z</dcterms:created>
  <dcterms:modified xsi:type="dcterms:W3CDTF">2014-01-24T18:08:37Z</dcterms:modified>
</cp:coreProperties>
</file>