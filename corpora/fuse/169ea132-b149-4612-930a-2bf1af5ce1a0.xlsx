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-15" yWindow="45" windowWidth="15300" windowHeight="8385"/>
  </bookViews>
  <sheets>
    <sheet name="Volunteer Sign-Up Sheet" sheetId="1" r:id="rId1"/>
    <sheet name="DV-IDENTITY-0" sheetId="2" state="veryHidden" r:id="rId2"/>
  </sheets>
  <calcPr calcId="125725"/>
</workbook>
</file>

<file path=xl/calcChain.xml><?xml version="1.0" encoding="utf-8"?>
<calcChain xmlns="http://schemas.openxmlformats.org/spreadsheetml/2006/main">
  <c r="A3" i="2"/>
  <c r="B3"/>
  <c r="C3"/>
  <c r="D3"/>
  <c r="E3"/>
  <c r="F3"/>
  <c r="G3"/>
  <c r="H3"/>
  <c r="I3"/>
  <c r="J3"/>
  <c r="K3"/>
  <c r="L3"/>
  <c r="A2"/>
  <c r="B2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A1"/>
  <c r="B1"/>
  <c r="C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BP1"/>
  <c r="BQ1"/>
  <c r="BR1"/>
  <c r="BS1"/>
  <c r="BT1"/>
  <c r="BU1"/>
  <c r="BV1"/>
  <c r="BW1"/>
  <c r="BX1"/>
  <c r="BY1"/>
  <c r="BZ1"/>
  <c r="CA1"/>
  <c r="CB1"/>
  <c r="CC1"/>
  <c r="CD1"/>
  <c r="CE1"/>
  <c r="CF1"/>
  <c r="CG1"/>
  <c r="CH1"/>
  <c r="CI1"/>
  <c r="CJ1"/>
  <c r="CK1"/>
  <c r="CL1"/>
  <c r="CM1"/>
  <c r="CN1"/>
  <c r="CO1"/>
  <c r="CP1"/>
  <c r="CQ1"/>
  <c r="CR1"/>
  <c r="CS1"/>
  <c r="CT1"/>
  <c r="CU1"/>
  <c r="CV1"/>
  <c r="CW1"/>
  <c r="CX1"/>
  <c r="CY1"/>
  <c r="CZ1"/>
  <c r="DA1"/>
  <c r="DB1"/>
  <c r="DC1"/>
  <c r="DD1"/>
  <c r="DE1"/>
  <c r="DF1"/>
  <c r="DG1"/>
  <c r="DH1"/>
  <c r="DI1"/>
  <c r="DJ1"/>
  <c r="DK1"/>
  <c r="DL1"/>
  <c r="DM1"/>
  <c r="DN1"/>
  <c r="DO1"/>
  <c r="DP1"/>
  <c r="DQ1"/>
  <c r="DR1"/>
  <c r="DS1"/>
  <c r="DT1"/>
  <c r="DU1"/>
  <c r="DV1"/>
  <c r="DW1"/>
  <c r="DX1"/>
  <c r="DY1"/>
  <c r="DZ1"/>
  <c r="EA1"/>
  <c r="EB1"/>
  <c r="EC1"/>
  <c r="ED1"/>
  <c r="EE1"/>
  <c r="EF1"/>
  <c r="EG1"/>
  <c r="EH1"/>
  <c r="EI1"/>
  <c r="EJ1"/>
  <c r="EK1"/>
  <c r="EL1"/>
  <c r="EM1"/>
  <c r="EN1"/>
  <c r="EO1"/>
  <c r="EP1"/>
  <c r="EQ1"/>
  <c r="ER1"/>
  <c r="ES1"/>
  <c r="ET1"/>
  <c r="EU1"/>
  <c r="EV1"/>
  <c r="EW1"/>
  <c r="EX1"/>
  <c r="EY1"/>
  <c r="EZ1"/>
  <c r="FA1"/>
  <c r="FB1"/>
  <c r="FC1"/>
  <c r="FD1"/>
  <c r="FE1"/>
  <c r="FF1"/>
  <c r="FG1"/>
  <c r="FH1"/>
  <c r="FI1"/>
  <c r="FJ1"/>
  <c r="FK1"/>
  <c r="FL1"/>
  <c r="FM1"/>
  <c r="FN1"/>
  <c r="FO1"/>
  <c r="FP1"/>
  <c r="FQ1"/>
  <c r="FR1"/>
  <c r="FS1"/>
  <c r="FT1"/>
  <c r="FU1"/>
  <c r="FV1"/>
  <c r="FW1"/>
  <c r="FX1"/>
  <c r="FY1"/>
  <c r="FZ1"/>
  <c r="GA1"/>
  <c r="GB1"/>
  <c r="GC1"/>
  <c r="GD1"/>
  <c r="GE1"/>
  <c r="GF1"/>
  <c r="GG1"/>
  <c r="GH1"/>
  <c r="GI1"/>
  <c r="GJ1"/>
  <c r="GK1"/>
  <c r="GL1"/>
  <c r="GM1"/>
  <c r="GN1"/>
  <c r="GO1"/>
  <c r="GP1"/>
  <c r="GQ1"/>
  <c r="GR1"/>
  <c r="GS1"/>
  <c r="GT1"/>
  <c r="GU1"/>
  <c r="GV1"/>
  <c r="GW1"/>
  <c r="GX1"/>
  <c r="GY1"/>
  <c r="GZ1"/>
  <c r="HA1"/>
  <c r="HB1"/>
  <c r="HC1"/>
  <c r="HD1"/>
  <c r="HE1"/>
  <c r="HF1"/>
  <c r="HG1"/>
  <c r="HH1"/>
  <c r="HI1"/>
  <c r="HJ1"/>
  <c r="HK1"/>
  <c r="HL1"/>
  <c r="HM1"/>
  <c r="HN1"/>
  <c r="HO1"/>
  <c r="HP1"/>
  <c r="HQ1"/>
  <c r="HR1"/>
  <c r="HS1"/>
  <c r="HT1"/>
  <c r="HU1"/>
  <c r="HV1"/>
  <c r="HW1"/>
  <c r="HX1"/>
  <c r="HY1"/>
  <c r="HZ1"/>
  <c r="IA1"/>
  <c r="IB1"/>
  <c r="IC1"/>
  <c r="ID1"/>
  <c r="IE1"/>
  <c r="IF1"/>
  <c r="IG1"/>
  <c r="IH1"/>
  <c r="II1"/>
  <c r="IJ1"/>
  <c r="IK1"/>
  <c r="IL1"/>
  <c r="IM1"/>
  <c r="IN1"/>
  <c r="IO1"/>
  <c r="IP1"/>
  <c r="IQ1"/>
  <c r="IR1"/>
  <c r="IS1"/>
  <c r="IT1"/>
  <c r="IU1"/>
  <c r="IV1"/>
</calcChain>
</file>

<file path=xl/sharedStrings.xml><?xml version="1.0" encoding="utf-8"?>
<sst xmlns="http://schemas.openxmlformats.org/spreadsheetml/2006/main" count="24" uniqueCount="24">
  <si>
    <t>Wheel Chair Y/N</t>
  </si>
  <si>
    <t>Vegetarian Y/N</t>
  </si>
  <si>
    <t>Guest 2</t>
  </si>
  <si>
    <t>Guest 3</t>
  </si>
  <si>
    <t>Guest 4</t>
  </si>
  <si>
    <t>Guest 5</t>
  </si>
  <si>
    <t>Guest 6</t>
  </si>
  <si>
    <t>Guest 7</t>
  </si>
  <si>
    <t>Guest 8</t>
  </si>
  <si>
    <t>Guest 9</t>
  </si>
  <si>
    <t>Guest 10</t>
  </si>
  <si>
    <t>Table Leader Name:</t>
  </si>
  <si>
    <t>2012 Women of Achievement Luncheon, Registration Form</t>
  </si>
  <si>
    <t>Atteendees</t>
  </si>
  <si>
    <t>First Name</t>
  </si>
  <si>
    <t>Last Name</t>
  </si>
  <si>
    <t>Street Address</t>
  </si>
  <si>
    <t>City &amp; State</t>
  </si>
  <si>
    <t>Phone Home</t>
  </si>
  <si>
    <t>Phone Cell</t>
  </si>
  <si>
    <t>Zip</t>
  </si>
  <si>
    <t>AAAAABHvm0Q=</t>
  </si>
  <si>
    <t>Email</t>
  </si>
  <si>
    <t>YWCA of Spokane,  930 N. Monroe St.,  Spokane, WA 99201       Phone:  509-789-9306     Fax:  509-326-1597       email:  jennik@ywcaspokane.org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</si>
</sst>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  <family val="2"/>
    </font>
    <font>
      <b/>
      <sz val="18"/>
      <color indexed="9"/>
      <name val="Tahoma"/>
      <family val="2"/>
    </font>
    <font>
      <sz val="18"/>
      <color indexed="9"/>
      <name val="Arial"/>
      <family val="2"/>
    </font>
    <font>
      <b/>
      <sz val="12"/>
      <color indexed="56"/>
      <name val="Tahoma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4" fillId="2" borderId="1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wrapText="1"/>
    </xf>
    <xf numFmtId="0" fontId="0" fillId="0" borderId="4" xfId="0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58CA9"/>
      <rgbColor rgb="00993366"/>
      <rgbColor rgb="00FFFFCC"/>
      <rgbColor rgb="00DBDDAF"/>
      <rgbColor rgb="00660066"/>
      <rgbColor rgb="00FF8080"/>
      <rgbColor rgb="000066CC"/>
      <rgbColor rgb="00CCCCFF"/>
      <rgbColor rgb="00AFCDB7"/>
      <rgbColor rgb="00E79F57"/>
      <rgbColor rgb="0094AABA"/>
      <rgbColor rgb="00FEEB8A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K13"/>
  <sheetViews>
    <sheetView showGridLines="0" tabSelected="1" zoomScale="75" zoomScaleNormal="100" workbookViewId="0">
      <selection activeCell="B3" sqref="B3"/>
    </sheetView>
  </sheetViews>
  <sheetFormatPr defaultRowHeight="21.95" customHeight="1"/>
  <cols>
    <col min="1" max="1" width="16.85546875" customWidth="1"/>
    <col min="2" max="3" width="22.42578125" customWidth="1"/>
    <col min="4" max="4" width="28.28515625" customWidth="1"/>
    <col min="5" max="5" width="19.7109375" customWidth="1"/>
    <col min="6" max="6" width="10.85546875" customWidth="1"/>
    <col min="7" max="7" width="20.140625" customWidth="1"/>
    <col min="8" max="8" width="20.140625" style="1" customWidth="1"/>
    <col min="9" max="9" width="26.42578125" style="1" customWidth="1"/>
    <col min="10" max="11" width="14.7109375" style="10" customWidth="1"/>
  </cols>
  <sheetData>
    <row r="1" spans="1:11" ht="48" customHeight="1" thickBot="1">
      <c r="A1" s="6" t="s">
        <v>12</v>
      </c>
      <c r="B1" s="7"/>
      <c r="C1" s="7"/>
      <c r="D1" s="7"/>
      <c r="E1" s="7"/>
      <c r="F1" s="7"/>
      <c r="G1" s="7"/>
      <c r="H1" s="7"/>
      <c r="I1" s="8"/>
      <c r="J1" s="8"/>
      <c r="K1" s="8"/>
    </row>
    <row r="2" spans="1:11" ht="48" customHeight="1" thickBo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20</v>
      </c>
      <c r="G2" s="3" t="s">
        <v>18</v>
      </c>
      <c r="H2" s="3" t="s">
        <v>19</v>
      </c>
      <c r="I2" s="3" t="s">
        <v>22</v>
      </c>
      <c r="J2" s="9" t="s">
        <v>0</v>
      </c>
      <c r="K2" s="11" t="s">
        <v>1</v>
      </c>
    </row>
    <row r="3" spans="1:11" s="2" customFormat="1" ht="38.25" customHeight="1">
      <c r="A3" s="14" t="s">
        <v>11</v>
      </c>
      <c r="B3" s="13"/>
      <c r="C3" s="13"/>
      <c r="D3" s="13"/>
      <c r="E3" s="13"/>
      <c r="F3" s="13"/>
      <c r="G3" s="13"/>
      <c r="H3" s="13"/>
      <c r="I3" s="13"/>
      <c r="J3" s="12"/>
      <c r="K3" s="12"/>
    </row>
    <row r="4" spans="1:11" s="2" customFormat="1" ht="27.75" customHeight="1">
      <c r="A4" s="14" t="s">
        <v>2</v>
      </c>
      <c r="B4" s="13"/>
      <c r="C4" s="13"/>
      <c r="D4" s="13"/>
      <c r="E4" s="13"/>
      <c r="F4" s="13"/>
      <c r="G4" s="13"/>
      <c r="H4" s="13"/>
      <c r="I4" s="13"/>
      <c r="J4" s="12"/>
      <c r="K4" s="12"/>
    </row>
    <row r="5" spans="1:11" s="2" customFormat="1" ht="27.75" customHeight="1">
      <c r="A5" s="14" t="s">
        <v>3</v>
      </c>
      <c r="B5" s="13"/>
      <c r="C5" s="13"/>
      <c r="D5" s="13"/>
      <c r="E5" s="13"/>
      <c r="F5" s="13"/>
      <c r="G5" s="13"/>
      <c r="H5" s="13"/>
      <c r="I5" s="13"/>
      <c r="J5" s="12"/>
      <c r="K5" s="12"/>
    </row>
    <row r="6" spans="1:11" s="2" customFormat="1" ht="27.75" customHeight="1">
      <c r="A6" s="14" t="s">
        <v>4</v>
      </c>
      <c r="B6" s="13"/>
      <c r="C6" s="13"/>
      <c r="D6" s="13"/>
      <c r="E6" s="13"/>
      <c r="F6" s="13"/>
      <c r="G6" s="13"/>
      <c r="H6" s="13"/>
      <c r="I6" s="13"/>
      <c r="J6" s="12"/>
      <c r="K6" s="12"/>
    </row>
    <row r="7" spans="1:11" s="2" customFormat="1" ht="27.75" customHeight="1">
      <c r="A7" s="14" t="s">
        <v>5</v>
      </c>
      <c r="B7" s="13"/>
      <c r="C7" s="13"/>
      <c r="D7" s="13"/>
      <c r="E7" s="13"/>
      <c r="F7" s="13"/>
      <c r="G7" s="13"/>
      <c r="H7" s="13"/>
      <c r="I7" s="13"/>
      <c r="J7" s="12"/>
      <c r="K7" s="12"/>
    </row>
    <row r="8" spans="1:11" s="2" customFormat="1" ht="27.75" customHeight="1">
      <c r="A8" s="14" t="s">
        <v>6</v>
      </c>
      <c r="B8" s="13"/>
      <c r="C8" s="13"/>
      <c r="D8" s="13"/>
      <c r="E8" s="13"/>
      <c r="F8" s="13"/>
      <c r="G8" s="13"/>
      <c r="H8" s="13"/>
      <c r="I8" s="13"/>
      <c r="J8" s="12"/>
      <c r="K8" s="12"/>
    </row>
    <row r="9" spans="1:11" s="2" customFormat="1" ht="27.75" customHeight="1">
      <c r="A9" s="14" t="s">
        <v>7</v>
      </c>
      <c r="B9" s="13"/>
      <c r="C9" s="13"/>
      <c r="D9" s="13"/>
      <c r="E9" s="13"/>
      <c r="F9" s="13"/>
      <c r="G9" s="13"/>
      <c r="H9" s="13"/>
      <c r="I9" s="13"/>
      <c r="J9" s="12"/>
      <c r="K9" s="12"/>
    </row>
    <row r="10" spans="1:11" s="2" customFormat="1" ht="27.75" customHeight="1">
      <c r="A10" s="14" t="s">
        <v>8</v>
      </c>
      <c r="B10" s="13"/>
      <c r="C10" s="13"/>
      <c r="D10" s="13"/>
      <c r="E10" s="13"/>
      <c r="F10" s="13"/>
      <c r="G10" s="13"/>
      <c r="H10" s="13"/>
      <c r="I10" s="13"/>
      <c r="J10" s="12"/>
      <c r="K10" s="12"/>
    </row>
    <row r="11" spans="1:11" s="2" customFormat="1" ht="27.75" customHeight="1">
      <c r="A11" s="14" t="s">
        <v>9</v>
      </c>
      <c r="B11" s="13"/>
      <c r="C11" s="13"/>
      <c r="D11" s="13"/>
      <c r="E11" s="13"/>
      <c r="F11" s="13"/>
      <c r="G11" s="13"/>
      <c r="H11" s="13"/>
      <c r="I11" s="13"/>
      <c r="J11" s="12"/>
      <c r="K11" s="12"/>
    </row>
    <row r="12" spans="1:11" ht="27.75" customHeight="1" thickBot="1">
      <c r="A12" s="15" t="s">
        <v>10</v>
      </c>
      <c r="B12" s="16"/>
      <c r="C12" s="16"/>
      <c r="D12" s="16"/>
      <c r="E12" s="16"/>
      <c r="F12" s="16"/>
      <c r="G12" s="16"/>
      <c r="H12" s="16"/>
      <c r="I12" s="16"/>
      <c r="J12" s="17"/>
      <c r="K12" s="17"/>
    </row>
    <row r="13" spans="1:11" s="5" customFormat="1" ht="21.95" customHeight="1">
      <c r="A13" s="4" t="s">
        <v>23</v>
      </c>
    </row>
  </sheetData>
  <mergeCells count="2">
    <mergeCell ref="A13:XFD13"/>
    <mergeCell ref="A1:K1"/>
  </mergeCells>
  <phoneticPr fontId="1" type="noConversion"/>
  <printOptions horizontalCentered="1"/>
  <pageMargins left="0.34" right="0.41" top="1" bottom="1" header="0.5" footer="0.5"/>
  <pageSetup scale="61" fitToHeight="0" orientation="landscape" r:id="rId1"/>
  <headerFooter alignWithMargins="0"/>
  <customProperties>
    <customPr name="DVSECTION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V3"/>
  <sheetViews>
    <sheetView workbookViewId="0">
      <selection activeCell="BQ2" sqref="BQ2"/>
    </sheetView>
  </sheetViews>
  <sheetFormatPr defaultRowHeight="12.75"/>
  <sheetData>
    <row r="1" spans="1:256">
      <c r="A1" t="e">
        <f>IF('Volunteer Sign-Up Sheet'!1:1,"AAAAAD7sqwA=",0)</f>
        <v>#VALUE!</v>
      </c>
      <c r="B1" t="e">
        <f>AND('Volunteer Sign-Up Sheet'!A1,"AAAAAD7sqwE=")</f>
        <v>#VALUE!</v>
      </c>
      <c r="C1" t="e">
        <f>AND('Volunteer Sign-Up Sheet'!B1,"AAAAAD7sqwI=")</f>
        <v>#VALUE!</v>
      </c>
      <c r="D1" t="e">
        <f>AND('Volunteer Sign-Up Sheet'!C1,"AAAAAD7sqwM=")</f>
        <v>#VALUE!</v>
      </c>
      <c r="E1" t="e">
        <f>AND('Volunteer Sign-Up Sheet'!D1,"AAAAAD7sqwQ=")</f>
        <v>#VALUE!</v>
      </c>
      <c r="F1" t="e">
        <f>AND('Volunteer Sign-Up Sheet'!E1,"AAAAAD7sqwU=")</f>
        <v>#VALUE!</v>
      </c>
      <c r="G1" t="e">
        <f>AND('Volunteer Sign-Up Sheet'!F1,"AAAAAD7sqwY=")</f>
        <v>#VALUE!</v>
      </c>
      <c r="H1" t="e">
        <f>AND('Volunteer Sign-Up Sheet'!G1,"AAAAAD7sqwc=")</f>
        <v>#VALUE!</v>
      </c>
      <c r="I1" t="e">
        <f>AND('Volunteer Sign-Up Sheet'!H1,"AAAAAD7sqwg=")</f>
        <v>#VALUE!</v>
      </c>
      <c r="J1" t="e">
        <f>AND('Volunteer Sign-Up Sheet'!I1,"AAAAAD7sqwk=")</f>
        <v>#VALUE!</v>
      </c>
      <c r="K1" t="e">
        <f>AND('Volunteer Sign-Up Sheet'!J1,"AAAAAD7sqwo=")</f>
        <v>#VALUE!</v>
      </c>
      <c r="L1" t="e">
        <f>AND('Volunteer Sign-Up Sheet'!K1,"AAAAAD7sqws=")</f>
        <v>#VALUE!</v>
      </c>
      <c r="M1" t="e">
        <f>AND('Volunteer Sign-Up Sheet'!#REF!,"AAAAAD7sqww=")</f>
        <v>#REF!</v>
      </c>
      <c r="N1">
        <f>IF('Volunteer Sign-Up Sheet'!2:2,"AAAAAD7sqw0=",0)</f>
        <v>0</v>
      </c>
      <c r="O1" t="e">
        <f>AND('Volunteer Sign-Up Sheet'!A2,"AAAAAD7sqw4=")</f>
        <v>#VALUE!</v>
      </c>
      <c r="P1" t="e">
        <f>AND('Volunteer Sign-Up Sheet'!B2,"AAAAAD7sqw8=")</f>
        <v>#VALUE!</v>
      </c>
      <c r="Q1" t="e">
        <f>AND('Volunteer Sign-Up Sheet'!C2,"AAAAAD7sqxA=")</f>
        <v>#VALUE!</v>
      </c>
      <c r="R1" t="e">
        <f>AND('Volunteer Sign-Up Sheet'!D2,"AAAAAD7sqxE=")</f>
        <v>#VALUE!</v>
      </c>
      <c r="S1" t="e">
        <f>AND('Volunteer Sign-Up Sheet'!E2,"AAAAAD7sqxI=")</f>
        <v>#VALUE!</v>
      </c>
      <c r="T1" t="e">
        <f>AND('Volunteer Sign-Up Sheet'!F2,"AAAAAD7sqxM=")</f>
        <v>#VALUE!</v>
      </c>
      <c r="U1" t="e">
        <f>AND('Volunteer Sign-Up Sheet'!G2,"AAAAAD7sqxQ=")</f>
        <v>#VALUE!</v>
      </c>
      <c r="V1" t="e">
        <f>AND('Volunteer Sign-Up Sheet'!H2,"AAAAAD7sqxU=")</f>
        <v>#VALUE!</v>
      </c>
      <c r="W1" t="e">
        <f>AND('Volunteer Sign-Up Sheet'!I2,"AAAAAD7sqxY=")</f>
        <v>#VALUE!</v>
      </c>
      <c r="X1" t="e">
        <f>AND('Volunteer Sign-Up Sheet'!J2,"AAAAAD7sqxc=")</f>
        <v>#VALUE!</v>
      </c>
      <c r="Y1" t="e">
        <f>AND('Volunteer Sign-Up Sheet'!K2,"AAAAAD7sqxg=")</f>
        <v>#VALUE!</v>
      </c>
      <c r="Z1" t="e">
        <f>AND('Volunteer Sign-Up Sheet'!#REF!,"AAAAAD7sqxk=")</f>
        <v>#REF!</v>
      </c>
      <c r="AA1" t="e">
        <f>IF('Volunteer Sign-Up Sheet'!#REF!,"AAAAAD7sqxo=",0)</f>
        <v>#REF!</v>
      </c>
      <c r="AB1" t="e">
        <f>AND('Volunteer Sign-Up Sheet'!#REF!,"AAAAAD7sqxs=")</f>
        <v>#REF!</v>
      </c>
      <c r="AC1" t="e">
        <f>AND('Volunteer Sign-Up Sheet'!#REF!,"AAAAAD7sqxw=")</f>
        <v>#REF!</v>
      </c>
      <c r="AD1" t="e">
        <f>AND('Volunteer Sign-Up Sheet'!#REF!,"AAAAAD7sqx0=")</f>
        <v>#REF!</v>
      </c>
      <c r="AE1" t="e">
        <f>AND('Volunteer Sign-Up Sheet'!#REF!,"AAAAAD7sqx4=")</f>
        <v>#REF!</v>
      </c>
      <c r="AF1" t="e">
        <f>AND('Volunteer Sign-Up Sheet'!#REF!,"AAAAAD7sqx8=")</f>
        <v>#REF!</v>
      </c>
      <c r="AG1" t="e">
        <f>AND('Volunteer Sign-Up Sheet'!#REF!,"AAAAAD7sqyA=")</f>
        <v>#REF!</v>
      </c>
      <c r="AH1" t="e">
        <f>AND('Volunteer Sign-Up Sheet'!#REF!,"AAAAAD7sqyE=")</f>
        <v>#REF!</v>
      </c>
      <c r="AI1" t="e">
        <f>AND('Volunteer Sign-Up Sheet'!#REF!,"AAAAAD7sqyI=")</f>
        <v>#REF!</v>
      </c>
      <c r="AJ1" t="e">
        <f>AND('Volunteer Sign-Up Sheet'!#REF!,"AAAAAD7sqyM=")</f>
        <v>#REF!</v>
      </c>
      <c r="AK1" t="e">
        <f>AND('Volunteer Sign-Up Sheet'!#REF!,"AAAAAD7sqyQ=")</f>
        <v>#REF!</v>
      </c>
      <c r="AL1" t="e">
        <f>AND('Volunteer Sign-Up Sheet'!#REF!,"AAAAAD7sqyU=")</f>
        <v>#REF!</v>
      </c>
      <c r="AM1" t="e">
        <f>AND('Volunteer Sign-Up Sheet'!#REF!,"AAAAAD7sqyY=")</f>
        <v>#REF!</v>
      </c>
      <c r="AN1">
        <f>IF('Volunteer Sign-Up Sheet'!3:3,"AAAAAD7sqyc=",0)</f>
        <v>0</v>
      </c>
      <c r="AO1" t="e">
        <f>AND('Volunteer Sign-Up Sheet'!A3,"AAAAAD7sqyg=")</f>
        <v>#VALUE!</v>
      </c>
      <c r="AP1" t="e">
        <f>AND('Volunteer Sign-Up Sheet'!B3,"AAAAAD7sqyk=")</f>
        <v>#VALUE!</v>
      </c>
      <c r="AQ1" t="e">
        <f>AND('Volunteer Sign-Up Sheet'!C3,"AAAAAD7sqyo=")</f>
        <v>#VALUE!</v>
      </c>
      <c r="AR1" t="e">
        <f>AND('Volunteer Sign-Up Sheet'!D3,"AAAAAD7sqys=")</f>
        <v>#VALUE!</v>
      </c>
      <c r="AS1" t="e">
        <f>AND('Volunteer Sign-Up Sheet'!E3,"AAAAAD7sqyw=")</f>
        <v>#VALUE!</v>
      </c>
      <c r="AT1" t="e">
        <f>AND('Volunteer Sign-Up Sheet'!F3,"AAAAAD7sqy0=")</f>
        <v>#VALUE!</v>
      </c>
      <c r="AU1" t="e">
        <f>AND('Volunteer Sign-Up Sheet'!G3,"AAAAAD7sqy4=")</f>
        <v>#VALUE!</v>
      </c>
      <c r="AV1" t="e">
        <f>AND('Volunteer Sign-Up Sheet'!H3,"AAAAAD7sqy8=")</f>
        <v>#VALUE!</v>
      </c>
      <c r="AW1" t="e">
        <f>AND('Volunteer Sign-Up Sheet'!I3,"AAAAAD7sqzA=")</f>
        <v>#VALUE!</v>
      </c>
      <c r="AX1" t="e">
        <f>AND('Volunteer Sign-Up Sheet'!J3,"AAAAAD7sqzE=")</f>
        <v>#VALUE!</v>
      </c>
      <c r="AY1" t="e">
        <f>AND('Volunteer Sign-Up Sheet'!K3,"AAAAAD7sqzI=")</f>
        <v>#VALUE!</v>
      </c>
      <c r="AZ1" t="e">
        <f>AND('Volunteer Sign-Up Sheet'!#REF!,"AAAAAD7sqzM=")</f>
        <v>#REF!</v>
      </c>
      <c r="BA1" t="e">
        <f>IF('Volunteer Sign-Up Sheet'!#REF!,"AAAAAD7sqzQ=",0)</f>
        <v>#REF!</v>
      </c>
      <c r="BB1" t="e">
        <f>AND('Volunteer Sign-Up Sheet'!#REF!,"AAAAAD7sqzU=")</f>
        <v>#REF!</v>
      </c>
      <c r="BC1" t="e">
        <f>AND('Volunteer Sign-Up Sheet'!#REF!,"AAAAAD7sqzY=")</f>
        <v>#REF!</v>
      </c>
      <c r="BD1" t="e">
        <f>AND('Volunteer Sign-Up Sheet'!#REF!,"AAAAAD7sqzc=")</f>
        <v>#REF!</v>
      </c>
      <c r="BE1" t="e">
        <f>AND('Volunteer Sign-Up Sheet'!#REF!,"AAAAAD7sqzg=")</f>
        <v>#REF!</v>
      </c>
      <c r="BF1" t="e">
        <f>AND('Volunteer Sign-Up Sheet'!#REF!,"AAAAAD7sqzk=")</f>
        <v>#REF!</v>
      </c>
      <c r="BG1" t="e">
        <f>AND('Volunteer Sign-Up Sheet'!#REF!,"AAAAAD7sqzo=")</f>
        <v>#REF!</v>
      </c>
      <c r="BH1" t="e">
        <f>AND('Volunteer Sign-Up Sheet'!#REF!,"AAAAAD7sqzs=")</f>
        <v>#REF!</v>
      </c>
      <c r="BI1" t="e">
        <f>AND('Volunteer Sign-Up Sheet'!#REF!,"AAAAAD7sqzw=")</f>
        <v>#REF!</v>
      </c>
      <c r="BJ1" t="e">
        <f>AND('Volunteer Sign-Up Sheet'!#REF!,"AAAAAD7sqz0=")</f>
        <v>#REF!</v>
      </c>
      <c r="BK1" t="e">
        <f>AND('Volunteer Sign-Up Sheet'!#REF!,"AAAAAD7sqz4=")</f>
        <v>#REF!</v>
      </c>
      <c r="BL1" t="e">
        <f>AND('Volunteer Sign-Up Sheet'!#REF!,"AAAAAD7sqz8=")</f>
        <v>#REF!</v>
      </c>
      <c r="BM1" t="e">
        <f>AND('Volunteer Sign-Up Sheet'!#REF!,"AAAAAD7sq0A=")</f>
        <v>#REF!</v>
      </c>
      <c r="BN1">
        <f>IF('Volunteer Sign-Up Sheet'!4:4,"AAAAAD7sq0E=",0)</f>
        <v>0</v>
      </c>
      <c r="BO1" t="e">
        <f>AND('Volunteer Sign-Up Sheet'!A4,"AAAAAD7sq0I=")</f>
        <v>#VALUE!</v>
      </c>
      <c r="BP1" t="e">
        <f>AND('Volunteer Sign-Up Sheet'!B4,"AAAAAD7sq0M=")</f>
        <v>#VALUE!</v>
      </c>
      <c r="BQ1" t="e">
        <f>AND('Volunteer Sign-Up Sheet'!C4,"AAAAAD7sq0Q=")</f>
        <v>#VALUE!</v>
      </c>
      <c r="BR1" t="e">
        <f>AND('Volunteer Sign-Up Sheet'!D4,"AAAAAD7sq0U=")</f>
        <v>#VALUE!</v>
      </c>
      <c r="BS1" t="e">
        <f>AND('Volunteer Sign-Up Sheet'!E4,"AAAAAD7sq0Y=")</f>
        <v>#VALUE!</v>
      </c>
      <c r="BT1" t="e">
        <f>AND('Volunteer Sign-Up Sheet'!F4,"AAAAAD7sq0c=")</f>
        <v>#VALUE!</v>
      </c>
      <c r="BU1" t="e">
        <f>AND('Volunteer Sign-Up Sheet'!G4,"AAAAAD7sq0g=")</f>
        <v>#VALUE!</v>
      </c>
      <c r="BV1" t="e">
        <f>AND('Volunteer Sign-Up Sheet'!H4,"AAAAAD7sq0k=")</f>
        <v>#VALUE!</v>
      </c>
      <c r="BW1" t="e">
        <f>AND('Volunteer Sign-Up Sheet'!I4,"AAAAAD7sq0o=")</f>
        <v>#VALUE!</v>
      </c>
      <c r="BX1" t="e">
        <f>AND('Volunteer Sign-Up Sheet'!J4,"AAAAAD7sq0s=")</f>
        <v>#VALUE!</v>
      </c>
      <c r="BY1" t="e">
        <f>AND('Volunteer Sign-Up Sheet'!K4,"AAAAAD7sq0w=")</f>
        <v>#VALUE!</v>
      </c>
      <c r="BZ1" t="e">
        <f>AND('Volunteer Sign-Up Sheet'!#REF!,"AAAAAD7sq00=")</f>
        <v>#REF!</v>
      </c>
      <c r="CA1" t="e">
        <f>IF('Volunteer Sign-Up Sheet'!#REF!,"AAAAAD7sq04=",0)</f>
        <v>#REF!</v>
      </c>
      <c r="CB1" t="e">
        <f>AND('Volunteer Sign-Up Sheet'!#REF!,"AAAAAD7sq08=")</f>
        <v>#REF!</v>
      </c>
      <c r="CC1" t="e">
        <f>AND('Volunteer Sign-Up Sheet'!#REF!,"AAAAAD7sq1A=")</f>
        <v>#REF!</v>
      </c>
      <c r="CD1" t="e">
        <f>AND('Volunteer Sign-Up Sheet'!#REF!,"AAAAAD7sq1E=")</f>
        <v>#REF!</v>
      </c>
      <c r="CE1" t="e">
        <f>AND('Volunteer Sign-Up Sheet'!#REF!,"AAAAAD7sq1I=")</f>
        <v>#REF!</v>
      </c>
      <c r="CF1" t="e">
        <f>AND('Volunteer Sign-Up Sheet'!#REF!,"AAAAAD7sq1M=")</f>
        <v>#REF!</v>
      </c>
      <c r="CG1" t="e">
        <f>AND('Volunteer Sign-Up Sheet'!#REF!,"AAAAAD7sq1Q=")</f>
        <v>#REF!</v>
      </c>
      <c r="CH1" t="e">
        <f>AND('Volunteer Sign-Up Sheet'!#REF!,"AAAAAD7sq1U=")</f>
        <v>#REF!</v>
      </c>
      <c r="CI1" t="e">
        <f>AND('Volunteer Sign-Up Sheet'!#REF!,"AAAAAD7sq1Y=")</f>
        <v>#REF!</v>
      </c>
      <c r="CJ1" t="e">
        <f>AND('Volunteer Sign-Up Sheet'!#REF!,"AAAAAD7sq1c=")</f>
        <v>#REF!</v>
      </c>
      <c r="CK1" t="e">
        <f>AND('Volunteer Sign-Up Sheet'!#REF!,"AAAAAD7sq1g=")</f>
        <v>#REF!</v>
      </c>
      <c r="CL1" t="e">
        <f>AND('Volunteer Sign-Up Sheet'!#REF!,"AAAAAD7sq1k=")</f>
        <v>#REF!</v>
      </c>
      <c r="CM1" t="e">
        <f>AND('Volunteer Sign-Up Sheet'!#REF!,"AAAAAD7sq1o=")</f>
        <v>#REF!</v>
      </c>
      <c r="CN1">
        <f>IF('Volunteer Sign-Up Sheet'!5:5,"AAAAAD7sq1s=",0)</f>
        <v>0</v>
      </c>
      <c r="CO1" t="e">
        <f>AND('Volunteer Sign-Up Sheet'!A5,"AAAAAD7sq1w=")</f>
        <v>#VALUE!</v>
      </c>
      <c r="CP1" t="e">
        <f>AND('Volunteer Sign-Up Sheet'!B5,"AAAAAD7sq10=")</f>
        <v>#VALUE!</v>
      </c>
      <c r="CQ1" t="e">
        <f>AND('Volunteer Sign-Up Sheet'!C5,"AAAAAD7sq14=")</f>
        <v>#VALUE!</v>
      </c>
      <c r="CR1" t="e">
        <f>AND('Volunteer Sign-Up Sheet'!D5,"AAAAAD7sq18=")</f>
        <v>#VALUE!</v>
      </c>
      <c r="CS1" t="e">
        <f>AND('Volunteer Sign-Up Sheet'!E5,"AAAAAD7sq2A=")</f>
        <v>#VALUE!</v>
      </c>
      <c r="CT1" t="e">
        <f>AND('Volunteer Sign-Up Sheet'!F5,"AAAAAD7sq2E=")</f>
        <v>#VALUE!</v>
      </c>
      <c r="CU1" t="e">
        <f>AND('Volunteer Sign-Up Sheet'!G5,"AAAAAD7sq2I=")</f>
        <v>#VALUE!</v>
      </c>
      <c r="CV1" t="e">
        <f>AND('Volunteer Sign-Up Sheet'!H5,"AAAAAD7sq2M=")</f>
        <v>#VALUE!</v>
      </c>
      <c r="CW1" t="e">
        <f>AND('Volunteer Sign-Up Sheet'!I5,"AAAAAD7sq2Q=")</f>
        <v>#VALUE!</v>
      </c>
      <c r="CX1" t="e">
        <f>AND('Volunteer Sign-Up Sheet'!J5,"AAAAAD7sq2U=")</f>
        <v>#VALUE!</v>
      </c>
      <c r="CY1" t="e">
        <f>AND('Volunteer Sign-Up Sheet'!K5,"AAAAAD7sq2Y=")</f>
        <v>#VALUE!</v>
      </c>
      <c r="CZ1" t="e">
        <f>AND('Volunteer Sign-Up Sheet'!#REF!,"AAAAAD7sq2c=")</f>
        <v>#REF!</v>
      </c>
      <c r="DA1" t="e">
        <f>IF('Volunteer Sign-Up Sheet'!#REF!,"AAAAAD7sq2g=",0)</f>
        <v>#REF!</v>
      </c>
      <c r="DB1" t="e">
        <f>AND('Volunteer Sign-Up Sheet'!#REF!,"AAAAAD7sq2k=")</f>
        <v>#REF!</v>
      </c>
      <c r="DC1" t="e">
        <f>AND('Volunteer Sign-Up Sheet'!#REF!,"AAAAAD7sq2o=")</f>
        <v>#REF!</v>
      </c>
      <c r="DD1" t="e">
        <f>AND('Volunteer Sign-Up Sheet'!#REF!,"AAAAAD7sq2s=")</f>
        <v>#REF!</v>
      </c>
      <c r="DE1" t="e">
        <f>AND('Volunteer Sign-Up Sheet'!#REF!,"AAAAAD7sq2w=")</f>
        <v>#REF!</v>
      </c>
      <c r="DF1" t="e">
        <f>AND('Volunteer Sign-Up Sheet'!#REF!,"AAAAAD7sq20=")</f>
        <v>#REF!</v>
      </c>
      <c r="DG1" t="e">
        <f>AND('Volunteer Sign-Up Sheet'!#REF!,"AAAAAD7sq24=")</f>
        <v>#REF!</v>
      </c>
      <c r="DH1" t="e">
        <f>AND('Volunteer Sign-Up Sheet'!#REF!,"AAAAAD7sq28=")</f>
        <v>#REF!</v>
      </c>
      <c r="DI1" t="e">
        <f>AND('Volunteer Sign-Up Sheet'!#REF!,"AAAAAD7sq3A=")</f>
        <v>#REF!</v>
      </c>
      <c r="DJ1" t="e">
        <f>AND('Volunteer Sign-Up Sheet'!#REF!,"AAAAAD7sq3E=")</f>
        <v>#REF!</v>
      </c>
      <c r="DK1" t="e">
        <f>AND('Volunteer Sign-Up Sheet'!#REF!,"AAAAAD7sq3I=")</f>
        <v>#REF!</v>
      </c>
      <c r="DL1" t="e">
        <f>AND('Volunteer Sign-Up Sheet'!#REF!,"AAAAAD7sq3M=")</f>
        <v>#REF!</v>
      </c>
      <c r="DM1" t="e">
        <f>AND('Volunteer Sign-Up Sheet'!#REF!,"AAAAAD7sq3Q=")</f>
        <v>#REF!</v>
      </c>
      <c r="DN1">
        <f>IF('Volunteer Sign-Up Sheet'!6:6,"AAAAAD7sq3U=",0)</f>
        <v>0</v>
      </c>
      <c r="DO1" t="e">
        <f>AND('Volunteer Sign-Up Sheet'!A6,"AAAAAD7sq3Y=")</f>
        <v>#VALUE!</v>
      </c>
      <c r="DP1" t="e">
        <f>AND('Volunteer Sign-Up Sheet'!B6,"AAAAAD7sq3c=")</f>
        <v>#VALUE!</v>
      </c>
      <c r="DQ1" t="e">
        <f>AND('Volunteer Sign-Up Sheet'!C6,"AAAAAD7sq3g=")</f>
        <v>#VALUE!</v>
      </c>
      <c r="DR1" t="e">
        <f>AND('Volunteer Sign-Up Sheet'!D6,"AAAAAD7sq3k=")</f>
        <v>#VALUE!</v>
      </c>
      <c r="DS1" t="e">
        <f>AND('Volunteer Sign-Up Sheet'!E6,"AAAAAD7sq3o=")</f>
        <v>#VALUE!</v>
      </c>
      <c r="DT1" t="e">
        <f>AND('Volunteer Sign-Up Sheet'!F6,"AAAAAD7sq3s=")</f>
        <v>#VALUE!</v>
      </c>
      <c r="DU1" t="e">
        <f>AND('Volunteer Sign-Up Sheet'!G6,"AAAAAD7sq3w=")</f>
        <v>#VALUE!</v>
      </c>
      <c r="DV1" t="e">
        <f>AND('Volunteer Sign-Up Sheet'!H6,"AAAAAD7sq30=")</f>
        <v>#VALUE!</v>
      </c>
      <c r="DW1" t="e">
        <f>AND('Volunteer Sign-Up Sheet'!I6,"AAAAAD7sq34=")</f>
        <v>#VALUE!</v>
      </c>
      <c r="DX1" t="e">
        <f>AND('Volunteer Sign-Up Sheet'!J6,"AAAAAD7sq38=")</f>
        <v>#VALUE!</v>
      </c>
      <c r="DY1" t="e">
        <f>AND('Volunteer Sign-Up Sheet'!K6,"AAAAAD7sq4A=")</f>
        <v>#VALUE!</v>
      </c>
      <c r="DZ1" t="e">
        <f>AND('Volunteer Sign-Up Sheet'!#REF!,"AAAAAD7sq4E=")</f>
        <v>#REF!</v>
      </c>
      <c r="EA1" t="e">
        <f>IF('Volunteer Sign-Up Sheet'!#REF!,"AAAAAD7sq4I=",0)</f>
        <v>#REF!</v>
      </c>
      <c r="EB1" t="e">
        <f>AND('Volunteer Sign-Up Sheet'!#REF!,"AAAAAD7sq4M=")</f>
        <v>#REF!</v>
      </c>
      <c r="EC1" t="e">
        <f>AND('Volunteer Sign-Up Sheet'!#REF!,"AAAAAD7sq4Q=")</f>
        <v>#REF!</v>
      </c>
      <c r="ED1" t="e">
        <f>AND('Volunteer Sign-Up Sheet'!#REF!,"AAAAAD7sq4U=")</f>
        <v>#REF!</v>
      </c>
      <c r="EE1" t="e">
        <f>AND('Volunteer Sign-Up Sheet'!#REF!,"AAAAAD7sq4Y=")</f>
        <v>#REF!</v>
      </c>
      <c r="EF1" t="e">
        <f>AND('Volunteer Sign-Up Sheet'!#REF!,"AAAAAD7sq4c=")</f>
        <v>#REF!</v>
      </c>
      <c r="EG1" t="e">
        <f>AND('Volunteer Sign-Up Sheet'!#REF!,"AAAAAD7sq4g=")</f>
        <v>#REF!</v>
      </c>
      <c r="EH1" t="e">
        <f>AND('Volunteer Sign-Up Sheet'!#REF!,"AAAAAD7sq4k=")</f>
        <v>#REF!</v>
      </c>
      <c r="EI1" t="e">
        <f>AND('Volunteer Sign-Up Sheet'!#REF!,"AAAAAD7sq4o=")</f>
        <v>#REF!</v>
      </c>
      <c r="EJ1" t="e">
        <f>AND('Volunteer Sign-Up Sheet'!#REF!,"AAAAAD7sq4s=")</f>
        <v>#REF!</v>
      </c>
      <c r="EK1" t="e">
        <f>AND('Volunteer Sign-Up Sheet'!#REF!,"AAAAAD7sq4w=")</f>
        <v>#REF!</v>
      </c>
      <c r="EL1" t="e">
        <f>AND('Volunteer Sign-Up Sheet'!#REF!,"AAAAAD7sq40=")</f>
        <v>#REF!</v>
      </c>
      <c r="EM1" t="e">
        <f>AND('Volunteer Sign-Up Sheet'!#REF!,"AAAAAD7sq44=")</f>
        <v>#REF!</v>
      </c>
      <c r="EN1">
        <f>IF('Volunteer Sign-Up Sheet'!7:7,"AAAAAD7sq48=",0)</f>
        <v>0</v>
      </c>
      <c r="EO1" t="e">
        <f>AND('Volunteer Sign-Up Sheet'!A7,"AAAAAD7sq5A=")</f>
        <v>#VALUE!</v>
      </c>
      <c r="EP1" t="e">
        <f>AND('Volunteer Sign-Up Sheet'!B7,"AAAAAD7sq5E=")</f>
        <v>#VALUE!</v>
      </c>
      <c r="EQ1" t="e">
        <f>AND('Volunteer Sign-Up Sheet'!C7,"AAAAAD7sq5I=")</f>
        <v>#VALUE!</v>
      </c>
      <c r="ER1" t="e">
        <f>AND('Volunteer Sign-Up Sheet'!D7,"AAAAAD7sq5M=")</f>
        <v>#VALUE!</v>
      </c>
      <c r="ES1" t="e">
        <f>AND('Volunteer Sign-Up Sheet'!E7,"AAAAAD7sq5Q=")</f>
        <v>#VALUE!</v>
      </c>
      <c r="ET1" t="e">
        <f>AND('Volunteer Sign-Up Sheet'!F7,"AAAAAD7sq5U=")</f>
        <v>#VALUE!</v>
      </c>
      <c r="EU1" t="e">
        <f>AND('Volunteer Sign-Up Sheet'!G7,"AAAAAD7sq5Y=")</f>
        <v>#VALUE!</v>
      </c>
      <c r="EV1" t="e">
        <f>AND('Volunteer Sign-Up Sheet'!H7,"AAAAAD7sq5c=")</f>
        <v>#VALUE!</v>
      </c>
      <c r="EW1" t="e">
        <f>AND('Volunteer Sign-Up Sheet'!I7,"AAAAAD7sq5g=")</f>
        <v>#VALUE!</v>
      </c>
      <c r="EX1" t="e">
        <f>AND('Volunteer Sign-Up Sheet'!J7,"AAAAAD7sq5k=")</f>
        <v>#VALUE!</v>
      </c>
      <c r="EY1" t="e">
        <f>AND('Volunteer Sign-Up Sheet'!K7,"AAAAAD7sq5o=")</f>
        <v>#VALUE!</v>
      </c>
      <c r="EZ1" t="e">
        <f>AND('Volunteer Sign-Up Sheet'!#REF!,"AAAAAD7sq5s=")</f>
        <v>#REF!</v>
      </c>
      <c r="FA1" t="e">
        <f>IF('Volunteer Sign-Up Sheet'!#REF!,"AAAAAD7sq5w=",0)</f>
        <v>#REF!</v>
      </c>
      <c r="FB1" t="e">
        <f>AND('Volunteer Sign-Up Sheet'!#REF!,"AAAAAD7sq50=")</f>
        <v>#REF!</v>
      </c>
      <c r="FC1" t="e">
        <f>AND('Volunteer Sign-Up Sheet'!#REF!,"AAAAAD7sq54=")</f>
        <v>#REF!</v>
      </c>
      <c r="FD1" t="e">
        <f>AND('Volunteer Sign-Up Sheet'!#REF!,"AAAAAD7sq58=")</f>
        <v>#REF!</v>
      </c>
      <c r="FE1" t="e">
        <f>AND('Volunteer Sign-Up Sheet'!#REF!,"AAAAAD7sq6A=")</f>
        <v>#REF!</v>
      </c>
      <c r="FF1" t="e">
        <f>AND('Volunteer Sign-Up Sheet'!#REF!,"AAAAAD7sq6E=")</f>
        <v>#REF!</v>
      </c>
      <c r="FG1" t="e">
        <f>AND('Volunteer Sign-Up Sheet'!#REF!,"AAAAAD7sq6I=")</f>
        <v>#REF!</v>
      </c>
      <c r="FH1" t="e">
        <f>AND('Volunteer Sign-Up Sheet'!#REF!,"AAAAAD7sq6M=")</f>
        <v>#REF!</v>
      </c>
      <c r="FI1" t="e">
        <f>AND('Volunteer Sign-Up Sheet'!#REF!,"AAAAAD7sq6Q=")</f>
        <v>#REF!</v>
      </c>
      <c r="FJ1" t="e">
        <f>AND('Volunteer Sign-Up Sheet'!#REF!,"AAAAAD7sq6U=")</f>
        <v>#REF!</v>
      </c>
      <c r="FK1" t="e">
        <f>AND('Volunteer Sign-Up Sheet'!#REF!,"AAAAAD7sq6Y=")</f>
        <v>#REF!</v>
      </c>
      <c r="FL1" t="e">
        <f>AND('Volunteer Sign-Up Sheet'!#REF!,"AAAAAD7sq6c=")</f>
        <v>#REF!</v>
      </c>
      <c r="FM1" t="e">
        <f>AND('Volunteer Sign-Up Sheet'!#REF!,"AAAAAD7sq6g=")</f>
        <v>#REF!</v>
      </c>
      <c r="FN1">
        <f>IF('Volunteer Sign-Up Sheet'!8:8,"AAAAAD7sq6k=",0)</f>
        <v>0</v>
      </c>
      <c r="FO1" t="e">
        <f>AND('Volunteer Sign-Up Sheet'!A8,"AAAAAD7sq6o=")</f>
        <v>#VALUE!</v>
      </c>
      <c r="FP1" t="e">
        <f>AND('Volunteer Sign-Up Sheet'!B8,"AAAAAD7sq6s=")</f>
        <v>#VALUE!</v>
      </c>
      <c r="FQ1" t="e">
        <f>AND('Volunteer Sign-Up Sheet'!C8,"AAAAAD7sq6w=")</f>
        <v>#VALUE!</v>
      </c>
      <c r="FR1" t="e">
        <f>AND('Volunteer Sign-Up Sheet'!D8,"AAAAAD7sq60=")</f>
        <v>#VALUE!</v>
      </c>
      <c r="FS1" t="e">
        <f>AND('Volunteer Sign-Up Sheet'!E8,"AAAAAD7sq64=")</f>
        <v>#VALUE!</v>
      </c>
      <c r="FT1" t="e">
        <f>AND('Volunteer Sign-Up Sheet'!F8,"AAAAAD7sq68=")</f>
        <v>#VALUE!</v>
      </c>
      <c r="FU1" t="e">
        <f>AND('Volunteer Sign-Up Sheet'!G8,"AAAAAD7sq7A=")</f>
        <v>#VALUE!</v>
      </c>
      <c r="FV1" t="e">
        <f>AND('Volunteer Sign-Up Sheet'!H8,"AAAAAD7sq7E=")</f>
        <v>#VALUE!</v>
      </c>
      <c r="FW1" t="e">
        <f>AND('Volunteer Sign-Up Sheet'!I8,"AAAAAD7sq7I=")</f>
        <v>#VALUE!</v>
      </c>
      <c r="FX1" t="e">
        <f>AND('Volunteer Sign-Up Sheet'!J8,"AAAAAD7sq7M=")</f>
        <v>#VALUE!</v>
      </c>
      <c r="FY1" t="e">
        <f>AND('Volunteer Sign-Up Sheet'!K8,"AAAAAD7sq7Q=")</f>
        <v>#VALUE!</v>
      </c>
      <c r="FZ1" t="e">
        <f>AND('Volunteer Sign-Up Sheet'!#REF!,"AAAAAD7sq7U=")</f>
        <v>#REF!</v>
      </c>
      <c r="GA1" t="e">
        <f>IF('Volunteer Sign-Up Sheet'!#REF!,"AAAAAD7sq7Y=",0)</f>
        <v>#REF!</v>
      </c>
      <c r="GB1" t="e">
        <f>AND('Volunteer Sign-Up Sheet'!#REF!,"AAAAAD7sq7c=")</f>
        <v>#REF!</v>
      </c>
      <c r="GC1" t="e">
        <f>AND('Volunteer Sign-Up Sheet'!#REF!,"AAAAAD7sq7g=")</f>
        <v>#REF!</v>
      </c>
      <c r="GD1" t="e">
        <f>AND('Volunteer Sign-Up Sheet'!#REF!,"AAAAAD7sq7k=")</f>
        <v>#REF!</v>
      </c>
      <c r="GE1" t="e">
        <f>AND('Volunteer Sign-Up Sheet'!#REF!,"AAAAAD7sq7o=")</f>
        <v>#REF!</v>
      </c>
      <c r="GF1" t="e">
        <f>AND('Volunteer Sign-Up Sheet'!#REF!,"AAAAAD7sq7s=")</f>
        <v>#REF!</v>
      </c>
      <c r="GG1" t="e">
        <f>AND('Volunteer Sign-Up Sheet'!#REF!,"AAAAAD7sq7w=")</f>
        <v>#REF!</v>
      </c>
      <c r="GH1" t="e">
        <f>AND('Volunteer Sign-Up Sheet'!#REF!,"AAAAAD7sq70=")</f>
        <v>#REF!</v>
      </c>
      <c r="GI1" t="e">
        <f>AND('Volunteer Sign-Up Sheet'!#REF!,"AAAAAD7sq74=")</f>
        <v>#REF!</v>
      </c>
      <c r="GJ1" t="e">
        <f>AND('Volunteer Sign-Up Sheet'!#REF!,"AAAAAD7sq78=")</f>
        <v>#REF!</v>
      </c>
      <c r="GK1" t="e">
        <f>AND('Volunteer Sign-Up Sheet'!#REF!,"AAAAAD7sq8A=")</f>
        <v>#REF!</v>
      </c>
      <c r="GL1" t="e">
        <f>AND('Volunteer Sign-Up Sheet'!#REF!,"AAAAAD7sq8E=")</f>
        <v>#REF!</v>
      </c>
      <c r="GM1" t="e">
        <f>AND('Volunteer Sign-Up Sheet'!#REF!,"AAAAAD7sq8I=")</f>
        <v>#REF!</v>
      </c>
      <c r="GN1">
        <f>IF('Volunteer Sign-Up Sheet'!9:9,"AAAAAD7sq8M=",0)</f>
        <v>0</v>
      </c>
      <c r="GO1" t="e">
        <f>AND('Volunteer Sign-Up Sheet'!A9,"AAAAAD7sq8Q=")</f>
        <v>#VALUE!</v>
      </c>
      <c r="GP1" t="e">
        <f>AND('Volunteer Sign-Up Sheet'!B9,"AAAAAD7sq8U=")</f>
        <v>#VALUE!</v>
      </c>
      <c r="GQ1" t="e">
        <f>AND('Volunteer Sign-Up Sheet'!C9,"AAAAAD7sq8Y=")</f>
        <v>#VALUE!</v>
      </c>
      <c r="GR1" t="e">
        <f>AND('Volunteer Sign-Up Sheet'!D9,"AAAAAD7sq8c=")</f>
        <v>#VALUE!</v>
      </c>
      <c r="GS1" t="e">
        <f>AND('Volunteer Sign-Up Sheet'!E9,"AAAAAD7sq8g=")</f>
        <v>#VALUE!</v>
      </c>
      <c r="GT1" t="e">
        <f>AND('Volunteer Sign-Up Sheet'!F9,"AAAAAD7sq8k=")</f>
        <v>#VALUE!</v>
      </c>
      <c r="GU1" t="e">
        <f>AND('Volunteer Sign-Up Sheet'!G9,"AAAAAD7sq8o=")</f>
        <v>#VALUE!</v>
      </c>
      <c r="GV1" t="e">
        <f>AND('Volunteer Sign-Up Sheet'!H9,"AAAAAD7sq8s=")</f>
        <v>#VALUE!</v>
      </c>
      <c r="GW1" t="e">
        <f>AND('Volunteer Sign-Up Sheet'!I9,"AAAAAD7sq8w=")</f>
        <v>#VALUE!</v>
      </c>
      <c r="GX1" t="e">
        <f>AND('Volunteer Sign-Up Sheet'!J9,"AAAAAD7sq80=")</f>
        <v>#VALUE!</v>
      </c>
      <c r="GY1" t="e">
        <f>AND('Volunteer Sign-Up Sheet'!K9,"AAAAAD7sq84=")</f>
        <v>#VALUE!</v>
      </c>
      <c r="GZ1" t="e">
        <f>AND('Volunteer Sign-Up Sheet'!#REF!,"AAAAAD7sq88=")</f>
        <v>#REF!</v>
      </c>
      <c r="HA1" t="e">
        <f>IF('Volunteer Sign-Up Sheet'!#REF!,"AAAAAD7sq9A=",0)</f>
        <v>#REF!</v>
      </c>
      <c r="HB1" t="e">
        <f>AND('Volunteer Sign-Up Sheet'!#REF!,"AAAAAD7sq9E=")</f>
        <v>#REF!</v>
      </c>
      <c r="HC1" t="e">
        <f>AND('Volunteer Sign-Up Sheet'!#REF!,"AAAAAD7sq9I=")</f>
        <v>#REF!</v>
      </c>
      <c r="HD1" t="e">
        <f>AND('Volunteer Sign-Up Sheet'!#REF!,"AAAAAD7sq9M=")</f>
        <v>#REF!</v>
      </c>
      <c r="HE1" t="e">
        <f>AND('Volunteer Sign-Up Sheet'!#REF!,"AAAAAD7sq9Q=")</f>
        <v>#REF!</v>
      </c>
      <c r="HF1" t="e">
        <f>AND('Volunteer Sign-Up Sheet'!#REF!,"AAAAAD7sq9U=")</f>
        <v>#REF!</v>
      </c>
      <c r="HG1" t="e">
        <f>AND('Volunteer Sign-Up Sheet'!#REF!,"AAAAAD7sq9Y=")</f>
        <v>#REF!</v>
      </c>
      <c r="HH1" t="e">
        <f>AND('Volunteer Sign-Up Sheet'!#REF!,"AAAAAD7sq9c=")</f>
        <v>#REF!</v>
      </c>
      <c r="HI1" t="e">
        <f>AND('Volunteer Sign-Up Sheet'!#REF!,"AAAAAD7sq9g=")</f>
        <v>#REF!</v>
      </c>
      <c r="HJ1" t="e">
        <f>AND('Volunteer Sign-Up Sheet'!#REF!,"AAAAAD7sq9k=")</f>
        <v>#REF!</v>
      </c>
      <c r="HK1" t="e">
        <f>AND('Volunteer Sign-Up Sheet'!#REF!,"AAAAAD7sq9o=")</f>
        <v>#REF!</v>
      </c>
      <c r="HL1" t="e">
        <f>AND('Volunteer Sign-Up Sheet'!#REF!,"AAAAAD7sq9s=")</f>
        <v>#REF!</v>
      </c>
      <c r="HM1" t="e">
        <f>AND('Volunteer Sign-Up Sheet'!#REF!,"AAAAAD7sq9w=")</f>
        <v>#REF!</v>
      </c>
      <c r="HN1">
        <f>IF('Volunteer Sign-Up Sheet'!10:10,"AAAAAD7sq90=",0)</f>
        <v>0</v>
      </c>
      <c r="HO1" t="e">
        <f>AND('Volunteer Sign-Up Sheet'!A10,"AAAAAD7sq94=")</f>
        <v>#VALUE!</v>
      </c>
      <c r="HP1" t="e">
        <f>AND('Volunteer Sign-Up Sheet'!B10,"AAAAAD7sq98=")</f>
        <v>#VALUE!</v>
      </c>
      <c r="HQ1" t="e">
        <f>AND('Volunteer Sign-Up Sheet'!C10,"AAAAAD7sq+A=")</f>
        <v>#VALUE!</v>
      </c>
      <c r="HR1" t="e">
        <f>AND('Volunteer Sign-Up Sheet'!D10,"AAAAAD7sq+E=")</f>
        <v>#VALUE!</v>
      </c>
      <c r="HS1" t="e">
        <f>AND('Volunteer Sign-Up Sheet'!E10,"AAAAAD7sq+I=")</f>
        <v>#VALUE!</v>
      </c>
      <c r="HT1" t="e">
        <f>AND('Volunteer Sign-Up Sheet'!F10,"AAAAAD7sq+M=")</f>
        <v>#VALUE!</v>
      </c>
      <c r="HU1" t="e">
        <f>AND('Volunteer Sign-Up Sheet'!G10,"AAAAAD7sq+Q=")</f>
        <v>#VALUE!</v>
      </c>
      <c r="HV1" t="e">
        <f>AND('Volunteer Sign-Up Sheet'!H10,"AAAAAD7sq+U=")</f>
        <v>#VALUE!</v>
      </c>
      <c r="HW1" t="e">
        <f>AND('Volunteer Sign-Up Sheet'!I10,"AAAAAD7sq+Y=")</f>
        <v>#VALUE!</v>
      </c>
      <c r="HX1" t="e">
        <f>AND('Volunteer Sign-Up Sheet'!J10,"AAAAAD7sq+c=")</f>
        <v>#VALUE!</v>
      </c>
      <c r="HY1" t="e">
        <f>AND('Volunteer Sign-Up Sheet'!K10,"AAAAAD7sq+g=")</f>
        <v>#VALUE!</v>
      </c>
      <c r="HZ1" t="e">
        <f>AND('Volunteer Sign-Up Sheet'!#REF!,"AAAAAD7sq+k=")</f>
        <v>#REF!</v>
      </c>
      <c r="IA1" t="e">
        <f>IF('Volunteer Sign-Up Sheet'!#REF!,"AAAAAD7sq+o=",0)</f>
        <v>#REF!</v>
      </c>
      <c r="IB1" t="e">
        <f>AND('Volunteer Sign-Up Sheet'!#REF!,"AAAAAD7sq+s=")</f>
        <v>#REF!</v>
      </c>
      <c r="IC1" t="e">
        <f>AND('Volunteer Sign-Up Sheet'!#REF!,"AAAAAD7sq+w=")</f>
        <v>#REF!</v>
      </c>
      <c r="ID1" t="e">
        <f>AND('Volunteer Sign-Up Sheet'!#REF!,"AAAAAD7sq+0=")</f>
        <v>#REF!</v>
      </c>
      <c r="IE1" t="e">
        <f>AND('Volunteer Sign-Up Sheet'!#REF!,"AAAAAD7sq+4=")</f>
        <v>#REF!</v>
      </c>
      <c r="IF1" t="e">
        <f>AND('Volunteer Sign-Up Sheet'!#REF!,"AAAAAD7sq+8=")</f>
        <v>#REF!</v>
      </c>
      <c r="IG1" t="e">
        <f>AND('Volunteer Sign-Up Sheet'!#REF!,"AAAAAD7sq/A=")</f>
        <v>#REF!</v>
      </c>
      <c r="IH1" t="e">
        <f>AND('Volunteer Sign-Up Sheet'!#REF!,"AAAAAD7sq/E=")</f>
        <v>#REF!</v>
      </c>
      <c r="II1" t="e">
        <f>AND('Volunteer Sign-Up Sheet'!#REF!,"AAAAAD7sq/I=")</f>
        <v>#REF!</v>
      </c>
      <c r="IJ1" t="e">
        <f>AND('Volunteer Sign-Up Sheet'!#REF!,"AAAAAD7sq/M=")</f>
        <v>#REF!</v>
      </c>
      <c r="IK1" t="e">
        <f>AND('Volunteer Sign-Up Sheet'!#REF!,"AAAAAD7sq/Q=")</f>
        <v>#REF!</v>
      </c>
      <c r="IL1" t="e">
        <f>AND('Volunteer Sign-Up Sheet'!#REF!,"AAAAAD7sq/U=")</f>
        <v>#REF!</v>
      </c>
      <c r="IM1" t="e">
        <f>AND('Volunteer Sign-Up Sheet'!#REF!,"AAAAAD7sq/Y=")</f>
        <v>#REF!</v>
      </c>
      <c r="IN1">
        <f>IF('Volunteer Sign-Up Sheet'!11:11,"AAAAAD7sq/c=",0)</f>
        <v>0</v>
      </c>
      <c r="IO1" t="e">
        <f>AND('Volunteer Sign-Up Sheet'!A11,"AAAAAD7sq/g=")</f>
        <v>#VALUE!</v>
      </c>
      <c r="IP1" t="e">
        <f>AND('Volunteer Sign-Up Sheet'!B11,"AAAAAD7sq/k=")</f>
        <v>#VALUE!</v>
      </c>
      <c r="IQ1" t="e">
        <f>AND('Volunteer Sign-Up Sheet'!C11,"AAAAAD7sq/o=")</f>
        <v>#VALUE!</v>
      </c>
      <c r="IR1" t="e">
        <f>AND('Volunteer Sign-Up Sheet'!D11,"AAAAAD7sq/s=")</f>
        <v>#VALUE!</v>
      </c>
      <c r="IS1" t="e">
        <f>AND('Volunteer Sign-Up Sheet'!E11,"AAAAAD7sq/w=")</f>
        <v>#VALUE!</v>
      </c>
      <c r="IT1" t="e">
        <f>AND('Volunteer Sign-Up Sheet'!F11,"AAAAAD7sq/0=")</f>
        <v>#VALUE!</v>
      </c>
      <c r="IU1" t="e">
        <f>AND('Volunteer Sign-Up Sheet'!G11,"AAAAAD7sq/4=")</f>
        <v>#VALUE!</v>
      </c>
      <c r="IV1" t="e">
        <f>AND('Volunteer Sign-Up Sheet'!H11,"AAAAAD7sq/8=")</f>
        <v>#VALUE!</v>
      </c>
    </row>
    <row r="2" spans="1:256">
      <c r="A2" t="e">
        <f>AND('Volunteer Sign-Up Sheet'!I11,"AAAAABHvmwA=")</f>
        <v>#VALUE!</v>
      </c>
      <c r="B2" t="e">
        <f>AND('Volunteer Sign-Up Sheet'!J11,"AAAAABHvmwE=")</f>
        <v>#VALUE!</v>
      </c>
      <c r="C2" t="e">
        <f>AND('Volunteer Sign-Up Sheet'!K11,"AAAAABHvmwI=")</f>
        <v>#VALUE!</v>
      </c>
      <c r="D2" t="e">
        <f>AND('Volunteer Sign-Up Sheet'!#REF!,"AAAAABHvmwM=")</f>
        <v>#REF!</v>
      </c>
      <c r="E2" t="e">
        <f>IF('Volunteer Sign-Up Sheet'!#REF!,"AAAAABHvmwQ=",0)</f>
        <v>#REF!</v>
      </c>
      <c r="F2" t="e">
        <f>AND('Volunteer Sign-Up Sheet'!#REF!,"AAAAABHvmwU=")</f>
        <v>#REF!</v>
      </c>
      <c r="G2" t="e">
        <f>AND('Volunteer Sign-Up Sheet'!#REF!,"AAAAABHvmwY=")</f>
        <v>#REF!</v>
      </c>
      <c r="H2" t="e">
        <f>AND('Volunteer Sign-Up Sheet'!#REF!,"AAAAABHvmwc=")</f>
        <v>#REF!</v>
      </c>
      <c r="I2" t="e">
        <f>AND('Volunteer Sign-Up Sheet'!#REF!,"AAAAABHvmwg=")</f>
        <v>#REF!</v>
      </c>
      <c r="J2" t="e">
        <f>AND('Volunteer Sign-Up Sheet'!#REF!,"AAAAABHvmwk=")</f>
        <v>#REF!</v>
      </c>
      <c r="K2" t="e">
        <f>AND('Volunteer Sign-Up Sheet'!#REF!,"AAAAABHvmwo=")</f>
        <v>#REF!</v>
      </c>
      <c r="L2" t="e">
        <f>AND('Volunteer Sign-Up Sheet'!#REF!,"AAAAABHvmws=")</f>
        <v>#REF!</v>
      </c>
      <c r="M2" t="e">
        <f>AND('Volunteer Sign-Up Sheet'!#REF!,"AAAAABHvmww=")</f>
        <v>#REF!</v>
      </c>
      <c r="N2" t="e">
        <f>AND('Volunteer Sign-Up Sheet'!#REF!,"AAAAABHvmw0=")</f>
        <v>#REF!</v>
      </c>
      <c r="O2" t="e">
        <f>AND('Volunteer Sign-Up Sheet'!#REF!,"AAAAABHvmw4=")</f>
        <v>#REF!</v>
      </c>
      <c r="P2" t="e">
        <f>AND('Volunteer Sign-Up Sheet'!#REF!,"AAAAABHvmw8=")</f>
        <v>#REF!</v>
      </c>
      <c r="Q2" t="e">
        <f>AND('Volunteer Sign-Up Sheet'!#REF!,"AAAAABHvmxA=")</f>
        <v>#REF!</v>
      </c>
      <c r="R2">
        <f>IF('Volunteer Sign-Up Sheet'!12:12,"AAAAABHvmxE=",0)</f>
        <v>0</v>
      </c>
      <c r="S2" t="e">
        <f>AND('Volunteer Sign-Up Sheet'!A12,"AAAAABHvmxI=")</f>
        <v>#VALUE!</v>
      </c>
      <c r="T2" t="e">
        <f>AND('Volunteer Sign-Up Sheet'!B12,"AAAAABHvmxM=")</f>
        <v>#VALUE!</v>
      </c>
      <c r="U2" t="e">
        <f>AND('Volunteer Sign-Up Sheet'!C12,"AAAAABHvmxQ=")</f>
        <v>#VALUE!</v>
      </c>
      <c r="V2" t="e">
        <f>AND('Volunteer Sign-Up Sheet'!D12,"AAAAABHvmxU=")</f>
        <v>#VALUE!</v>
      </c>
      <c r="W2" t="e">
        <f>AND('Volunteer Sign-Up Sheet'!E12,"AAAAABHvmxY=")</f>
        <v>#VALUE!</v>
      </c>
      <c r="X2" t="e">
        <f>AND('Volunteer Sign-Up Sheet'!F12,"AAAAABHvmxc=")</f>
        <v>#VALUE!</v>
      </c>
      <c r="Y2" t="e">
        <f>AND('Volunteer Sign-Up Sheet'!G12,"AAAAABHvmxg=")</f>
        <v>#VALUE!</v>
      </c>
      <c r="Z2" t="e">
        <f>AND('Volunteer Sign-Up Sheet'!H12,"AAAAABHvmxk=")</f>
        <v>#VALUE!</v>
      </c>
      <c r="AA2" t="e">
        <f>AND('Volunteer Sign-Up Sheet'!I12,"AAAAABHvmxo=")</f>
        <v>#VALUE!</v>
      </c>
      <c r="AB2" t="e">
        <f>AND('Volunteer Sign-Up Sheet'!J12,"AAAAABHvmxs=")</f>
        <v>#VALUE!</v>
      </c>
      <c r="AC2" t="e">
        <f>AND('Volunteer Sign-Up Sheet'!K12,"AAAAABHvmxw=")</f>
        <v>#VALUE!</v>
      </c>
      <c r="AD2" t="e">
        <f>AND('Volunteer Sign-Up Sheet'!#REF!,"AAAAABHvmx0=")</f>
        <v>#REF!</v>
      </c>
      <c r="AE2" t="e">
        <f>IF('Volunteer Sign-Up Sheet'!#REF!,"AAAAABHvmx4=",0)</f>
        <v>#REF!</v>
      </c>
      <c r="AF2" t="e">
        <f>AND('Volunteer Sign-Up Sheet'!#REF!,"AAAAABHvmx8=")</f>
        <v>#REF!</v>
      </c>
      <c r="AG2" t="e">
        <f>AND('Volunteer Sign-Up Sheet'!#REF!,"AAAAABHvmyA=")</f>
        <v>#REF!</v>
      </c>
      <c r="AH2" t="e">
        <f>AND('Volunteer Sign-Up Sheet'!#REF!,"AAAAABHvmyE=")</f>
        <v>#REF!</v>
      </c>
      <c r="AI2" t="e">
        <f>AND('Volunteer Sign-Up Sheet'!#REF!,"AAAAABHvmyI=")</f>
        <v>#REF!</v>
      </c>
      <c r="AJ2" t="e">
        <f>AND('Volunteer Sign-Up Sheet'!#REF!,"AAAAABHvmyM=")</f>
        <v>#REF!</v>
      </c>
      <c r="AK2" t="e">
        <f>AND('Volunteer Sign-Up Sheet'!#REF!,"AAAAABHvmyQ=")</f>
        <v>#REF!</v>
      </c>
      <c r="AL2" t="e">
        <f>AND('Volunteer Sign-Up Sheet'!#REF!,"AAAAABHvmyU=")</f>
        <v>#REF!</v>
      </c>
      <c r="AM2" t="e">
        <f>AND('Volunteer Sign-Up Sheet'!#REF!,"AAAAABHvmyY=")</f>
        <v>#REF!</v>
      </c>
      <c r="AN2" t="e">
        <f>AND('Volunteer Sign-Up Sheet'!#REF!,"AAAAABHvmyc=")</f>
        <v>#REF!</v>
      </c>
      <c r="AO2" t="e">
        <f>AND('Volunteer Sign-Up Sheet'!#REF!,"AAAAABHvmyg=")</f>
        <v>#REF!</v>
      </c>
      <c r="AP2" t="e">
        <f>AND('Volunteer Sign-Up Sheet'!#REF!,"AAAAABHvmyk=")</f>
        <v>#REF!</v>
      </c>
      <c r="AQ2" t="e">
        <f>AND('Volunteer Sign-Up Sheet'!#REF!,"AAAAABHvmyo=")</f>
        <v>#REF!</v>
      </c>
      <c r="AR2">
        <f>IF('Volunteer Sign-Up Sheet'!13:13,"AAAAABHvmys=",0)</f>
        <v>0</v>
      </c>
      <c r="AS2" t="e">
        <f>AND('Volunteer Sign-Up Sheet'!A13,"AAAAABHvmyw=")</f>
        <v>#VALUE!</v>
      </c>
      <c r="AT2" t="e">
        <f>AND('Volunteer Sign-Up Sheet'!B13,"AAAAABHvmy0=")</f>
        <v>#VALUE!</v>
      </c>
      <c r="AU2" t="e">
        <f>AND('Volunteer Sign-Up Sheet'!C13,"AAAAABHvmy4=")</f>
        <v>#VALUE!</v>
      </c>
      <c r="AV2" t="e">
        <f>AND('Volunteer Sign-Up Sheet'!D13,"AAAAABHvmy8=")</f>
        <v>#VALUE!</v>
      </c>
      <c r="AW2" t="e">
        <f>AND('Volunteer Sign-Up Sheet'!E13,"AAAAABHvmzA=")</f>
        <v>#VALUE!</v>
      </c>
      <c r="AX2" t="e">
        <f>AND('Volunteer Sign-Up Sheet'!F13,"AAAAABHvmzE=")</f>
        <v>#VALUE!</v>
      </c>
      <c r="AY2" t="e">
        <f>AND('Volunteer Sign-Up Sheet'!G13,"AAAAABHvmzI=")</f>
        <v>#VALUE!</v>
      </c>
      <c r="AZ2" t="e">
        <f>AND('Volunteer Sign-Up Sheet'!H13,"AAAAABHvmzM=")</f>
        <v>#VALUE!</v>
      </c>
      <c r="BA2" t="e">
        <f>AND('Volunteer Sign-Up Sheet'!I13,"AAAAABHvmzQ=")</f>
        <v>#VALUE!</v>
      </c>
      <c r="BB2" t="e">
        <f>AND('Volunteer Sign-Up Sheet'!J13,"AAAAABHvmzU=")</f>
        <v>#VALUE!</v>
      </c>
      <c r="BC2" t="e">
        <f>AND('Volunteer Sign-Up Sheet'!K13,"AAAAABHvmzY=")</f>
        <v>#VALUE!</v>
      </c>
      <c r="BD2" t="e">
        <f>AND('Volunteer Sign-Up Sheet'!#REF!,"AAAAABHvmzc=")</f>
        <v>#REF!</v>
      </c>
      <c r="BE2" t="e">
        <f>IF('Volunteer Sign-Up Sheet'!A:A,"AAAAABHvmzg=",0)</f>
        <v>#VALUE!</v>
      </c>
      <c r="BF2" t="e">
        <f>IF('Volunteer Sign-Up Sheet'!B:B,"AAAAABHvmzk=",0)</f>
        <v>#VALUE!</v>
      </c>
      <c r="BG2" t="e">
        <f>IF('Volunteer Sign-Up Sheet'!C:C,"AAAAABHvmzo=",0)</f>
        <v>#VALUE!</v>
      </c>
      <c r="BH2" t="e">
        <f>IF('Volunteer Sign-Up Sheet'!D:D,"AAAAABHvmzs=",0)</f>
        <v>#VALUE!</v>
      </c>
      <c r="BI2" t="e">
        <f>IF('Volunteer Sign-Up Sheet'!E:E,"AAAAABHvmzw=",0)</f>
        <v>#VALUE!</v>
      </c>
      <c r="BJ2" t="e">
        <f>IF('Volunteer Sign-Up Sheet'!F:F,"AAAAABHvmz0=",0)</f>
        <v>#VALUE!</v>
      </c>
      <c r="BK2" t="e">
        <f>IF('Volunteer Sign-Up Sheet'!G:G,"AAAAABHvmz4=",0)</f>
        <v>#VALUE!</v>
      </c>
      <c r="BL2" t="e">
        <f>IF('Volunteer Sign-Up Sheet'!H:H,"AAAAABHvmz8=",0)</f>
        <v>#VALUE!</v>
      </c>
      <c r="BM2" t="e">
        <f>IF('Volunteer Sign-Up Sheet'!I:I,"AAAAABHvm0A=",0)</f>
        <v>#VALUE!</v>
      </c>
      <c r="BN2" t="e">
        <f>IF('Volunteer Sign-Up Sheet'!J:J,"AAAAABHvm0E=",0)</f>
        <v>#VALUE!</v>
      </c>
      <c r="BO2" t="e">
        <f>IF('Volunteer Sign-Up Sheet'!K:K,"AAAAABHvm0I=",0)</f>
        <v>#VALUE!</v>
      </c>
      <c r="BP2" t="e">
        <f>IF('Volunteer Sign-Up Sheet'!#REF!,"AAAAABHvm0M=",0)</f>
        <v>#REF!</v>
      </c>
      <c r="BQ2" t="s">
        <v>21</v>
      </c>
    </row>
    <row r="3" spans="1:256">
      <c r="A3" t="e">
        <f>IF('Volunteer Sign-Up Sheet'!#REF!,"AAAAAG9v/wA=",0)</f>
        <v>#REF!</v>
      </c>
      <c r="B3" t="e">
        <f>AND('Volunteer Sign-Up Sheet'!#REF!,"AAAAAG9v/wE=")</f>
        <v>#REF!</v>
      </c>
      <c r="C3" t="e">
        <f>AND('Volunteer Sign-Up Sheet'!#REF!,"AAAAAG9v/wI=")</f>
        <v>#REF!</v>
      </c>
      <c r="D3" t="e">
        <f>AND('Volunteer Sign-Up Sheet'!#REF!,"AAAAAG9v/wM=")</f>
        <v>#REF!</v>
      </c>
      <c r="E3" t="e">
        <f>AND('Volunteer Sign-Up Sheet'!#REF!,"AAAAAG9v/wQ=")</f>
        <v>#REF!</v>
      </c>
      <c r="F3" t="e">
        <f>AND('Volunteer Sign-Up Sheet'!#REF!,"AAAAAG9v/wU=")</f>
        <v>#REF!</v>
      </c>
      <c r="G3" t="e">
        <f>AND('Volunteer Sign-Up Sheet'!#REF!,"AAAAAG9v/wY=")</f>
        <v>#REF!</v>
      </c>
      <c r="H3" t="e">
        <f>AND('Volunteer Sign-Up Sheet'!#REF!,"AAAAAG9v/wc=")</f>
        <v>#REF!</v>
      </c>
      <c r="I3" t="e">
        <f>AND('Volunteer Sign-Up Sheet'!#REF!,"AAAAAG9v/wg=")</f>
        <v>#REF!</v>
      </c>
      <c r="J3" t="e">
        <f>AND('Volunteer Sign-Up Sheet'!#REF!,"AAAAAG9v/wk=")</f>
        <v>#REF!</v>
      </c>
      <c r="K3" t="e">
        <f>AND('Volunteer Sign-Up Sheet'!#REF!,"AAAAAG9v/wo=")</f>
        <v>#REF!</v>
      </c>
      <c r="L3" t="e">
        <f>AND('Volunteer Sign-Up Sheet'!#REF!,"AAAAAG9v/ws=")</f>
        <v>#REF!</v>
      </c>
    </row>
  </sheetData>
  <pageMargins left="0.7" right="0.7" top="0.75" bottom="0.75" header="0.3" footer="0.3"/>
  <customProperties>
    <customPr name="DVSECTION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Sign-Up 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Marshall</dc:creator>
  <cp:lastModifiedBy>Jenni Knoll</cp:lastModifiedBy>
  <cp:lastPrinted>2012-09-06T18:50:31Z</cp:lastPrinted>
  <dcterms:created xsi:type="dcterms:W3CDTF">2002-10-17T16:40:40Z</dcterms:created>
  <dcterms:modified xsi:type="dcterms:W3CDTF">2012-09-06T18:50:35Z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TC010196501033</vt:lpwstr>
  </property>
  <property fmtid="{D5CDD505-2E9C-101B-9397-08002B2CF9AE}" pid="3" name="Google.Documents.Tracking">
    <vt:lpwstr>true</vt:lpwstr>
  </property>
  <property fmtid="{D5CDD505-2E9C-101B-9397-08002B2CF9AE}" pid="4" name="Google.Documents.DocumentId">
    <vt:lpwstr>1ixY00NV8FraCN0Xf5s9IWmvO-FyKfEAEwPa05KIWYfI</vt:lpwstr>
  </property>
  <property fmtid="{D5CDD505-2E9C-101B-9397-08002B2CF9AE}" pid="5" name="Google.Documents.RevisionId">
    <vt:lpwstr>06956929590725895951</vt:lpwstr>
  </property>
  <property fmtid="{D5CDD505-2E9C-101B-9397-08002B2CF9AE}" pid="6" name="Google.Documents.PreviousRevisionId">
    <vt:lpwstr>12069840875162147847</vt:lpwstr>
  </property>
  <property fmtid="{D5CDD505-2E9C-101B-9397-08002B2CF9AE}" pid="7" name="Google.Documents.PluginVersion">
    <vt:lpwstr>2.0.2662.553</vt:lpwstr>
  </property>
  <property fmtid="{D5CDD505-2E9C-101B-9397-08002B2CF9AE}" pid="8" name="Google.Documents.MergeIncapabilityFlags">
    <vt:i4>0</vt:i4>
  </property>
</Properties>
</file>