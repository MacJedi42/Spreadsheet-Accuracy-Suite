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515" windowHeight="6180" activeTab="2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9" i="3"/>
  <c r="E46"/>
  <c r="J153"/>
  <c r="I153"/>
  <c r="H153"/>
  <c r="K153" s="1"/>
  <c r="D153"/>
  <c r="C153"/>
  <c r="O153" s="1"/>
  <c r="B153"/>
  <c r="J152"/>
  <c r="I152"/>
  <c r="H152"/>
  <c r="K152" s="1"/>
  <c r="D152"/>
  <c r="C152"/>
  <c r="O152" s="1"/>
  <c r="B152"/>
  <c r="J151"/>
  <c r="J154" s="1"/>
  <c r="I151"/>
  <c r="I154" s="1"/>
  <c r="H151"/>
  <c r="H154" s="1"/>
  <c r="D151"/>
  <c r="D154" s="1"/>
  <c r="C151"/>
  <c r="C154" s="1"/>
  <c r="B151"/>
  <c r="B154" s="1"/>
  <c r="J145"/>
  <c r="I145"/>
  <c r="H145"/>
  <c r="D145"/>
  <c r="C145"/>
  <c r="O145" s="1"/>
  <c r="B145"/>
  <c r="J144"/>
  <c r="I144"/>
  <c r="H144"/>
  <c r="D144"/>
  <c r="C144"/>
  <c r="O144" s="1"/>
  <c r="B144"/>
  <c r="J143"/>
  <c r="I143"/>
  <c r="H143"/>
  <c r="D143"/>
  <c r="C143"/>
  <c r="O143" s="1"/>
  <c r="B143"/>
  <c r="J142"/>
  <c r="P142" s="1"/>
  <c r="I142"/>
  <c r="O142" s="1"/>
  <c r="H142"/>
  <c r="N142" s="1"/>
  <c r="E142"/>
  <c r="J141"/>
  <c r="I141"/>
  <c r="H141"/>
  <c r="K141" s="1"/>
  <c r="D141"/>
  <c r="C141"/>
  <c r="O141" s="1"/>
  <c r="B141"/>
  <c r="J140"/>
  <c r="I140"/>
  <c r="H140"/>
  <c r="K140" s="1"/>
  <c r="D140"/>
  <c r="C140"/>
  <c r="O140" s="1"/>
  <c r="B140"/>
  <c r="J139"/>
  <c r="P139" s="1"/>
  <c r="I139"/>
  <c r="O139" s="1"/>
  <c r="H139"/>
  <c r="K139" s="1"/>
  <c r="E139"/>
  <c r="J138"/>
  <c r="I138"/>
  <c r="H138"/>
  <c r="D138"/>
  <c r="C138"/>
  <c r="O138" s="1"/>
  <c r="B138"/>
  <c r="J137"/>
  <c r="P137" s="1"/>
  <c r="I137"/>
  <c r="O137" s="1"/>
  <c r="H137"/>
  <c r="N137" s="1"/>
  <c r="E137"/>
  <c r="J136"/>
  <c r="I136"/>
  <c r="H136"/>
  <c r="K136" s="1"/>
  <c r="D136"/>
  <c r="C136"/>
  <c r="O136" s="1"/>
  <c r="B136"/>
  <c r="J135"/>
  <c r="J146" s="1"/>
  <c r="J156" s="1"/>
  <c r="I135"/>
  <c r="I146" s="1"/>
  <c r="I156" s="1"/>
  <c r="H135"/>
  <c r="H146" s="1"/>
  <c r="D135"/>
  <c r="D146" s="1"/>
  <c r="C135"/>
  <c r="O135" s="1"/>
  <c r="B135"/>
  <c r="B146" s="1"/>
  <c r="J129"/>
  <c r="J130" s="1"/>
  <c r="J132" s="1"/>
  <c r="I129"/>
  <c r="I130" s="1"/>
  <c r="I132" s="1"/>
  <c r="H129"/>
  <c r="K129" s="1"/>
  <c r="K130" s="1"/>
  <c r="D129"/>
  <c r="D130" s="1"/>
  <c r="C129"/>
  <c r="C130" s="1"/>
  <c r="B129"/>
  <c r="P126"/>
  <c r="O126"/>
  <c r="N126"/>
  <c r="K126"/>
  <c r="E126"/>
  <c r="J113"/>
  <c r="I113"/>
  <c r="H113"/>
  <c r="D113"/>
  <c r="P113" s="1"/>
  <c r="C113"/>
  <c r="B113"/>
  <c r="E113" s="1"/>
  <c r="J112"/>
  <c r="I112"/>
  <c r="H112"/>
  <c r="D112"/>
  <c r="P112" s="1"/>
  <c r="C112"/>
  <c r="B112"/>
  <c r="E112" s="1"/>
  <c r="J111"/>
  <c r="J114" s="1"/>
  <c r="I111"/>
  <c r="I114" s="1"/>
  <c r="H111"/>
  <c r="D111"/>
  <c r="D114" s="1"/>
  <c r="C111"/>
  <c r="C114" s="1"/>
  <c r="B111"/>
  <c r="E111" s="1"/>
  <c r="J105"/>
  <c r="I105"/>
  <c r="H105"/>
  <c r="D105"/>
  <c r="P105" s="1"/>
  <c r="C105"/>
  <c r="B105"/>
  <c r="E105" s="1"/>
  <c r="J104"/>
  <c r="I104"/>
  <c r="H104"/>
  <c r="D104"/>
  <c r="P104" s="1"/>
  <c r="C104"/>
  <c r="B104"/>
  <c r="E104" s="1"/>
  <c r="J103"/>
  <c r="I103"/>
  <c r="H103"/>
  <c r="D103"/>
  <c r="P103" s="1"/>
  <c r="C103"/>
  <c r="B103"/>
  <c r="E103" s="1"/>
  <c r="J102"/>
  <c r="P102" s="1"/>
  <c r="I102"/>
  <c r="O102" s="1"/>
  <c r="H102"/>
  <c r="E102"/>
  <c r="J101"/>
  <c r="I101"/>
  <c r="K101" s="1"/>
  <c r="H101"/>
  <c r="D101"/>
  <c r="P101" s="1"/>
  <c r="C101"/>
  <c r="B101"/>
  <c r="N101" s="1"/>
  <c r="J100"/>
  <c r="I100"/>
  <c r="K100" s="1"/>
  <c r="H100"/>
  <c r="D100"/>
  <c r="P100" s="1"/>
  <c r="C100"/>
  <c r="B100"/>
  <c r="N100" s="1"/>
  <c r="J99"/>
  <c r="P99" s="1"/>
  <c r="I99"/>
  <c r="O99" s="1"/>
  <c r="H99"/>
  <c r="N99" s="1"/>
  <c r="E99"/>
  <c r="J98"/>
  <c r="I98"/>
  <c r="H98"/>
  <c r="D98"/>
  <c r="P98" s="1"/>
  <c r="C98"/>
  <c r="B98"/>
  <c r="E98" s="1"/>
  <c r="J97"/>
  <c r="P97" s="1"/>
  <c r="I97"/>
  <c r="O97" s="1"/>
  <c r="H97"/>
  <c r="E97"/>
  <c r="J96"/>
  <c r="I96"/>
  <c r="K96" s="1"/>
  <c r="H96"/>
  <c r="D96"/>
  <c r="P96" s="1"/>
  <c r="C96"/>
  <c r="B96"/>
  <c r="N96" s="1"/>
  <c r="J95"/>
  <c r="J106" s="1"/>
  <c r="J116" s="1"/>
  <c r="I95"/>
  <c r="I106" s="1"/>
  <c r="I116" s="1"/>
  <c r="H95"/>
  <c r="H106" s="1"/>
  <c r="D95"/>
  <c r="P95" s="1"/>
  <c r="C95"/>
  <c r="C106" s="1"/>
  <c r="B95"/>
  <c r="N95" s="1"/>
  <c r="J89"/>
  <c r="J90" s="1"/>
  <c r="J92" s="1"/>
  <c r="I89"/>
  <c r="I90" s="1"/>
  <c r="I92" s="1"/>
  <c r="H89"/>
  <c r="H90" s="1"/>
  <c r="H92" s="1"/>
  <c r="D89"/>
  <c r="D90" s="1"/>
  <c r="C89"/>
  <c r="C90" s="1"/>
  <c r="B89"/>
  <c r="B90" s="1"/>
  <c r="P86"/>
  <c r="O86"/>
  <c r="N86"/>
  <c r="K86"/>
  <c r="E86"/>
  <c r="P73"/>
  <c r="N73"/>
  <c r="K73"/>
  <c r="C73"/>
  <c r="E73" s="1"/>
  <c r="J72"/>
  <c r="I72"/>
  <c r="H72"/>
  <c r="D72"/>
  <c r="C72"/>
  <c r="B72"/>
  <c r="J71"/>
  <c r="J74" s="1"/>
  <c r="I71"/>
  <c r="I74" s="1"/>
  <c r="H71"/>
  <c r="H74" s="1"/>
  <c r="D71"/>
  <c r="D74" s="1"/>
  <c r="C71"/>
  <c r="B71"/>
  <c r="B74" s="1"/>
  <c r="J65"/>
  <c r="I65"/>
  <c r="H65"/>
  <c r="D65"/>
  <c r="C65"/>
  <c r="B65"/>
  <c r="J64"/>
  <c r="I64"/>
  <c r="H64"/>
  <c r="D64"/>
  <c r="C64"/>
  <c r="B64"/>
  <c r="J63"/>
  <c r="I63"/>
  <c r="H63"/>
  <c r="D63"/>
  <c r="C63"/>
  <c r="B63"/>
  <c r="J62"/>
  <c r="P62" s="1"/>
  <c r="I62"/>
  <c r="O62" s="1"/>
  <c r="H62"/>
  <c r="N62" s="1"/>
  <c r="E62"/>
  <c r="J61"/>
  <c r="I61"/>
  <c r="H61"/>
  <c r="D61"/>
  <c r="C61"/>
  <c r="B61"/>
  <c r="J60"/>
  <c r="I60"/>
  <c r="H60"/>
  <c r="D60"/>
  <c r="C60"/>
  <c r="B60"/>
  <c r="J59"/>
  <c r="P59" s="1"/>
  <c r="I59"/>
  <c r="O59" s="1"/>
  <c r="H59"/>
  <c r="N59" s="1"/>
  <c r="E59"/>
  <c r="J58"/>
  <c r="I58"/>
  <c r="H58"/>
  <c r="D58"/>
  <c r="C58"/>
  <c r="B58"/>
  <c r="J57"/>
  <c r="P57" s="1"/>
  <c r="I57"/>
  <c r="O57" s="1"/>
  <c r="H57"/>
  <c r="E57"/>
  <c r="J56"/>
  <c r="I56"/>
  <c r="H56"/>
  <c r="D56"/>
  <c r="C56"/>
  <c r="B56"/>
  <c r="J55"/>
  <c r="J66" s="1"/>
  <c r="I55"/>
  <c r="I66" s="1"/>
  <c r="H55"/>
  <c r="H66" s="1"/>
  <c r="D55"/>
  <c r="C55"/>
  <c r="C66" s="1"/>
  <c r="B55"/>
  <c r="J49"/>
  <c r="J50" s="1"/>
  <c r="J52" s="1"/>
  <c r="I49"/>
  <c r="I50" s="1"/>
  <c r="I52" s="1"/>
  <c r="H49"/>
  <c r="H50" s="1"/>
  <c r="H52" s="1"/>
  <c r="D49"/>
  <c r="C49"/>
  <c r="C50" s="1"/>
  <c r="B49"/>
  <c r="B50" s="1"/>
  <c r="P46"/>
  <c r="O46"/>
  <c r="N46"/>
  <c r="K46"/>
  <c r="P33"/>
  <c r="O33"/>
  <c r="N33"/>
  <c r="K33"/>
  <c r="E33"/>
  <c r="J32"/>
  <c r="I32"/>
  <c r="H32"/>
  <c r="D32"/>
  <c r="C32"/>
  <c r="B32"/>
  <c r="J31"/>
  <c r="J34" s="1"/>
  <c r="I31"/>
  <c r="I34" s="1"/>
  <c r="H31"/>
  <c r="H34" s="1"/>
  <c r="D31"/>
  <c r="D34" s="1"/>
  <c r="C31"/>
  <c r="C34" s="1"/>
  <c r="B31"/>
  <c r="B34" s="1"/>
  <c r="J25"/>
  <c r="I25"/>
  <c r="H25"/>
  <c r="D25"/>
  <c r="C25"/>
  <c r="B25"/>
  <c r="J24"/>
  <c r="I24"/>
  <c r="H24"/>
  <c r="D24"/>
  <c r="C24"/>
  <c r="B24"/>
  <c r="J23"/>
  <c r="I23"/>
  <c r="H23"/>
  <c r="D23"/>
  <c r="C23"/>
  <c r="B23"/>
  <c r="J22"/>
  <c r="P22" s="1"/>
  <c r="I22"/>
  <c r="O22" s="1"/>
  <c r="H22"/>
  <c r="K22" s="1"/>
  <c r="E22"/>
  <c r="J21"/>
  <c r="I21"/>
  <c r="H21"/>
  <c r="D21"/>
  <c r="C21"/>
  <c r="O21" s="1"/>
  <c r="B21"/>
  <c r="J20"/>
  <c r="I20"/>
  <c r="H20"/>
  <c r="D20"/>
  <c r="C20"/>
  <c r="O20" s="1"/>
  <c r="B20"/>
  <c r="J19"/>
  <c r="P19" s="1"/>
  <c r="I19"/>
  <c r="O19" s="1"/>
  <c r="H19"/>
  <c r="N19" s="1"/>
  <c r="E19"/>
  <c r="J18"/>
  <c r="I18"/>
  <c r="H18"/>
  <c r="K18" s="1"/>
  <c r="D18"/>
  <c r="C18"/>
  <c r="O18" s="1"/>
  <c r="B18"/>
  <c r="J17"/>
  <c r="I17"/>
  <c r="O17" s="1"/>
  <c r="H17"/>
  <c r="E17"/>
  <c r="J16"/>
  <c r="I16"/>
  <c r="H16"/>
  <c r="D16"/>
  <c r="C16"/>
  <c r="O16" s="1"/>
  <c r="B16"/>
  <c r="J15"/>
  <c r="I15"/>
  <c r="H15"/>
  <c r="D15"/>
  <c r="C15"/>
  <c r="C26" s="1"/>
  <c r="B15"/>
  <c r="J9"/>
  <c r="J10" s="1"/>
  <c r="J12" s="1"/>
  <c r="I9"/>
  <c r="I10" s="1"/>
  <c r="I12" s="1"/>
  <c r="H9"/>
  <c r="H10" s="1"/>
  <c r="H12" s="1"/>
  <c r="D9"/>
  <c r="D10" s="1"/>
  <c r="C9"/>
  <c r="O9" s="1"/>
  <c r="B10"/>
  <c r="P6"/>
  <c r="O6"/>
  <c r="N6"/>
  <c r="K6"/>
  <c r="E6"/>
  <c r="Q126" l="1"/>
  <c r="Q86"/>
  <c r="E23"/>
  <c r="P23"/>
  <c r="N24"/>
  <c r="P24"/>
  <c r="N25"/>
  <c r="P25"/>
  <c r="P34"/>
  <c r="N32"/>
  <c r="P32"/>
  <c r="Q33"/>
  <c r="N55"/>
  <c r="P55"/>
  <c r="N56"/>
  <c r="P56"/>
  <c r="K56"/>
  <c r="E58"/>
  <c r="P58"/>
  <c r="N60"/>
  <c r="P60"/>
  <c r="K60"/>
  <c r="N61"/>
  <c r="P61"/>
  <c r="K61"/>
  <c r="E63"/>
  <c r="P63"/>
  <c r="E64"/>
  <c r="P64"/>
  <c r="E65"/>
  <c r="P65"/>
  <c r="E72"/>
  <c r="P72"/>
  <c r="H26"/>
  <c r="J26"/>
  <c r="J36" s="1"/>
  <c r="I76"/>
  <c r="N15"/>
  <c r="P15"/>
  <c r="I26"/>
  <c r="I36" s="1"/>
  <c r="N16"/>
  <c r="P16"/>
  <c r="K16"/>
  <c r="B26"/>
  <c r="D26"/>
  <c r="N20"/>
  <c r="P20"/>
  <c r="K20"/>
  <c r="N21"/>
  <c r="P21"/>
  <c r="K21"/>
  <c r="N22"/>
  <c r="O23"/>
  <c r="K23"/>
  <c r="Q23" s="1"/>
  <c r="O24"/>
  <c r="K24"/>
  <c r="O25"/>
  <c r="K25"/>
  <c r="O32"/>
  <c r="K32"/>
  <c r="Q46"/>
  <c r="O56"/>
  <c r="K57"/>
  <c r="O58"/>
  <c r="K58"/>
  <c r="Q59"/>
  <c r="O60"/>
  <c r="O61"/>
  <c r="Q62"/>
  <c r="O63"/>
  <c r="K63"/>
  <c r="O64"/>
  <c r="K64"/>
  <c r="O65"/>
  <c r="K65"/>
  <c r="O71"/>
  <c r="K74"/>
  <c r="O72"/>
  <c r="K72"/>
  <c r="O96"/>
  <c r="K97"/>
  <c r="O98"/>
  <c r="K98"/>
  <c r="Q99"/>
  <c r="O100"/>
  <c r="O101"/>
  <c r="K102"/>
  <c r="O103"/>
  <c r="K103"/>
  <c r="O104"/>
  <c r="K104"/>
  <c r="O105"/>
  <c r="K105"/>
  <c r="O114"/>
  <c r="K111"/>
  <c r="O112"/>
  <c r="K112"/>
  <c r="O113"/>
  <c r="K113"/>
  <c r="K132"/>
  <c r="E129"/>
  <c r="E130" s="1"/>
  <c r="E136"/>
  <c r="P136"/>
  <c r="N138"/>
  <c r="P138"/>
  <c r="K138"/>
  <c r="E140"/>
  <c r="P140"/>
  <c r="E141"/>
  <c r="P141"/>
  <c r="N143"/>
  <c r="P143"/>
  <c r="K143"/>
  <c r="N144"/>
  <c r="P144"/>
  <c r="K144"/>
  <c r="N145"/>
  <c r="P145"/>
  <c r="K145"/>
  <c r="P154"/>
  <c r="N152"/>
  <c r="P152"/>
  <c r="N153"/>
  <c r="P153"/>
  <c r="H28"/>
  <c r="J38"/>
  <c r="J28"/>
  <c r="C36"/>
  <c r="O36" s="1"/>
  <c r="O26"/>
  <c r="H36"/>
  <c r="H38" s="1"/>
  <c r="K26"/>
  <c r="N34"/>
  <c r="E34"/>
  <c r="I68"/>
  <c r="I78"/>
  <c r="B12"/>
  <c r="N10"/>
  <c r="D12"/>
  <c r="P10"/>
  <c r="I38"/>
  <c r="I28"/>
  <c r="B36"/>
  <c r="N36" s="1"/>
  <c r="N26"/>
  <c r="E26"/>
  <c r="D36"/>
  <c r="P36" s="1"/>
  <c r="P26"/>
  <c r="C52"/>
  <c r="O50"/>
  <c r="Q22"/>
  <c r="O34"/>
  <c r="K34"/>
  <c r="N74"/>
  <c r="B92"/>
  <c r="N90"/>
  <c r="D92"/>
  <c r="P90"/>
  <c r="I118"/>
  <c r="I108"/>
  <c r="C132"/>
  <c r="O130"/>
  <c r="J158"/>
  <c r="J148"/>
  <c r="H156"/>
  <c r="K146"/>
  <c r="Q6"/>
  <c r="E9"/>
  <c r="K9"/>
  <c r="K10" s="1"/>
  <c r="K12" s="1"/>
  <c r="C10"/>
  <c r="E15"/>
  <c r="K15"/>
  <c r="O15"/>
  <c r="E16"/>
  <c r="Q16" s="1"/>
  <c r="N17"/>
  <c r="P17"/>
  <c r="N18"/>
  <c r="P18"/>
  <c r="K19"/>
  <c r="Q19" s="1"/>
  <c r="E20"/>
  <c r="Q20" s="1"/>
  <c r="E21"/>
  <c r="Q21" s="1"/>
  <c r="N23"/>
  <c r="N9"/>
  <c r="P9"/>
  <c r="K17"/>
  <c r="Q17" s="1"/>
  <c r="E18"/>
  <c r="Q18" s="1"/>
  <c r="E24"/>
  <c r="Q24" s="1"/>
  <c r="E25"/>
  <c r="Q25" s="1"/>
  <c r="E31"/>
  <c r="K31"/>
  <c r="O31"/>
  <c r="E32"/>
  <c r="Q32" s="1"/>
  <c r="E49"/>
  <c r="E50" s="1"/>
  <c r="E52" s="1"/>
  <c r="K49"/>
  <c r="K50" s="1"/>
  <c r="K52" s="1"/>
  <c r="O49"/>
  <c r="H76"/>
  <c r="J76"/>
  <c r="O55"/>
  <c r="Q55" s="1"/>
  <c r="Q56"/>
  <c r="Q60"/>
  <c r="Q61"/>
  <c r="P74"/>
  <c r="Q96"/>
  <c r="Q100"/>
  <c r="Q101"/>
  <c r="P114"/>
  <c r="E132"/>
  <c r="Q137"/>
  <c r="Q142"/>
  <c r="O154"/>
  <c r="K154"/>
  <c r="B52"/>
  <c r="N50"/>
  <c r="D50"/>
  <c r="P49"/>
  <c r="H78"/>
  <c r="H68"/>
  <c r="J78"/>
  <c r="J68"/>
  <c r="O66"/>
  <c r="C92"/>
  <c r="O90"/>
  <c r="H108"/>
  <c r="J118"/>
  <c r="J108"/>
  <c r="C116"/>
  <c r="O116" s="1"/>
  <c r="O106"/>
  <c r="K148"/>
  <c r="D132"/>
  <c r="P130"/>
  <c r="I158"/>
  <c r="I148"/>
  <c r="B156"/>
  <c r="N156" s="1"/>
  <c r="N146"/>
  <c r="D156"/>
  <c r="P156" s="1"/>
  <c r="P146"/>
  <c r="N154"/>
  <c r="E154"/>
  <c r="N31"/>
  <c r="P31"/>
  <c r="N49"/>
  <c r="Q49" s="1"/>
  <c r="E55"/>
  <c r="K55"/>
  <c r="E56"/>
  <c r="N57"/>
  <c r="Q57" s="1"/>
  <c r="N58"/>
  <c r="Q58" s="1"/>
  <c r="K59"/>
  <c r="E60"/>
  <c r="E61"/>
  <c r="N63"/>
  <c r="Q63" s="1"/>
  <c r="N64"/>
  <c r="Q64" s="1"/>
  <c r="N65"/>
  <c r="Q65" s="1"/>
  <c r="B66"/>
  <c r="D66"/>
  <c r="N71"/>
  <c r="P71"/>
  <c r="N72"/>
  <c r="Q72" s="1"/>
  <c r="O73"/>
  <c r="Q73" s="1"/>
  <c r="C74"/>
  <c r="O74" s="1"/>
  <c r="E89"/>
  <c r="E90" s="1"/>
  <c r="E92" s="1"/>
  <c r="K89"/>
  <c r="K90" s="1"/>
  <c r="K92" s="1"/>
  <c r="O89"/>
  <c r="E95"/>
  <c r="K95"/>
  <c r="K106" s="1"/>
  <c r="O95"/>
  <c r="Q95" s="1"/>
  <c r="E96"/>
  <c r="N97"/>
  <c r="Q97" s="1"/>
  <c r="N98"/>
  <c r="Q98" s="1"/>
  <c r="K99"/>
  <c r="E100"/>
  <c r="E101"/>
  <c r="N102"/>
  <c r="Q102" s="1"/>
  <c r="N103"/>
  <c r="Q103" s="1"/>
  <c r="N104"/>
  <c r="Q104" s="1"/>
  <c r="N105"/>
  <c r="Q105" s="1"/>
  <c r="B106"/>
  <c r="D106"/>
  <c r="N111"/>
  <c r="P111"/>
  <c r="N112"/>
  <c r="Q112" s="1"/>
  <c r="N113"/>
  <c r="Q113" s="1"/>
  <c r="B114"/>
  <c r="H114"/>
  <c r="K114" s="1"/>
  <c r="N129"/>
  <c r="P129"/>
  <c r="B130"/>
  <c r="H130"/>
  <c r="H132" s="1"/>
  <c r="N135"/>
  <c r="Q135" s="1"/>
  <c r="P135"/>
  <c r="N136"/>
  <c r="Q136" s="1"/>
  <c r="K137"/>
  <c r="E138"/>
  <c r="N139"/>
  <c r="Q139" s="1"/>
  <c r="N140"/>
  <c r="Q140" s="1"/>
  <c r="N141"/>
  <c r="Q141" s="1"/>
  <c r="K142"/>
  <c r="E143"/>
  <c r="E144"/>
  <c r="E145"/>
  <c r="C146"/>
  <c r="E151"/>
  <c r="K151"/>
  <c r="O151"/>
  <c r="E152"/>
  <c r="E153"/>
  <c r="K62"/>
  <c r="E71"/>
  <c r="K71"/>
  <c r="N89"/>
  <c r="P89"/>
  <c r="O111"/>
  <c r="O129"/>
  <c r="E135"/>
  <c r="K135"/>
  <c r="N151"/>
  <c r="P151"/>
  <c r="Q144" l="1"/>
  <c r="Q138"/>
  <c r="Q154"/>
  <c r="Q111"/>
  <c r="K116"/>
  <c r="K118" s="1"/>
  <c r="Q153"/>
  <c r="Q152"/>
  <c r="Q145"/>
  <c r="Q143"/>
  <c r="K108"/>
  <c r="K28"/>
  <c r="B132"/>
  <c r="N130"/>
  <c r="Q130" s="1"/>
  <c r="E114"/>
  <c r="N114"/>
  <c r="Q114" s="1"/>
  <c r="H158"/>
  <c r="H148"/>
  <c r="D116"/>
  <c r="P116" s="1"/>
  <c r="P106"/>
  <c r="B76"/>
  <c r="N76" s="1"/>
  <c r="N66"/>
  <c r="O132"/>
  <c r="C148"/>
  <c r="P92"/>
  <c r="D108"/>
  <c r="N92"/>
  <c r="B108"/>
  <c r="E36"/>
  <c r="Q26"/>
  <c r="D38"/>
  <c r="P38" s="1"/>
  <c r="D28"/>
  <c r="P28" s="1"/>
  <c r="P12"/>
  <c r="B38"/>
  <c r="N38" s="1"/>
  <c r="B28"/>
  <c r="N28" s="1"/>
  <c r="N12"/>
  <c r="Q151"/>
  <c r="Q89"/>
  <c r="E106"/>
  <c r="Q71"/>
  <c r="K66"/>
  <c r="K76" s="1"/>
  <c r="C76"/>
  <c r="O76" s="1"/>
  <c r="Q31"/>
  <c r="Q15"/>
  <c r="Q74"/>
  <c r="C156"/>
  <c r="O156" s="1"/>
  <c r="O146"/>
  <c r="Q146" s="1"/>
  <c r="B116"/>
  <c r="N106"/>
  <c r="Q106" s="1"/>
  <c r="D76"/>
  <c r="P76" s="1"/>
  <c r="P66"/>
  <c r="D158"/>
  <c r="D148"/>
  <c r="P132"/>
  <c r="C118"/>
  <c r="C108"/>
  <c r="O92"/>
  <c r="D52"/>
  <c r="P50"/>
  <c r="Q50" s="1"/>
  <c r="B78"/>
  <c r="N52"/>
  <c r="B68"/>
  <c r="K68"/>
  <c r="K78"/>
  <c r="C12"/>
  <c r="O10"/>
  <c r="E10"/>
  <c r="Q9"/>
  <c r="C68"/>
  <c r="C78"/>
  <c r="O52"/>
  <c r="Q129"/>
  <c r="H116"/>
  <c r="H118" s="1"/>
  <c r="E66"/>
  <c r="E146"/>
  <c r="E156" s="1"/>
  <c r="E158" s="1"/>
  <c r="Q156"/>
  <c r="K156"/>
  <c r="K158" s="1"/>
  <c r="Q90"/>
  <c r="E74"/>
  <c r="Q34"/>
  <c r="K36"/>
  <c r="K38" s="1"/>
  <c r="E116" l="1"/>
  <c r="E118" s="1"/>
  <c r="D118"/>
  <c r="O68"/>
  <c r="O78"/>
  <c r="C38"/>
  <c r="O38" s="1"/>
  <c r="C28"/>
  <c r="O28" s="1"/>
  <c r="O12"/>
  <c r="D78"/>
  <c r="P52"/>
  <c r="D68"/>
  <c r="P158"/>
  <c r="P148"/>
  <c r="N108"/>
  <c r="Q92"/>
  <c r="O158"/>
  <c r="O148"/>
  <c r="B158"/>
  <c r="B148"/>
  <c r="N132"/>
  <c r="E76"/>
  <c r="E78" s="1"/>
  <c r="N116"/>
  <c r="Q116" s="1"/>
  <c r="Q76"/>
  <c r="E68"/>
  <c r="Q10"/>
  <c r="E12"/>
  <c r="N78"/>
  <c r="N68"/>
  <c r="Q52"/>
  <c r="O118"/>
  <c r="O108"/>
  <c r="P118"/>
  <c r="P108"/>
  <c r="Q36"/>
  <c r="B118"/>
  <c r="C158"/>
  <c r="E148"/>
  <c r="Q66"/>
  <c r="E108"/>
  <c r="Q68" l="1"/>
  <c r="Q78"/>
  <c r="Q118"/>
  <c r="Q108"/>
  <c r="P78"/>
  <c r="P68"/>
  <c r="N118"/>
  <c r="Q12"/>
  <c r="E38"/>
  <c r="Q38" s="1"/>
  <c r="E28"/>
  <c r="Q28" s="1"/>
  <c r="N158"/>
  <c r="N148"/>
  <c r="Q132"/>
  <c r="Q158" l="1"/>
  <c r="Q148"/>
  <c r="J198" i="2" l="1"/>
  <c r="I198"/>
  <c r="H198"/>
  <c r="K196"/>
  <c r="K195"/>
  <c r="K194"/>
  <c r="K193"/>
  <c r="K192"/>
  <c r="K191"/>
  <c r="K190"/>
  <c r="K189"/>
  <c r="K188"/>
  <c r="K187"/>
  <c r="K186"/>
  <c r="K185"/>
  <c r="K198" s="1"/>
  <c r="J182"/>
  <c r="I182"/>
  <c r="H182"/>
  <c r="K180"/>
  <c r="K179"/>
  <c r="K178"/>
  <c r="K177"/>
  <c r="K176"/>
  <c r="K175"/>
  <c r="K174"/>
  <c r="K173"/>
  <c r="K172"/>
  <c r="K171"/>
  <c r="K170"/>
  <c r="K169"/>
  <c r="K182" s="1"/>
  <c r="J166"/>
  <c r="J199" s="1"/>
  <c r="I166"/>
  <c r="I199" s="1"/>
  <c r="H166"/>
  <c r="K166" s="1"/>
  <c r="K164"/>
  <c r="K163"/>
  <c r="K162"/>
  <c r="K161"/>
  <c r="K160"/>
  <c r="K159"/>
  <c r="K158"/>
  <c r="K157"/>
  <c r="K156"/>
  <c r="K155"/>
  <c r="K154"/>
  <c r="K153"/>
  <c r="J148"/>
  <c r="I148"/>
  <c r="H148"/>
  <c r="K146"/>
  <c r="K145"/>
  <c r="K144"/>
  <c r="K143"/>
  <c r="K142"/>
  <c r="K141"/>
  <c r="K140"/>
  <c r="K139"/>
  <c r="K138"/>
  <c r="K137"/>
  <c r="K136"/>
  <c r="K135"/>
  <c r="K148" s="1"/>
  <c r="J132"/>
  <c r="I132"/>
  <c r="H132"/>
  <c r="K130"/>
  <c r="K129"/>
  <c r="K128"/>
  <c r="K127"/>
  <c r="K126"/>
  <c r="K125"/>
  <c r="K124"/>
  <c r="K123"/>
  <c r="K122"/>
  <c r="K121"/>
  <c r="K120"/>
  <c r="K119"/>
  <c r="K132" s="1"/>
  <c r="J116"/>
  <c r="J149" s="1"/>
  <c r="I116"/>
  <c r="I149" s="1"/>
  <c r="H116"/>
  <c r="H149" s="1"/>
  <c r="K114"/>
  <c r="K113"/>
  <c r="K112"/>
  <c r="K111"/>
  <c r="K110"/>
  <c r="K109"/>
  <c r="K108"/>
  <c r="K107"/>
  <c r="K106"/>
  <c r="K105"/>
  <c r="K104"/>
  <c r="K103"/>
  <c r="K116" s="1"/>
  <c r="K149" s="1"/>
  <c r="J98"/>
  <c r="I98"/>
  <c r="H98"/>
  <c r="K96"/>
  <c r="K95"/>
  <c r="K94"/>
  <c r="K93"/>
  <c r="K92"/>
  <c r="K91"/>
  <c r="K90"/>
  <c r="K89"/>
  <c r="K88"/>
  <c r="K87"/>
  <c r="K86"/>
  <c r="K85"/>
  <c r="K98" s="1"/>
  <c r="J82"/>
  <c r="I82"/>
  <c r="H82"/>
  <c r="K80"/>
  <c r="K79"/>
  <c r="K78"/>
  <c r="K77"/>
  <c r="K76"/>
  <c r="K75"/>
  <c r="K74"/>
  <c r="K73"/>
  <c r="K72"/>
  <c r="K71"/>
  <c r="K70"/>
  <c r="K69"/>
  <c r="K82" s="1"/>
  <c r="J66"/>
  <c r="J99" s="1"/>
  <c r="I66"/>
  <c r="I99" s="1"/>
  <c r="H66"/>
  <c r="K66" s="1"/>
  <c r="K64"/>
  <c r="K63"/>
  <c r="K62"/>
  <c r="K61"/>
  <c r="K60"/>
  <c r="K59"/>
  <c r="K58"/>
  <c r="K57"/>
  <c r="K56"/>
  <c r="K55"/>
  <c r="K54"/>
  <c r="K53"/>
  <c r="J48"/>
  <c r="I48"/>
  <c r="H48"/>
  <c r="K46"/>
  <c r="K45"/>
  <c r="K44"/>
  <c r="K43"/>
  <c r="K42"/>
  <c r="K41"/>
  <c r="K40"/>
  <c r="K39"/>
  <c r="K38"/>
  <c r="K37"/>
  <c r="K36"/>
  <c r="K35"/>
  <c r="K48" s="1"/>
  <c r="J32"/>
  <c r="I32"/>
  <c r="H32"/>
  <c r="K30"/>
  <c r="K29"/>
  <c r="K28"/>
  <c r="K27"/>
  <c r="K26"/>
  <c r="K25"/>
  <c r="K24"/>
  <c r="K23"/>
  <c r="K22"/>
  <c r="K21"/>
  <c r="K20"/>
  <c r="K19"/>
  <c r="K32" s="1"/>
  <c r="J16"/>
  <c r="J49" s="1"/>
  <c r="J200" s="1"/>
  <c r="I16"/>
  <c r="I49" s="1"/>
  <c r="H16"/>
  <c r="H49" s="1"/>
  <c r="K14"/>
  <c r="K13"/>
  <c r="K12"/>
  <c r="K11"/>
  <c r="K10"/>
  <c r="K9"/>
  <c r="K8"/>
  <c r="K7"/>
  <c r="K6"/>
  <c r="K5"/>
  <c r="K4"/>
  <c r="K3"/>
  <c r="K16" s="1"/>
  <c r="K49" s="1"/>
  <c r="E200"/>
  <c r="D200"/>
  <c r="B200"/>
  <c r="C200"/>
  <c r="D166"/>
  <c r="C166"/>
  <c r="B166"/>
  <c r="E166" s="1"/>
  <c r="D66"/>
  <c r="C66"/>
  <c r="B66"/>
  <c r="E66" s="1"/>
  <c r="D198"/>
  <c r="C198"/>
  <c r="B198"/>
  <c r="E196"/>
  <c r="E195"/>
  <c r="E194"/>
  <c r="E193"/>
  <c r="E192"/>
  <c r="E191"/>
  <c r="E190"/>
  <c r="E189"/>
  <c r="E188"/>
  <c r="E187"/>
  <c r="E186"/>
  <c r="E185"/>
  <c r="D182"/>
  <c r="C182"/>
  <c r="B182"/>
  <c r="E180"/>
  <c r="E179"/>
  <c r="E178"/>
  <c r="E177"/>
  <c r="E176"/>
  <c r="E175"/>
  <c r="E174"/>
  <c r="E173"/>
  <c r="E172"/>
  <c r="E171"/>
  <c r="E170"/>
  <c r="E169"/>
  <c r="E164"/>
  <c r="E163"/>
  <c r="E162"/>
  <c r="E161"/>
  <c r="E160"/>
  <c r="E159"/>
  <c r="E158"/>
  <c r="E157"/>
  <c r="E156"/>
  <c r="E155"/>
  <c r="E154"/>
  <c r="E153"/>
  <c r="D148"/>
  <c r="C148"/>
  <c r="B148"/>
  <c r="E146"/>
  <c r="E145"/>
  <c r="E144"/>
  <c r="E143"/>
  <c r="E142"/>
  <c r="E141"/>
  <c r="E140"/>
  <c r="E139"/>
  <c r="E138"/>
  <c r="E137"/>
  <c r="E136"/>
  <c r="E148" s="1"/>
  <c r="E135"/>
  <c r="D132"/>
  <c r="C132"/>
  <c r="B132"/>
  <c r="E130"/>
  <c r="E129"/>
  <c r="E128"/>
  <c r="E127"/>
  <c r="E126"/>
  <c r="E125"/>
  <c r="E124"/>
  <c r="E123"/>
  <c r="E122"/>
  <c r="E121"/>
  <c r="E120"/>
  <c r="E119"/>
  <c r="D116"/>
  <c r="C116"/>
  <c r="C149" s="1"/>
  <c r="B116"/>
  <c r="E114"/>
  <c r="E113"/>
  <c r="E112"/>
  <c r="E111"/>
  <c r="E110"/>
  <c r="E109"/>
  <c r="E108"/>
  <c r="E107"/>
  <c r="E106"/>
  <c r="E105"/>
  <c r="E104"/>
  <c r="E116" s="1"/>
  <c r="E103"/>
  <c r="E85"/>
  <c r="E86"/>
  <c r="E87"/>
  <c r="E88"/>
  <c r="E89"/>
  <c r="E90"/>
  <c r="E91"/>
  <c r="E92"/>
  <c r="E93"/>
  <c r="E94"/>
  <c r="E95"/>
  <c r="E96"/>
  <c r="E53"/>
  <c r="E54"/>
  <c r="E55"/>
  <c r="E56"/>
  <c r="E57"/>
  <c r="E58"/>
  <c r="E59"/>
  <c r="E60"/>
  <c r="E61"/>
  <c r="E62"/>
  <c r="E63"/>
  <c r="E64"/>
  <c r="E70"/>
  <c r="E71"/>
  <c r="E72"/>
  <c r="E73"/>
  <c r="E74"/>
  <c r="E75"/>
  <c r="E76"/>
  <c r="E77"/>
  <c r="E78"/>
  <c r="E79"/>
  <c r="E80"/>
  <c r="E69"/>
  <c r="D98"/>
  <c r="C98"/>
  <c r="B98"/>
  <c r="D82"/>
  <c r="C82"/>
  <c r="B82"/>
  <c r="D48"/>
  <c r="C48"/>
  <c r="B48"/>
  <c r="E46"/>
  <c r="E45"/>
  <c r="E44"/>
  <c r="E43"/>
  <c r="E42"/>
  <c r="E41"/>
  <c r="E40"/>
  <c r="E39"/>
  <c r="E38"/>
  <c r="E37"/>
  <c r="E36"/>
  <c r="E35"/>
  <c r="D32"/>
  <c r="C32"/>
  <c r="B32"/>
  <c r="E30"/>
  <c r="E29"/>
  <c r="E28"/>
  <c r="E27"/>
  <c r="E26"/>
  <c r="E25"/>
  <c r="E24"/>
  <c r="E23"/>
  <c r="E22"/>
  <c r="E21"/>
  <c r="E20"/>
  <c r="E19"/>
  <c r="D16"/>
  <c r="C16"/>
  <c r="B16"/>
  <c r="E14"/>
  <c r="E13"/>
  <c r="E12"/>
  <c r="E11"/>
  <c r="E10"/>
  <c r="E9"/>
  <c r="E8"/>
  <c r="E7"/>
  <c r="E6"/>
  <c r="E5"/>
  <c r="E4"/>
  <c r="E3"/>
  <c r="I200" l="1"/>
  <c r="K99"/>
  <c r="K200" s="1"/>
  <c r="K199"/>
  <c r="H99"/>
  <c r="H200" s="1"/>
  <c r="H199"/>
  <c r="E182"/>
  <c r="B199"/>
  <c r="D199"/>
  <c r="E98"/>
  <c r="E82"/>
  <c r="B149"/>
  <c r="D149"/>
  <c r="E132"/>
  <c r="E149" s="1"/>
  <c r="C199"/>
  <c r="E198"/>
  <c r="E99"/>
  <c r="B99"/>
  <c r="C99"/>
  <c r="D99"/>
  <c r="E48"/>
  <c r="D49"/>
  <c r="C49"/>
  <c r="E32"/>
  <c r="B49"/>
  <c r="E16"/>
  <c r="E199" l="1"/>
  <c r="E49"/>
  <c r="E311" i="1" l="1"/>
  <c r="K310"/>
  <c r="I310"/>
  <c r="G310"/>
  <c r="M310" s="1"/>
  <c r="K309"/>
  <c r="I309"/>
  <c r="G309"/>
  <c r="M309" s="1"/>
  <c r="K308"/>
  <c r="I308"/>
  <c r="G308"/>
  <c r="M308" s="1"/>
  <c r="K307"/>
  <c r="I307"/>
  <c r="G307"/>
  <c r="M307" s="1"/>
  <c r="K306"/>
  <c r="I306"/>
  <c r="G306"/>
  <c r="M306" s="1"/>
  <c r="K305"/>
  <c r="I305"/>
  <c r="G305"/>
  <c r="M305" s="1"/>
  <c r="K304"/>
  <c r="I304"/>
  <c r="G304"/>
  <c r="M304" s="1"/>
  <c r="K303"/>
  <c r="I303"/>
  <c r="G303"/>
  <c r="M303" s="1"/>
  <c r="K302"/>
  <c r="I302"/>
  <c r="G302"/>
  <c r="M302" s="1"/>
  <c r="K301"/>
  <c r="I301"/>
  <c r="G301"/>
  <c r="M301" s="1"/>
  <c r="K300"/>
  <c r="I300"/>
  <c r="G300"/>
  <c r="M300" s="1"/>
  <c r="K299"/>
  <c r="I299"/>
  <c r="G299"/>
  <c r="M299" s="1"/>
  <c r="K298"/>
  <c r="I298"/>
  <c r="G298"/>
  <c r="M298" s="1"/>
  <c r="K297"/>
  <c r="I297"/>
  <c r="G297"/>
  <c r="M297" s="1"/>
  <c r="K296"/>
  <c r="I296"/>
  <c r="G296"/>
  <c r="M296" s="1"/>
  <c r="K295"/>
  <c r="I295"/>
  <c r="G295"/>
  <c r="M295" s="1"/>
  <c r="K294"/>
  <c r="I294"/>
  <c r="G294"/>
  <c r="M294" s="1"/>
  <c r="K293"/>
  <c r="I293"/>
  <c r="G293"/>
  <c r="M293" s="1"/>
  <c r="K292"/>
  <c r="I292"/>
  <c r="G292"/>
  <c r="M292" s="1"/>
  <c r="K291"/>
  <c r="I291"/>
  <c r="G291"/>
  <c r="M291" s="1"/>
  <c r="K290"/>
  <c r="K311" s="1"/>
  <c r="I290"/>
  <c r="I311" s="1"/>
  <c r="G290"/>
  <c r="G311" s="1"/>
  <c r="M311" s="1"/>
  <c r="E285"/>
  <c r="K284"/>
  <c r="I284"/>
  <c r="G284"/>
  <c r="M284" s="1"/>
  <c r="K283"/>
  <c r="I283"/>
  <c r="M283" s="1"/>
  <c r="G283"/>
  <c r="K282"/>
  <c r="I282"/>
  <c r="M282" s="1"/>
  <c r="G282"/>
  <c r="K281"/>
  <c r="I281"/>
  <c r="M281" s="1"/>
  <c r="G281"/>
  <c r="K280"/>
  <c r="I280"/>
  <c r="M280" s="1"/>
  <c r="G280"/>
  <c r="K279"/>
  <c r="I279"/>
  <c r="M279" s="1"/>
  <c r="G279"/>
  <c r="K278"/>
  <c r="I278"/>
  <c r="M278" s="1"/>
  <c r="G278"/>
  <c r="K277"/>
  <c r="I277"/>
  <c r="M277" s="1"/>
  <c r="G277"/>
  <c r="K276"/>
  <c r="I276"/>
  <c r="M276" s="1"/>
  <c r="G276"/>
  <c r="K275"/>
  <c r="I275"/>
  <c r="M275" s="1"/>
  <c r="G275"/>
  <c r="K274"/>
  <c r="I274"/>
  <c r="M274" s="1"/>
  <c r="G274"/>
  <c r="K273"/>
  <c r="I273"/>
  <c r="M273" s="1"/>
  <c r="G273"/>
  <c r="K272"/>
  <c r="I272"/>
  <c r="M272" s="1"/>
  <c r="G272"/>
  <c r="K271"/>
  <c r="I271"/>
  <c r="M271" s="1"/>
  <c r="G271"/>
  <c r="K270"/>
  <c r="I270"/>
  <c r="M270" s="1"/>
  <c r="G270"/>
  <c r="K269"/>
  <c r="I269"/>
  <c r="M269" s="1"/>
  <c r="G269"/>
  <c r="K268"/>
  <c r="I268"/>
  <c r="M268" s="1"/>
  <c r="G268"/>
  <c r="K267"/>
  <c r="I267"/>
  <c r="M267" s="1"/>
  <c r="G267"/>
  <c r="K266"/>
  <c r="I266"/>
  <c r="M266" s="1"/>
  <c r="G266"/>
  <c r="K265"/>
  <c r="I265"/>
  <c r="M265" s="1"/>
  <c r="G265"/>
  <c r="K264"/>
  <c r="K285" s="1"/>
  <c r="I264"/>
  <c r="M264" s="1"/>
  <c r="G264"/>
  <c r="G285" s="1"/>
  <c r="E259"/>
  <c r="K258"/>
  <c r="I258"/>
  <c r="G258"/>
  <c r="M258" s="1"/>
  <c r="K257"/>
  <c r="I257"/>
  <c r="M257" s="1"/>
  <c r="G257"/>
  <c r="K256"/>
  <c r="I256"/>
  <c r="M256" s="1"/>
  <c r="G256"/>
  <c r="K255"/>
  <c r="I255"/>
  <c r="M255" s="1"/>
  <c r="G255"/>
  <c r="K254"/>
  <c r="I254"/>
  <c r="M254" s="1"/>
  <c r="G254"/>
  <c r="K253"/>
  <c r="I253"/>
  <c r="M253" s="1"/>
  <c r="G253"/>
  <c r="K252"/>
  <c r="I252"/>
  <c r="M252" s="1"/>
  <c r="G252"/>
  <c r="K251"/>
  <c r="I251"/>
  <c r="M251" s="1"/>
  <c r="G251"/>
  <c r="K250"/>
  <c r="I250"/>
  <c r="M250" s="1"/>
  <c r="G250"/>
  <c r="K249"/>
  <c r="I249"/>
  <c r="M249" s="1"/>
  <c r="G249"/>
  <c r="K248"/>
  <c r="I248"/>
  <c r="M248" s="1"/>
  <c r="G248"/>
  <c r="K247"/>
  <c r="I247"/>
  <c r="M247" s="1"/>
  <c r="G247"/>
  <c r="K246"/>
  <c r="I246"/>
  <c r="M246" s="1"/>
  <c r="G246"/>
  <c r="K245"/>
  <c r="I245"/>
  <c r="M245" s="1"/>
  <c r="G245"/>
  <c r="K244"/>
  <c r="I244"/>
  <c r="M244" s="1"/>
  <c r="G244"/>
  <c r="K243"/>
  <c r="I243"/>
  <c r="M243" s="1"/>
  <c r="G243"/>
  <c r="K242"/>
  <c r="I242"/>
  <c r="M242" s="1"/>
  <c r="G242"/>
  <c r="K241"/>
  <c r="I241"/>
  <c r="M241" s="1"/>
  <c r="G241"/>
  <c r="K240"/>
  <c r="I240"/>
  <c r="M240" s="1"/>
  <c r="G240"/>
  <c r="K239"/>
  <c r="I239"/>
  <c r="M239" s="1"/>
  <c r="G239"/>
  <c r="K238"/>
  <c r="K259" s="1"/>
  <c r="I238"/>
  <c r="M238" s="1"/>
  <c r="G238"/>
  <c r="G259" s="1"/>
  <c r="E233"/>
  <c r="K232"/>
  <c r="I232"/>
  <c r="G232"/>
  <c r="M232" s="1"/>
  <c r="K231"/>
  <c r="I231"/>
  <c r="M231" s="1"/>
  <c r="G231"/>
  <c r="K230"/>
  <c r="I230"/>
  <c r="M230" s="1"/>
  <c r="G230"/>
  <c r="K229"/>
  <c r="I229"/>
  <c r="M229" s="1"/>
  <c r="G229"/>
  <c r="K228"/>
  <c r="I228"/>
  <c r="M228" s="1"/>
  <c r="G228"/>
  <c r="K227"/>
  <c r="I227"/>
  <c r="M227" s="1"/>
  <c r="G227"/>
  <c r="K226"/>
  <c r="I226"/>
  <c r="M226" s="1"/>
  <c r="G226"/>
  <c r="K225"/>
  <c r="I225"/>
  <c r="M225" s="1"/>
  <c r="G225"/>
  <c r="K224"/>
  <c r="I224"/>
  <c r="M224" s="1"/>
  <c r="G224"/>
  <c r="K223"/>
  <c r="I223"/>
  <c r="M223" s="1"/>
  <c r="G223"/>
  <c r="K222"/>
  <c r="I222"/>
  <c r="M222" s="1"/>
  <c r="G222"/>
  <c r="K221"/>
  <c r="I221"/>
  <c r="M221" s="1"/>
  <c r="G221"/>
  <c r="K220"/>
  <c r="I220"/>
  <c r="M220" s="1"/>
  <c r="G220"/>
  <c r="K219"/>
  <c r="I219"/>
  <c r="M219" s="1"/>
  <c r="G219"/>
  <c r="K218"/>
  <c r="I218"/>
  <c r="M218" s="1"/>
  <c r="G218"/>
  <c r="K217"/>
  <c r="I217"/>
  <c r="M217" s="1"/>
  <c r="G217"/>
  <c r="K216"/>
  <c r="I216"/>
  <c r="M216" s="1"/>
  <c r="G216"/>
  <c r="K215"/>
  <c r="I215"/>
  <c r="M215" s="1"/>
  <c r="G215"/>
  <c r="K214"/>
  <c r="I214"/>
  <c r="M214" s="1"/>
  <c r="G214"/>
  <c r="K213"/>
  <c r="I213"/>
  <c r="M213" s="1"/>
  <c r="G213"/>
  <c r="K212"/>
  <c r="K233" s="1"/>
  <c r="I212"/>
  <c r="M212" s="1"/>
  <c r="G212"/>
  <c r="G233" s="1"/>
  <c r="E207"/>
  <c r="K206"/>
  <c r="I206"/>
  <c r="M206" s="1"/>
  <c r="G206"/>
  <c r="K205"/>
  <c r="I205"/>
  <c r="M205" s="1"/>
  <c r="G205"/>
  <c r="K204"/>
  <c r="I204"/>
  <c r="M204" s="1"/>
  <c r="G204"/>
  <c r="K203"/>
  <c r="I203"/>
  <c r="M203" s="1"/>
  <c r="G203"/>
  <c r="K202"/>
  <c r="I202"/>
  <c r="M202" s="1"/>
  <c r="G202"/>
  <c r="K201"/>
  <c r="I201"/>
  <c r="M201" s="1"/>
  <c r="G201"/>
  <c r="K200"/>
  <c r="I200"/>
  <c r="M200" s="1"/>
  <c r="G200"/>
  <c r="K199"/>
  <c r="I199"/>
  <c r="M199" s="1"/>
  <c r="G199"/>
  <c r="K198"/>
  <c r="I198"/>
  <c r="M198" s="1"/>
  <c r="G198"/>
  <c r="K197"/>
  <c r="I197"/>
  <c r="M197" s="1"/>
  <c r="G197"/>
  <c r="K196"/>
  <c r="I196"/>
  <c r="M196" s="1"/>
  <c r="G196"/>
  <c r="K195"/>
  <c r="I195"/>
  <c r="M195" s="1"/>
  <c r="G195"/>
  <c r="K194"/>
  <c r="I194"/>
  <c r="M194" s="1"/>
  <c r="G194"/>
  <c r="K193"/>
  <c r="I193"/>
  <c r="M193" s="1"/>
  <c r="G193"/>
  <c r="K192"/>
  <c r="I192"/>
  <c r="M192" s="1"/>
  <c r="G192"/>
  <c r="K191"/>
  <c r="I191"/>
  <c r="M191" s="1"/>
  <c r="G191"/>
  <c r="K190"/>
  <c r="I190"/>
  <c r="M190" s="1"/>
  <c r="G190"/>
  <c r="K189"/>
  <c r="I189"/>
  <c r="M189" s="1"/>
  <c r="G189"/>
  <c r="K188"/>
  <c r="I188"/>
  <c r="M188" s="1"/>
  <c r="G188"/>
  <c r="K187"/>
  <c r="I187"/>
  <c r="M187" s="1"/>
  <c r="G187"/>
  <c r="K186"/>
  <c r="K207" s="1"/>
  <c r="I186"/>
  <c r="M186" s="1"/>
  <c r="G186"/>
  <c r="G207" s="1"/>
  <c r="E181"/>
  <c r="K180"/>
  <c r="I180"/>
  <c r="G180"/>
  <c r="M180" s="1"/>
  <c r="K179"/>
  <c r="I179"/>
  <c r="G179"/>
  <c r="M179" s="1"/>
  <c r="K178"/>
  <c r="I178"/>
  <c r="G178"/>
  <c r="M178" s="1"/>
  <c r="K177"/>
  <c r="I177"/>
  <c r="G177"/>
  <c r="M177" s="1"/>
  <c r="K176"/>
  <c r="I176"/>
  <c r="G176"/>
  <c r="M176" s="1"/>
  <c r="K175"/>
  <c r="I175"/>
  <c r="G175"/>
  <c r="M175" s="1"/>
  <c r="K174"/>
  <c r="I174"/>
  <c r="G174"/>
  <c r="M174" s="1"/>
  <c r="K173"/>
  <c r="I173"/>
  <c r="G173"/>
  <c r="M173" s="1"/>
  <c r="K172"/>
  <c r="I172"/>
  <c r="G172"/>
  <c r="M172" s="1"/>
  <c r="K171"/>
  <c r="I171"/>
  <c r="G171"/>
  <c r="M171" s="1"/>
  <c r="K170"/>
  <c r="I170"/>
  <c r="G170"/>
  <c r="M170" s="1"/>
  <c r="K169"/>
  <c r="I169"/>
  <c r="G169"/>
  <c r="M169" s="1"/>
  <c r="K168"/>
  <c r="I168"/>
  <c r="G168"/>
  <c r="M168" s="1"/>
  <c r="K167"/>
  <c r="I167"/>
  <c r="G167"/>
  <c r="M167" s="1"/>
  <c r="K166"/>
  <c r="I166"/>
  <c r="G166"/>
  <c r="M166" s="1"/>
  <c r="K165"/>
  <c r="I165"/>
  <c r="G165"/>
  <c r="M165" s="1"/>
  <c r="K164"/>
  <c r="I164"/>
  <c r="G164"/>
  <c r="M164" s="1"/>
  <c r="K163"/>
  <c r="I163"/>
  <c r="G163"/>
  <c r="M163" s="1"/>
  <c r="K162"/>
  <c r="I162"/>
  <c r="G162"/>
  <c r="M162" s="1"/>
  <c r="K161"/>
  <c r="I161"/>
  <c r="G161"/>
  <c r="M161" s="1"/>
  <c r="K160"/>
  <c r="K181" s="1"/>
  <c r="I160"/>
  <c r="I181" s="1"/>
  <c r="G160"/>
  <c r="G181" s="1"/>
  <c r="M181" s="1"/>
  <c r="E155"/>
  <c r="K154"/>
  <c r="I154"/>
  <c r="M154" s="1"/>
  <c r="G154"/>
  <c r="K153"/>
  <c r="I153"/>
  <c r="M153" s="1"/>
  <c r="G153"/>
  <c r="K152"/>
  <c r="I152"/>
  <c r="M152" s="1"/>
  <c r="G152"/>
  <c r="K151"/>
  <c r="I151"/>
  <c r="M151" s="1"/>
  <c r="G151"/>
  <c r="K150"/>
  <c r="I150"/>
  <c r="M150" s="1"/>
  <c r="G150"/>
  <c r="K149"/>
  <c r="I149"/>
  <c r="M149" s="1"/>
  <c r="G149"/>
  <c r="K148"/>
  <c r="I148"/>
  <c r="M148" s="1"/>
  <c r="G148"/>
  <c r="K147"/>
  <c r="I147"/>
  <c r="M147" s="1"/>
  <c r="G147"/>
  <c r="K146"/>
  <c r="I146"/>
  <c r="M146" s="1"/>
  <c r="G146"/>
  <c r="K145"/>
  <c r="I145"/>
  <c r="M145" s="1"/>
  <c r="G145"/>
  <c r="K144"/>
  <c r="I144"/>
  <c r="M144" s="1"/>
  <c r="G144"/>
  <c r="K143"/>
  <c r="I143"/>
  <c r="M143" s="1"/>
  <c r="G143"/>
  <c r="K142"/>
  <c r="I142"/>
  <c r="M142" s="1"/>
  <c r="G142"/>
  <c r="K141"/>
  <c r="I141"/>
  <c r="M141" s="1"/>
  <c r="G141"/>
  <c r="K140"/>
  <c r="I140"/>
  <c r="M140" s="1"/>
  <c r="G140"/>
  <c r="K139"/>
  <c r="I139"/>
  <c r="M139" s="1"/>
  <c r="G139"/>
  <c r="K138"/>
  <c r="I138"/>
  <c r="M138" s="1"/>
  <c r="G138"/>
  <c r="K137"/>
  <c r="I137"/>
  <c r="M137" s="1"/>
  <c r="G137"/>
  <c r="K136"/>
  <c r="I136"/>
  <c r="M136" s="1"/>
  <c r="G136"/>
  <c r="K135"/>
  <c r="I135"/>
  <c r="M135" s="1"/>
  <c r="G135"/>
  <c r="K134"/>
  <c r="K155" s="1"/>
  <c r="I134"/>
  <c r="M134" s="1"/>
  <c r="G134"/>
  <c r="G155" s="1"/>
  <c r="E129"/>
  <c r="K128"/>
  <c r="I128"/>
  <c r="G128"/>
  <c r="M128" s="1"/>
  <c r="K127"/>
  <c r="I127"/>
  <c r="G127"/>
  <c r="M127" s="1"/>
  <c r="K126"/>
  <c r="I126"/>
  <c r="G126"/>
  <c r="M126" s="1"/>
  <c r="K125"/>
  <c r="I125"/>
  <c r="G125"/>
  <c r="M125" s="1"/>
  <c r="K124"/>
  <c r="I124"/>
  <c r="G124"/>
  <c r="M124" s="1"/>
  <c r="K123"/>
  <c r="I123"/>
  <c r="G123"/>
  <c r="M123" s="1"/>
  <c r="K122"/>
  <c r="I122"/>
  <c r="G122"/>
  <c r="M122" s="1"/>
  <c r="K121"/>
  <c r="I121"/>
  <c r="G121"/>
  <c r="M121" s="1"/>
  <c r="K120"/>
  <c r="I120"/>
  <c r="G120"/>
  <c r="M120" s="1"/>
  <c r="K119"/>
  <c r="I119"/>
  <c r="G119"/>
  <c r="M119" s="1"/>
  <c r="K118"/>
  <c r="I118"/>
  <c r="G118"/>
  <c r="M118" s="1"/>
  <c r="K117"/>
  <c r="I117"/>
  <c r="G117"/>
  <c r="M117" s="1"/>
  <c r="K116"/>
  <c r="I116"/>
  <c r="G116"/>
  <c r="M116" s="1"/>
  <c r="K115"/>
  <c r="I115"/>
  <c r="G115"/>
  <c r="M115" s="1"/>
  <c r="K114"/>
  <c r="I114"/>
  <c r="G114"/>
  <c r="M114" s="1"/>
  <c r="K113"/>
  <c r="I113"/>
  <c r="M113" s="1"/>
  <c r="G113"/>
  <c r="K112"/>
  <c r="I112"/>
  <c r="M112" s="1"/>
  <c r="G112"/>
  <c r="K111"/>
  <c r="I111"/>
  <c r="M111" s="1"/>
  <c r="G111"/>
  <c r="K110"/>
  <c r="I110"/>
  <c r="M110" s="1"/>
  <c r="G110"/>
  <c r="K109"/>
  <c r="I109"/>
  <c r="M109" s="1"/>
  <c r="G109"/>
  <c r="K108"/>
  <c r="K129" s="1"/>
  <c r="I108"/>
  <c r="M108" s="1"/>
  <c r="G108"/>
  <c r="G129" s="1"/>
  <c r="E103"/>
  <c r="K102"/>
  <c r="I102"/>
  <c r="G102"/>
  <c r="M102" s="1"/>
  <c r="K101"/>
  <c r="I101"/>
  <c r="M101" s="1"/>
  <c r="G101"/>
  <c r="K100"/>
  <c r="I100"/>
  <c r="M100" s="1"/>
  <c r="G100"/>
  <c r="K99"/>
  <c r="I99"/>
  <c r="M99" s="1"/>
  <c r="G99"/>
  <c r="K98"/>
  <c r="I98"/>
  <c r="M98" s="1"/>
  <c r="G98"/>
  <c r="K97"/>
  <c r="I97"/>
  <c r="M97" s="1"/>
  <c r="G97"/>
  <c r="K96"/>
  <c r="I96"/>
  <c r="M96" s="1"/>
  <c r="G96"/>
  <c r="K95"/>
  <c r="I95"/>
  <c r="M95" s="1"/>
  <c r="G95"/>
  <c r="K94"/>
  <c r="I94"/>
  <c r="M94" s="1"/>
  <c r="G94"/>
  <c r="K93"/>
  <c r="I93"/>
  <c r="M93" s="1"/>
  <c r="G93"/>
  <c r="K92"/>
  <c r="I92"/>
  <c r="M92" s="1"/>
  <c r="G92"/>
  <c r="K91"/>
  <c r="I91"/>
  <c r="M91" s="1"/>
  <c r="G91"/>
  <c r="K90"/>
  <c r="I90"/>
  <c r="M90" s="1"/>
  <c r="G90"/>
  <c r="K89"/>
  <c r="I89"/>
  <c r="M89" s="1"/>
  <c r="G89"/>
  <c r="K88"/>
  <c r="I88"/>
  <c r="M88" s="1"/>
  <c r="G88"/>
  <c r="K87"/>
  <c r="I87"/>
  <c r="M87" s="1"/>
  <c r="G87"/>
  <c r="K86"/>
  <c r="I86"/>
  <c r="M86" s="1"/>
  <c r="G86"/>
  <c r="K85"/>
  <c r="I85"/>
  <c r="M85" s="1"/>
  <c r="G85"/>
  <c r="K84"/>
  <c r="I84"/>
  <c r="M84" s="1"/>
  <c r="G84"/>
  <c r="K83"/>
  <c r="I83"/>
  <c r="M83" s="1"/>
  <c r="G83"/>
  <c r="K82"/>
  <c r="K103" s="1"/>
  <c r="I82"/>
  <c r="M82" s="1"/>
  <c r="G82"/>
  <c r="G103" s="1"/>
  <c r="E77"/>
  <c r="K76"/>
  <c r="I76"/>
  <c r="G76"/>
  <c r="M76" s="1"/>
  <c r="K75"/>
  <c r="I75"/>
  <c r="G75"/>
  <c r="M75" s="1"/>
  <c r="K74"/>
  <c r="I74"/>
  <c r="G74"/>
  <c r="M74" s="1"/>
  <c r="K73"/>
  <c r="I73"/>
  <c r="G73"/>
  <c r="M73" s="1"/>
  <c r="K72"/>
  <c r="I72"/>
  <c r="G72"/>
  <c r="M72" s="1"/>
  <c r="K71"/>
  <c r="I71"/>
  <c r="G71"/>
  <c r="M71" s="1"/>
  <c r="K70"/>
  <c r="I70"/>
  <c r="G70"/>
  <c r="M70" s="1"/>
  <c r="K69"/>
  <c r="I69"/>
  <c r="G69"/>
  <c r="M69" s="1"/>
  <c r="K68"/>
  <c r="I68"/>
  <c r="G68"/>
  <c r="M68" s="1"/>
  <c r="K67"/>
  <c r="I67"/>
  <c r="G67"/>
  <c r="M67" s="1"/>
  <c r="K66"/>
  <c r="I66"/>
  <c r="G66"/>
  <c r="M66" s="1"/>
  <c r="K65"/>
  <c r="I65"/>
  <c r="G65"/>
  <c r="M65" s="1"/>
  <c r="K64"/>
  <c r="I64"/>
  <c r="G64"/>
  <c r="M64" s="1"/>
  <c r="K63"/>
  <c r="I63"/>
  <c r="G63"/>
  <c r="M63" s="1"/>
  <c r="K62"/>
  <c r="I62"/>
  <c r="G62"/>
  <c r="M62" s="1"/>
  <c r="K61"/>
  <c r="I61"/>
  <c r="G61"/>
  <c r="M61" s="1"/>
  <c r="K60"/>
  <c r="I60"/>
  <c r="G60"/>
  <c r="M60" s="1"/>
  <c r="K59"/>
  <c r="I59"/>
  <c r="G59"/>
  <c r="M59" s="1"/>
  <c r="K58"/>
  <c r="I58"/>
  <c r="G58"/>
  <c r="M58" s="1"/>
  <c r="K57"/>
  <c r="I57"/>
  <c r="G57"/>
  <c r="M57" s="1"/>
  <c r="K56"/>
  <c r="K77" s="1"/>
  <c r="I56"/>
  <c r="I77" s="1"/>
  <c r="G56"/>
  <c r="G77" s="1"/>
  <c r="E51"/>
  <c r="K50"/>
  <c r="I50"/>
  <c r="G50"/>
  <c r="M50" s="1"/>
  <c r="K49"/>
  <c r="I49"/>
  <c r="G49"/>
  <c r="M49" s="1"/>
  <c r="K48"/>
  <c r="I48"/>
  <c r="M48" s="1"/>
  <c r="G48"/>
  <c r="K47"/>
  <c r="I47"/>
  <c r="M47" s="1"/>
  <c r="G47"/>
  <c r="K46"/>
  <c r="I46"/>
  <c r="M46" s="1"/>
  <c r="G46"/>
  <c r="K45"/>
  <c r="I45"/>
  <c r="M45" s="1"/>
  <c r="G45"/>
  <c r="K44"/>
  <c r="I44"/>
  <c r="M44" s="1"/>
  <c r="G44"/>
  <c r="K43"/>
  <c r="I43"/>
  <c r="M43" s="1"/>
  <c r="G43"/>
  <c r="K42"/>
  <c r="I42"/>
  <c r="M42" s="1"/>
  <c r="G42"/>
  <c r="K41"/>
  <c r="I41"/>
  <c r="M41" s="1"/>
  <c r="G41"/>
  <c r="K40"/>
  <c r="I40"/>
  <c r="M40" s="1"/>
  <c r="G40"/>
  <c r="K39"/>
  <c r="I39"/>
  <c r="M39" s="1"/>
  <c r="G39"/>
  <c r="K38"/>
  <c r="I38"/>
  <c r="M38" s="1"/>
  <c r="G38"/>
  <c r="K37"/>
  <c r="I37"/>
  <c r="M37" s="1"/>
  <c r="G37"/>
  <c r="K36"/>
  <c r="I36"/>
  <c r="M36" s="1"/>
  <c r="G36"/>
  <c r="K35"/>
  <c r="I35"/>
  <c r="M35" s="1"/>
  <c r="G35"/>
  <c r="K34"/>
  <c r="I34"/>
  <c r="M34" s="1"/>
  <c r="G34"/>
  <c r="K33"/>
  <c r="I33"/>
  <c r="M33" s="1"/>
  <c r="G33"/>
  <c r="K32"/>
  <c r="I32"/>
  <c r="M32" s="1"/>
  <c r="G32"/>
  <c r="K31"/>
  <c r="I31"/>
  <c r="M31" s="1"/>
  <c r="G31"/>
  <c r="K30"/>
  <c r="K51" s="1"/>
  <c r="I30"/>
  <c r="M30" s="1"/>
  <c r="G30"/>
  <c r="G51" s="1"/>
  <c r="E25"/>
  <c r="K24"/>
  <c r="I24"/>
  <c r="G24"/>
  <c r="K23"/>
  <c r="I23"/>
  <c r="G23"/>
  <c r="K22"/>
  <c r="I22"/>
  <c r="G22"/>
  <c r="K21"/>
  <c r="I21"/>
  <c r="G21"/>
  <c r="K20"/>
  <c r="I20"/>
  <c r="M20" s="1"/>
  <c r="G20"/>
  <c r="K19"/>
  <c r="I19"/>
  <c r="G19"/>
  <c r="K18"/>
  <c r="I18"/>
  <c r="M18" s="1"/>
  <c r="G18"/>
  <c r="K17"/>
  <c r="I17"/>
  <c r="G17"/>
  <c r="K16"/>
  <c r="I16"/>
  <c r="M16" s="1"/>
  <c r="G16"/>
  <c r="K15"/>
  <c r="I15"/>
  <c r="G15"/>
  <c r="K14"/>
  <c r="I14"/>
  <c r="M14" s="1"/>
  <c r="G14"/>
  <c r="K13"/>
  <c r="I13"/>
  <c r="G13"/>
  <c r="K12"/>
  <c r="I12"/>
  <c r="M12" s="1"/>
  <c r="G12"/>
  <c r="K11"/>
  <c r="I11"/>
  <c r="G11"/>
  <c r="K10"/>
  <c r="I10"/>
  <c r="M10" s="1"/>
  <c r="G10"/>
  <c r="K9"/>
  <c r="I9"/>
  <c r="G9"/>
  <c r="K8"/>
  <c r="I8"/>
  <c r="M8" s="1"/>
  <c r="G8"/>
  <c r="K7"/>
  <c r="I7"/>
  <c r="G7"/>
  <c r="K6"/>
  <c r="I6"/>
  <c r="M6" s="1"/>
  <c r="G6"/>
  <c r="K5"/>
  <c r="I5"/>
  <c r="G5"/>
  <c r="K4"/>
  <c r="K25" s="1"/>
  <c r="I4"/>
  <c r="G4"/>
  <c r="G25" s="1"/>
  <c r="M290" l="1"/>
  <c r="M285"/>
  <c r="I285"/>
  <c r="I259"/>
  <c r="M259" s="1"/>
  <c r="I233"/>
  <c r="M233" s="1"/>
  <c r="M207"/>
  <c r="I207"/>
  <c r="M160"/>
  <c r="I155"/>
  <c r="M155" s="1"/>
  <c r="M129"/>
  <c r="I129"/>
  <c r="M103"/>
  <c r="I103"/>
  <c r="M77"/>
  <c r="M56"/>
  <c r="I51"/>
  <c r="M51" s="1"/>
  <c r="M23"/>
  <c r="M4"/>
  <c r="M22"/>
  <c r="M5"/>
  <c r="M7"/>
  <c r="M9"/>
  <c r="M11"/>
  <c r="M13"/>
  <c r="M15"/>
  <c r="M17"/>
  <c r="M19"/>
  <c r="M21"/>
  <c r="M24"/>
  <c r="I25"/>
  <c r="M25" s="1"/>
</calcChain>
</file>

<file path=xl/sharedStrings.xml><?xml version="1.0" encoding="utf-8"?>
<sst xmlns="http://schemas.openxmlformats.org/spreadsheetml/2006/main" count="1244" uniqueCount="100">
  <si>
    <t>Code</t>
  </si>
  <si>
    <t>Description</t>
  </si>
  <si>
    <t>January</t>
  </si>
  <si>
    <t>Work RVU</t>
  </si>
  <si>
    <t>Work Income</t>
  </si>
  <si>
    <t>OH RVU</t>
  </si>
  <si>
    <t>OH Income</t>
  </si>
  <si>
    <t>Mal RVU</t>
  </si>
  <si>
    <t>Mal. Income</t>
  </si>
  <si>
    <t>Total RVU</t>
  </si>
  <si>
    <t>Total Income</t>
  </si>
  <si>
    <t>new office</t>
  </si>
  <si>
    <t>established office</t>
  </si>
  <si>
    <t>Sub totals</t>
  </si>
  <si>
    <t>Month</t>
  </si>
  <si>
    <t>Work Inc</t>
  </si>
  <si>
    <t>new preventive infant</t>
  </si>
  <si>
    <t>established prevent infant</t>
  </si>
  <si>
    <t>established prevent 18-39 yr</t>
  </si>
  <si>
    <t>established prevent 12-17 yr</t>
  </si>
  <si>
    <t>established prevent 5-11 yr</t>
  </si>
  <si>
    <t>established prevent 1-4 yr</t>
  </si>
  <si>
    <t>new preventive 1-4 yr</t>
  </si>
  <si>
    <t>new preventive 5-11 yr</t>
  </si>
  <si>
    <t>new preventive 12-17 yr</t>
  </si>
  <si>
    <t>new preventive 18-39 yr</t>
  </si>
  <si>
    <t>established prevent 40-64 yr</t>
  </si>
  <si>
    <t>established prevent 65+ yr</t>
  </si>
  <si>
    <t>Intern/Resident Name</t>
  </si>
  <si>
    <t>Totals</t>
  </si>
  <si>
    <t>February</t>
  </si>
  <si>
    <t>March</t>
  </si>
  <si>
    <t>Quarterly Totals</t>
  </si>
  <si>
    <t>April</t>
  </si>
  <si>
    <t>May</t>
  </si>
  <si>
    <t>June</t>
  </si>
  <si>
    <t>Resident 1</t>
  </si>
  <si>
    <t>Resident 2</t>
  </si>
  <si>
    <t>Resident 3</t>
  </si>
  <si>
    <t>Resident 4</t>
  </si>
  <si>
    <t>Resident 6</t>
  </si>
  <si>
    <t>Resident 5</t>
  </si>
  <si>
    <t>Resident 7</t>
  </si>
  <si>
    <t>Resident 8</t>
  </si>
  <si>
    <t>Resident 9</t>
  </si>
  <si>
    <t>Resident 10</t>
  </si>
  <si>
    <t>Resident 11</t>
  </si>
  <si>
    <t>Resident 12</t>
  </si>
  <si>
    <t>July</t>
  </si>
  <si>
    <t>August</t>
  </si>
  <si>
    <t>September</t>
  </si>
  <si>
    <t>October</t>
  </si>
  <si>
    <t>November</t>
  </si>
  <si>
    <t>December</t>
  </si>
  <si>
    <t>2012 1st Quarter Income</t>
  </si>
  <si>
    <t xml:space="preserve"> 2012 2nd Quarter Income</t>
  </si>
  <si>
    <t>2012 3rd Quarter Income</t>
  </si>
  <si>
    <t>2012 4th Quarter Income</t>
  </si>
  <si>
    <t>Yearly Totals</t>
  </si>
  <si>
    <t>Class 1</t>
  </si>
  <si>
    <t>Class 2</t>
  </si>
  <si>
    <t>Rags to Riches Profit and Loss Statement</t>
  </si>
  <si>
    <t>Bells and Whistles Profit and Loss Statement</t>
  </si>
  <si>
    <t>Combined Profit and Loss Statement</t>
  </si>
  <si>
    <t>Quarter 1</t>
  </si>
  <si>
    <t>Gross Revenue</t>
  </si>
  <si>
    <t>Contractual Adjustments</t>
  </si>
  <si>
    <t>Actual</t>
  </si>
  <si>
    <t>Total Contract Adjustments</t>
  </si>
  <si>
    <t>Net Revenue</t>
  </si>
  <si>
    <t>Operating Expenses</t>
  </si>
  <si>
    <t>Staff Salaries</t>
  </si>
  <si>
    <t>Staff Benefits</t>
  </si>
  <si>
    <t>Contract Services</t>
  </si>
  <si>
    <t>Information Technology</t>
  </si>
  <si>
    <t>Laboratory</t>
  </si>
  <si>
    <t>Medical Supplies</t>
  </si>
  <si>
    <t>Building &amp; Utilities</t>
  </si>
  <si>
    <t>Equipment</t>
  </si>
  <si>
    <t>General Supplies</t>
  </si>
  <si>
    <t>Malpractice Insurance</t>
  </si>
  <si>
    <t>Other</t>
  </si>
  <si>
    <t>Total Operating Expenses</t>
  </si>
  <si>
    <t>Operations</t>
  </si>
  <si>
    <t>Provider Expense</t>
  </si>
  <si>
    <t>Midlevel Salaries</t>
  </si>
  <si>
    <t>Provider CME</t>
  </si>
  <si>
    <t>Physician Salaries</t>
  </si>
  <si>
    <t>Total Providers</t>
  </si>
  <si>
    <t>Total Expense</t>
  </si>
  <si>
    <t>Net Gain/Loss</t>
  </si>
  <si>
    <t>2nd Quarter 2011</t>
  </si>
  <si>
    <t>Quarter 2</t>
  </si>
  <si>
    <t>3rd Quarter 2011</t>
  </si>
  <si>
    <t>Quarter 3</t>
  </si>
  <si>
    <t>4th Quarter 2011</t>
  </si>
  <si>
    <t>Quarter 4</t>
  </si>
  <si>
    <t>1st Quarter 2012</t>
  </si>
  <si>
    <t xml:space="preserve">    Class 1 Profit and Loss Statement</t>
  </si>
  <si>
    <t xml:space="preserve">    Class 2 Profit and Loss Statement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</si>
</sst>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  <xf numFmtId="164" fontId="0" fillId="0" borderId="0" xfId="0" applyNumberFormat="1" applyAlignme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37"/>
  <sheetViews>
    <sheetView workbookViewId="0">
      <selection activeCell="A313" sqref="A313"/>
    </sheetView>
  </sheetViews>
  <sheetFormatPr defaultRowHeight="15"/>
  <cols>
    <col min="1" max="1" width="6" customWidth="1"/>
    <col min="5" max="5" width="7" customWidth="1"/>
    <col min="6" max="6" width="10.140625" bestFit="1" customWidth="1"/>
    <col min="7" max="7" width="8.85546875" customWidth="1"/>
    <col min="9" max="9" width="10.7109375" bestFit="1" customWidth="1"/>
    <col min="11" max="11" width="12" bestFit="1" customWidth="1"/>
    <col min="13" max="13" width="12.42578125" bestFit="1" customWidth="1"/>
  </cols>
  <sheetData>
    <row r="1" spans="1:13">
      <c r="B1" s="10" t="s">
        <v>28</v>
      </c>
      <c r="C1" s="9"/>
      <c r="D1" s="9"/>
    </row>
    <row r="2" spans="1:13">
      <c r="A2" s="1" t="s">
        <v>0</v>
      </c>
      <c r="B2" s="10" t="s">
        <v>1</v>
      </c>
      <c r="C2" s="10"/>
      <c r="D2" s="10"/>
      <c r="E2" s="1" t="s">
        <v>14</v>
      </c>
      <c r="F2" s="1" t="s">
        <v>3</v>
      </c>
      <c r="G2" s="1" t="s">
        <v>15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</row>
    <row r="3" spans="1:13">
      <c r="B3" s="11"/>
      <c r="C3" s="11"/>
      <c r="D3" s="11"/>
    </row>
    <row r="4" spans="1:13">
      <c r="A4">
        <v>99201</v>
      </c>
      <c r="B4" s="12" t="s">
        <v>11</v>
      </c>
      <c r="C4" s="12"/>
      <c r="D4" s="12"/>
      <c r="E4">
        <v>0</v>
      </c>
      <c r="F4" s="2">
        <v>16.23</v>
      </c>
      <c r="G4" s="2">
        <f t="shared" ref="G4:G12" si="0">(E4*F4)</f>
        <v>0</v>
      </c>
      <c r="H4" s="2">
        <v>19.829999999999998</v>
      </c>
      <c r="I4" s="2">
        <f>(E4*H4)</f>
        <v>0</v>
      </c>
      <c r="J4" s="2">
        <v>1.08</v>
      </c>
      <c r="K4" s="2">
        <f>(E4*J4)</f>
        <v>0</v>
      </c>
      <c r="L4" s="2">
        <v>37.14</v>
      </c>
      <c r="M4" s="2">
        <f>(G4+I4+K4)</f>
        <v>0</v>
      </c>
    </row>
    <row r="5" spans="1:13">
      <c r="A5">
        <v>99202</v>
      </c>
      <c r="B5" s="9" t="s">
        <v>11</v>
      </c>
      <c r="C5" s="9"/>
      <c r="D5" s="9"/>
      <c r="E5">
        <v>0</v>
      </c>
      <c r="F5" s="2">
        <v>31.73</v>
      </c>
      <c r="G5" s="2">
        <f t="shared" si="0"/>
        <v>0</v>
      </c>
      <c r="H5" s="2">
        <v>30.65</v>
      </c>
      <c r="I5" s="2">
        <f t="shared" ref="I5:I12" si="1">(E5*H5)</f>
        <v>0</v>
      </c>
      <c r="J5" s="2">
        <v>1.8</v>
      </c>
      <c r="K5" s="2">
        <f t="shared" ref="K5:K12" si="2">(E5*J5)</f>
        <v>0</v>
      </c>
      <c r="L5" s="2">
        <v>64.180000000000007</v>
      </c>
      <c r="M5" s="2">
        <f t="shared" ref="M5:M12" si="3">(G5+I5+K5)</f>
        <v>0</v>
      </c>
    </row>
    <row r="6" spans="1:13">
      <c r="A6">
        <v>99203</v>
      </c>
      <c r="B6" s="9" t="s">
        <v>11</v>
      </c>
      <c r="C6" s="9"/>
      <c r="D6" s="9"/>
      <c r="E6">
        <v>0</v>
      </c>
      <c r="F6" s="2">
        <v>48.32</v>
      </c>
      <c r="G6" s="2">
        <f t="shared" si="0"/>
        <v>0</v>
      </c>
      <c r="H6" s="2">
        <v>40.39</v>
      </c>
      <c r="I6" s="2">
        <f t="shared" si="1"/>
        <v>0</v>
      </c>
      <c r="J6" s="2">
        <v>3.24</v>
      </c>
      <c r="K6" s="2">
        <f t="shared" si="2"/>
        <v>0</v>
      </c>
      <c r="L6" s="2">
        <v>91.95</v>
      </c>
      <c r="M6" s="2">
        <f t="shared" si="3"/>
        <v>0</v>
      </c>
    </row>
    <row r="7" spans="1:13">
      <c r="A7">
        <v>99204</v>
      </c>
      <c r="B7" s="9" t="s">
        <v>11</v>
      </c>
      <c r="C7" s="9"/>
      <c r="D7" s="9"/>
      <c r="E7">
        <v>0</v>
      </c>
      <c r="F7" s="2">
        <v>82.94</v>
      </c>
      <c r="G7" s="2">
        <f t="shared" si="0"/>
        <v>0</v>
      </c>
      <c r="H7" s="2">
        <v>54.45</v>
      </c>
      <c r="I7" s="2">
        <f t="shared" si="1"/>
        <v>0</v>
      </c>
      <c r="J7" s="2">
        <v>4.33</v>
      </c>
      <c r="K7" s="2">
        <f t="shared" si="2"/>
        <v>0</v>
      </c>
      <c r="L7" s="2">
        <v>141.72</v>
      </c>
      <c r="M7" s="2">
        <f t="shared" si="3"/>
        <v>0</v>
      </c>
    </row>
    <row r="8" spans="1:13">
      <c r="A8">
        <v>99211</v>
      </c>
      <c r="B8" s="9" t="s">
        <v>12</v>
      </c>
      <c r="C8" s="9"/>
      <c r="D8" s="9"/>
      <c r="E8">
        <v>0</v>
      </c>
      <c r="F8" s="2">
        <v>6.13</v>
      </c>
      <c r="G8" s="2">
        <f t="shared" si="0"/>
        <v>0</v>
      </c>
      <c r="H8" s="2">
        <v>11.54</v>
      </c>
      <c r="I8" s="2">
        <f t="shared" si="1"/>
        <v>0</v>
      </c>
      <c r="J8" s="2">
        <v>0.36</v>
      </c>
      <c r="K8" s="2">
        <f t="shared" si="2"/>
        <v>0</v>
      </c>
      <c r="L8" s="2">
        <v>18.03</v>
      </c>
      <c r="M8" s="2">
        <f t="shared" si="3"/>
        <v>0</v>
      </c>
    </row>
    <row r="9" spans="1:13">
      <c r="A9">
        <v>99212</v>
      </c>
      <c r="B9" s="9" t="s">
        <v>12</v>
      </c>
      <c r="C9" s="9"/>
      <c r="D9" s="9"/>
      <c r="E9">
        <v>0</v>
      </c>
      <c r="F9" s="2">
        <v>16.23</v>
      </c>
      <c r="G9" s="2">
        <f t="shared" si="0"/>
        <v>0</v>
      </c>
      <c r="H9" s="2">
        <v>19.829999999999998</v>
      </c>
      <c r="I9" s="2">
        <f t="shared" si="1"/>
        <v>0</v>
      </c>
      <c r="J9" s="2">
        <v>1.08</v>
      </c>
      <c r="K9" s="2">
        <f t="shared" si="2"/>
        <v>0</v>
      </c>
      <c r="L9" s="2">
        <v>37.11</v>
      </c>
      <c r="M9" s="2">
        <f t="shared" si="3"/>
        <v>0</v>
      </c>
    </row>
    <row r="10" spans="1:13">
      <c r="A10">
        <v>99213</v>
      </c>
      <c r="B10" s="9" t="s">
        <v>12</v>
      </c>
      <c r="C10" s="9"/>
      <c r="D10" s="9"/>
      <c r="E10">
        <v>0</v>
      </c>
      <c r="F10" s="2">
        <v>33.17</v>
      </c>
      <c r="G10" s="2">
        <f t="shared" si="0"/>
        <v>0</v>
      </c>
      <c r="H10" s="2">
        <v>27.77</v>
      </c>
      <c r="I10" s="2">
        <f t="shared" si="1"/>
        <v>0</v>
      </c>
      <c r="J10" s="2">
        <v>1.08</v>
      </c>
      <c r="K10" s="2">
        <f t="shared" si="2"/>
        <v>0</v>
      </c>
      <c r="L10" s="2">
        <v>62.02</v>
      </c>
      <c r="M10" s="2">
        <f t="shared" si="3"/>
        <v>0</v>
      </c>
    </row>
    <row r="11" spans="1:13">
      <c r="A11">
        <v>99214</v>
      </c>
      <c r="B11" s="9" t="s">
        <v>12</v>
      </c>
      <c r="C11" s="9"/>
      <c r="D11" s="9"/>
      <c r="E11">
        <v>0</v>
      </c>
      <c r="F11" s="2">
        <v>51.2</v>
      </c>
      <c r="G11" s="2">
        <f t="shared" si="0"/>
        <v>0</v>
      </c>
      <c r="H11" s="2">
        <v>39.67</v>
      </c>
      <c r="I11" s="2">
        <f t="shared" si="1"/>
        <v>0</v>
      </c>
      <c r="J11" s="2">
        <v>1.8</v>
      </c>
      <c r="K11" s="2">
        <f t="shared" si="2"/>
        <v>0</v>
      </c>
      <c r="L11" s="2">
        <v>92.67</v>
      </c>
      <c r="M11" s="2">
        <f t="shared" si="3"/>
        <v>0</v>
      </c>
    </row>
    <row r="12" spans="1:13">
      <c r="A12">
        <v>99215</v>
      </c>
      <c r="B12" s="9" t="s">
        <v>12</v>
      </c>
      <c r="C12" s="9"/>
      <c r="D12" s="9"/>
      <c r="E12">
        <v>0</v>
      </c>
      <c r="F12" s="2">
        <v>72.12</v>
      </c>
      <c r="G12" s="2">
        <f t="shared" si="0"/>
        <v>0</v>
      </c>
      <c r="H12" s="2">
        <v>50.48</v>
      </c>
      <c r="I12" s="2">
        <f t="shared" si="1"/>
        <v>0</v>
      </c>
      <c r="J12" s="2">
        <v>2.88</v>
      </c>
      <c r="K12" s="2">
        <f t="shared" si="2"/>
        <v>0</v>
      </c>
      <c r="L12" s="2">
        <v>125.48</v>
      </c>
      <c r="M12" s="2">
        <f t="shared" si="3"/>
        <v>0</v>
      </c>
    </row>
    <row r="13" spans="1:13">
      <c r="A13">
        <v>99381</v>
      </c>
      <c r="B13" s="9" t="s">
        <v>16</v>
      </c>
      <c r="C13" s="9"/>
      <c r="D13" s="9"/>
      <c r="E13">
        <v>0</v>
      </c>
      <c r="F13" s="2">
        <v>42.91</v>
      </c>
      <c r="G13" s="2">
        <f t="shared" ref="G13:G24" si="4">(E13*F13)</f>
        <v>0</v>
      </c>
      <c r="H13" s="2">
        <v>42.91</v>
      </c>
      <c r="I13" s="2">
        <f t="shared" ref="I13:I24" si="5">(E13*H13)</f>
        <v>0</v>
      </c>
      <c r="J13" s="2">
        <v>1.8</v>
      </c>
      <c r="K13" s="2">
        <f t="shared" ref="K13:K24" si="6">(E13*J13)</f>
        <v>0</v>
      </c>
      <c r="L13" s="2">
        <v>87.62</v>
      </c>
      <c r="M13" s="2">
        <f t="shared" ref="M13:M25" si="7">(G13+I13+K13)</f>
        <v>0</v>
      </c>
    </row>
    <row r="14" spans="1:13">
      <c r="A14">
        <v>99382</v>
      </c>
      <c r="B14" s="9" t="s">
        <v>22</v>
      </c>
      <c r="C14" s="9"/>
      <c r="D14" s="9"/>
      <c r="E14">
        <v>0</v>
      </c>
      <c r="F14" s="2">
        <v>49.04</v>
      </c>
      <c r="G14" s="2">
        <f t="shared" si="4"/>
        <v>0</v>
      </c>
      <c r="H14" s="2">
        <v>45.07</v>
      </c>
      <c r="I14" s="2">
        <f t="shared" si="5"/>
        <v>0</v>
      </c>
      <c r="J14" s="2">
        <v>1.8</v>
      </c>
      <c r="K14" s="2">
        <f t="shared" si="6"/>
        <v>0</v>
      </c>
      <c r="L14" s="2">
        <v>95.91</v>
      </c>
      <c r="M14" s="2">
        <f t="shared" si="7"/>
        <v>0</v>
      </c>
    </row>
    <row r="15" spans="1:13">
      <c r="A15">
        <v>99383</v>
      </c>
      <c r="B15" s="9" t="s">
        <v>23</v>
      </c>
      <c r="C15" s="9"/>
      <c r="D15" s="9"/>
      <c r="E15">
        <v>0</v>
      </c>
      <c r="F15" s="2">
        <v>49.04</v>
      </c>
      <c r="G15" s="2">
        <f t="shared" si="4"/>
        <v>0</v>
      </c>
      <c r="H15" s="2">
        <v>44.71</v>
      </c>
      <c r="I15" s="2">
        <f t="shared" si="5"/>
        <v>0</v>
      </c>
      <c r="J15" s="2">
        <v>1.8</v>
      </c>
      <c r="K15" s="2">
        <f t="shared" si="6"/>
        <v>0</v>
      </c>
      <c r="L15" s="2">
        <v>95.55</v>
      </c>
      <c r="M15" s="2">
        <f t="shared" si="7"/>
        <v>0</v>
      </c>
    </row>
    <row r="16" spans="1:13">
      <c r="A16">
        <v>99384</v>
      </c>
      <c r="B16" s="9" t="s">
        <v>24</v>
      </c>
      <c r="C16" s="9"/>
      <c r="D16" s="9"/>
      <c r="E16">
        <v>0</v>
      </c>
      <c r="F16" s="2">
        <v>55.17</v>
      </c>
      <c r="G16" s="2">
        <f t="shared" si="4"/>
        <v>0</v>
      </c>
      <c r="H16" s="2">
        <v>46.88</v>
      </c>
      <c r="I16" s="2">
        <f t="shared" si="5"/>
        <v>0</v>
      </c>
      <c r="J16" s="2">
        <v>2.16</v>
      </c>
      <c r="K16" s="2">
        <f t="shared" si="6"/>
        <v>0</v>
      </c>
      <c r="L16" s="2">
        <v>104.21</v>
      </c>
      <c r="M16" s="2">
        <f t="shared" si="7"/>
        <v>0</v>
      </c>
    </row>
    <row r="17" spans="1:13">
      <c r="A17">
        <v>99385</v>
      </c>
      <c r="B17" s="9" t="s">
        <v>25</v>
      </c>
      <c r="C17" s="9"/>
      <c r="D17" s="9"/>
      <c r="E17">
        <v>0</v>
      </c>
      <c r="F17" s="2">
        <v>55.17</v>
      </c>
      <c r="G17" s="2">
        <f t="shared" si="4"/>
        <v>0</v>
      </c>
      <c r="H17" s="2">
        <v>46.88</v>
      </c>
      <c r="I17" s="2">
        <f t="shared" si="5"/>
        <v>0</v>
      </c>
      <c r="J17" s="2">
        <v>2.16</v>
      </c>
      <c r="K17" s="2">
        <f t="shared" si="6"/>
        <v>0</v>
      </c>
      <c r="L17" s="2">
        <v>104.21</v>
      </c>
      <c r="M17" s="2">
        <f t="shared" si="7"/>
        <v>0</v>
      </c>
    </row>
    <row r="18" spans="1:13">
      <c r="A18">
        <v>99391</v>
      </c>
      <c r="B18" s="9" t="s">
        <v>17</v>
      </c>
      <c r="C18" s="9"/>
      <c r="D18" s="9"/>
      <c r="E18">
        <v>0</v>
      </c>
      <c r="F18" s="2">
        <v>36.78</v>
      </c>
      <c r="G18" s="2">
        <f t="shared" si="4"/>
        <v>0</v>
      </c>
      <c r="H18" s="2">
        <v>37.14</v>
      </c>
      <c r="I18" s="2">
        <f t="shared" si="5"/>
        <v>0</v>
      </c>
      <c r="J18" s="2">
        <v>1.44</v>
      </c>
      <c r="K18" s="2">
        <f t="shared" si="6"/>
        <v>0</v>
      </c>
      <c r="L18" s="2">
        <v>75.36</v>
      </c>
      <c r="M18" s="2">
        <f t="shared" si="7"/>
        <v>0</v>
      </c>
    </row>
    <row r="19" spans="1:13">
      <c r="A19">
        <v>99392</v>
      </c>
      <c r="B19" s="9" t="s">
        <v>21</v>
      </c>
      <c r="C19" s="9"/>
      <c r="D19" s="9"/>
      <c r="E19">
        <v>0</v>
      </c>
      <c r="F19" s="2">
        <v>42.91</v>
      </c>
      <c r="G19" s="2">
        <f t="shared" si="4"/>
        <v>0</v>
      </c>
      <c r="H19" s="2">
        <v>39.299999999999997</v>
      </c>
      <c r="I19" s="2">
        <f t="shared" si="5"/>
        <v>0</v>
      </c>
      <c r="J19" s="2">
        <v>1.8</v>
      </c>
      <c r="K19" s="2">
        <f t="shared" si="6"/>
        <v>0</v>
      </c>
      <c r="L19" s="2">
        <v>84.01</v>
      </c>
      <c r="M19" s="2">
        <f t="shared" si="7"/>
        <v>0</v>
      </c>
    </row>
    <row r="20" spans="1:13">
      <c r="A20">
        <v>99393</v>
      </c>
      <c r="B20" s="9" t="s">
        <v>20</v>
      </c>
      <c r="C20" s="9"/>
      <c r="D20" s="9"/>
      <c r="E20">
        <v>0</v>
      </c>
      <c r="F20" s="2">
        <v>42.91</v>
      </c>
      <c r="G20" s="2">
        <f t="shared" si="4"/>
        <v>0</v>
      </c>
      <c r="H20" s="2">
        <v>38.94</v>
      </c>
      <c r="I20" s="2">
        <f t="shared" si="5"/>
        <v>0</v>
      </c>
      <c r="J20" s="2">
        <v>1.8</v>
      </c>
      <c r="K20" s="2">
        <f t="shared" si="6"/>
        <v>0</v>
      </c>
      <c r="L20" s="2">
        <v>83.65</v>
      </c>
      <c r="M20" s="2">
        <f t="shared" si="7"/>
        <v>0</v>
      </c>
    </row>
    <row r="21" spans="1:13">
      <c r="A21">
        <v>99394</v>
      </c>
      <c r="B21" s="9" t="s">
        <v>19</v>
      </c>
      <c r="C21" s="9"/>
      <c r="D21" s="9"/>
      <c r="E21">
        <v>0</v>
      </c>
      <c r="F21" s="2">
        <v>49.04</v>
      </c>
      <c r="G21" s="2">
        <f t="shared" si="4"/>
        <v>0</v>
      </c>
      <c r="H21" s="2">
        <v>41.11</v>
      </c>
      <c r="I21" s="2">
        <f t="shared" si="5"/>
        <v>0</v>
      </c>
      <c r="J21" s="2">
        <v>1.8</v>
      </c>
      <c r="K21" s="2">
        <f t="shared" si="6"/>
        <v>0</v>
      </c>
      <c r="L21" s="2">
        <v>91.95</v>
      </c>
      <c r="M21" s="2">
        <f t="shared" si="7"/>
        <v>0</v>
      </c>
    </row>
    <row r="22" spans="1:13">
      <c r="A22">
        <v>99395</v>
      </c>
      <c r="B22" s="9" t="s">
        <v>18</v>
      </c>
      <c r="C22" s="9"/>
      <c r="D22" s="9"/>
      <c r="E22">
        <v>0</v>
      </c>
      <c r="F22" s="2">
        <v>49.04</v>
      </c>
      <c r="G22" s="2">
        <f t="shared" si="4"/>
        <v>0</v>
      </c>
      <c r="H22" s="2">
        <v>41.11</v>
      </c>
      <c r="I22" s="2">
        <f t="shared" si="5"/>
        <v>0</v>
      </c>
      <c r="J22" s="2">
        <v>1.8</v>
      </c>
      <c r="K22" s="2">
        <f t="shared" si="6"/>
        <v>0</v>
      </c>
      <c r="L22" s="2">
        <v>91.95</v>
      </c>
      <c r="M22" s="2">
        <f t="shared" si="7"/>
        <v>0</v>
      </c>
    </row>
    <row r="23" spans="1:13">
      <c r="A23">
        <v>99396</v>
      </c>
      <c r="B23" s="9" t="s">
        <v>26</v>
      </c>
      <c r="C23" s="9"/>
      <c r="D23" s="9"/>
      <c r="E23">
        <v>0</v>
      </c>
      <c r="F23" s="2">
        <v>55.17</v>
      </c>
      <c r="G23" s="2">
        <f t="shared" si="4"/>
        <v>0</v>
      </c>
      <c r="H23" s="2">
        <v>43.27</v>
      </c>
      <c r="I23" s="2">
        <f t="shared" si="5"/>
        <v>0</v>
      </c>
      <c r="J23" s="2">
        <v>2.16</v>
      </c>
      <c r="K23" s="2">
        <f t="shared" si="6"/>
        <v>0</v>
      </c>
      <c r="L23" s="2">
        <v>100.6</v>
      </c>
      <c r="M23" s="2">
        <f t="shared" si="7"/>
        <v>0</v>
      </c>
    </row>
    <row r="24" spans="1:13">
      <c r="A24">
        <v>99397</v>
      </c>
      <c r="B24" s="9" t="s">
        <v>27</v>
      </c>
      <c r="C24" s="9"/>
      <c r="D24" s="9"/>
      <c r="E24">
        <v>0</v>
      </c>
      <c r="F24" s="2">
        <v>61.66</v>
      </c>
      <c r="G24" s="2">
        <f t="shared" si="4"/>
        <v>0</v>
      </c>
      <c r="H24" s="2">
        <v>49.04</v>
      </c>
      <c r="I24" s="2">
        <f t="shared" si="5"/>
        <v>0</v>
      </c>
      <c r="J24" s="2">
        <v>2.16</v>
      </c>
      <c r="K24" s="2">
        <f t="shared" si="6"/>
        <v>0</v>
      </c>
      <c r="L24" s="2">
        <v>112.86</v>
      </c>
      <c r="M24" s="2">
        <f t="shared" si="7"/>
        <v>0</v>
      </c>
    </row>
    <row r="25" spans="1:13">
      <c r="A25" s="10" t="s">
        <v>13</v>
      </c>
      <c r="B25" s="10"/>
      <c r="C25" s="10"/>
      <c r="D25" s="10"/>
      <c r="E25" s="1">
        <f>SUM(E4:E24)</f>
        <v>0</v>
      </c>
      <c r="F25" s="2"/>
      <c r="G25" s="3">
        <f>SUM(G4:G24)</f>
        <v>0</v>
      </c>
      <c r="H25" s="3"/>
      <c r="I25" s="3">
        <f>SUM(I4:I24)</f>
        <v>0</v>
      </c>
      <c r="J25" s="3"/>
      <c r="K25" s="3">
        <f>SUM(K4:K24)</f>
        <v>0</v>
      </c>
      <c r="L25" s="3"/>
      <c r="M25" s="3">
        <f t="shared" si="7"/>
        <v>0</v>
      </c>
    </row>
    <row r="26" spans="1:13">
      <c r="A26" s="9"/>
      <c r="B26" s="9"/>
      <c r="C26" s="9"/>
      <c r="D26" s="9"/>
    </row>
    <row r="27" spans="1:13">
      <c r="B27" s="10" t="s">
        <v>28</v>
      </c>
      <c r="C27" s="9"/>
      <c r="D27" s="9"/>
    </row>
    <row r="28" spans="1:13">
      <c r="A28" s="1" t="s">
        <v>0</v>
      </c>
      <c r="B28" s="10" t="s">
        <v>1</v>
      </c>
      <c r="C28" s="10"/>
      <c r="D28" s="10"/>
      <c r="E28" s="1" t="s">
        <v>14</v>
      </c>
      <c r="F28" s="1" t="s">
        <v>3</v>
      </c>
      <c r="G28" s="1" t="s">
        <v>15</v>
      </c>
      <c r="H28" s="1" t="s">
        <v>5</v>
      </c>
      <c r="I28" s="1" t="s">
        <v>6</v>
      </c>
      <c r="J28" s="1" t="s">
        <v>7</v>
      </c>
      <c r="K28" s="1" t="s">
        <v>8</v>
      </c>
      <c r="L28" s="1" t="s">
        <v>9</v>
      </c>
      <c r="M28" s="1" t="s">
        <v>10</v>
      </c>
    </row>
    <row r="29" spans="1:13">
      <c r="B29" s="11"/>
      <c r="C29" s="11"/>
      <c r="D29" s="11"/>
    </row>
    <row r="30" spans="1:13">
      <c r="A30">
        <v>99201</v>
      </c>
      <c r="B30" s="12" t="s">
        <v>11</v>
      </c>
      <c r="C30" s="12"/>
      <c r="D30" s="12"/>
      <c r="E30">
        <v>0</v>
      </c>
      <c r="F30" s="2">
        <v>16.23</v>
      </c>
      <c r="G30" s="2">
        <f t="shared" ref="G30:G50" si="8">(E30*F30)</f>
        <v>0</v>
      </c>
      <c r="H30" s="2">
        <v>19.829999999999998</v>
      </c>
      <c r="I30" s="2">
        <f>(E30*H30)</f>
        <v>0</v>
      </c>
      <c r="J30" s="2">
        <v>1.08</v>
      </c>
      <c r="K30" s="2">
        <f>(E30*J30)</f>
        <v>0</v>
      </c>
      <c r="L30" s="2">
        <v>37.14</v>
      </c>
      <c r="M30" s="2">
        <f>(G30+I30+K30)</f>
        <v>0</v>
      </c>
    </row>
    <row r="31" spans="1:13">
      <c r="A31">
        <v>99202</v>
      </c>
      <c r="B31" s="9" t="s">
        <v>11</v>
      </c>
      <c r="C31" s="9"/>
      <c r="D31" s="9"/>
      <c r="E31">
        <v>0</v>
      </c>
      <c r="F31" s="2">
        <v>31.73</v>
      </c>
      <c r="G31" s="2">
        <f t="shared" si="8"/>
        <v>0</v>
      </c>
      <c r="H31" s="2">
        <v>30.65</v>
      </c>
      <c r="I31" s="2">
        <f t="shared" ref="I31:I50" si="9">(E31*H31)</f>
        <v>0</v>
      </c>
      <c r="J31" s="2">
        <v>1.8</v>
      </c>
      <c r="K31" s="2">
        <f t="shared" ref="K31:K50" si="10">(E31*J31)</f>
        <v>0</v>
      </c>
      <c r="L31" s="2">
        <v>64.180000000000007</v>
      </c>
      <c r="M31" s="2">
        <f t="shared" ref="M31:M51" si="11">(G31+I31+K31)</f>
        <v>0</v>
      </c>
    </row>
    <row r="32" spans="1:13">
      <c r="A32">
        <v>99203</v>
      </c>
      <c r="B32" s="9" t="s">
        <v>11</v>
      </c>
      <c r="C32" s="9"/>
      <c r="D32" s="9"/>
      <c r="E32">
        <v>0</v>
      </c>
      <c r="F32" s="2">
        <v>48.32</v>
      </c>
      <c r="G32" s="2">
        <f t="shared" si="8"/>
        <v>0</v>
      </c>
      <c r="H32" s="2">
        <v>40.39</v>
      </c>
      <c r="I32" s="2">
        <f t="shared" si="9"/>
        <v>0</v>
      </c>
      <c r="J32" s="2">
        <v>3.24</v>
      </c>
      <c r="K32" s="2">
        <f t="shared" si="10"/>
        <v>0</v>
      </c>
      <c r="L32" s="2">
        <v>91.95</v>
      </c>
      <c r="M32" s="2">
        <f t="shared" si="11"/>
        <v>0</v>
      </c>
    </row>
    <row r="33" spans="1:13">
      <c r="A33">
        <v>99204</v>
      </c>
      <c r="B33" s="9" t="s">
        <v>11</v>
      </c>
      <c r="C33" s="9"/>
      <c r="D33" s="9"/>
      <c r="E33">
        <v>0</v>
      </c>
      <c r="F33" s="2">
        <v>82.94</v>
      </c>
      <c r="G33" s="2">
        <f t="shared" si="8"/>
        <v>0</v>
      </c>
      <c r="H33" s="2">
        <v>54.45</v>
      </c>
      <c r="I33" s="2">
        <f t="shared" si="9"/>
        <v>0</v>
      </c>
      <c r="J33" s="2">
        <v>4.33</v>
      </c>
      <c r="K33" s="2">
        <f t="shared" si="10"/>
        <v>0</v>
      </c>
      <c r="L33" s="2">
        <v>141.72</v>
      </c>
      <c r="M33" s="2">
        <f t="shared" si="11"/>
        <v>0</v>
      </c>
    </row>
    <row r="34" spans="1:13">
      <c r="A34">
        <v>99211</v>
      </c>
      <c r="B34" s="9" t="s">
        <v>12</v>
      </c>
      <c r="C34" s="9"/>
      <c r="D34" s="9"/>
      <c r="E34">
        <v>0</v>
      </c>
      <c r="F34" s="2">
        <v>6.13</v>
      </c>
      <c r="G34" s="2">
        <f t="shared" si="8"/>
        <v>0</v>
      </c>
      <c r="H34" s="2">
        <v>11.54</v>
      </c>
      <c r="I34" s="2">
        <f t="shared" si="9"/>
        <v>0</v>
      </c>
      <c r="J34" s="2">
        <v>0.36</v>
      </c>
      <c r="K34" s="2">
        <f t="shared" si="10"/>
        <v>0</v>
      </c>
      <c r="L34" s="2">
        <v>18.03</v>
      </c>
      <c r="M34" s="2">
        <f t="shared" si="11"/>
        <v>0</v>
      </c>
    </row>
    <row r="35" spans="1:13">
      <c r="A35">
        <v>99212</v>
      </c>
      <c r="B35" s="9" t="s">
        <v>12</v>
      </c>
      <c r="C35" s="9"/>
      <c r="D35" s="9"/>
      <c r="E35">
        <v>0</v>
      </c>
      <c r="F35" s="2">
        <v>16.23</v>
      </c>
      <c r="G35" s="2">
        <f t="shared" si="8"/>
        <v>0</v>
      </c>
      <c r="H35" s="2">
        <v>19.829999999999998</v>
      </c>
      <c r="I35" s="2">
        <f t="shared" si="9"/>
        <v>0</v>
      </c>
      <c r="J35" s="2">
        <v>1.08</v>
      </c>
      <c r="K35" s="2">
        <f t="shared" si="10"/>
        <v>0</v>
      </c>
      <c r="L35" s="2">
        <v>37.11</v>
      </c>
      <c r="M35" s="2">
        <f t="shared" si="11"/>
        <v>0</v>
      </c>
    </row>
    <row r="36" spans="1:13">
      <c r="A36">
        <v>99213</v>
      </c>
      <c r="B36" s="9" t="s">
        <v>12</v>
      </c>
      <c r="C36" s="9"/>
      <c r="D36" s="9"/>
      <c r="E36">
        <v>0</v>
      </c>
      <c r="F36" s="2">
        <v>33.17</v>
      </c>
      <c r="G36" s="2">
        <f t="shared" si="8"/>
        <v>0</v>
      </c>
      <c r="H36" s="2">
        <v>27.77</v>
      </c>
      <c r="I36" s="2">
        <f t="shared" si="9"/>
        <v>0</v>
      </c>
      <c r="J36" s="2">
        <v>1.08</v>
      </c>
      <c r="K36" s="2">
        <f t="shared" si="10"/>
        <v>0</v>
      </c>
      <c r="L36" s="2">
        <v>62.02</v>
      </c>
      <c r="M36" s="2">
        <f t="shared" si="11"/>
        <v>0</v>
      </c>
    </row>
    <row r="37" spans="1:13">
      <c r="A37">
        <v>99214</v>
      </c>
      <c r="B37" s="9" t="s">
        <v>12</v>
      </c>
      <c r="C37" s="9"/>
      <c r="D37" s="9"/>
      <c r="E37">
        <v>0</v>
      </c>
      <c r="F37" s="2">
        <v>51.2</v>
      </c>
      <c r="G37" s="2">
        <f t="shared" si="8"/>
        <v>0</v>
      </c>
      <c r="H37" s="2">
        <v>39.67</v>
      </c>
      <c r="I37" s="2">
        <f t="shared" si="9"/>
        <v>0</v>
      </c>
      <c r="J37" s="2">
        <v>1.8</v>
      </c>
      <c r="K37" s="2">
        <f t="shared" si="10"/>
        <v>0</v>
      </c>
      <c r="L37" s="2">
        <v>92.67</v>
      </c>
      <c r="M37" s="2">
        <f t="shared" si="11"/>
        <v>0</v>
      </c>
    </row>
    <row r="38" spans="1:13">
      <c r="A38">
        <v>99215</v>
      </c>
      <c r="B38" s="9" t="s">
        <v>12</v>
      </c>
      <c r="C38" s="9"/>
      <c r="D38" s="9"/>
      <c r="E38">
        <v>0</v>
      </c>
      <c r="F38" s="2">
        <v>72.12</v>
      </c>
      <c r="G38" s="2">
        <f t="shared" si="8"/>
        <v>0</v>
      </c>
      <c r="H38" s="2">
        <v>50.48</v>
      </c>
      <c r="I38" s="2">
        <f t="shared" si="9"/>
        <v>0</v>
      </c>
      <c r="J38" s="2">
        <v>2.88</v>
      </c>
      <c r="K38" s="2">
        <f t="shared" si="10"/>
        <v>0</v>
      </c>
      <c r="L38" s="2">
        <v>125.48</v>
      </c>
      <c r="M38" s="2">
        <f t="shared" si="11"/>
        <v>0</v>
      </c>
    </row>
    <row r="39" spans="1:13">
      <c r="A39">
        <v>99381</v>
      </c>
      <c r="B39" s="9" t="s">
        <v>16</v>
      </c>
      <c r="C39" s="9"/>
      <c r="D39" s="9"/>
      <c r="E39">
        <v>0</v>
      </c>
      <c r="F39" s="2">
        <v>42.91</v>
      </c>
      <c r="G39" s="2">
        <f t="shared" si="8"/>
        <v>0</v>
      </c>
      <c r="H39" s="2">
        <v>42.91</v>
      </c>
      <c r="I39" s="2">
        <f t="shared" si="9"/>
        <v>0</v>
      </c>
      <c r="J39" s="2">
        <v>1.8</v>
      </c>
      <c r="K39" s="2">
        <f t="shared" si="10"/>
        <v>0</v>
      </c>
      <c r="L39" s="2">
        <v>87.62</v>
      </c>
      <c r="M39" s="2">
        <f t="shared" si="11"/>
        <v>0</v>
      </c>
    </row>
    <row r="40" spans="1:13">
      <c r="A40">
        <v>99382</v>
      </c>
      <c r="B40" s="9" t="s">
        <v>22</v>
      </c>
      <c r="C40" s="9"/>
      <c r="D40" s="9"/>
      <c r="E40">
        <v>0</v>
      </c>
      <c r="F40" s="2">
        <v>49.04</v>
      </c>
      <c r="G40" s="2">
        <f t="shared" si="8"/>
        <v>0</v>
      </c>
      <c r="H40" s="2">
        <v>45.07</v>
      </c>
      <c r="I40" s="2">
        <f t="shared" si="9"/>
        <v>0</v>
      </c>
      <c r="J40" s="2">
        <v>1.8</v>
      </c>
      <c r="K40" s="2">
        <f t="shared" si="10"/>
        <v>0</v>
      </c>
      <c r="L40" s="2">
        <v>95.91</v>
      </c>
      <c r="M40" s="2">
        <f t="shared" si="11"/>
        <v>0</v>
      </c>
    </row>
    <row r="41" spans="1:13">
      <c r="A41">
        <v>99383</v>
      </c>
      <c r="B41" s="9" t="s">
        <v>23</v>
      </c>
      <c r="C41" s="9"/>
      <c r="D41" s="9"/>
      <c r="E41">
        <v>0</v>
      </c>
      <c r="F41" s="2">
        <v>49.04</v>
      </c>
      <c r="G41" s="2">
        <f t="shared" si="8"/>
        <v>0</v>
      </c>
      <c r="H41" s="2">
        <v>44.71</v>
      </c>
      <c r="I41" s="2">
        <f t="shared" si="9"/>
        <v>0</v>
      </c>
      <c r="J41" s="2">
        <v>1.8</v>
      </c>
      <c r="K41" s="2">
        <f t="shared" si="10"/>
        <v>0</v>
      </c>
      <c r="L41" s="2">
        <v>95.55</v>
      </c>
      <c r="M41" s="2">
        <f t="shared" si="11"/>
        <v>0</v>
      </c>
    </row>
    <row r="42" spans="1:13">
      <c r="A42">
        <v>99384</v>
      </c>
      <c r="B42" s="9" t="s">
        <v>24</v>
      </c>
      <c r="C42" s="9"/>
      <c r="D42" s="9"/>
      <c r="E42">
        <v>0</v>
      </c>
      <c r="F42" s="2">
        <v>55.17</v>
      </c>
      <c r="G42" s="2">
        <f t="shared" si="8"/>
        <v>0</v>
      </c>
      <c r="H42" s="2">
        <v>46.88</v>
      </c>
      <c r="I42" s="2">
        <f t="shared" si="9"/>
        <v>0</v>
      </c>
      <c r="J42" s="2">
        <v>2.16</v>
      </c>
      <c r="K42" s="2">
        <f t="shared" si="10"/>
        <v>0</v>
      </c>
      <c r="L42" s="2">
        <v>104.21</v>
      </c>
      <c r="M42" s="2">
        <f t="shared" si="11"/>
        <v>0</v>
      </c>
    </row>
    <row r="43" spans="1:13">
      <c r="A43">
        <v>99385</v>
      </c>
      <c r="B43" s="9" t="s">
        <v>25</v>
      </c>
      <c r="C43" s="9"/>
      <c r="D43" s="9"/>
      <c r="E43">
        <v>0</v>
      </c>
      <c r="F43" s="2">
        <v>55.17</v>
      </c>
      <c r="G43" s="2">
        <f t="shared" si="8"/>
        <v>0</v>
      </c>
      <c r="H43" s="2">
        <v>46.88</v>
      </c>
      <c r="I43" s="2">
        <f t="shared" si="9"/>
        <v>0</v>
      </c>
      <c r="J43" s="2">
        <v>2.16</v>
      </c>
      <c r="K43" s="2">
        <f t="shared" si="10"/>
        <v>0</v>
      </c>
      <c r="L43" s="2">
        <v>104.21</v>
      </c>
      <c r="M43" s="2">
        <f t="shared" si="11"/>
        <v>0</v>
      </c>
    </row>
    <row r="44" spans="1:13">
      <c r="A44">
        <v>99391</v>
      </c>
      <c r="B44" s="9" t="s">
        <v>17</v>
      </c>
      <c r="C44" s="9"/>
      <c r="D44" s="9"/>
      <c r="E44">
        <v>0</v>
      </c>
      <c r="F44" s="2">
        <v>36.78</v>
      </c>
      <c r="G44" s="2">
        <f t="shared" si="8"/>
        <v>0</v>
      </c>
      <c r="H44" s="2">
        <v>37.14</v>
      </c>
      <c r="I44" s="2">
        <f t="shared" si="9"/>
        <v>0</v>
      </c>
      <c r="J44" s="2">
        <v>1.44</v>
      </c>
      <c r="K44" s="2">
        <f t="shared" si="10"/>
        <v>0</v>
      </c>
      <c r="L44" s="2">
        <v>75.36</v>
      </c>
      <c r="M44" s="2">
        <f t="shared" si="11"/>
        <v>0</v>
      </c>
    </row>
    <row r="45" spans="1:13">
      <c r="A45">
        <v>99392</v>
      </c>
      <c r="B45" s="9" t="s">
        <v>21</v>
      </c>
      <c r="C45" s="9"/>
      <c r="D45" s="9"/>
      <c r="E45">
        <v>0</v>
      </c>
      <c r="F45" s="2">
        <v>42.91</v>
      </c>
      <c r="G45" s="2">
        <f t="shared" si="8"/>
        <v>0</v>
      </c>
      <c r="H45" s="2">
        <v>39.299999999999997</v>
      </c>
      <c r="I45" s="2">
        <f t="shared" si="9"/>
        <v>0</v>
      </c>
      <c r="J45" s="2">
        <v>1.8</v>
      </c>
      <c r="K45" s="2">
        <f t="shared" si="10"/>
        <v>0</v>
      </c>
      <c r="L45" s="2">
        <v>84.01</v>
      </c>
      <c r="M45" s="2">
        <f t="shared" si="11"/>
        <v>0</v>
      </c>
    </row>
    <row r="46" spans="1:13">
      <c r="A46">
        <v>99393</v>
      </c>
      <c r="B46" s="9" t="s">
        <v>20</v>
      </c>
      <c r="C46" s="9"/>
      <c r="D46" s="9"/>
      <c r="E46">
        <v>0</v>
      </c>
      <c r="F46" s="2">
        <v>42.91</v>
      </c>
      <c r="G46" s="2">
        <f t="shared" si="8"/>
        <v>0</v>
      </c>
      <c r="H46" s="2">
        <v>38.94</v>
      </c>
      <c r="I46" s="2">
        <f t="shared" si="9"/>
        <v>0</v>
      </c>
      <c r="J46" s="2">
        <v>1.8</v>
      </c>
      <c r="K46" s="2">
        <f t="shared" si="10"/>
        <v>0</v>
      </c>
      <c r="L46" s="2">
        <v>83.65</v>
      </c>
      <c r="M46" s="2">
        <f t="shared" si="11"/>
        <v>0</v>
      </c>
    </row>
    <row r="47" spans="1:13">
      <c r="A47">
        <v>99394</v>
      </c>
      <c r="B47" s="9" t="s">
        <v>19</v>
      </c>
      <c r="C47" s="9"/>
      <c r="D47" s="9"/>
      <c r="E47">
        <v>0</v>
      </c>
      <c r="F47" s="2">
        <v>49.04</v>
      </c>
      <c r="G47" s="2">
        <f t="shared" si="8"/>
        <v>0</v>
      </c>
      <c r="H47" s="2">
        <v>41.11</v>
      </c>
      <c r="I47" s="2">
        <f t="shared" si="9"/>
        <v>0</v>
      </c>
      <c r="J47" s="2">
        <v>1.8</v>
      </c>
      <c r="K47" s="2">
        <f t="shared" si="10"/>
        <v>0</v>
      </c>
      <c r="L47" s="2">
        <v>91.95</v>
      </c>
      <c r="M47" s="2">
        <f t="shared" si="11"/>
        <v>0</v>
      </c>
    </row>
    <row r="48" spans="1:13">
      <c r="A48">
        <v>99395</v>
      </c>
      <c r="B48" s="9" t="s">
        <v>18</v>
      </c>
      <c r="C48" s="9"/>
      <c r="D48" s="9"/>
      <c r="E48">
        <v>0</v>
      </c>
      <c r="F48" s="2">
        <v>49.04</v>
      </c>
      <c r="G48" s="2">
        <f t="shared" si="8"/>
        <v>0</v>
      </c>
      <c r="H48" s="2">
        <v>41.11</v>
      </c>
      <c r="I48" s="2">
        <f t="shared" si="9"/>
        <v>0</v>
      </c>
      <c r="J48" s="2">
        <v>1.8</v>
      </c>
      <c r="K48" s="2">
        <f t="shared" si="10"/>
        <v>0</v>
      </c>
      <c r="L48" s="2">
        <v>91.95</v>
      </c>
      <c r="M48" s="2">
        <f t="shared" si="11"/>
        <v>0</v>
      </c>
    </row>
    <row r="49" spans="1:13">
      <c r="A49">
        <v>99396</v>
      </c>
      <c r="B49" s="9" t="s">
        <v>26</v>
      </c>
      <c r="C49" s="9"/>
      <c r="D49" s="9"/>
      <c r="E49">
        <v>0</v>
      </c>
      <c r="F49" s="2">
        <v>55.17</v>
      </c>
      <c r="G49" s="2">
        <f t="shared" si="8"/>
        <v>0</v>
      </c>
      <c r="H49" s="2">
        <v>43.27</v>
      </c>
      <c r="I49" s="2">
        <f t="shared" si="9"/>
        <v>0</v>
      </c>
      <c r="J49" s="2">
        <v>2.16</v>
      </c>
      <c r="K49" s="2">
        <f t="shared" si="10"/>
        <v>0</v>
      </c>
      <c r="L49" s="2">
        <v>100.6</v>
      </c>
      <c r="M49" s="2">
        <f t="shared" si="11"/>
        <v>0</v>
      </c>
    </row>
    <row r="50" spans="1:13">
      <c r="A50">
        <v>99397</v>
      </c>
      <c r="B50" s="9" t="s">
        <v>27</v>
      </c>
      <c r="C50" s="9"/>
      <c r="D50" s="9"/>
      <c r="E50">
        <v>0</v>
      </c>
      <c r="F50" s="2">
        <v>61.66</v>
      </c>
      <c r="G50" s="2">
        <f t="shared" si="8"/>
        <v>0</v>
      </c>
      <c r="H50" s="2">
        <v>49.04</v>
      </c>
      <c r="I50" s="2">
        <f t="shared" si="9"/>
        <v>0</v>
      </c>
      <c r="J50" s="2">
        <v>2.16</v>
      </c>
      <c r="K50" s="2">
        <f t="shared" si="10"/>
        <v>0</v>
      </c>
      <c r="L50" s="2">
        <v>112.86</v>
      </c>
      <c r="M50" s="2">
        <f t="shared" si="11"/>
        <v>0</v>
      </c>
    </row>
    <row r="51" spans="1:13">
      <c r="A51" s="10" t="s">
        <v>13</v>
      </c>
      <c r="B51" s="10"/>
      <c r="C51" s="10"/>
      <c r="D51" s="10"/>
      <c r="E51" s="1">
        <f>SUM(E30:E50)</f>
        <v>0</v>
      </c>
      <c r="F51" s="2"/>
      <c r="G51" s="3">
        <f>SUM(G30:G50)</f>
        <v>0</v>
      </c>
      <c r="H51" s="3"/>
      <c r="I51" s="3">
        <f>SUM(I30:I50)</f>
        <v>0</v>
      </c>
      <c r="J51" s="3"/>
      <c r="K51" s="3">
        <f>SUM(K30:K50)</f>
        <v>0</v>
      </c>
      <c r="L51" s="3"/>
      <c r="M51" s="3">
        <f t="shared" si="11"/>
        <v>0</v>
      </c>
    </row>
    <row r="52" spans="1:13">
      <c r="A52" s="9"/>
      <c r="B52" s="9"/>
      <c r="C52" s="9"/>
      <c r="D52" s="9"/>
    </row>
    <row r="53" spans="1:13">
      <c r="B53" s="10" t="s">
        <v>28</v>
      </c>
      <c r="C53" s="9"/>
      <c r="D53" s="9"/>
    </row>
    <row r="54" spans="1:13">
      <c r="A54" s="1" t="s">
        <v>0</v>
      </c>
      <c r="B54" s="10" t="s">
        <v>1</v>
      </c>
      <c r="C54" s="10"/>
      <c r="D54" s="10"/>
      <c r="E54" s="1" t="s">
        <v>14</v>
      </c>
      <c r="F54" s="1" t="s">
        <v>3</v>
      </c>
      <c r="G54" s="1" t="s">
        <v>15</v>
      </c>
      <c r="H54" s="1" t="s">
        <v>5</v>
      </c>
      <c r="I54" s="1" t="s">
        <v>6</v>
      </c>
      <c r="J54" s="1" t="s">
        <v>7</v>
      </c>
      <c r="K54" s="1" t="s">
        <v>8</v>
      </c>
      <c r="L54" s="1" t="s">
        <v>9</v>
      </c>
      <c r="M54" s="1" t="s">
        <v>10</v>
      </c>
    </row>
    <row r="55" spans="1:13">
      <c r="B55" s="11"/>
      <c r="C55" s="11"/>
      <c r="D55" s="11"/>
    </row>
    <row r="56" spans="1:13">
      <c r="A56">
        <v>99201</v>
      </c>
      <c r="B56" s="12" t="s">
        <v>11</v>
      </c>
      <c r="C56" s="12"/>
      <c r="D56" s="12"/>
      <c r="E56">
        <v>0</v>
      </c>
      <c r="F56" s="2">
        <v>16.23</v>
      </c>
      <c r="G56" s="2">
        <f t="shared" ref="G56:G76" si="12">(E56*F56)</f>
        <v>0</v>
      </c>
      <c r="H56" s="2">
        <v>19.829999999999998</v>
      </c>
      <c r="I56" s="2">
        <f>(E56*H56)</f>
        <v>0</v>
      </c>
      <c r="J56" s="2">
        <v>1.08</v>
      </c>
      <c r="K56" s="2">
        <f>(E56*J56)</f>
        <v>0</v>
      </c>
      <c r="L56" s="2">
        <v>37.14</v>
      </c>
      <c r="M56" s="2">
        <f>(G56+I56+K56)</f>
        <v>0</v>
      </c>
    </row>
    <row r="57" spans="1:13">
      <c r="A57">
        <v>99202</v>
      </c>
      <c r="B57" s="9" t="s">
        <v>11</v>
      </c>
      <c r="C57" s="9"/>
      <c r="D57" s="9"/>
      <c r="E57">
        <v>0</v>
      </c>
      <c r="F57" s="2">
        <v>31.73</v>
      </c>
      <c r="G57" s="2">
        <f t="shared" si="12"/>
        <v>0</v>
      </c>
      <c r="H57" s="2">
        <v>30.65</v>
      </c>
      <c r="I57" s="2">
        <f t="shared" ref="I57:I76" si="13">(E57*H57)</f>
        <v>0</v>
      </c>
      <c r="J57" s="2">
        <v>1.8</v>
      </c>
      <c r="K57" s="2">
        <f t="shared" ref="K57:K76" si="14">(E57*J57)</f>
        <v>0</v>
      </c>
      <c r="L57" s="2">
        <v>64.180000000000007</v>
      </c>
      <c r="M57" s="2">
        <f t="shared" ref="M57:M77" si="15">(G57+I57+K57)</f>
        <v>0</v>
      </c>
    </row>
    <row r="58" spans="1:13">
      <c r="A58">
        <v>99203</v>
      </c>
      <c r="B58" s="9" t="s">
        <v>11</v>
      </c>
      <c r="C58" s="9"/>
      <c r="D58" s="9"/>
      <c r="E58">
        <v>0</v>
      </c>
      <c r="F58" s="2">
        <v>48.32</v>
      </c>
      <c r="G58" s="2">
        <f t="shared" si="12"/>
        <v>0</v>
      </c>
      <c r="H58" s="2">
        <v>40.39</v>
      </c>
      <c r="I58" s="2">
        <f t="shared" si="13"/>
        <v>0</v>
      </c>
      <c r="J58" s="2">
        <v>3.24</v>
      </c>
      <c r="K58" s="2">
        <f t="shared" si="14"/>
        <v>0</v>
      </c>
      <c r="L58" s="2">
        <v>91.95</v>
      </c>
      <c r="M58" s="2">
        <f t="shared" si="15"/>
        <v>0</v>
      </c>
    </row>
    <row r="59" spans="1:13">
      <c r="A59">
        <v>99204</v>
      </c>
      <c r="B59" s="9" t="s">
        <v>11</v>
      </c>
      <c r="C59" s="9"/>
      <c r="D59" s="9"/>
      <c r="E59">
        <v>0</v>
      </c>
      <c r="F59" s="2">
        <v>82.94</v>
      </c>
      <c r="G59" s="2">
        <f t="shared" si="12"/>
        <v>0</v>
      </c>
      <c r="H59" s="2">
        <v>54.45</v>
      </c>
      <c r="I59" s="2">
        <f t="shared" si="13"/>
        <v>0</v>
      </c>
      <c r="J59" s="2">
        <v>4.33</v>
      </c>
      <c r="K59" s="2">
        <f t="shared" si="14"/>
        <v>0</v>
      </c>
      <c r="L59" s="2">
        <v>141.72</v>
      </c>
      <c r="M59" s="2">
        <f t="shared" si="15"/>
        <v>0</v>
      </c>
    </row>
    <row r="60" spans="1:13">
      <c r="A60">
        <v>99211</v>
      </c>
      <c r="B60" s="9" t="s">
        <v>12</v>
      </c>
      <c r="C60" s="9"/>
      <c r="D60" s="9"/>
      <c r="E60">
        <v>0</v>
      </c>
      <c r="F60" s="2">
        <v>6.13</v>
      </c>
      <c r="G60" s="2">
        <f t="shared" si="12"/>
        <v>0</v>
      </c>
      <c r="H60" s="2">
        <v>11.54</v>
      </c>
      <c r="I60" s="2">
        <f t="shared" si="13"/>
        <v>0</v>
      </c>
      <c r="J60" s="2">
        <v>0.36</v>
      </c>
      <c r="K60" s="2">
        <f t="shared" si="14"/>
        <v>0</v>
      </c>
      <c r="L60" s="2">
        <v>18.03</v>
      </c>
      <c r="M60" s="2">
        <f t="shared" si="15"/>
        <v>0</v>
      </c>
    </row>
    <row r="61" spans="1:13">
      <c r="A61">
        <v>99212</v>
      </c>
      <c r="B61" s="9" t="s">
        <v>12</v>
      </c>
      <c r="C61" s="9"/>
      <c r="D61" s="9"/>
      <c r="E61">
        <v>0</v>
      </c>
      <c r="F61" s="2">
        <v>16.23</v>
      </c>
      <c r="G61" s="2">
        <f t="shared" si="12"/>
        <v>0</v>
      </c>
      <c r="H61" s="2">
        <v>19.829999999999998</v>
      </c>
      <c r="I61" s="2">
        <f t="shared" si="13"/>
        <v>0</v>
      </c>
      <c r="J61" s="2">
        <v>1.08</v>
      </c>
      <c r="K61" s="2">
        <f t="shared" si="14"/>
        <v>0</v>
      </c>
      <c r="L61" s="2">
        <v>37.11</v>
      </c>
      <c r="M61" s="2">
        <f t="shared" si="15"/>
        <v>0</v>
      </c>
    </row>
    <row r="62" spans="1:13">
      <c r="A62">
        <v>99213</v>
      </c>
      <c r="B62" s="9" t="s">
        <v>12</v>
      </c>
      <c r="C62" s="9"/>
      <c r="D62" s="9"/>
      <c r="E62">
        <v>0</v>
      </c>
      <c r="F62" s="2">
        <v>33.17</v>
      </c>
      <c r="G62" s="2">
        <f t="shared" si="12"/>
        <v>0</v>
      </c>
      <c r="H62" s="2">
        <v>27.77</v>
      </c>
      <c r="I62" s="2">
        <f t="shared" si="13"/>
        <v>0</v>
      </c>
      <c r="J62" s="2">
        <v>1.08</v>
      </c>
      <c r="K62" s="2">
        <f t="shared" si="14"/>
        <v>0</v>
      </c>
      <c r="L62" s="2">
        <v>62.02</v>
      </c>
      <c r="M62" s="2">
        <f t="shared" si="15"/>
        <v>0</v>
      </c>
    </row>
    <row r="63" spans="1:13">
      <c r="A63">
        <v>99214</v>
      </c>
      <c r="B63" s="9" t="s">
        <v>12</v>
      </c>
      <c r="C63" s="9"/>
      <c r="D63" s="9"/>
      <c r="E63">
        <v>0</v>
      </c>
      <c r="F63" s="2">
        <v>51.2</v>
      </c>
      <c r="G63" s="2">
        <f t="shared" si="12"/>
        <v>0</v>
      </c>
      <c r="H63" s="2">
        <v>39.67</v>
      </c>
      <c r="I63" s="2">
        <f t="shared" si="13"/>
        <v>0</v>
      </c>
      <c r="J63" s="2">
        <v>1.8</v>
      </c>
      <c r="K63" s="2">
        <f t="shared" si="14"/>
        <v>0</v>
      </c>
      <c r="L63" s="2">
        <v>92.67</v>
      </c>
      <c r="M63" s="2">
        <f t="shared" si="15"/>
        <v>0</v>
      </c>
    </row>
    <row r="64" spans="1:13">
      <c r="A64">
        <v>99215</v>
      </c>
      <c r="B64" s="9" t="s">
        <v>12</v>
      </c>
      <c r="C64" s="9"/>
      <c r="D64" s="9"/>
      <c r="E64">
        <v>0</v>
      </c>
      <c r="F64" s="2">
        <v>72.12</v>
      </c>
      <c r="G64" s="2">
        <f t="shared" si="12"/>
        <v>0</v>
      </c>
      <c r="H64" s="2">
        <v>50.48</v>
      </c>
      <c r="I64" s="2">
        <f t="shared" si="13"/>
        <v>0</v>
      </c>
      <c r="J64" s="2">
        <v>2.88</v>
      </c>
      <c r="K64" s="2">
        <f t="shared" si="14"/>
        <v>0</v>
      </c>
      <c r="L64" s="2">
        <v>125.48</v>
      </c>
      <c r="M64" s="2">
        <f t="shared" si="15"/>
        <v>0</v>
      </c>
    </row>
    <row r="65" spans="1:13">
      <c r="A65">
        <v>99381</v>
      </c>
      <c r="B65" s="9" t="s">
        <v>16</v>
      </c>
      <c r="C65" s="9"/>
      <c r="D65" s="9"/>
      <c r="E65">
        <v>0</v>
      </c>
      <c r="F65" s="2">
        <v>42.91</v>
      </c>
      <c r="G65" s="2">
        <f t="shared" si="12"/>
        <v>0</v>
      </c>
      <c r="H65" s="2">
        <v>42.91</v>
      </c>
      <c r="I65" s="2">
        <f t="shared" si="13"/>
        <v>0</v>
      </c>
      <c r="J65" s="2">
        <v>1.8</v>
      </c>
      <c r="K65" s="2">
        <f t="shared" si="14"/>
        <v>0</v>
      </c>
      <c r="L65" s="2">
        <v>87.62</v>
      </c>
      <c r="M65" s="2">
        <f t="shared" si="15"/>
        <v>0</v>
      </c>
    </row>
    <row r="66" spans="1:13">
      <c r="A66">
        <v>99382</v>
      </c>
      <c r="B66" s="9" t="s">
        <v>22</v>
      </c>
      <c r="C66" s="9"/>
      <c r="D66" s="9"/>
      <c r="E66">
        <v>0</v>
      </c>
      <c r="F66" s="2">
        <v>49.04</v>
      </c>
      <c r="G66" s="2">
        <f t="shared" si="12"/>
        <v>0</v>
      </c>
      <c r="H66" s="2">
        <v>45.07</v>
      </c>
      <c r="I66" s="2">
        <f t="shared" si="13"/>
        <v>0</v>
      </c>
      <c r="J66" s="2">
        <v>1.8</v>
      </c>
      <c r="K66" s="2">
        <f t="shared" si="14"/>
        <v>0</v>
      </c>
      <c r="L66" s="2">
        <v>95.91</v>
      </c>
      <c r="M66" s="2">
        <f t="shared" si="15"/>
        <v>0</v>
      </c>
    </row>
    <row r="67" spans="1:13">
      <c r="A67">
        <v>99383</v>
      </c>
      <c r="B67" s="9" t="s">
        <v>23</v>
      </c>
      <c r="C67" s="9"/>
      <c r="D67" s="9"/>
      <c r="E67">
        <v>0</v>
      </c>
      <c r="F67" s="2">
        <v>49.04</v>
      </c>
      <c r="G67" s="2">
        <f t="shared" si="12"/>
        <v>0</v>
      </c>
      <c r="H67" s="2">
        <v>44.71</v>
      </c>
      <c r="I67" s="2">
        <f t="shared" si="13"/>
        <v>0</v>
      </c>
      <c r="J67" s="2">
        <v>1.8</v>
      </c>
      <c r="K67" s="2">
        <f t="shared" si="14"/>
        <v>0</v>
      </c>
      <c r="L67" s="2">
        <v>95.55</v>
      </c>
      <c r="M67" s="2">
        <f t="shared" si="15"/>
        <v>0</v>
      </c>
    </row>
    <row r="68" spans="1:13">
      <c r="A68">
        <v>99384</v>
      </c>
      <c r="B68" s="9" t="s">
        <v>24</v>
      </c>
      <c r="C68" s="9"/>
      <c r="D68" s="9"/>
      <c r="E68">
        <v>0</v>
      </c>
      <c r="F68" s="2">
        <v>55.17</v>
      </c>
      <c r="G68" s="2">
        <f t="shared" si="12"/>
        <v>0</v>
      </c>
      <c r="H68" s="2">
        <v>46.88</v>
      </c>
      <c r="I68" s="2">
        <f t="shared" si="13"/>
        <v>0</v>
      </c>
      <c r="J68" s="2">
        <v>2.16</v>
      </c>
      <c r="K68" s="2">
        <f t="shared" si="14"/>
        <v>0</v>
      </c>
      <c r="L68" s="2">
        <v>104.21</v>
      </c>
      <c r="M68" s="2">
        <f t="shared" si="15"/>
        <v>0</v>
      </c>
    </row>
    <row r="69" spans="1:13">
      <c r="A69">
        <v>99385</v>
      </c>
      <c r="B69" s="9" t="s">
        <v>25</v>
      </c>
      <c r="C69" s="9"/>
      <c r="D69" s="9"/>
      <c r="E69">
        <v>0</v>
      </c>
      <c r="F69" s="2">
        <v>55.17</v>
      </c>
      <c r="G69" s="2">
        <f t="shared" si="12"/>
        <v>0</v>
      </c>
      <c r="H69" s="2">
        <v>46.88</v>
      </c>
      <c r="I69" s="2">
        <f t="shared" si="13"/>
        <v>0</v>
      </c>
      <c r="J69" s="2">
        <v>2.16</v>
      </c>
      <c r="K69" s="2">
        <f t="shared" si="14"/>
        <v>0</v>
      </c>
      <c r="L69" s="2">
        <v>104.21</v>
      </c>
      <c r="M69" s="2">
        <f t="shared" si="15"/>
        <v>0</v>
      </c>
    </row>
    <row r="70" spans="1:13">
      <c r="A70">
        <v>99391</v>
      </c>
      <c r="B70" s="9" t="s">
        <v>17</v>
      </c>
      <c r="C70" s="9"/>
      <c r="D70" s="9"/>
      <c r="E70">
        <v>0</v>
      </c>
      <c r="F70" s="2">
        <v>36.78</v>
      </c>
      <c r="G70" s="2">
        <f t="shared" si="12"/>
        <v>0</v>
      </c>
      <c r="H70" s="2">
        <v>37.14</v>
      </c>
      <c r="I70" s="2">
        <f t="shared" si="13"/>
        <v>0</v>
      </c>
      <c r="J70" s="2">
        <v>1.44</v>
      </c>
      <c r="K70" s="2">
        <f t="shared" si="14"/>
        <v>0</v>
      </c>
      <c r="L70" s="2">
        <v>75.36</v>
      </c>
      <c r="M70" s="2">
        <f t="shared" si="15"/>
        <v>0</v>
      </c>
    </row>
    <row r="71" spans="1:13">
      <c r="A71">
        <v>99392</v>
      </c>
      <c r="B71" s="9" t="s">
        <v>21</v>
      </c>
      <c r="C71" s="9"/>
      <c r="D71" s="9"/>
      <c r="E71">
        <v>0</v>
      </c>
      <c r="F71" s="2">
        <v>42.91</v>
      </c>
      <c r="G71" s="2">
        <f t="shared" si="12"/>
        <v>0</v>
      </c>
      <c r="H71" s="2">
        <v>39.299999999999997</v>
      </c>
      <c r="I71" s="2">
        <f t="shared" si="13"/>
        <v>0</v>
      </c>
      <c r="J71" s="2">
        <v>1.8</v>
      </c>
      <c r="K71" s="2">
        <f t="shared" si="14"/>
        <v>0</v>
      </c>
      <c r="L71" s="2">
        <v>84.01</v>
      </c>
      <c r="M71" s="2">
        <f t="shared" si="15"/>
        <v>0</v>
      </c>
    </row>
    <row r="72" spans="1:13">
      <c r="A72">
        <v>99393</v>
      </c>
      <c r="B72" s="9" t="s">
        <v>20</v>
      </c>
      <c r="C72" s="9"/>
      <c r="D72" s="9"/>
      <c r="E72">
        <v>0</v>
      </c>
      <c r="F72" s="2">
        <v>42.91</v>
      </c>
      <c r="G72" s="2">
        <f t="shared" si="12"/>
        <v>0</v>
      </c>
      <c r="H72" s="2">
        <v>38.94</v>
      </c>
      <c r="I72" s="2">
        <f t="shared" si="13"/>
        <v>0</v>
      </c>
      <c r="J72" s="2">
        <v>1.8</v>
      </c>
      <c r="K72" s="2">
        <f t="shared" si="14"/>
        <v>0</v>
      </c>
      <c r="L72" s="2">
        <v>83.65</v>
      </c>
      <c r="M72" s="2">
        <f t="shared" si="15"/>
        <v>0</v>
      </c>
    </row>
    <row r="73" spans="1:13">
      <c r="A73">
        <v>99394</v>
      </c>
      <c r="B73" s="9" t="s">
        <v>19</v>
      </c>
      <c r="C73" s="9"/>
      <c r="D73" s="9"/>
      <c r="E73">
        <v>0</v>
      </c>
      <c r="F73" s="2">
        <v>49.04</v>
      </c>
      <c r="G73" s="2">
        <f t="shared" si="12"/>
        <v>0</v>
      </c>
      <c r="H73" s="2">
        <v>41.11</v>
      </c>
      <c r="I73" s="2">
        <f t="shared" si="13"/>
        <v>0</v>
      </c>
      <c r="J73" s="2">
        <v>1.8</v>
      </c>
      <c r="K73" s="2">
        <f t="shared" si="14"/>
        <v>0</v>
      </c>
      <c r="L73" s="2">
        <v>91.95</v>
      </c>
      <c r="M73" s="2">
        <f t="shared" si="15"/>
        <v>0</v>
      </c>
    </row>
    <row r="74" spans="1:13">
      <c r="A74">
        <v>99395</v>
      </c>
      <c r="B74" s="9" t="s">
        <v>18</v>
      </c>
      <c r="C74" s="9"/>
      <c r="D74" s="9"/>
      <c r="E74">
        <v>0</v>
      </c>
      <c r="F74" s="2">
        <v>49.04</v>
      </c>
      <c r="G74" s="2">
        <f t="shared" si="12"/>
        <v>0</v>
      </c>
      <c r="H74" s="2">
        <v>41.11</v>
      </c>
      <c r="I74" s="2">
        <f t="shared" si="13"/>
        <v>0</v>
      </c>
      <c r="J74" s="2">
        <v>1.8</v>
      </c>
      <c r="K74" s="2">
        <f t="shared" si="14"/>
        <v>0</v>
      </c>
      <c r="L74" s="2">
        <v>91.95</v>
      </c>
      <c r="M74" s="2">
        <f t="shared" si="15"/>
        <v>0</v>
      </c>
    </row>
    <row r="75" spans="1:13">
      <c r="A75">
        <v>99396</v>
      </c>
      <c r="B75" s="9" t="s">
        <v>26</v>
      </c>
      <c r="C75" s="9"/>
      <c r="D75" s="9"/>
      <c r="E75">
        <v>0</v>
      </c>
      <c r="F75" s="2">
        <v>55.17</v>
      </c>
      <c r="G75" s="2">
        <f t="shared" si="12"/>
        <v>0</v>
      </c>
      <c r="H75" s="2">
        <v>43.27</v>
      </c>
      <c r="I75" s="2">
        <f t="shared" si="13"/>
        <v>0</v>
      </c>
      <c r="J75" s="2">
        <v>2.16</v>
      </c>
      <c r="K75" s="2">
        <f t="shared" si="14"/>
        <v>0</v>
      </c>
      <c r="L75" s="2">
        <v>100.6</v>
      </c>
      <c r="M75" s="2">
        <f t="shared" si="15"/>
        <v>0</v>
      </c>
    </row>
    <row r="76" spans="1:13">
      <c r="A76">
        <v>99397</v>
      </c>
      <c r="B76" s="9" t="s">
        <v>27</v>
      </c>
      <c r="C76" s="9"/>
      <c r="D76" s="9"/>
      <c r="E76">
        <v>0</v>
      </c>
      <c r="F76" s="2">
        <v>61.66</v>
      </c>
      <c r="G76" s="2">
        <f t="shared" si="12"/>
        <v>0</v>
      </c>
      <c r="H76" s="2">
        <v>49.04</v>
      </c>
      <c r="I76" s="2">
        <f t="shared" si="13"/>
        <v>0</v>
      </c>
      <c r="J76" s="2">
        <v>2.16</v>
      </c>
      <c r="K76" s="2">
        <f t="shared" si="14"/>
        <v>0</v>
      </c>
      <c r="L76" s="2">
        <v>112.86</v>
      </c>
      <c r="M76" s="2">
        <f t="shared" si="15"/>
        <v>0</v>
      </c>
    </row>
    <row r="77" spans="1:13">
      <c r="A77" s="10" t="s">
        <v>13</v>
      </c>
      <c r="B77" s="10"/>
      <c r="C77" s="10"/>
      <c r="D77" s="10"/>
      <c r="E77" s="1">
        <f>SUM(E56:E76)</f>
        <v>0</v>
      </c>
      <c r="F77" s="2"/>
      <c r="G77" s="3">
        <f>SUM(G56:G76)</f>
        <v>0</v>
      </c>
      <c r="H77" s="3"/>
      <c r="I77" s="3">
        <f>SUM(I56:I76)</f>
        <v>0</v>
      </c>
      <c r="J77" s="3"/>
      <c r="K77" s="3">
        <f>SUM(K56:K76)</f>
        <v>0</v>
      </c>
      <c r="L77" s="3"/>
      <c r="M77" s="3">
        <f t="shared" si="15"/>
        <v>0</v>
      </c>
    </row>
    <row r="78" spans="1:13">
      <c r="A78" s="9"/>
      <c r="B78" s="9"/>
      <c r="C78" s="9"/>
      <c r="D78" s="9"/>
    </row>
    <row r="79" spans="1:13">
      <c r="B79" s="10" t="s">
        <v>28</v>
      </c>
      <c r="C79" s="9"/>
      <c r="D79" s="9"/>
    </row>
    <row r="80" spans="1:13">
      <c r="A80" s="1" t="s">
        <v>0</v>
      </c>
      <c r="B80" s="10" t="s">
        <v>1</v>
      </c>
      <c r="C80" s="10"/>
      <c r="D80" s="10"/>
      <c r="E80" s="1" t="s">
        <v>14</v>
      </c>
      <c r="F80" s="1" t="s">
        <v>3</v>
      </c>
      <c r="G80" s="1" t="s">
        <v>15</v>
      </c>
      <c r="H80" s="1" t="s">
        <v>5</v>
      </c>
      <c r="I80" s="1" t="s">
        <v>6</v>
      </c>
      <c r="J80" s="1" t="s">
        <v>7</v>
      </c>
      <c r="K80" s="1" t="s">
        <v>8</v>
      </c>
      <c r="L80" s="1" t="s">
        <v>9</v>
      </c>
      <c r="M80" s="1" t="s">
        <v>10</v>
      </c>
    </row>
    <row r="81" spans="1:13">
      <c r="B81" s="11"/>
      <c r="C81" s="11"/>
      <c r="D81" s="11"/>
    </row>
    <row r="82" spans="1:13">
      <c r="A82">
        <v>99201</v>
      </c>
      <c r="B82" s="12" t="s">
        <v>11</v>
      </c>
      <c r="C82" s="12"/>
      <c r="D82" s="12"/>
      <c r="E82">
        <v>0</v>
      </c>
      <c r="F82" s="2">
        <v>16.23</v>
      </c>
      <c r="G82" s="2">
        <f t="shared" ref="G82:G102" si="16">(E82*F82)</f>
        <v>0</v>
      </c>
      <c r="H82" s="2">
        <v>19.829999999999998</v>
      </c>
      <c r="I82" s="2">
        <f>(E82*H82)</f>
        <v>0</v>
      </c>
      <c r="J82" s="2">
        <v>1.08</v>
      </c>
      <c r="K82" s="2">
        <f>(E82*J82)</f>
        <v>0</v>
      </c>
      <c r="L82" s="2">
        <v>37.14</v>
      </c>
      <c r="M82" s="2">
        <f>(G82+I82+K82)</f>
        <v>0</v>
      </c>
    </row>
    <row r="83" spans="1:13">
      <c r="A83">
        <v>99202</v>
      </c>
      <c r="B83" s="9" t="s">
        <v>11</v>
      </c>
      <c r="C83" s="9"/>
      <c r="D83" s="9"/>
      <c r="E83">
        <v>0</v>
      </c>
      <c r="F83" s="2">
        <v>31.73</v>
      </c>
      <c r="G83" s="2">
        <f t="shared" si="16"/>
        <v>0</v>
      </c>
      <c r="H83" s="2">
        <v>30.65</v>
      </c>
      <c r="I83" s="2">
        <f t="shared" ref="I83:I102" si="17">(E83*H83)</f>
        <v>0</v>
      </c>
      <c r="J83" s="2">
        <v>1.8</v>
      </c>
      <c r="K83" s="2">
        <f t="shared" ref="K83:K102" si="18">(E83*J83)</f>
        <v>0</v>
      </c>
      <c r="L83" s="2">
        <v>64.180000000000007</v>
      </c>
      <c r="M83" s="2">
        <f t="shared" ref="M83:M103" si="19">(G83+I83+K83)</f>
        <v>0</v>
      </c>
    </row>
    <row r="84" spans="1:13">
      <c r="A84">
        <v>99203</v>
      </c>
      <c r="B84" s="9" t="s">
        <v>11</v>
      </c>
      <c r="C84" s="9"/>
      <c r="D84" s="9"/>
      <c r="E84">
        <v>0</v>
      </c>
      <c r="F84" s="2">
        <v>48.32</v>
      </c>
      <c r="G84" s="2">
        <f t="shared" si="16"/>
        <v>0</v>
      </c>
      <c r="H84" s="2">
        <v>40.39</v>
      </c>
      <c r="I84" s="2">
        <f t="shared" si="17"/>
        <v>0</v>
      </c>
      <c r="J84" s="2">
        <v>3.24</v>
      </c>
      <c r="K84" s="2">
        <f t="shared" si="18"/>
        <v>0</v>
      </c>
      <c r="L84" s="2">
        <v>91.95</v>
      </c>
      <c r="M84" s="2">
        <f t="shared" si="19"/>
        <v>0</v>
      </c>
    </row>
    <row r="85" spans="1:13">
      <c r="A85">
        <v>99204</v>
      </c>
      <c r="B85" s="9" t="s">
        <v>11</v>
      </c>
      <c r="C85" s="9"/>
      <c r="D85" s="9"/>
      <c r="E85">
        <v>0</v>
      </c>
      <c r="F85" s="2">
        <v>82.94</v>
      </c>
      <c r="G85" s="2">
        <f t="shared" si="16"/>
        <v>0</v>
      </c>
      <c r="H85" s="2">
        <v>54.45</v>
      </c>
      <c r="I85" s="2">
        <f t="shared" si="17"/>
        <v>0</v>
      </c>
      <c r="J85" s="2">
        <v>4.33</v>
      </c>
      <c r="K85" s="2">
        <f t="shared" si="18"/>
        <v>0</v>
      </c>
      <c r="L85" s="2">
        <v>141.72</v>
      </c>
      <c r="M85" s="2">
        <f t="shared" si="19"/>
        <v>0</v>
      </c>
    </row>
    <row r="86" spans="1:13">
      <c r="A86">
        <v>99211</v>
      </c>
      <c r="B86" s="9" t="s">
        <v>12</v>
      </c>
      <c r="C86" s="9"/>
      <c r="D86" s="9"/>
      <c r="E86">
        <v>0</v>
      </c>
      <c r="F86" s="2">
        <v>6.13</v>
      </c>
      <c r="G86" s="2">
        <f t="shared" si="16"/>
        <v>0</v>
      </c>
      <c r="H86" s="2">
        <v>11.54</v>
      </c>
      <c r="I86" s="2">
        <f t="shared" si="17"/>
        <v>0</v>
      </c>
      <c r="J86" s="2">
        <v>0.36</v>
      </c>
      <c r="K86" s="2">
        <f t="shared" si="18"/>
        <v>0</v>
      </c>
      <c r="L86" s="2">
        <v>18.03</v>
      </c>
      <c r="M86" s="2">
        <f t="shared" si="19"/>
        <v>0</v>
      </c>
    </row>
    <row r="87" spans="1:13">
      <c r="A87">
        <v>99212</v>
      </c>
      <c r="B87" s="9" t="s">
        <v>12</v>
      </c>
      <c r="C87" s="9"/>
      <c r="D87" s="9"/>
      <c r="E87">
        <v>0</v>
      </c>
      <c r="F87" s="2">
        <v>16.23</v>
      </c>
      <c r="G87" s="2">
        <f t="shared" si="16"/>
        <v>0</v>
      </c>
      <c r="H87" s="2">
        <v>19.829999999999998</v>
      </c>
      <c r="I87" s="2">
        <f t="shared" si="17"/>
        <v>0</v>
      </c>
      <c r="J87" s="2">
        <v>1.08</v>
      </c>
      <c r="K87" s="2">
        <f t="shared" si="18"/>
        <v>0</v>
      </c>
      <c r="L87" s="2">
        <v>37.11</v>
      </c>
      <c r="M87" s="2">
        <f t="shared" si="19"/>
        <v>0</v>
      </c>
    </row>
    <row r="88" spans="1:13">
      <c r="A88">
        <v>99213</v>
      </c>
      <c r="B88" s="9" t="s">
        <v>12</v>
      </c>
      <c r="C88" s="9"/>
      <c r="D88" s="9"/>
      <c r="E88">
        <v>0</v>
      </c>
      <c r="F88" s="2">
        <v>33.17</v>
      </c>
      <c r="G88" s="2">
        <f t="shared" si="16"/>
        <v>0</v>
      </c>
      <c r="H88" s="2">
        <v>27.77</v>
      </c>
      <c r="I88" s="2">
        <f t="shared" si="17"/>
        <v>0</v>
      </c>
      <c r="J88" s="2">
        <v>1.08</v>
      </c>
      <c r="K88" s="2">
        <f t="shared" si="18"/>
        <v>0</v>
      </c>
      <c r="L88" s="2">
        <v>62.02</v>
      </c>
      <c r="M88" s="2">
        <f t="shared" si="19"/>
        <v>0</v>
      </c>
    </row>
    <row r="89" spans="1:13">
      <c r="A89">
        <v>99214</v>
      </c>
      <c r="B89" s="9" t="s">
        <v>12</v>
      </c>
      <c r="C89" s="9"/>
      <c r="D89" s="9"/>
      <c r="E89">
        <v>0</v>
      </c>
      <c r="F89" s="2">
        <v>51.2</v>
      </c>
      <c r="G89" s="2">
        <f t="shared" si="16"/>
        <v>0</v>
      </c>
      <c r="H89" s="2">
        <v>39.67</v>
      </c>
      <c r="I89" s="2">
        <f t="shared" si="17"/>
        <v>0</v>
      </c>
      <c r="J89" s="2">
        <v>1.8</v>
      </c>
      <c r="K89" s="2">
        <f t="shared" si="18"/>
        <v>0</v>
      </c>
      <c r="L89" s="2">
        <v>92.67</v>
      </c>
      <c r="M89" s="2">
        <f t="shared" si="19"/>
        <v>0</v>
      </c>
    </row>
    <row r="90" spans="1:13">
      <c r="A90">
        <v>99215</v>
      </c>
      <c r="B90" s="9" t="s">
        <v>12</v>
      </c>
      <c r="C90" s="9"/>
      <c r="D90" s="9"/>
      <c r="E90">
        <v>0</v>
      </c>
      <c r="F90" s="2">
        <v>72.12</v>
      </c>
      <c r="G90" s="2">
        <f t="shared" si="16"/>
        <v>0</v>
      </c>
      <c r="H90" s="2">
        <v>50.48</v>
      </c>
      <c r="I90" s="2">
        <f t="shared" si="17"/>
        <v>0</v>
      </c>
      <c r="J90" s="2">
        <v>2.88</v>
      </c>
      <c r="K90" s="2">
        <f t="shared" si="18"/>
        <v>0</v>
      </c>
      <c r="L90" s="2">
        <v>125.48</v>
      </c>
      <c r="M90" s="2">
        <f t="shared" si="19"/>
        <v>0</v>
      </c>
    </row>
    <row r="91" spans="1:13">
      <c r="A91">
        <v>99381</v>
      </c>
      <c r="B91" s="9" t="s">
        <v>16</v>
      </c>
      <c r="C91" s="9"/>
      <c r="D91" s="9"/>
      <c r="E91">
        <v>0</v>
      </c>
      <c r="F91" s="2">
        <v>42.91</v>
      </c>
      <c r="G91" s="2">
        <f t="shared" si="16"/>
        <v>0</v>
      </c>
      <c r="H91" s="2">
        <v>42.91</v>
      </c>
      <c r="I91" s="2">
        <f t="shared" si="17"/>
        <v>0</v>
      </c>
      <c r="J91" s="2">
        <v>1.8</v>
      </c>
      <c r="K91" s="2">
        <f t="shared" si="18"/>
        <v>0</v>
      </c>
      <c r="L91" s="2">
        <v>87.62</v>
      </c>
      <c r="M91" s="2">
        <f t="shared" si="19"/>
        <v>0</v>
      </c>
    </row>
    <row r="92" spans="1:13">
      <c r="A92">
        <v>99382</v>
      </c>
      <c r="B92" s="9" t="s">
        <v>22</v>
      </c>
      <c r="C92" s="9"/>
      <c r="D92" s="9"/>
      <c r="E92">
        <v>0</v>
      </c>
      <c r="F92" s="2">
        <v>49.04</v>
      </c>
      <c r="G92" s="2">
        <f t="shared" si="16"/>
        <v>0</v>
      </c>
      <c r="H92" s="2">
        <v>45.07</v>
      </c>
      <c r="I92" s="2">
        <f t="shared" si="17"/>
        <v>0</v>
      </c>
      <c r="J92" s="2">
        <v>1.8</v>
      </c>
      <c r="K92" s="2">
        <f t="shared" si="18"/>
        <v>0</v>
      </c>
      <c r="L92" s="2">
        <v>95.91</v>
      </c>
      <c r="M92" s="2">
        <f t="shared" si="19"/>
        <v>0</v>
      </c>
    </row>
    <row r="93" spans="1:13">
      <c r="A93">
        <v>99383</v>
      </c>
      <c r="B93" s="9" t="s">
        <v>23</v>
      </c>
      <c r="C93" s="9"/>
      <c r="D93" s="9"/>
      <c r="E93">
        <v>0</v>
      </c>
      <c r="F93" s="2">
        <v>49.04</v>
      </c>
      <c r="G93" s="2">
        <f t="shared" si="16"/>
        <v>0</v>
      </c>
      <c r="H93" s="2">
        <v>44.71</v>
      </c>
      <c r="I93" s="2">
        <f t="shared" si="17"/>
        <v>0</v>
      </c>
      <c r="J93" s="2">
        <v>1.8</v>
      </c>
      <c r="K93" s="2">
        <f t="shared" si="18"/>
        <v>0</v>
      </c>
      <c r="L93" s="2">
        <v>95.55</v>
      </c>
      <c r="M93" s="2">
        <f t="shared" si="19"/>
        <v>0</v>
      </c>
    </row>
    <row r="94" spans="1:13">
      <c r="A94">
        <v>99384</v>
      </c>
      <c r="B94" s="9" t="s">
        <v>24</v>
      </c>
      <c r="C94" s="9"/>
      <c r="D94" s="9"/>
      <c r="E94">
        <v>0</v>
      </c>
      <c r="F94" s="2">
        <v>55.17</v>
      </c>
      <c r="G94" s="2">
        <f t="shared" si="16"/>
        <v>0</v>
      </c>
      <c r="H94" s="2">
        <v>46.88</v>
      </c>
      <c r="I94" s="2">
        <f t="shared" si="17"/>
        <v>0</v>
      </c>
      <c r="J94" s="2">
        <v>2.16</v>
      </c>
      <c r="K94" s="2">
        <f t="shared" si="18"/>
        <v>0</v>
      </c>
      <c r="L94" s="2">
        <v>104.21</v>
      </c>
      <c r="M94" s="2">
        <f t="shared" si="19"/>
        <v>0</v>
      </c>
    </row>
    <row r="95" spans="1:13">
      <c r="A95">
        <v>99385</v>
      </c>
      <c r="B95" s="9" t="s">
        <v>25</v>
      </c>
      <c r="C95" s="9"/>
      <c r="D95" s="9"/>
      <c r="E95">
        <v>0</v>
      </c>
      <c r="F95" s="2">
        <v>55.17</v>
      </c>
      <c r="G95" s="2">
        <f t="shared" si="16"/>
        <v>0</v>
      </c>
      <c r="H95" s="2">
        <v>46.88</v>
      </c>
      <c r="I95" s="2">
        <f t="shared" si="17"/>
        <v>0</v>
      </c>
      <c r="J95" s="2">
        <v>2.16</v>
      </c>
      <c r="K95" s="2">
        <f t="shared" si="18"/>
        <v>0</v>
      </c>
      <c r="L95" s="2">
        <v>104.21</v>
      </c>
      <c r="M95" s="2">
        <f t="shared" si="19"/>
        <v>0</v>
      </c>
    </row>
    <row r="96" spans="1:13">
      <c r="A96">
        <v>99391</v>
      </c>
      <c r="B96" s="9" t="s">
        <v>17</v>
      </c>
      <c r="C96" s="9"/>
      <c r="D96" s="9"/>
      <c r="E96">
        <v>0</v>
      </c>
      <c r="F96" s="2">
        <v>36.78</v>
      </c>
      <c r="G96" s="2">
        <f t="shared" si="16"/>
        <v>0</v>
      </c>
      <c r="H96" s="2">
        <v>37.14</v>
      </c>
      <c r="I96" s="2">
        <f t="shared" si="17"/>
        <v>0</v>
      </c>
      <c r="J96" s="2">
        <v>1.44</v>
      </c>
      <c r="K96" s="2">
        <f t="shared" si="18"/>
        <v>0</v>
      </c>
      <c r="L96" s="2">
        <v>75.36</v>
      </c>
      <c r="M96" s="2">
        <f t="shared" si="19"/>
        <v>0</v>
      </c>
    </row>
    <row r="97" spans="1:13">
      <c r="A97">
        <v>99392</v>
      </c>
      <c r="B97" s="9" t="s">
        <v>21</v>
      </c>
      <c r="C97" s="9"/>
      <c r="D97" s="9"/>
      <c r="E97">
        <v>0</v>
      </c>
      <c r="F97" s="2">
        <v>42.91</v>
      </c>
      <c r="G97" s="2">
        <f t="shared" si="16"/>
        <v>0</v>
      </c>
      <c r="H97" s="2">
        <v>39.299999999999997</v>
      </c>
      <c r="I97" s="2">
        <f t="shared" si="17"/>
        <v>0</v>
      </c>
      <c r="J97" s="2">
        <v>1.8</v>
      </c>
      <c r="K97" s="2">
        <f t="shared" si="18"/>
        <v>0</v>
      </c>
      <c r="L97" s="2">
        <v>84.01</v>
      </c>
      <c r="M97" s="2">
        <f t="shared" si="19"/>
        <v>0</v>
      </c>
    </row>
    <row r="98" spans="1:13">
      <c r="A98">
        <v>99393</v>
      </c>
      <c r="B98" s="9" t="s">
        <v>20</v>
      </c>
      <c r="C98" s="9"/>
      <c r="D98" s="9"/>
      <c r="E98">
        <v>0</v>
      </c>
      <c r="F98" s="2">
        <v>42.91</v>
      </c>
      <c r="G98" s="2">
        <f t="shared" si="16"/>
        <v>0</v>
      </c>
      <c r="H98" s="2">
        <v>38.94</v>
      </c>
      <c r="I98" s="2">
        <f t="shared" si="17"/>
        <v>0</v>
      </c>
      <c r="J98" s="2">
        <v>1.8</v>
      </c>
      <c r="K98" s="2">
        <f t="shared" si="18"/>
        <v>0</v>
      </c>
      <c r="L98" s="2">
        <v>83.65</v>
      </c>
      <c r="M98" s="2">
        <f t="shared" si="19"/>
        <v>0</v>
      </c>
    </row>
    <row r="99" spans="1:13">
      <c r="A99">
        <v>99394</v>
      </c>
      <c r="B99" s="9" t="s">
        <v>19</v>
      </c>
      <c r="C99" s="9"/>
      <c r="D99" s="9"/>
      <c r="E99">
        <v>0</v>
      </c>
      <c r="F99" s="2">
        <v>49.04</v>
      </c>
      <c r="G99" s="2">
        <f t="shared" si="16"/>
        <v>0</v>
      </c>
      <c r="H99" s="2">
        <v>41.11</v>
      </c>
      <c r="I99" s="2">
        <f t="shared" si="17"/>
        <v>0</v>
      </c>
      <c r="J99" s="2">
        <v>1.8</v>
      </c>
      <c r="K99" s="2">
        <f t="shared" si="18"/>
        <v>0</v>
      </c>
      <c r="L99" s="2">
        <v>91.95</v>
      </c>
      <c r="M99" s="2">
        <f t="shared" si="19"/>
        <v>0</v>
      </c>
    </row>
    <row r="100" spans="1:13">
      <c r="A100">
        <v>99395</v>
      </c>
      <c r="B100" s="9" t="s">
        <v>18</v>
      </c>
      <c r="C100" s="9"/>
      <c r="D100" s="9"/>
      <c r="E100">
        <v>0</v>
      </c>
      <c r="F100" s="2">
        <v>49.04</v>
      </c>
      <c r="G100" s="2">
        <f t="shared" si="16"/>
        <v>0</v>
      </c>
      <c r="H100" s="2">
        <v>41.11</v>
      </c>
      <c r="I100" s="2">
        <f t="shared" si="17"/>
        <v>0</v>
      </c>
      <c r="J100" s="2">
        <v>1.8</v>
      </c>
      <c r="K100" s="2">
        <f t="shared" si="18"/>
        <v>0</v>
      </c>
      <c r="L100" s="2">
        <v>91.95</v>
      </c>
      <c r="M100" s="2">
        <f t="shared" si="19"/>
        <v>0</v>
      </c>
    </row>
    <row r="101" spans="1:13">
      <c r="A101">
        <v>99396</v>
      </c>
      <c r="B101" s="9" t="s">
        <v>26</v>
      </c>
      <c r="C101" s="9"/>
      <c r="D101" s="9"/>
      <c r="E101">
        <v>0</v>
      </c>
      <c r="F101" s="2">
        <v>55.17</v>
      </c>
      <c r="G101" s="2">
        <f t="shared" si="16"/>
        <v>0</v>
      </c>
      <c r="H101" s="2">
        <v>43.27</v>
      </c>
      <c r="I101" s="2">
        <f t="shared" si="17"/>
        <v>0</v>
      </c>
      <c r="J101" s="2">
        <v>2.16</v>
      </c>
      <c r="K101" s="2">
        <f t="shared" si="18"/>
        <v>0</v>
      </c>
      <c r="L101" s="2">
        <v>100.6</v>
      </c>
      <c r="M101" s="2">
        <f t="shared" si="19"/>
        <v>0</v>
      </c>
    </row>
    <row r="102" spans="1:13">
      <c r="A102">
        <v>99397</v>
      </c>
      <c r="B102" s="9" t="s">
        <v>27</v>
      </c>
      <c r="C102" s="9"/>
      <c r="D102" s="9"/>
      <c r="E102">
        <v>0</v>
      </c>
      <c r="F102" s="2">
        <v>61.66</v>
      </c>
      <c r="G102" s="2">
        <f t="shared" si="16"/>
        <v>0</v>
      </c>
      <c r="H102" s="2">
        <v>49.04</v>
      </c>
      <c r="I102" s="2">
        <f t="shared" si="17"/>
        <v>0</v>
      </c>
      <c r="J102" s="2">
        <v>2.16</v>
      </c>
      <c r="K102" s="2">
        <f t="shared" si="18"/>
        <v>0</v>
      </c>
      <c r="L102" s="2">
        <v>112.86</v>
      </c>
      <c r="M102" s="2">
        <f t="shared" si="19"/>
        <v>0</v>
      </c>
    </row>
    <row r="103" spans="1:13">
      <c r="A103" s="10" t="s">
        <v>13</v>
      </c>
      <c r="B103" s="10"/>
      <c r="C103" s="10"/>
      <c r="D103" s="10"/>
      <c r="E103" s="1">
        <f>SUM(E82:E102)</f>
        <v>0</v>
      </c>
      <c r="F103" s="2"/>
      <c r="G103" s="3">
        <f>SUM(G82:G102)</f>
        <v>0</v>
      </c>
      <c r="H103" s="3"/>
      <c r="I103" s="3">
        <f>SUM(I82:I102)</f>
        <v>0</v>
      </c>
      <c r="J103" s="3"/>
      <c r="K103" s="3">
        <f>SUM(K82:K102)</f>
        <v>0</v>
      </c>
      <c r="L103" s="3"/>
      <c r="M103" s="3">
        <f t="shared" si="19"/>
        <v>0</v>
      </c>
    </row>
    <row r="104" spans="1:13">
      <c r="A104" s="9"/>
      <c r="B104" s="9"/>
      <c r="C104" s="9"/>
      <c r="D104" s="9"/>
    </row>
    <row r="105" spans="1:13">
      <c r="B105" s="10" t="s">
        <v>28</v>
      </c>
      <c r="C105" s="9"/>
      <c r="D105" s="9"/>
    </row>
    <row r="106" spans="1:13">
      <c r="A106" s="1" t="s">
        <v>0</v>
      </c>
      <c r="B106" s="10" t="s">
        <v>1</v>
      </c>
      <c r="C106" s="10"/>
      <c r="D106" s="10"/>
      <c r="E106" s="1" t="s">
        <v>14</v>
      </c>
      <c r="F106" s="1" t="s">
        <v>3</v>
      </c>
      <c r="G106" s="1" t="s">
        <v>15</v>
      </c>
      <c r="H106" s="1" t="s">
        <v>5</v>
      </c>
      <c r="I106" s="1" t="s">
        <v>6</v>
      </c>
      <c r="J106" s="1" t="s">
        <v>7</v>
      </c>
      <c r="K106" s="1" t="s">
        <v>8</v>
      </c>
      <c r="L106" s="1" t="s">
        <v>9</v>
      </c>
      <c r="M106" s="1" t="s">
        <v>10</v>
      </c>
    </row>
    <row r="107" spans="1:13">
      <c r="B107" s="11"/>
      <c r="C107" s="11"/>
      <c r="D107" s="11"/>
    </row>
    <row r="108" spans="1:13">
      <c r="A108">
        <v>99201</v>
      </c>
      <c r="B108" s="12" t="s">
        <v>11</v>
      </c>
      <c r="C108" s="12"/>
      <c r="D108" s="12"/>
      <c r="E108">
        <v>0</v>
      </c>
      <c r="F108" s="2">
        <v>16.23</v>
      </c>
      <c r="G108" s="2">
        <f t="shared" ref="G108:G128" si="20">(E108*F108)</f>
        <v>0</v>
      </c>
      <c r="H108" s="2">
        <v>19.829999999999998</v>
      </c>
      <c r="I108" s="2">
        <f>(E108*H108)</f>
        <v>0</v>
      </c>
      <c r="J108" s="2">
        <v>1.08</v>
      </c>
      <c r="K108" s="2">
        <f>(E108*J108)</f>
        <v>0</v>
      </c>
      <c r="L108" s="2">
        <v>37.14</v>
      </c>
      <c r="M108" s="2">
        <f>(G108+I108+K108)</f>
        <v>0</v>
      </c>
    </row>
    <row r="109" spans="1:13">
      <c r="A109">
        <v>99202</v>
      </c>
      <c r="B109" s="9" t="s">
        <v>11</v>
      </c>
      <c r="C109" s="9"/>
      <c r="D109" s="9"/>
      <c r="E109">
        <v>0</v>
      </c>
      <c r="F109" s="2">
        <v>31.73</v>
      </c>
      <c r="G109" s="2">
        <f t="shared" si="20"/>
        <v>0</v>
      </c>
      <c r="H109" s="2">
        <v>30.65</v>
      </c>
      <c r="I109" s="2">
        <f t="shared" ref="I109:I128" si="21">(E109*H109)</f>
        <v>0</v>
      </c>
      <c r="J109" s="2">
        <v>1.8</v>
      </c>
      <c r="K109" s="2">
        <f t="shared" ref="K109:K128" si="22">(E109*J109)</f>
        <v>0</v>
      </c>
      <c r="L109" s="2">
        <v>64.180000000000007</v>
      </c>
      <c r="M109" s="2">
        <f t="shared" ref="M109:M129" si="23">(G109+I109+K109)</f>
        <v>0</v>
      </c>
    </row>
    <row r="110" spans="1:13">
      <c r="A110">
        <v>99203</v>
      </c>
      <c r="B110" s="9" t="s">
        <v>11</v>
      </c>
      <c r="C110" s="9"/>
      <c r="D110" s="9"/>
      <c r="E110">
        <v>0</v>
      </c>
      <c r="F110" s="2">
        <v>48.32</v>
      </c>
      <c r="G110" s="2">
        <f t="shared" si="20"/>
        <v>0</v>
      </c>
      <c r="H110" s="2">
        <v>40.39</v>
      </c>
      <c r="I110" s="2">
        <f t="shared" si="21"/>
        <v>0</v>
      </c>
      <c r="J110" s="2">
        <v>3.24</v>
      </c>
      <c r="K110" s="2">
        <f t="shared" si="22"/>
        <v>0</v>
      </c>
      <c r="L110" s="2">
        <v>91.95</v>
      </c>
      <c r="M110" s="2">
        <f t="shared" si="23"/>
        <v>0</v>
      </c>
    </row>
    <row r="111" spans="1:13">
      <c r="A111">
        <v>99204</v>
      </c>
      <c r="B111" s="9" t="s">
        <v>11</v>
      </c>
      <c r="C111" s="9"/>
      <c r="D111" s="9"/>
      <c r="E111">
        <v>0</v>
      </c>
      <c r="F111" s="2">
        <v>82.94</v>
      </c>
      <c r="G111" s="2">
        <f t="shared" si="20"/>
        <v>0</v>
      </c>
      <c r="H111" s="2">
        <v>54.45</v>
      </c>
      <c r="I111" s="2">
        <f t="shared" si="21"/>
        <v>0</v>
      </c>
      <c r="J111" s="2">
        <v>4.33</v>
      </c>
      <c r="K111" s="2">
        <f t="shared" si="22"/>
        <v>0</v>
      </c>
      <c r="L111" s="2">
        <v>141.72</v>
      </c>
      <c r="M111" s="2">
        <f t="shared" si="23"/>
        <v>0</v>
      </c>
    </row>
    <row r="112" spans="1:13">
      <c r="A112">
        <v>99211</v>
      </c>
      <c r="B112" s="9" t="s">
        <v>12</v>
      </c>
      <c r="C112" s="9"/>
      <c r="D112" s="9"/>
      <c r="E112">
        <v>0</v>
      </c>
      <c r="F112" s="2">
        <v>6.13</v>
      </c>
      <c r="G112" s="2">
        <f t="shared" si="20"/>
        <v>0</v>
      </c>
      <c r="H112" s="2">
        <v>11.54</v>
      </c>
      <c r="I112" s="2">
        <f t="shared" si="21"/>
        <v>0</v>
      </c>
      <c r="J112" s="2">
        <v>0.36</v>
      </c>
      <c r="K112" s="2">
        <f t="shared" si="22"/>
        <v>0</v>
      </c>
      <c r="L112" s="2">
        <v>18.03</v>
      </c>
      <c r="M112" s="2">
        <f t="shared" si="23"/>
        <v>0</v>
      </c>
    </row>
    <row r="113" spans="1:13">
      <c r="A113">
        <v>99212</v>
      </c>
      <c r="B113" s="9" t="s">
        <v>12</v>
      </c>
      <c r="C113" s="9"/>
      <c r="D113" s="9"/>
      <c r="E113">
        <v>0</v>
      </c>
      <c r="F113" s="2">
        <v>16.23</v>
      </c>
      <c r="G113" s="2">
        <f t="shared" si="20"/>
        <v>0</v>
      </c>
      <c r="H113" s="2">
        <v>19.829999999999998</v>
      </c>
      <c r="I113" s="2">
        <f t="shared" si="21"/>
        <v>0</v>
      </c>
      <c r="J113" s="2">
        <v>1.08</v>
      </c>
      <c r="K113" s="2">
        <f t="shared" si="22"/>
        <v>0</v>
      </c>
      <c r="L113" s="2">
        <v>37.11</v>
      </c>
      <c r="M113" s="2">
        <f t="shared" si="23"/>
        <v>0</v>
      </c>
    </row>
    <row r="114" spans="1:13">
      <c r="A114">
        <v>99213</v>
      </c>
      <c r="B114" s="9" t="s">
        <v>12</v>
      </c>
      <c r="C114" s="9"/>
      <c r="D114" s="9"/>
      <c r="E114">
        <v>0</v>
      </c>
      <c r="F114" s="2">
        <v>33.17</v>
      </c>
      <c r="G114" s="2">
        <f t="shared" si="20"/>
        <v>0</v>
      </c>
      <c r="H114" s="2">
        <v>27.77</v>
      </c>
      <c r="I114" s="2">
        <f t="shared" si="21"/>
        <v>0</v>
      </c>
      <c r="J114" s="2">
        <v>1.08</v>
      </c>
      <c r="K114" s="2">
        <f t="shared" si="22"/>
        <v>0</v>
      </c>
      <c r="L114" s="2">
        <v>62.02</v>
      </c>
      <c r="M114" s="2">
        <f t="shared" si="23"/>
        <v>0</v>
      </c>
    </row>
    <row r="115" spans="1:13">
      <c r="A115">
        <v>99214</v>
      </c>
      <c r="B115" s="9" t="s">
        <v>12</v>
      </c>
      <c r="C115" s="9"/>
      <c r="D115" s="9"/>
      <c r="E115">
        <v>0</v>
      </c>
      <c r="F115" s="2">
        <v>51.2</v>
      </c>
      <c r="G115" s="2">
        <f t="shared" si="20"/>
        <v>0</v>
      </c>
      <c r="H115" s="2">
        <v>39.67</v>
      </c>
      <c r="I115" s="2">
        <f t="shared" si="21"/>
        <v>0</v>
      </c>
      <c r="J115" s="2">
        <v>1.8</v>
      </c>
      <c r="K115" s="2">
        <f t="shared" si="22"/>
        <v>0</v>
      </c>
      <c r="L115" s="2">
        <v>92.67</v>
      </c>
      <c r="M115" s="2">
        <f t="shared" si="23"/>
        <v>0</v>
      </c>
    </row>
    <row r="116" spans="1:13">
      <c r="A116">
        <v>99215</v>
      </c>
      <c r="B116" s="9" t="s">
        <v>12</v>
      </c>
      <c r="C116" s="9"/>
      <c r="D116" s="9"/>
      <c r="E116">
        <v>0</v>
      </c>
      <c r="F116" s="2">
        <v>72.12</v>
      </c>
      <c r="G116" s="2">
        <f t="shared" si="20"/>
        <v>0</v>
      </c>
      <c r="H116" s="2">
        <v>50.48</v>
      </c>
      <c r="I116" s="2">
        <f t="shared" si="21"/>
        <v>0</v>
      </c>
      <c r="J116" s="2">
        <v>2.88</v>
      </c>
      <c r="K116" s="2">
        <f t="shared" si="22"/>
        <v>0</v>
      </c>
      <c r="L116" s="2">
        <v>125.48</v>
      </c>
      <c r="M116" s="2">
        <f t="shared" si="23"/>
        <v>0</v>
      </c>
    </row>
    <row r="117" spans="1:13">
      <c r="A117">
        <v>99381</v>
      </c>
      <c r="B117" s="9" t="s">
        <v>16</v>
      </c>
      <c r="C117" s="9"/>
      <c r="D117" s="9"/>
      <c r="E117">
        <v>0</v>
      </c>
      <c r="F117" s="2">
        <v>42.91</v>
      </c>
      <c r="G117" s="2">
        <f t="shared" si="20"/>
        <v>0</v>
      </c>
      <c r="H117" s="2">
        <v>42.91</v>
      </c>
      <c r="I117" s="2">
        <f t="shared" si="21"/>
        <v>0</v>
      </c>
      <c r="J117" s="2">
        <v>1.8</v>
      </c>
      <c r="K117" s="2">
        <f t="shared" si="22"/>
        <v>0</v>
      </c>
      <c r="L117" s="2">
        <v>87.62</v>
      </c>
      <c r="M117" s="2">
        <f t="shared" si="23"/>
        <v>0</v>
      </c>
    </row>
    <row r="118" spans="1:13">
      <c r="A118">
        <v>99382</v>
      </c>
      <c r="B118" s="9" t="s">
        <v>22</v>
      </c>
      <c r="C118" s="9"/>
      <c r="D118" s="9"/>
      <c r="E118">
        <v>0</v>
      </c>
      <c r="F118" s="2">
        <v>49.04</v>
      </c>
      <c r="G118" s="2">
        <f t="shared" si="20"/>
        <v>0</v>
      </c>
      <c r="H118" s="2">
        <v>45.07</v>
      </c>
      <c r="I118" s="2">
        <f t="shared" si="21"/>
        <v>0</v>
      </c>
      <c r="J118" s="2">
        <v>1.8</v>
      </c>
      <c r="K118" s="2">
        <f t="shared" si="22"/>
        <v>0</v>
      </c>
      <c r="L118" s="2">
        <v>95.91</v>
      </c>
      <c r="M118" s="2">
        <f t="shared" si="23"/>
        <v>0</v>
      </c>
    </row>
    <row r="119" spans="1:13">
      <c r="A119">
        <v>99383</v>
      </c>
      <c r="B119" s="9" t="s">
        <v>23</v>
      </c>
      <c r="C119" s="9"/>
      <c r="D119" s="9"/>
      <c r="E119">
        <v>0</v>
      </c>
      <c r="F119" s="2">
        <v>49.04</v>
      </c>
      <c r="G119" s="2">
        <f t="shared" si="20"/>
        <v>0</v>
      </c>
      <c r="H119" s="2">
        <v>44.71</v>
      </c>
      <c r="I119" s="2">
        <f t="shared" si="21"/>
        <v>0</v>
      </c>
      <c r="J119" s="2">
        <v>1.8</v>
      </c>
      <c r="K119" s="2">
        <f t="shared" si="22"/>
        <v>0</v>
      </c>
      <c r="L119" s="2">
        <v>95.55</v>
      </c>
      <c r="M119" s="2">
        <f t="shared" si="23"/>
        <v>0</v>
      </c>
    </row>
    <row r="120" spans="1:13">
      <c r="A120">
        <v>99384</v>
      </c>
      <c r="B120" s="9" t="s">
        <v>24</v>
      </c>
      <c r="C120" s="9"/>
      <c r="D120" s="9"/>
      <c r="E120">
        <v>0</v>
      </c>
      <c r="F120" s="2">
        <v>55.17</v>
      </c>
      <c r="G120" s="2">
        <f t="shared" si="20"/>
        <v>0</v>
      </c>
      <c r="H120" s="2">
        <v>46.88</v>
      </c>
      <c r="I120" s="2">
        <f t="shared" si="21"/>
        <v>0</v>
      </c>
      <c r="J120" s="2">
        <v>2.16</v>
      </c>
      <c r="K120" s="2">
        <f t="shared" si="22"/>
        <v>0</v>
      </c>
      <c r="L120" s="2">
        <v>104.21</v>
      </c>
      <c r="M120" s="2">
        <f t="shared" si="23"/>
        <v>0</v>
      </c>
    </row>
    <row r="121" spans="1:13">
      <c r="A121">
        <v>99385</v>
      </c>
      <c r="B121" s="9" t="s">
        <v>25</v>
      </c>
      <c r="C121" s="9"/>
      <c r="D121" s="9"/>
      <c r="E121">
        <v>0</v>
      </c>
      <c r="F121" s="2">
        <v>55.17</v>
      </c>
      <c r="G121" s="2">
        <f t="shared" si="20"/>
        <v>0</v>
      </c>
      <c r="H121" s="2">
        <v>46.88</v>
      </c>
      <c r="I121" s="2">
        <f t="shared" si="21"/>
        <v>0</v>
      </c>
      <c r="J121" s="2">
        <v>2.16</v>
      </c>
      <c r="K121" s="2">
        <f t="shared" si="22"/>
        <v>0</v>
      </c>
      <c r="L121" s="2">
        <v>104.21</v>
      </c>
      <c r="M121" s="2">
        <f t="shared" si="23"/>
        <v>0</v>
      </c>
    </row>
    <row r="122" spans="1:13">
      <c r="A122">
        <v>99391</v>
      </c>
      <c r="B122" s="9" t="s">
        <v>17</v>
      </c>
      <c r="C122" s="9"/>
      <c r="D122" s="9"/>
      <c r="E122">
        <v>0</v>
      </c>
      <c r="F122" s="2">
        <v>36.78</v>
      </c>
      <c r="G122" s="2">
        <f t="shared" si="20"/>
        <v>0</v>
      </c>
      <c r="H122" s="2">
        <v>37.14</v>
      </c>
      <c r="I122" s="2">
        <f t="shared" si="21"/>
        <v>0</v>
      </c>
      <c r="J122" s="2">
        <v>1.44</v>
      </c>
      <c r="K122" s="2">
        <f t="shared" si="22"/>
        <v>0</v>
      </c>
      <c r="L122" s="2">
        <v>75.36</v>
      </c>
      <c r="M122" s="2">
        <f t="shared" si="23"/>
        <v>0</v>
      </c>
    </row>
    <row r="123" spans="1:13">
      <c r="A123">
        <v>99392</v>
      </c>
      <c r="B123" s="9" t="s">
        <v>21</v>
      </c>
      <c r="C123" s="9"/>
      <c r="D123" s="9"/>
      <c r="E123">
        <v>0</v>
      </c>
      <c r="F123" s="2">
        <v>42.91</v>
      </c>
      <c r="G123" s="2">
        <f t="shared" si="20"/>
        <v>0</v>
      </c>
      <c r="H123" s="2">
        <v>39.299999999999997</v>
      </c>
      <c r="I123" s="2">
        <f t="shared" si="21"/>
        <v>0</v>
      </c>
      <c r="J123" s="2">
        <v>1.8</v>
      </c>
      <c r="K123" s="2">
        <f t="shared" si="22"/>
        <v>0</v>
      </c>
      <c r="L123" s="2">
        <v>84.01</v>
      </c>
      <c r="M123" s="2">
        <f t="shared" si="23"/>
        <v>0</v>
      </c>
    </row>
    <row r="124" spans="1:13">
      <c r="A124">
        <v>99393</v>
      </c>
      <c r="B124" s="9" t="s">
        <v>20</v>
      </c>
      <c r="C124" s="9"/>
      <c r="D124" s="9"/>
      <c r="E124">
        <v>0</v>
      </c>
      <c r="F124" s="2">
        <v>42.91</v>
      </c>
      <c r="G124" s="2">
        <f t="shared" si="20"/>
        <v>0</v>
      </c>
      <c r="H124" s="2">
        <v>38.94</v>
      </c>
      <c r="I124" s="2">
        <f t="shared" si="21"/>
        <v>0</v>
      </c>
      <c r="J124" s="2">
        <v>1.8</v>
      </c>
      <c r="K124" s="2">
        <f t="shared" si="22"/>
        <v>0</v>
      </c>
      <c r="L124" s="2">
        <v>83.65</v>
      </c>
      <c r="M124" s="2">
        <f t="shared" si="23"/>
        <v>0</v>
      </c>
    </row>
    <row r="125" spans="1:13">
      <c r="A125">
        <v>99394</v>
      </c>
      <c r="B125" s="9" t="s">
        <v>19</v>
      </c>
      <c r="C125" s="9"/>
      <c r="D125" s="9"/>
      <c r="E125">
        <v>0</v>
      </c>
      <c r="F125" s="2">
        <v>49.04</v>
      </c>
      <c r="G125" s="2">
        <f t="shared" si="20"/>
        <v>0</v>
      </c>
      <c r="H125" s="2">
        <v>41.11</v>
      </c>
      <c r="I125" s="2">
        <f t="shared" si="21"/>
        <v>0</v>
      </c>
      <c r="J125" s="2">
        <v>1.8</v>
      </c>
      <c r="K125" s="2">
        <f t="shared" si="22"/>
        <v>0</v>
      </c>
      <c r="L125" s="2">
        <v>91.95</v>
      </c>
      <c r="M125" s="2">
        <f t="shared" si="23"/>
        <v>0</v>
      </c>
    </row>
    <row r="126" spans="1:13">
      <c r="A126">
        <v>99395</v>
      </c>
      <c r="B126" s="9" t="s">
        <v>18</v>
      </c>
      <c r="C126" s="9"/>
      <c r="D126" s="9"/>
      <c r="E126">
        <v>0</v>
      </c>
      <c r="F126" s="2">
        <v>49.04</v>
      </c>
      <c r="G126" s="2">
        <f t="shared" si="20"/>
        <v>0</v>
      </c>
      <c r="H126" s="2">
        <v>41.11</v>
      </c>
      <c r="I126" s="2">
        <f t="shared" si="21"/>
        <v>0</v>
      </c>
      <c r="J126" s="2">
        <v>1.8</v>
      </c>
      <c r="K126" s="2">
        <f t="shared" si="22"/>
        <v>0</v>
      </c>
      <c r="L126" s="2">
        <v>91.95</v>
      </c>
      <c r="M126" s="2">
        <f t="shared" si="23"/>
        <v>0</v>
      </c>
    </row>
    <row r="127" spans="1:13">
      <c r="A127">
        <v>99396</v>
      </c>
      <c r="B127" s="9" t="s">
        <v>26</v>
      </c>
      <c r="C127" s="9"/>
      <c r="D127" s="9"/>
      <c r="E127">
        <v>0</v>
      </c>
      <c r="F127" s="2">
        <v>55.17</v>
      </c>
      <c r="G127" s="2">
        <f t="shared" si="20"/>
        <v>0</v>
      </c>
      <c r="H127" s="2">
        <v>43.27</v>
      </c>
      <c r="I127" s="2">
        <f t="shared" si="21"/>
        <v>0</v>
      </c>
      <c r="J127" s="2">
        <v>2.16</v>
      </c>
      <c r="K127" s="2">
        <f t="shared" si="22"/>
        <v>0</v>
      </c>
      <c r="L127" s="2">
        <v>100.6</v>
      </c>
      <c r="M127" s="2">
        <f t="shared" si="23"/>
        <v>0</v>
      </c>
    </row>
    <row r="128" spans="1:13">
      <c r="A128">
        <v>99397</v>
      </c>
      <c r="B128" s="9" t="s">
        <v>27</v>
      </c>
      <c r="C128" s="9"/>
      <c r="D128" s="9"/>
      <c r="E128">
        <v>0</v>
      </c>
      <c r="F128" s="2">
        <v>61.66</v>
      </c>
      <c r="G128" s="2">
        <f t="shared" si="20"/>
        <v>0</v>
      </c>
      <c r="H128" s="2">
        <v>49.04</v>
      </c>
      <c r="I128" s="2">
        <f t="shared" si="21"/>
        <v>0</v>
      </c>
      <c r="J128" s="2">
        <v>2.16</v>
      </c>
      <c r="K128" s="2">
        <f t="shared" si="22"/>
        <v>0</v>
      </c>
      <c r="L128" s="2">
        <v>112.86</v>
      </c>
      <c r="M128" s="2">
        <f t="shared" si="23"/>
        <v>0</v>
      </c>
    </row>
    <row r="129" spans="1:13">
      <c r="A129" s="10" t="s">
        <v>13</v>
      </c>
      <c r="B129" s="10"/>
      <c r="C129" s="10"/>
      <c r="D129" s="10"/>
      <c r="E129" s="1">
        <f>SUM(E108:E128)</f>
        <v>0</v>
      </c>
      <c r="F129" s="2"/>
      <c r="G129" s="3">
        <f>SUM(G108:G128)</f>
        <v>0</v>
      </c>
      <c r="H129" s="3"/>
      <c r="I129" s="3">
        <f>SUM(I108:I128)</f>
        <v>0</v>
      </c>
      <c r="J129" s="3"/>
      <c r="K129" s="3">
        <f>SUM(K108:K128)</f>
        <v>0</v>
      </c>
      <c r="L129" s="3"/>
      <c r="M129" s="3">
        <f t="shared" si="23"/>
        <v>0</v>
      </c>
    </row>
    <row r="130" spans="1:13">
      <c r="A130" s="9"/>
      <c r="B130" s="9"/>
      <c r="C130" s="9"/>
      <c r="D130" s="9"/>
    </row>
    <row r="131" spans="1:13">
      <c r="B131" s="10" t="s">
        <v>28</v>
      </c>
      <c r="C131" s="9"/>
      <c r="D131" s="9"/>
    </row>
    <row r="132" spans="1:13">
      <c r="A132" s="1" t="s">
        <v>0</v>
      </c>
      <c r="B132" s="10" t="s">
        <v>1</v>
      </c>
      <c r="C132" s="10"/>
      <c r="D132" s="10"/>
      <c r="E132" s="1" t="s">
        <v>14</v>
      </c>
      <c r="F132" s="1" t="s">
        <v>3</v>
      </c>
      <c r="G132" s="1" t="s">
        <v>15</v>
      </c>
      <c r="H132" s="1" t="s">
        <v>5</v>
      </c>
      <c r="I132" s="1" t="s">
        <v>6</v>
      </c>
      <c r="J132" s="1" t="s">
        <v>7</v>
      </c>
      <c r="K132" s="1" t="s">
        <v>8</v>
      </c>
      <c r="L132" s="1" t="s">
        <v>9</v>
      </c>
      <c r="M132" s="1" t="s">
        <v>10</v>
      </c>
    </row>
    <row r="133" spans="1:13">
      <c r="B133" s="11"/>
      <c r="C133" s="11"/>
      <c r="D133" s="11"/>
    </row>
    <row r="134" spans="1:13">
      <c r="A134">
        <v>99201</v>
      </c>
      <c r="B134" s="12" t="s">
        <v>11</v>
      </c>
      <c r="C134" s="12"/>
      <c r="D134" s="12"/>
      <c r="E134">
        <v>0</v>
      </c>
      <c r="F134" s="2">
        <v>16.23</v>
      </c>
      <c r="G134" s="2">
        <f t="shared" ref="G134:G154" si="24">(E134*F134)</f>
        <v>0</v>
      </c>
      <c r="H134" s="2">
        <v>19.829999999999998</v>
      </c>
      <c r="I134" s="2">
        <f>(E134*H134)</f>
        <v>0</v>
      </c>
      <c r="J134" s="2">
        <v>1.08</v>
      </c>
      <c r="K134" s="2">
        <f>(E134*J134)</f>
        <v>0</v>
      </c>
      <c r="L134" s="2">
        <v>37.14</v>
      </c>
      <c r="M134" s="2">
        <f>(G134+I134+K134)</f>
        <v>0</v>
      </c>
    </row>
    <row r="135" spans="1:13">
      <c r="A135">
        <v>99202</v>
      </c>
      <c r="B135" s="9" t="s">
        <v>11</v>
      </c>
      <c r="C135" s="9"/>
      <c r="D135" s="9"/>
      <c r="E135">
        <v>0</v>
      </c>
      <c r="F135" s="2">
        <v>31.73</v>
      </c>
      <c r="G135" s="2">
        <f t="shared" si="24"/>
        <v>0</v>
      </c>
      <c r="H135" s="2">
        <v>30.65</v>
      </c>
      <c r="I135" s="2">
        <f t="shared" ref="I135:I154" si="25">(E135*H135)</f>
        <v>0</v>
      </c>
      <c r="J135" s="2">
        <v>1.8</v>
      </c>
      <c r="K135" s="2">
        <f t="shared" ref="K135:K154" si="26">(E135*J135)</f>
        <v>0</v>
      </c>
      <c r="L135" s="2">
        <v>64.180000000000007</v>
      </c>
      <c r="M135" s="2">
        <f t="shared" ref="M135:M155" si="27">(G135+I135+K135)</f>
        <v>0</v>
      </c>
    </row>
    <row r="136" spans="1:13">
      <c r="A136">
        <v>99203</v>
      </c>
      <c r="B136" s="9" t="s">
        <v>11</v>
      </c>
      <c r="C136" s="9"/>
      <c r="D136" s="9"/>
      <c r="E136">
        <v>0</v>
      </c>
      <c r="F136" s="2">
        <v>48.32</v>
      </c>
      <c r="G136" s="2">
        <f t="shared" si="24"/>
        <v>0</v>
      </c>
      <c r="H136" s="2">
        <v>40.39</v>
      </c>
      <c r="I136" s="2">
        <f t="shared" si="25"/>
        <v>0</v>
      </c>
      <c r="J136" s="2">
        <v>3.24</v>
      </c>
      <c r="K136" s="2">
        <f t="shared" si="26"/>
        <v>0</v>
      </c>
      <c r="L136" s="2">
        <v>91.95</v>
      </c>
      <c r="M136" s="2">
        <f t="shared" si="27"/>
        <v>0</v>
      </c>
    </row>
    <row r="137" spans="1:13">
      <c r="A137">
        <v>99204</v>
      </c>
      <c r="B137" s="9" t="s">
        <v>11</v>
      </c>
      <c r="C137" s="9"/>
      <c r="D137" s="9"/>
      <c r="E137">
        <v>0</v>
      </c>
      <c r="F137" s="2">
        <v>82.94</v>
      </c>
      <c r="G137" s="2">
        <f t="shared" si="24"/>
        <v>0</v>
      </c>
      <c r="H137" s="2">
        <v>54.45</v>
      </c>
      <c r="I137" s="2">
        <f t="shared" si="25"/>
        <v>0</v>
      </c>
      <c r="J137" s="2">
        <v>4.33</v>
      </c>
      <c r="K137" s="2">
        <f t="shared" si="26"/>
        <v>0</v>
      </c>
      <c r="L137" s="2">
        <v>141.72</v>
      </c>
      <c r="M137" s="2">
        <f t="shared" si="27"/>
        <v>0</v>
      </c>
    </row>
    <row r="138" spans="1:13">
      <c r="A138">
        <v>99211</v>
      </c>
      <c r="B138" s="9" t="s">
        <v>12</v>
      </c>
      <c r="C138" s="9"/>
      <c r="D138" s="9"/>
      <c r="E138">
        <v>0</v>
      </c>
      <c r="F138" s="2">
        <v>6.13</v>
      </c>
      <c r="G138" s="2">
        <f t="shared" si="24"/>
        <v>0</v>
      </c>
      <c r="H138" s="2">
        <v>11.54</v>
      </c>
      <c r="I138" s="2">
        <f t="shared" si="25"/>
        <v>0</v>
      </c>
      <c r="J138" s="2">
        <v>0.36</v>
      </c>
      <c r="K138" s="2">
        <f t="shared" si="26"/>
        <v>0</v>
      </c>
      <c r="L138" s="2">
        <v>18.03</v>
      </c>
      <c r="M138" s="2">
        <f t="shared" si="27"/>
        <v>0</v>
      </c>
    </row>
    <row r="139" spans="1:13">
      <c r="A139">
        <v>99212</v>
      </c>
      <c r="B139" s="9" t="s">
        <v>12</v>
      </c>
      <c r="C139" s="9"/>
      <c r="D139" s="9"/>
      <c r="E139">
        <v>0</v>
      </c>
      <c r="F139" s="2">
        <v>16.23</v>
      </c>
      <c r="G139" s="2">
        <f t="shared" si="24"/>
        <v>0</v>
      </c>
      <c r="H139" s="2">
        <v>19.829999999999998</v>
      </c>
      <c r="I139" s="2">
        <f t="shared" si="25"/>
        <v>0</v>
      </c>
      <c r="J139" s="2">
        <v>1.08</v>
      </c>
      <c r="K139" s="2">
        <f t="shared" si="26"/>
        <v>0</v>
      </c>
      <c r="L139" s="2">
        <v>37.11</v>
      </c>
      <c r="M139" s="2">
        <f t="shared" si="27"/>
        <v>0</v>
      </c>
    </row>
    <row r="140" spans="1:13">
      <c r="A140">
        <v>99213</v>
      </c>
      <c r="B140" s="9" t="s">
        <v>12</v>
      </c>
      <c r="C140" s="9"/>
      <c r="D140" s="9"/>
      <c r="E140">
        <v>0</v>
      </c>
      <c r="F140" s="2">
        <v>33.17</v>
      </c>
      <c r="G140" s="2">
        <f t="shared" si="24"/>
        <v>0</v>
      </c>
      <c r="H140" s="2">
        <v>27.77</v>
      </c>
      <c r="I140" s="2">
        <f t="shared" si="25"/>
        <v>0</v>
      </c>
      <c r="J140" s="2">
        <v>1.08</v>
      </c>
      <c r="K140" s="2">
        <f t="shared" si="26"/>
        <v>0</v>
      </c>
      <c r="L140" s="2">
        <v>62.02</v>
      </c>
      <c r="M140" s="2">
        <f t="shared" si="27"/>
        <v>0</v>
      </c>
    </row>
    <row r="141" spans="1:13">
      <c r="A141">
        <v>99214</v>
      </c>
      <c r="B141" s="9" t="s">
        <v>12</v>
      </c>
      <c r="C141" s="9"/>
      <c r="D141" s="9"/>
      <c r="E141">
        <v>0</v>
      </c>
      <c r="F141" s="2">
        <v>51.2</v>
      </c>
      <c r="G141" s="2">
        <f t="shared" si="24"/>
        <v>0</v>
      </c>
      <c r="H141" s="2">
        <v>39.67</v>
      </c>
      <c r="I141" s="2">
        <f t="shared" si="25"/>
        <v>0</v>
      </c>
      <c r="J141" s="2">
        <v>1.8</v>
      </c>
      <c r="K141" s="2">
        <f t="shared" si="26"/>
        <v>0</v>
      </c>
      <c r="L141" s="2">
        <v>92.67</v>
      </c>
      <c r="M141" s="2">
        <f t="shared" si="27"/>
        <v>0</v>
      </c>
    </row>
    <row r="142" spans="1:13">
      <c r="A142">
        <v>99215</v>
      </c>
      <c r="B142" s="9" t="s">
        <v>12</v>
      </c>
      <c r="C142" s="9"/>
      <c r="D142" s="9"/>
      <c r="E142">
        <v>0</v>
      </c>
      <c r="F142" s="2">
        <v>72.12</v>
      </c>
      <c r="G142" s="2">
        <f t="shared" si="24"/>
        <v>0</v>
      </c>
      <c r="H142" s="2">
        <v>50.48</v>
      </c>
      <c r="I142" s="2">
        <f t="shared" si="25"/>
        <v>0</v>
      </c>
      <c r="J142" s="2">
        <v>2.88</v>
      </c>
      <c r="K142" s="2">
        <f t="shared" si="26"/>
        <v>0</v>
      </c>
      <c r="L142" s="2">
        <v>125.48</v>
      </c>
      <c r="M142" s="2">
        <f t="shared" si="27"/>
        <v>0</v>
      </c>
    </row>
    <row r="143" spans="1:13">
      <c r="A143">
        <v>99381</v>
      </c>
      <c r="B143" s="9" t="s">
        <v>16</v>
      </c>
      <c r="C143" s="9"/>
      <c r="D143" s="9"/>
      <c r="E143">
        <v>0</v>
      </c>
      <c r="F143" s="2">
        <v>42.91</v>
      </c>
      <c r="G143" s="2">
        <f t="shared" si="24"/>
        <v>0</v>
      </c>
      <c r="H143" s="2">
        <v>42.91</v>
      </c>
      <c r="I143" s="2">
        <f t="shared" si="25"/>
        <v>0</v>
      </c>
      <c r="J143" s="2">
        <v>1.8</v>
      </c>
      <c r="K143" s="2">
        <f t="shared" si="26"/>
        <v>0</v>
      </c>
      <c r="L143" s="2">
        <v>87.62</v>
      </c>
      <c r="M143" s="2">
        <f t="shared" si="27"/>
        <v>0</v>
      </c>
    </row>
    <row r="144" spans="1:13">
      <c r="A144">
        <v>99382</v>
      </c>
      <c r="B144" s="9" t="s">
        <v>22</v>
      </c>
      <c r="C144" s="9"/>
      <c r="D144" s="9"/>
      <c r="E144">
        <v>0</v>
      </c>
      <c r="F144" s="2">
        <v>49.04</v>
      </c>
      <c r="G144" s="2">
        <f t="shared" si="24"/>
        <v>0</v>
      </c>
      <c r="H144" s="2">
        <v>45.07</v>
      </c>
      <c r="I144" s="2">
        <f t="shared" si="25"/>
        <v>0</v>
      </c>
      <c r="J144" s="2">
        <v>1.8</v>
      </c>
      <c r="K144" s="2">
        <f t="shared" si="26"/>
        <v>0</v>
      </c>
      <c r="L144" s="2">
        <v>95.91</v>
      </c>
      <c r="M144" s="2">
        <f t="shared" si="27"/>
        <v>0</v>
      </c>
    </row>
    <row r="145" spans="1:13">
      <c r="A145">
        <v>99383</v>
      </c>
      <c r="B145" s="9" t="s">
        <v>23</v>
      </c>
      <c r="C145" s="9"/>
      <c r="D145" s="9"/>
      <c r="E145">
        <v>0</v>
      </c>
      <c r="F145" s="2">
        <v>49.04</v>
      </c>
      <c r="G145" s="2">
        <f t="shared" si="24"/>
        <v>0</v>
      </c>
      <c r="H145" s="2">
        <v>44.71</v>
      </c>
      <c r="I145" s="2">
        <f t="shared" si="25"/>
        <v>0</v>
      </c>
      <c r="J145" s="2">
        <v>1.8</v>
      </c>
      <c r="K145" s="2">
        <f t="shared" si="26"/>
        <v>0</v>
      </c>
      <c r="L145" s="2">
        <v>95.55</v>
      </c>
      <c r="M145" s="2">
        <f t="shared" si="27"/>
        <v>0</v>
      </c>
    </row>
    <row r="146" spans="1:13">
      <c r="A146">
        <v>99384</v>
      </c>
      <c r="B146" s="9" t="s">
        <v>24</v>
      </c>
      <c r="C146" s="9"/>
      <c r="D146" s="9"/>
      <c r="E146">
        <v>0</v>
      </c>
      <c r="F146" s="2">
        <v>55.17</v>
      </c>
      <c r="G146" s="2">
        <f t="shared" si="24"/>
        <v>0</v>
      </c>
      <c r="H146" s="2">
        <v>46.88</v>
      </c>
      <c r="I146" s="2">
        <f t="shared" si="25"/>
        <v>0</v>
      </c>
      <c r="J146" s="2">
        <v>2.16</v>
      </c>
      <c r="K146" s="2">
        <f t="shared" si="26"/>
        <v>0</v>
      </c>
      <c r="L146" s="2">
        <v>104.21</v>
      </c>
      <c r="M146" s="2">
        <f t="shared" si="27"/>
        <v>0</v>
      </c>
    </row>
    <row r="147" spans="1:13">
      <c r="A147">
        <v>99385</v>
      </c>
      <c r="B147" s="9" t="s">
        <v>25</v>
      </c>
      <c r="C147" s="9"/>
      <c r="D147" s="9"/>
      <c r="E147">
        <v>0</v>
      </c>
      <c r="F147" s="2">
        <v>55.17</v>
      </c>
      <c r="G147" s="2">
        <f t="shared" si="24"/>
        <v>0</v>
      </c>
      <c r="H147" s="2">
        <v>46.88</v>
      </c>
      <c r="I147" s="2">
        <f t="shared" si="25"/>
        <v>0</v>
      </c>
      <c r="J147" s="2">
        <v>2.16</v>
      </c>
      <c r="K147" s="2">
        <f t="shared" si="26"/>
        <v>0</v>
      </c>
      <c r="L147" s="2">
        <v>104.21</v>
      </c>
      <c r="M147" s="2">
        <f t="shared" si="27"/>
        <v>0</v>
      </c>
    </row>
    <row r="148" spans="1:13">
      <c r="A148">
        <v>99391</v>
      </c>
      <c r="B148" s="9" t="s">
        <v>17</v>
      </c>
      <c r="C148" s="9"/>
      <c r="D148" s="9"/>
      <c r="E148">
        <v>0</v>
      </c>
      <c r="F148" s="2">
        <v>36.78</v>
      </c>
      <c r="G148" s="2">
        <f t="shared" si="24"/>
        <v>0</v>
      </c>
      <c r="H148" s="2">
        <v>37.14</v>
      </c>
      <c r="I148" s="2">
        <f t="shared" si="25"/>
        <v>0</v>
      </c>
      <c r="J148" s="2">
        <v>1.44</v>
      </c>
      <c r="K148" s="2">
        <f t="shared" si="26"/>
        <v>0</v>
      </c>
      <c r="L148" s="2">
        <v>75.36</v>
      </c>
      <c r="M148" s="2">
        <f t="shared" si="27"/>
        <v>0</v>
      </c>
    </row>
    <row r="149" spans="1:13">
      <c r="A149">
        <v>99392</v>
      </c>
      <c r="B149" s="9" t="s">
        <v>21</v>
      </c>
      <c r="C149" s="9"/>
      <c r="D149" s="9"/>
      <c r="E149">
        <v>0</v>
      </c>
      <c r="F149" s="2">
        <v>42.91</v>
      </c>
      <c r="G149" s="2">
        <f t="shared" si="24"/>
        <v>0</v>
      </c>
      <c r="H149" s="2">
        <v>39.299999999999997</v>
      </c>
      <c r="I149" s="2">
        <f t="shared" si="25"/>
        <v>0</v>
      </c>
      <c r="J149" s="2">
        <v>1.8</v>
      </c>
      <c r="K149" s="2">
        <f t="shared" si="26"/>
        <v>0</v>
      </c>
      <c r="L149" s="2">
        <v>84.01</v>
      </c>
      <c r="M149" s="2">
        <f t="shared" si="27"/>
        <v>0</v>
      </c>
    </row>
    <row r="150" spans="1:13">
      <c r="A150">
        <v>99393</v>
      </c>
      <c r="B150" s="9" t="s">
        <v>20</v>
      </c>
      <c r="C150" s="9"/>
      <c r="D150" s="9"/>
      <c r="E150">
        <v>0</v>
      </c>
      <c r="F150" s="2">
        <v>42.91</v>
      </c>
      <c r="G150" s="2">
        <f t="shared" si="24"/>
        <v>0</v>
      </c>
      <c r="H150" s="2">
        <v>38.94</v>
      </c>
      <c r="I150" s="2">
        <f t="shared" si="25"/>
        <v>0</v>
      </c>
      <c r="J150" s="2">
        <v>1.8</v>
      </c>
      <c r="K150" s="2">
        <f t="shared" si="26"/>
        <v>0</v>
      </c>
      <c r="L150" s="2">
        <v>83.65</v>
      </c>
      <c r="M150" s="2">
        <f t="shared" si="27"/>
        <v>0</v>
      </c>
    </row>
    <row r="151" spans="1:13">
      <c r="A151">
        <v>99394</v>
      </c>
      <c r="B151" s="9" t="s">
        <v>19</v>
      </c>
      <c r="C151" s="9"/>
      <c r="D151" s="9"/>
      <c r="E151">
        <v>0</v>
      </c>
      <c r="F151" s="2">
        <v>49.04</v>
      </c>
      <c r="G151" s="2">
        <f t="shared" si="24"/>
        <v>0</v>
      </c>
      <c r="H151" s="2">
        <v>41.11</v>
      </c>
      <c r="I151" s="2">
        <f t="shared" si="25"/>
        <v>0</v>
      </c>
      <c r="J151" s="2">
        <v>1.8</v>
      </c>
      <c r="K151" s="2">
        <f t="shared" si="26"/>
        <v>0</v>
      </c>
      <c r="L151" s="2">
        <v>91.95</v>
      </c>
      <c r="M151" s="2">
        <f t="shared" si="27"/>
        <v>0</v>
      </c>
    </row>
    <row r="152" spans="1:13">
      <c r="A152">
        <v>99395</v>
      </c>
      <c r="B152" s="9" t="s">
        <v>18</v>
      </c>
      <c r="C152" s="9"/>
      <c r="D152" s="9"/>
      <c r="E152">
        <v>0</v>
      </c>
      <c r="F152" s="2">
        <v>49.04</v>
      </c>
      <c r="G152" s="2">
        <f t="shared" si="24"/>
        <v>0</v>
      </c>
      <c r="H152" s="2">
        <v>41.11</v>
      </c>
      <c r="I152" s="2">
        <f t="shared" si="25"/>
        <v>0</v>
      </c>
      <c r="J152" s="2">
        <v>1.8</v>
      </c>
      <c r="K152" s="2">
        <f t="shared" si="26"/>
        <v>0</v>
      </c>
      <c r="L152" s="2">
        <v>91.95</v>
      </c>
      <c r="M152" s="2">
        <f t="shared" si="27"/>
        <v>0</v>
      </c>
    </row>
    <row r="153" spans="1:13">
      <c r="A153">
        <v>99396</v>
      </c>
      <c r="B153" s="9" t="s">
        <v>26</v>
      </c>
      <c r="C153" s="9"/>
      <c r="D153" s="9"/>
      <c r="E153">
        <v>0</v>
      </c>
      <c r="F153" s="2">
        <v>55.17</v>
      </c>
      <c r="G153" s="2">
        <f t="shared" si="24"/>
        <v>0</v>
      </c>
      <c r="H153" s="2">
        <v>43.27</v>
      </c>
      <c r="I153" s="2">
        <f t="shared" si="25"/>
        <v>0</v>
      </c>
      <c r="J153" s="2">
        <v>2.16</v>
      </c>
      <c r="K153" s="2">
        <f t="shared" si="26"/>
        <v>0</v>
      </c>
      <c r="L153" s="2">
        <v>100.6</v>
      </c>
      <c r="M153" s="2">
        <f t="shared" si="27"/>
        <v>0</v>
      </c>
    </row>
    <row r="154" spans="1:13">
      <c r="A154">
        <v>99397</v>
      </c>
      <c r="B154" s="9" t="s">
        <v>27</v>
      </c>
      <c r="C154" s="9"/>
      <c r="D154" s="9"/>
      <c r="E154">
        <v>0</v>
      </c>
      <c r="F154" s="2">
        <v>61.66</v>
      </c>
      <c r="G154" s="2">
        <f t="shared" si="24"/>
        <v>0</v>
      </c>
      <c r="H154" s="2">
        <v>49.04</v>
      </c>
      <c r="I154" s="2">
        <f t="shared" si="25"/>
        <v>0</v>
      </c>
      <c r="J154" s="2">
        <v>2.16</v>
      </c>
      <c r="K154" s="2">
        <f t="shared" si="26"/>
        <v>0</v>
      </c>
      <c r="L154" s="2">
        <v>112.86</v>
      </c>
      <c r="M154" s="2">
        <f t="shared" si="27"/>
        <v>0</v>
      </c>
    </row>
    <row r="155" spans="1:13">
      <c r="A155" s="10" t="s">
        <v>13</v>
      </c>
      <c r="B155" s="10"/>
      <c r="C155" s="10"/>
      <c r="D155" s="10"/>
      <c r="E155" s="1">
        <f>SUM(E134:E154)</f>
        <v>0</v>
      </c>
      <c r="F155" s="2"/>
      <c r="G155" s="3">
        <f>SUM(G134:G154)</f>
        <v>0</v>
      </c>
      <c r="H155" s="3"/>
      <c r="I155" s="3">
        <f>SUM(I134:I154)</f>
        <v>0</v>
      </c>
      <c r="J155" s="3"/>
      <c r="K155" s="3">
        <f>SUM(K134:K154)</f>
        <v>0</v>
      </c>
      <c r="L155" s="3"/>
      <c r="M155" s="3">
        <f t="shared" si="27"/>
        <v>0</v>
      </c>
    </row>
    <row r="156" spans="1:13">
      <c r="A156" s="9"/>
      <c r="B156" s="9"/>
      <c r="C156" s="9"/>
      <c r="D156" s="9"/>
    </row>
    <row r="157" spans="1:13">
      <c r="B157" s="10" t="s">
        <v>28</v>
      </c>
      <c r="C157" s="9"/>
      <c r="D157" s="9"/>
    </row>
    <row r="158" spans="1:13">
      <c r="A158" s="1" t="s">
        <v>0</v>
      </c>
      <c r="B158" s="10" t="s">
        <v>1</v>
      </c>
      <c r="C158" s="10"/>
      <c r="D158" s="10"/>
      <c r="E158" s="1" t="s">
        <v>14</v>
      </c>
      <c r="F158" s="1" t="s">
        <v>3</v>
      </c>
      <c r="G158" s="1" t="s">
        <v>15</v>
      </c>
      <c r="H158" s="1" t="s">
        <v>5</v>
      </c>
      <c r="I158" s="1" t="s">
        <v>6</v>
      </c>
      <c r="J158" s="1" t="s">
        <v>7</v>
      </c>
      <c r="K158" s="1" t="s">
        <v>8</v>
      </c>
      <c r="L158" s="1" t="s">
        <v>9</v>
      </c>
      <c r="M158" s="1" t="s">
        <v>10</v>
      </c>
    </row>
    <row r="159" spans="1:13">
      <c r="B159" s="11"/>
      <c r="C159" s="11"/>
      <c r="D159" s="11"/>
    </row>
    <row r="160" spans="1:13">
      <c r="A160">
        <v>99201</v>
      </c>
      <c r="B160" s="12" t="s">
        <v>11</v>
      </c>
      <c r="C160" s="12"/>
      <c r="D160" s="12"/>
      <c r="E160">
        <v>0</v>
      </c>
      <c r="F160" s="2">
        <v>16.23</v>
      </c>
      <c r="G160" s="2">
        <f t="shared" ref="G160:G180" si="28">(E160*F160)</f>
        <v>0</v>
      </c>
      <c r="H160" s="2">
        <v>19.829999999999998</v>
      </c>
      <c r="I160" s="2">
        <f>(E160*H160)</f>
        <v>0</v>
      </c>
      <c r="J160" s="2">
        <v>1.08</v>
      </c>
      <c r="K160" s="2">
        <f>(E160*J160)</f>
        <v>0</v>
      </c>
      <c r="L160" s="2">
        <v>37.14</v>
      </c>
      <c r="M160" s="2">
        <f>(G160+I160+K160)</f>
        <v>0</v>
      </c>
    </row>
    <row r="161" spans="1:13">
      <c r="A161">
        <v>99202</v>
      </c>
      <c r="B161" s="9" t="s">
        <v>11</v>
      </c>
      <c r="C161" s="9"/>
      <c r="D161" s="9"/>
      <c r="E161">
        <v>0</v>
      </c>
      <c r="F161" s="2">
        <v>31.73</v>
      </c>
      <c r="G161" s="2">
        <f t="shared" si="28"/>
        <v>0</v>
      </c>
      <c r="H161" s="2">
        <v>30.65</v>
      </c>
      <c r="I161" s="2">
        <f t="shared" ref="I161:I180" si="29">(E161*H161)</f>
        <v>0</v>
      </c>
      <c r="J161" s="2">
        <v>1.8</v>
      </c>
      <c r="K161" s="2">
        <f t="shared" ref="K161:K180" si="30">(E161*J161)</f>
        <v>0</v>
      </c>
      <c r="L161" s="2">
        <v>64.180000000000007</v>
      </c>
      <c r="M161" s="2">
        <f t="shared" ref="M161:M181" si="31">(G161+I161+K161)</f>
        <v>0</v>
      </c>
    </row>
    <row r="162" spans="1:13">
      <c r="A162">
        <v>99203</v>
      </c>
      <c r="B162" s="9" t="s">
        <v>11</v>
      </c>
      <c r="C162" s="9"/>
      <c r="D162" s="9"/>
      <c r="E162">
        <v>0</v>
      </c>
      <c r="F162" s="2">
        <v>48.32</v>
      </c>
      <c r="G162" s="2">
        <f t="shared" si="28"/>
        <v>0</v>
      </c>
      <c r="H162" s="2">
        <v>40.39</v>
      </c>
      <c r="I162" s="2">
        <f t="shared" si="29"/>
        <v>0</v>
      </c>
      <c r="J162" s="2">
        <v>3.24</v>
      </c>
      <c r="K162" s="2">
        <f t="shared" si="30"/>
        <v>0</v>
      </c>
      <c r="L162" s="2">
        <v>91.95</v>
      </c>
      <c r="M162" s="2">
        <f t="shared" si="31"/>
        <v>0</v>
      </c>
    </row>
    <row r="163" spans="1:13">
      <c r="A163">
        <v>99204</v>
      </c>
      <c r="B163" s="9" t="s">
        <v>11</v>
      </c>
      <c r="C163" s="9"/>
      <c r="D163" s="9"/>
      <c r="E163">
        <v>0</v>
      </c>
      <c r="F163" s="2">
        <v>82.94</v>
      </c>
      <c r="G163" s="2">
        <f t="shared" si="28"/>
        <v>0</v>
      </c>
      <c r="H163" s="2">
        <v>54.45</v>
      </c>
      <c r="I163" s="2">
        <f t="shared" si="29"/>
        <v>0</v>
      </c>
      <c r="J163" s="2">
        <v>4.33</v>
      </c>
      <c r="K163" s="2">
        <f t="shared" si="30"/>
        <v>0</v>
      </c>
      <c r="L163" s="2">
        <v>141.72</v>
      </c>
      <c r="M163" s="2">
        <f t="shared" si="31"/>
        <v>0</v>
      </c>
    </row>
    <row r="164" spans="1:13">
      <c r="A164">
        <v>99211</v>
      </c>
      <c r="B164" s="9" t="s">
        <v>12</v>
      </c>
      <c r="C164" s="9"/>
      <c r="D164" s="9"/>
      <c r="E164">
        <v>0</v>
      </c>
      <c r="F164" s="2">
        <v>6.13</v>
      </c>
      <c r="G164" s="2">
        <f t="shared" si="28"/>
        <v>0</v>
      </c>
      <c r="H164" s="2">
        <v>11.54</v>
      </c>
      <c r="I164" s="2">
        <f t="shared" si="29"/>
        <v>0</v>
      </c>
      <c r="J164" s="2">
        <v>0.36</v>
      </c>
      <c r="K164" s="2">
        <f t="shared" si="30"/>
        <v>0</v>
      </c>
      <c r="L164" s="2">
        <v>18.03</v>
      </c>
      <c r="M164" s="2">
        <f t="shared" si="31"/>
        <v>0</v>
      </c>
    </row>
    <row r="165" spans="1:13">
      <c r="A165">
        <v>99212</v>
      </c>
      <c r="B165" s="9" t="s">
        <v>12</v>
      </c>
      <c r="C165" s="9"/>
      <c r="D165" s="9"/>
      <c r="E165">
        <v>0</v>
      </c>
      <c r="F165" s="2">
        <v>16.23</v>
      </c>
      <c r="G165" s="2">
        <f t="shared" si="28"/>
        <v>0</v>
      </c>
      <c r="H165" s="2">
        <v>19.829999999999998</v>
      </c>
      <c r="I165" s="2">
        <f t="shared" si="29"/>
        <v>0</v>
      </c>
      <c r="J165" s="2">
        <v>1.08</v>
      </c>
      <c r="K165" s="2">
        <f t="shared" si="30"/>
        <v>0</v>
      </c>
      <c r="L165" s="2">
        <v>37.11</v>
      </c>
      <c r="M165" s="2">
        <f t="shared" si="31"/>
        <v>0</v>
      </c>
    </row>
    <row r="166" spans="1:13">
      <c r="A166">
        <v>99213</v>
      </c>
      <c r="B166" s="9" t="s">
        <v>12</v>
      </c>
      <c r="C166" s="9"/>
      <c r="D166" s="9"/>
      <c r="E166">
        <v>0</v>
      </c>
      <c r="F166" s="2">
        <v>33.17</v>
      </c>
      <c r="G166" s="2">
        <f t="shared" si="28"/>
        <v>0</v>
      </c>
      <c r="H166" s="2">
        <v>27.77</v>
      </c>
      <c r="I166" s="2">
        <f t="shared" si="29"/>
        <v>0</v>
      </c>
      <c r="J166" s="2">
        <v>1.08</v>
      </c>
      <c r="K166" s="2">
        <f t="shared" si="30"/>
        <v>0</v>
      </c>
      <c r="L166" s="2">
        <v>62.02</v>
      </c>
      <c r="M166" s="2">
        <f t="shared" si="31"/>
        <v>0</v>
      </c>
    </row>
    <row r="167" spans="1:13">
      <c r="A167">
        <v>99214</v>
      </c>
      <c r="B167" s="9" t="s">
        <v>12</v>
      </c>
      <c r="C167" s="9"/>
      <c r="D167" s="9"/>
      <c r="E167">
        <v>0</v>
      </c>
      <c r="F167" s="2">
        <v>51.2</v>
      </c>
      <c r="G167" s="2">
        <f t="shared" si="28"/>
        <v>0</v>
      </c>
      <c r="H167" s="2">
        <v>39.67</v>
      </c>
      <c r="I167" s="2">
        <f t="shared" si="29"/>
        <v>0</v>
      </c>
      <c r="J167" s="2">
        <v>1.8</v>
      </c>
      <c r="K167" s="2">
        <f t="shared" si="30"/>
        <v>0</v>
      </c>
      <c r="L167" s="2">
        <v>92.67</v>
      </c>
      <c r="M167" s="2">
        <f t="shared" si="31"/>
        <v>0</v>
      </c>
    </row>
    <row r="168" spans="1:13">
      <c r="A168">
        <v>99215</v>
      </c>
      <c r="B168" s="9" t="s">
        <v>12</v>
      </c>
      <c r="C168" s="9"/>
      <c r="D168" s="9"/>
      <c r="E168">
        <v>0</v>
      </c>
      <c r="F168" s="2">
        <v>72.12</v>
      </c>
      <c r="G168" s="2">
        <f t="shared" si="28"/>
        <v>0</v>
      </c>
      <c r="H168" s="2">
        <v>50.48</v>
      </c>
      <c r="I168" s="2">
        <f t="shared" si="29"/>
        <v>0</v>
      </c>
      <c r="J168" s="2">
        <v>2.88</v>
      </c>
      <c r="K168" s="2">
        <f t="shared" si="30"/>
        <v>0</v>
      </c>
      <c r="L168" s="2">
        <v>125.48</v>
      </c>
      <c r="M168" s="2">
        <f t="shared" si="31"/>
        <v>0</v>
      </c>
    </row>
    <row r="169" spans="1:13">
      <c r="A169">
        <v>99381</v>
      </c>
      <c r="B169" s="9" t="s">
        <v>16</v>
      </c>
      <c r="C169" s="9"/>
      <c r="D169" s="9"/>
      <c r="E169">
        <v>0</v>
      </c>
      <c r="F169" s="2">
        <v>42.91</v>
      </c>
      <c r="G169" s="2">
        <f t="shared" si="28"/>
        <v>0</v>
      </c>
      <c r="H169" s="2">
        <v>42.91</v>
      </c>
      <c r="I169" s="2">
        <f t="shared" si="29"/>
        <v>0</v>
      </c>
      <c r="J169" s="2">
        <v>1.8</v>
      </c>
      <c r="K169" s="2">
        <f t="shared" si="30"/>
        <v>0</v>
      </c>
      <c r="L169" s="2">
        <v>87.62</v>
      </c>
      <c r="M169" s="2">
        <f t="shared" si="31"/>
        <v>0</v>
      </c>
    </row>
    <row r="170" spans="1:13">
      <c r="A170">
        <v>99382</v>
      </c>
      <c r="B170" s="9" t="s">
        <v>22</v>
      </c>
      <c r="C170" s="9"/>
      <c r="D170" s="9"/>
      <c r="E170">
        <v>0</v>
      </c>
      <c r="F170" s="2">
        <v>49.04</v>
      </c>
      <c r="G170" s="2">
        <f t="shared" si="28"/>
        <v>0</v>
      </c>
      <c r="H170" s="2">
        <v>45.07</v>
      </c>
      <c r="I170" s="2">
        <f t="shared" si="29"/>
        <v>0</v>
      </c>
      <c r="J170" s="2">
        <v>1.8</v>
      </c>
      <c r="K170" s="2">
        <f t="shared" si="30"/>
        <v>0</v>
      </c>
      <c r="L170" s="2">
        <v>95.91</v>
      </c>
      <c r="M170" s="2">
        <f t="shared" si="31"/>
        <v>0</v>
      </c>
    </row>
    <row r="171" spans="1:13">
      <c r="A171">
        <v>99383</v>
      </c>
      <c r="B171" s="9" t="s">
        <v>23</v>
      </c>
      <c r="C171" s="9"/>
      <c r="D171" s="9"/>
      <c r="E171">
        <v>0</v>
      </c>
      <c r="F171" s="2">
        <v>49.04</v>
      </c>
      <c r="G171" s="2">
        <f t="shared" si="28"/>
        <v>0</v>
      </c>
      <c r="H171" s="2">
        <v>44.71</v>
      </c>
      <c r="I171" s="2">
        <f t="shared" si="29"/>
        <v>0</v>
      </c>
      <c r="J171" s="2">
        <v>1.8</v>
      </c>
      <c r="K171" s="2">
        <f t="shared" si="30"/>
        <v>0</v>
      </c>
      <c r="L171" s="2">
        <v>95.55</v>
      </c>
      <c r="M171" s="2">
        <f t="shared" si="31"/>
        <v>0</v>
      </c>
    </row>
    <row r="172" spans="1:13">
      <c r="A172">
        <v>99384</v>
      </c>
      <c r="B172" s="9" t="s">
        <v>24</v>
      </c>
      <c r="C172" s="9"/>
      <c r="D172" s="9"/>
      <c r="E172">
        <v>0</v>
      </c>
      <c r="F172" s="2">
        <v>55.17</v>
      </c>
      <c r="G172" s="2">
        <f t="shared" si="28"/>
        <v>0</v>
      </c>
      <c r="H172" s="2">
        <v>46.88</v>
      </c>
      <c r="I172" s="2">
        <f t="shared" si="29"/>
        <v>0</v>
      </c>
      <c r="J172" s="2">
        <v>2.16</v>
      </c>
      <c r="K172" s="2">
        <f t="shared" si="30"/>
        <v>0</v>
      </c>
      <c r="L172" s="2">
        <v>104.21</v>
      </c>
      <c r="M172" s="2">
        <f t="shared" si="31"/>
        <v>0</v>
      </c>
    </row>
    <row r="173" spans="1:13">
      <c r="A173">
        <v>99385</v>
      </c>
      <c r="B173" s="9" t="s">
        <v>25</v>
      </c>
      <c r="C173" s="9"/>
      <c r="D173" s="9"/>
      <c r="E173">
        <v>0</v>
      </c>
      <c r="F173" s="2">
        <v>55.17</v>
      </c>
      <c r="G173" s="2">
        <f t="shared" si="28"/>
        <v>0</v>
      </c>
      <c r="H173" s="2">
        <v>46.88</v>
      </c>
      <c r="I173" s="2">
        <f t="shared" si="29"/>
        <v>0</v>
      </c>
      <c r="J173" s="2">
        <v>2.16</v>
      </c>
      <c r="K173" s="2">
        <f t="shared" si="30"/>
        <v>0</v>
      </c>
      <c r="L173" s="2">
        <v>104.21</v>
      </c>
      <c r="M173" s="2">
        <f t="shared" si="31"/>
        <v>0</v>
      </c>
    </row>
    <row r="174" spans="1:13">
      <c r="A174">
        <v>99391</v>
      </c>
      <c r="B174" s="9" t="s">
        <v>17</v>
      </c>
      <c r="C174" s="9"/>
      <c r="D174" s="9"/>
      <c r="E174">
        <v>0</v>
      </c>
      <c r="F174" s="2">
        <v>36.78</v>
      </c>
      <c r="G174" s="2">
        <f t="shared" si="28"/>
        <v>0</v>
      </c>
      <c r="H174" s="2">
        <v>37.14</v>
      </c>
      <c r="I174" s="2">
        <f t="shared" si="29"/>
        <v>0</v>
      </c>
      <c r="J174" s="2">
        <v>1.44</v>
      </c>
      <c r="K174" s="2">
        <f t="shared" si="30"/>
        <v>0</v>
      </c>
      <c r="L174" s="2">
        <v>75.36</v>
      </c>
      <c r="M174" s="2">
        <f t="shared" si="31"/>
        <v>0</v>
      </c>
    </row>
    <row r="175" spans="1:13">
      <c r="A175">
        <v>99392</v>
      </c>
      <c r="B175" s="9" t="s">
        <v>21</v>
      </c>
      <c r="C175" s="9"/>
      <c r="D175" s="9"/>
      <c r="E175">
        <v>0</v>
      </c>
      <c r="F175" s="2">
        <v>42.91</v>
      </c>
      <c r="G175" s="2">
        <f t="shared" si="28"/>
        <v>0</v>
      </c>
      <c r="H175" s="2">
        <v>39.299999999999997</v>
      </c>
      <c r="I175" s="2">
        <f t="shared" si="29"/>
        <v>0</v>
      </c>
      <c r="J175" s="2">
        <v>1.8</v>
      </c>
      <c r="K175" s="2">
        <f t="shared" si="30"/>
        <v>0</v>
      </c>
      <c r="L175" s="2">
        <v>84.01</v>
      </c>
      <c r="M175" s="2">
        <f t="shared" si="31"/>
        <v>0</v>
      </c>
    </row>
    <row r="176" spans="1:13">
      <c r="A176">
        <v>99393</v>
      </c>
      <c r="B176" s="9" t="s">
        <v>20</v>
      </c>
      <c r="C176" s="9"/>
      <c r="D176" s="9"/>
      <c r="E176">
        <v>0</v>
      </c>
      <c r="F176" s="2">
        <v>42.91</v>
      </c>
      <c r="G176" s="2">
        <f t="shared" si="28"/>
        <v>0</v>
      </c>
      <c r="H176" s="2">
        <v>38.94</v>
      </c>
      <c r="I176" s="2">
        <f t="shared" si="29"/>
        <v>0</v>
      </c>
      <c r="J176" s="2">
        <v>1.8</v>
      </c>
      <c r="K176" s="2">
        <f t="shared" si="30"/>
        <v>0</v>
      </c>
      <c r="L176" s="2">
        <v>83.65</v>
      </c>
      <c r="M176" s="2">
        <f t="shared" si="31"/>
        <v>0</v>
      </c>
    </row>
    <row r="177" spans="1:13">
      <c r="A177">
        <v>99394</v>
      </c>
      <c r="B177" s="9" t="s">
        <v>19</v>
      </c>
      <c r="C177" s="9"/>
      <c r="D177" s="9"/>
      <c r="E177">
        <v>0</v>
      </c>
      <c r="F177" s="2">
        <v>49.04</v>
      </c>
      <c r="G177" s="2">
        <f t="shared" si="28"/>
        <v>0</v>
      </c>
      <c r="H177" s="2">
        <v>41.11</v>
      </c>
      <c r="I177" s="2">
        <f t="shared" si="29"/>
        <v>0</v>
      </c>
      <c r="J177" s="2">
        <v>1.8</v>
      </c>
      <c r="K177" s="2">
        <f t="shared" si="30"/>
        <v>0</v>
      </c>
      <c r="L177" s="2">
        <v>91.95</v>
      </c>
      <c r="M177" s="2">
        <f t="shared" si="31"/>
        <v>0</v>
      </c>
    </row>
    <row r="178" spans="1:13">
      <c r="A178">
        <v>99395</v>
      </c>
      <c r="B178" s="9" t="s">
        <v>18</v>
      </c>
      <c r="C178" s="9"/>
      <c r="D178" s="9"/>
      <c r="E178">
        <v>0</v>
      </c>
      <c r="F178" s="2">
        <v>49.04</v>
      </c>
      <c r="G178" s="2">
        <f t="shared" si="28"/>
        <v>0</v>
      </c>
      <c r="H178" s="2">
        <v>41.11</v>
      </c>
      <c r="I178" s="2">
        <f t="shared" si="29"/>
        <v>0</v>
      </c>
      <c r="J178" s="2">
        <v>1.8</v>
      </c>
      <c r="K178" s="2">
        <f t="shared" si="30"/>
        <v>0</v>
      </c>
      <c r="L178" s="2">
        <v>91.95</v>
      </c>
      <c r="M178" s="2">
        <f t="shared" si="31"/>
        <v>0</v>
      </c>
    </row>
    <row r="179" spans="1:13">
      <c r="A179">
        <v>99396</v>
      </c>
      <c r="B179" s="9" t="s">
        <v>26</v>
      </c>
      <c r="C179" s="9"/>
      <c r="D179" s="9"/>
      <c r="E179">
        <v>0</v>
      </c>
      <c r="F179" s="2">
        <v>55.17</v>
      </c>
      <c r="G179" s="2">
        <f t="shared" si="28"/>
        <v>0</v>
      </c>
      <c r="H179" s="2">
        <v>43.27</v>
      </c>
      <c r="I179" s="2">
        <f t="shared" si="29"/>
        <v>0</v>
      </c>
      <c r="J179" s="2">
        <v>2.16</v>
      </c>
      <c r="K179" s="2">
        <f t="shared" si="30"/>
        <v>0</v>
      </c>
      <c r="L179" s="2">
        <v>100.6</v>
      </c>
      <c r="M179" s="2">
        <f t="shared" si="31"/>
        <v>0</v>
      </c>
    </row>
    <row r="180" spans="1:13">
      <c r="A180">
        <v>99397</v>
      </c>
      <c r="B180" s="9" t="s">
        <v>27</v>
      </c>
      <c r="C180" s="9"/>
      <c r="D180" s="9"/>
      <c r="E180">
        <v>0</v>
      </c>
      <c r="F180" s="2">
        <v>61.66</v>
      </c>
      <c r="G180" s="2">
        <f t="shared" si="28"/>
        <v>0</v>
      </c>
      <c r="H180" s="2">
        <v>49.04</v>
      </c>
      <c r="I180" s="2">
        <f t="shared" si="29"/>
        <v>0</v>
      </c>
      <c r="J180" s="2">
        <v>2.16</v>
      </c>
      <c r="K180" s="2">
        <f t="shared" si="30"/>
        <v>0</v>
      </c>
      <c r="L180" s="2">
        <v>112.86</v>
      </c>
      <c r="M180" s="2">
        <f t="shared" si="31"/>
        <v>0</v>
      </c>
    </row>
    <row r="181" spans="1:13">
      <c r="A181" s="10" t="s">
        <v>13</v>
      </c>
      <c r="B181" s="10"/>
      <c r="C181" s="10"/>
      <c r="D181" s="10"/>
      <c r="E181" s="1">
        <f>SUM(E160:E180)</f>
        <v>0</v>
      </c>
      <c r="F181" s="2"/>
      <c r="G181" s="3">
        <f>SUM(G160:G180)</f>
        <v>0</v>
      </c>
      <c r="H181" s="3"/>
      <c r="I181" s="3">
        <f>SUM(I160:I180)</f>
        <v>0</v>
      </c>
      <c r="J181" s="3"/>
      <c r="K181" s="3">
        <f>SUM(K160:K180)</f>
        <v>0</v>
      </c>
      <c r="L181" s="3"/>
      <c r="M181" s="3">
        <f t="shared" si="31"/>
        <v>0</v>
      </c>
    </row>
    <row r="182" spans="1:13">
      <c r="A182" s="9"/>
      <c r="B182" s="9"/>
      <c r="C182" s="9"/>
      <c r="D182" s="9"/>
    </row>
    <row r="183" spans="1:13">
      <c r="B183" s="10" t="s">
        <v>28</v>
      </c>
      <c r="C183" s="9"/>
      <c r="D183" s="9"/>
    </row>
    <row r="184" spans="1:13">
      <c r="A184" s="1" t="s">
        <v>0</v>
      </c>
      <c r="B184" s="10" t="s">
        <v>1</v>
      </c>
      <c r="C184" s="10"/>
      <c r="D184" s="10"/>
      <c r="E184" s="1" t="s">
        <v>14</v>
      </c>
      <c r="F184" s="1" t="s">
        <v>3</v>
      </c>
      <c r="G184" s="1" t="s">
        <v>15</v>
      </c>
      <c r="H184" s="1" t="s">
        <v>5</v>
      </c>
      <c r="I184" s="1" t="s">
        <v>6</v>
      </c>
      <c r="J184" s="1" t="s">
        <v>7</v>
      </c>
      <c r="K184" s="1" t="s">
        <v>8</v>
      </c>
      <c r="L184" s="1" t="s">
        <v>9</v>
      </c>
      <c r="M184" s="1" t="s">
        <v>10</v>
      </c>
    </row>
    <row r="185" spans="1:13">
      <c r="B185" s="11"/>
      <c r="C185" s="11"/>
      <c r="D185" s="11"/>
    </row>
    <row r="186" spans="1:13">
      <c r="A186">
        <v>99201</v>
      </c>
      <c r="B186" s="12" t="s">
        <v>11</v>
      </c>
      <c r="C186" s="12"/>
      <c r="D186" s="12"/>
      <c r="E186">
        <v>0</v>
      </c>
      <c r="F186" s="2">
        <v>16.23</v>
      </c>
      <c r="G186" s="2">
        <f t="shared" ref="G186:G206" si="32">(E186*F186)</f>
        <v>0</v>
      </c>
      <c r="H186" s="2">
        <v>19.829999999999998</v>
      </c>
      <c r="I186" s="2">
        <f>(E186*H186)</f>
        <v>0</v>
      </c>
      <c r="J186" s="2">
        <v>1.08</v>
      </c>
      <c r="K186" s="2">
        <f>(E186*J186)</f>
        <v>0</v>
      </c>
      <c r="L186" s="2">
        <v>37.14</v>
      </c>
      <c r="M186" s="2">
        <f>(G186+I186+K186)</f>
        <v>0</v>
      </c>
    </row>
    <row r="187" spans="1:13">
      <c r="A187">
        <v>99202</v>
      </c>
      <c r="B187" s="9" t="s">
        <v>11</v>
      </c>
      <c r="C187" s="9"/>
      <c r="D187" s="9"/>
      <c r="E187">
        <v>0</v>
      </c>
      <c r="F187" s="2">
        <v>31.73</v>
      </c>
      <c r="G187" s="2">
        <f t="shared" si="32"/>
        <v>0</v>
      </c>
      <c r="H187" s="2">
        <v>30.65</v>
      </c>
      <c r="I187" s="2">
        <f t="shared" ref="I187:I206" si="33">(E187*H187)</f>
        <v>0</v>
      </c>
      <c r="J187" s="2">
        <v>1.8</v>
      </c>
      <c r="K187" s="2">
        <f t="shared" ref="K187:K206" si="34">(E187*J187)</f>
        <v>0</v>
      </c>
      <c r="L187" s="2">
        <v>64.180000000000007</v>
      </c>
      <c r="M187" s="2">
        <f t="shared" ref="M187:M207" si="35">(G187+I187+K187)</f>
        <v>0</v>
      </c>
    </row>
    <row r="188" spans="1:13">
      <c r="A188">
        <v>99203</v>
      </c>
      <c r="B188" s="9" t="s">
        <v>11</v>
      </c>
      <c r="C188" s="9"/>
      <c r="D188" s="9"/>
      <c r="E188">
        <v>0</v>
      </c>
      <c r="F188" s="2">
        <v>48.32</v>
      </c>
      <c r="G188" s="2">
        <f t="shared" si="32"/>
        <v>0</v>
      </c>
      <c r="H188" s="2">
        <v>40.39</v>
      </c>
      <c r="I188" s="2">
        <f t="shared" si="33"/>
        <v>0</v>
      </c>
      <c r="J188" s="2">
        <v>3.24</v>
      </c>
      <c r="K188" s="2">
        <f t="shared" si="34"/>
        <v>0</v>
      </c>
      <c r="L188" s="2">
        <v>91.95</v>
      </c>
      <c r="M188" s="2">
        <f t="shared" si="35"/>
        <v>0</v>
      </c>
    </row>
    <row r="189" spans="1:13">
      <c r="A189">
        <v>99204</v>
      </c>
      <c r="B189" s="9" t="s">
        <v>11</v>
      </c>
      <c r="C189" s="9"/>
      <c r="D189" s="9"/>
      <c r="E189">
        <v>0</v>
      </c>
      <c r="F189" s="2">
        <v>82.94</v>
      </c>
      <c r="G189" s="2">
        <f t="shared" si="32"/>
        <v>0</v>
      </c>
      <c r="H189" s="2">
        <v>54.45</v>
      </c>
      <c r="I189" s="2">
        <f t="shared" si="33"/>
        <v>0</v>
      </c>
      <c r="J189" s="2">
        <v>4.33</v>
      </c>
      <c r="K189" s="2">
        <f t="shared" si="34"/>
        <v>0</v>
      </c>
      <c r="L189" s="2">
        <v>141.72</v>
      </c>
      <c r="M189" s="2">
        <f t="shared" si="35"/>
        <v>0</v>
      </c>
    </row>
    <row r="190" spans="1:13">
      <c r="A190">
        <v>99211</v>
      </c>
      <c r="B190" s="9" t="s">
        <v>12</v>
      </c>
      <c r="C190" s="9"/>
      <c r="D190" s="9"/>
      <c r="E190">
        <v>0</v>
      </c>
      <c r="F190" s="2">
        <v>6.13</v>
      </c>
      <c r="G190" s="2">
        <f t="shared" si="32"/>
        <v>0</v>
      </c>
      <c r="H190" s="2">
        <v>11.54</v>
      </c>
      <c r="I190" s="2">
        <f t="shared" si="33"/>
        <v>0</v>
      </c>
      <c r="J190" s="2">
        <v>0.36</v>
      </c>
      <c r="K190" s="2">
        <f t="shared" si="34"/>
        <v>0</v>
      </c>
      <c r="L190" s="2">
        <v>18.03</v>
      </c>
      <c r="M190" s="2">
        <f t="shared" si="35"/>
        <v>0</v>
      </c>
    </row>
    <row r="191" spans="1:13">
      <c r="A191">
        <v>99212</v>
      </c>
      <c r="B191" s="9" t="s">
        <v>12</v>
      </c>
      <c r="C191" s="9"/>
      <c r="D191" s="9"/>
      <c r="E191">
        <v>0</v>
      </c>
      <c r="F191" s="2">
        <v>16.23</v>
      </c>
      <c r="G191" s="2">
        <f t="shared" si="32"/>
        <v>0</v>
      </c>
      <c r="H191" s="2">
        <v>19.829999999999998</v>
      </c>
      <c r="I191" s="2">
        <f t="shared" si="33"/>
        <v>0</v>
      </c>
      <c r="J191" s="2">
        <v>1.08</v>
      </c>
      <c r="K191" s="2">
        <f t="shared" si="34"/>
        <v>0</v>
      </c>
      <c r="L191" s="2">
        <v>37.11</v>
      </c>
      <c r="M191" s="2">
        <f t="shared" si="35"/>
        <v>0</v>
      </c>
    </row>
    <row r="192" spans="1:13">
      <c r="A192">
        <v>99213</v>
      </c>
      <c r="B192" s="9" t="s">
        <v>12</v>
      </c>
      <c r="C192" s="9"/>
      <c r="D192" s="9"/>
      <c r="E192">
        <v>0</v>
      </c>
      <c r="F192" s="2">
        <v>33.17</v>
      </c>
      <c r="G192" s="2">
        <f t="shared" si="32"/>
        <v>0</v>
      </c>
      <c r="H192" s="2">
        <v>27.77</v>
      </c>
      <c r="I192" s="2">
        <f t="shared" si="33"/>
        <v>0</v>
      </c>
      <c r="J192" s="2">
        <v>1.08</v>
      </c>
      <c r="K192" s="2">
        <f t="shared" si="34"/>
        <v>0</v>
      </c>
      <c r="L192" s="2">
        <v>62.02</v>
      </c>
      <c r="M192" s="2">
        <f t="shared" si="35"/>
        <v>0</v>
      </c>
    </row>
    <row r="193" spans="1:13">
      <c r="A193">
        <v>99214</v>
      </c>
      <c r="B193" s="9" t="s">
        <v>12</v>
      </c>
      <c r="C193" s="9"/>
      <c r="D193" s="9"/>
      <c r="E193">
        <v>0</v>
      </c>
      <c r="F193" s="2">
        <v>51.2</v>
      </c>
      <c r="G193" s="2">
        <f t="shared" si="32"/>
        <v>0</v>
      </c>
      <c r="H193" s="2">
        <v>39.67</v>
      </c>
      <c r="I193" s="2">
        <f t="shared" si="33"/>
        <v>0</v>
      </c>
      <c r="J193" s="2">
        <v>1.8</v>
      </c>
      <c r="K193" s="2">
        <f t="shared" si="34"/>
        <v>0</v>
      </c>
      <c r="L193" s="2">
        <v>92.67</v>
      </c>
      <c r="M193" s="2">
        <f t="shared" si="35"/>
        <v>0</v>
      </c>
    </row>
    <row r="194" spans="1:13">
      <c r="A194">
        <v>99215</v>
      </c>
      <c r="B194" s="9" t="s">
        <v>12</v>
      </c>
      <c r="C194" s="9"/>
      <c r="D194" s="9"/>
      <c r="E194">
        <v>0</v>
      </c>
      <c r="F194" s="2">
        <v>72.12</v>
      </c>
      <c r="G194" s="2">
        <f t="shared" si="32"/>
        <v>0</v>
      </c>
      <c r="H194" s="2">
        <v>50.48</v>
      </c>
      <c r="I194" s="2">
        <f t="shared" si="33"/>
        <v>0</v>
      </c>
      <c r="J194" s="2">
        <v>2.88</v>
      </c>
      <c r="K194" s="2">
        <f t="shared" si="34"/>
        <v>0</v>
      </c>
      <c r="L194" s="2">
        <v>125.48</v>
      </c>
      <c r="M194" s="2">
        <f t="shared" si="35"/>
        <v>0</v>
      </c>
    </row>
    <row r="195" spans="1:13">
      <c r="A195">
        <v>99381</v>
      </c>
      <c r="B195" s="9" t="s">
        <v>16</v>
      </c>
      <c r="C195" s="9"/>
      <c r="D195" s="9"/>
      <c r="E195">
        <v>0</v>
      </c>
      <c r="F195" s="2">
        <v>42.91</v>
      </c>
      <c r="G195" s="2">
        <f t="shared" si="32"/>
        <v>0</v>
      </c>
      <c r="H195" s="2">
        <v>42.91</v>
      </c>
      <c r="I195" s="2">
        <f t="shared" si="33"/>
        <v>0</v>
      </c>
      <c r="J195" s="2">
        <v>1.8</v>
      </c>
      <c r="K195" s="2">
        <f t="shared" si="34"/>
        <v>0</v>
      </c>
      <c r="L195" s="2">
        <v>87.62</v>
      </c>
      <c r="M195" s="2">
        <f t="shared" si="35"/>
        <v>0</v>
      </c>
    </row>
    <row r="196" spans="1:13">
      <c r="A196">
        <v>99382</v>
      </c>
      <c r="B196" s="9" t="s">
        <v>22</v>
      </c>
      <c r="C196" s="9"/>
      <c r="D196" s="9"/>
      <c r="E196">
        <v>0</v>
      </c>
      <c r="F196" s="2">
        <v>49.04</v>
      </c>
      <c r="G196" s="2">
        <f t="shared" si="32"/>
        <v>0</v>
      </c>
      <c r="H196" s="2">
        <v>45.07</v>
      </c>
      <c r="I196" s="2">
        <f t="shared" si="33"/>
        <v>0</v>
      </c>
      <c r="J196" s="2">
        <v>1.8</v>
      </c>
      <c r="K196" s="2">
        <f t="shared" si="34"/>
        <v>0</v>
      </c>
      <c r="L196" s="2">
        <v>95.91</v>
      </c>
      <c r="M196" s="2">
        <f t="shared" si="35"/>
        <v>0</v>
      </c>
    </row>
    <row r="197" spans="1:13">
      <c r="A197">
        <v>99383</v>
      </c>
      <c r="B197" s="9" t="s">
        <v>23</v>
      </c>
      <c r="C197" s="9"/>
      <c r="D197" s="9"/>
      <c r="E197">
        <v>0</v>
      </c>
      <c r="F197" s="2">
        <v>49.04</v>
      </c>
      <c r="G197" s="2">
        <f t="shared" si="32"/>
        <v>0</v>
      </c>
      <c r="H197" s="2">
        <v>44.71</v>
      </c>
      <c r="I197" s="2">
        <f t="shared" si="33"/>
        <v>0</v>
      </c>
      <c r="J197" s="2">
        <v>1.8</v>
      </c>
      <c r="K197" s="2">
        <f t="shared" si="34"/>
        <v>0</v>
      </c>
      <c r="L197" s="2">
        <v>95.55</v>
      </c>
      <c r="M197" s="2">
        <f t="shared" si="35"/>
        <v>0</v>
      </c>
    </row>
    <row r="198" spans="1:13">
      <c r="A198">
        <v>99384</v>
      </c>
      <c r="B198" s="9" t="s">
        <v>24</v>
      </c>
      <c r="C198" s="9"/>
      <c r="D198" s="9"/>
      <c r="E198">
        <v>0</v>
      </c>
      <c r="F198" s="2">
        <v>55.17</v>
      </c>
      <c r="G198" s="2">
        <f t="shared" si="32"/>
        <v>0</v>
      </c>
      <c r="H198" s="2">
        <v>46.88</v>
      </c>
      <c r="I198" s="2">
        <f t="shared" si="33"/>
        <v>0</v>
      </c>
      <c r="J198" s="2">
        <v>2.16</v>
      </c>
      <c r="K198" s="2">
        <f t="shared" si="34"/>
        <v>0</v>
      </c>
      <c r="L198" s="2">
        <v>104.21</v>
      </c>
      <c r="M198" s="2">
        <f t="shared" si="35"/>
        <v>0</v>
      </c>
    </row>
    <row r="199" spans="1:13">
      <c r="A199">
        <v>99385</v>
      </c>
      <c r="B199" s="9" t="s">
        <v>25</v>
      </c>
      <c r="C199" s="9"/>
      <c r="D199" s="9"/>
      <c r="E199">
        <v>0</v>
      </c>
      <c r="F199" s="2">
        <v>55.17</v>
      </c>
      <c r="G199" s="2">
        <f t="shared" si="32"/>
        <v>0</v>
      </c>
      <c r="H199" s="2">
        <v>46.88</v>
      </c>
      <c r="I199" s="2">
        <f t="shared" si="33"/>
        <v>0</v>
      </c>
      <c r="J199" s="2">
        <v>2.16</v>
      </c>
      <c r="K199" s="2">
        <f t="shared" si="34"/>
        <v>0</v>
      </c>
      <c r="L199" s="2">
        <v>104.21</v>
      </c>
      <c r="M199" s="2">
        <f t="shared" si="35"/>
        <v>0</v>
      </c>
    </row>
    <row r="200" spans="1:13">
      <c r="A200">
        <v>99391</v>
      </c>
      <c r="B200" s="9" t="s">
        <v>17</v>
      </c>
      <c r="C200" s="9"/>
      <c r="D200" s="9"/>
      <c r="E200">
        <v>0</v>
      </c>
      <c r="F200" s="2">
        <v>36.78</v>
      </c>
      <c r="G200" s="2">
        <f t="shared" si="32"/>
        <v>0</v>
      </c>
      <c r="H200" s="2">
        <v>37.14</v>
      </c>
      <c r="I200" s="2">
        <f t="shared" si="33"/>
        <v>0</v>
      </c>
      <c r="J200" s="2">
        <v>1.44</v>
      </c>
      <c r="K200" s="2">
        <f t="shared" si="34"/>
        <v>0</v>
      </c>
      <c r="L200" s="2">
        <v>75.36</v>
      </c>
      <c r="M200" s="2">
        <f t="shared" si="35"/>
        <v>0</v>
      </c>
    </row>
    <row r="201" spans="1:13">
      <c r="A201">
        <v>99392</v>
      </c>
      <c r="B201" s="9" t="s">
        <v>21</v>
      </c>
      <c r="C201" s="9"/>
      <c r="D201" s="9"/>
      <c r="E201">
        <v>0</v>
      </c>
      <c r="F201" s="2">
        <v>42.91</v>
      </c>
      <c r="G201" s="2">
        <f t="shared" si="32"/>
        <v>0</v>
      </c>
      <c r="H201" s="2">
        <v>39.299999999999997</v>
      </c>
      <c r="I201" s="2">
        <f t="shared" si="33"/>
        <v>0</v>
      </c>
      <c r="J201" s="2">
        <v>1.8</v>
      </c>
      <c r="K201" s="2">
        <f t="shared" si="34"/>
        <v>0</v>
      </c>
      <c r="L201" s="2">
        <v>84.01</v>
      </c>
      <c r="M201" s="2">
        <f t="shared" si="35"/>
        <v>0</v>
      </c>
    </row>
    <row r="202" spans="1:13">
      <c r="A202">
        <v>99393</v>
      </c>
      <c r="B202" s="9" t="s">
        <v>20</v>
      </c>
      <c r="C202" s="9"/>
      <c r="D202" s="9"/>
      <c r="E202">
        <v>0</v>
      </c>
      <c r="F202" s="2">
        <v>42.91</v>
      </c>
      <c r="G202" s="2">
        <f t="shared" si="32"/>
        <v>0</v>
      </c>
      <c r="H202" s="2">
        <v>38.94</v>
      </c>
      <c r="I202" s="2">
        <f t="shared" si="33"/>
        <v>0</v>
      </c>
      <c r="J202" s="2">
        <v>1.8</v>
      </c>
      <c r="K202" s="2">
        <f t="shared" si="34"/>
        <v>0</v>
      </c>
      <c r="L202" s="2">
        <v>83.65</v>
      </c>
      <c r="M202" s="2">
        <f t="shared" si="35"/>
        <v>0</v>
      </c>
    </row>
    <row r="203" spans="1:13">
      <c r="A203">
        <v>99394</v>
      </c>
      <c r="B203" s="9" t="s">
        <v>19</v>
      </c>
      <c r="C203" s="9"/>
      <c r="D203" s="9"/>
      <c r="E203">
        <v>0</v>
      </c>
      <c r="F203" s="2">
        <v>49.04</v>
      </c>
      <c r="G203" s="2">
        <f t="shared" si="32"/>
        <v>0</v>
      </c>
      <c r="H203" s="2">
        <v>41.11</v>
      </c>
      <c r="I203" s="2">
        <f t="shared" si="33"/>
        <v>0</v>
      </c>
      <c r="J203" s="2">
        <v>1.8</v>
      </c>
      <c r="K203" s="2">
        <f t="shared" si="34"/>
        <v>0</v>
      </c>
      <c r="L203" s="2">
        <v>91.95</v>
      </c>
      <c r="M203" s="2">
        <f t="shared" si="35"/>
        <v>0</v>
      </c>
    </row>
    <row r="204" spans="1:13">
      <c r="A204">
        <v>99395</v>
      </c>
      <c r="B204" s="9" t="s">
        <v>18</v>
      </c>
      <c r="C204" s="9"/>
      <c r="D204" s="9"/>
      <c r="E204">
        <v>0</v>
      </c>
      <c r="F204" s="2">
        <v>49.04</v>
      </c>
      <c r="G204" s="2">
        <f t="shared" si="32"/>
        <v>0</v>
      </c>
      <c r="H204" s="2">
        <v>41.11</v>
      </c>
      <c r="I204" s="2">
        <f t="shared" si="33"/>
        <v>0</v>
      </c>
      <c r="J204" s="2">
        <v>1.8</v>
      </c>
      <c r="K204" s="2">
        <f t="shared" si="34"/>
        <v>0</v>
      </c>
      <c r="L204" s="2">
        <v>91.95</v>
      </c>
      <c r="M204" s="2">
        <f t="shared" si="35"/>
        <v>0</v>
      </c>
    </row>
    <row r="205" spans="1:13">
      <c r="A205">
        <v>99396</v>
      </c>
      <c r="B205" s="9" t="s">
        <v>26</v>
      </c>
      <c r="C205" s="9"/>
      <c r="D205" s="9"/>
      <c r="E205">
        <v>0</v>
      </c>
      <c r="F205" s="2">
        <v>55.17</v>
      </c>
      <c r="G205" s="2">
        <f t="shared" si="32"/>
        <v>0</v>
      </c>
      <c r="H205" s="2">
        <v>43.27</v>
      </c>
      <c r="I205" s="2">
        <f t="shared" si="33"/>
        <v>0</v>
      </c>
      <c r="J205" s="2">
        <v>2.16</v>
      </c>
      <c r="K205" s="2">
        <f t="shared" si="34"/>
        <v>0</v>
      </c>
      <c r="L205" s="2">
        <v>100.6</v>
      </c>
      <c r="M205" s="2">
        <f t="shared" si="35"/>
        <v>0</v>
      </c>
    </row>
    <row r="206" spans="1:13">
      <c r="A206">
        <v>99397</v>
      </c>
      <c r="B206" s="9" t="s">
        <v>27</v>
      </c>
      <c r="C206" s="9"/>
      <c r="D206" s="9"/>
      <c r="E206">
        <v>0</v>
      </c>
      <c r="F206" s="2">
        <v>61.66</v>
      </c>
      <c r="G206" s="2">
        <f t="shared" si="32"/>
        <v>0</v>
      </c>
      <c r="H206" s="2">
        <v>49.04</v>
      </c>
      <c r="I206" s="2">
        <f t="shared" si="33"/>
        <v>0</v>
      </c>
      <c r="J206" s="2">
        <v>2.16</v>
      </c>
      <c r="K206" s="2">
        <f t="shared" si="34"/>
        <v>0</v>
      </c>
      <c r="L206" s="2">
        <v>112.86</v>
      </c>
      <c r="M206" s="2">
        <f t="shared" si="35"/>
        <v>0</v>
      </c>
    </row>
    <row r="207" spans="1:13">
      <c r="A207" s="10" t="s">
        <v>13</v>
      </c>
      <c r="B207" s="10"/>
      <c r="C207" s="10"/>
      <c r="D207" s="10"/>
      <c r="E207" s="1">
        <f>SUM(E186:E206)</f>
        <v>0</v>
      </c>
      <c r="F207" s="2"/>
      <c r="G207" s="3">
        <f>SUM(G186:G206)</f>
        <v>0</v>
      </c>
      <c r="H207" s="3"/>
      <c r="I207" s="3">
        <f>SUM(I186:I206)</f>
        <v>0</v>
      </c>
      <c r="J207" s="3"/>
      <c r="K207" s="3">
        <f>SUM(K186:K206)</f>
        <v>0</v>
      </c>
      <c r="L207" s="3"/>
      <c r="M207" s="3">
        <f t="shared" si="35"/>
        <v>0</v>
      </c>
    </row>
    <row r="208" spans="1:13">
      <c r="A208" s="9"/>
      <c r="B208" s="9"/>
      <c r="C208" s="9"/>
      <c r="D208" s="9"/>
    </row>
    <row r="209" spans="1:13">
      <c r="B209" s="10" t="s">
        <v>28</v>
      </c>
      <c r="C209" s="9"/>
      <c r="D209" s="9"/>
    </row>
    <row r="210" spans="1:13">
      <c r="A210" s="1" t="s">
        <v>0</v>
      </c>
      <c r="B210" s="10" t="s">
        <v>1</v>
      </c>
      <c r="C210" s="10"/>
      <c r="D210" s="10"/>
      <c r="E210" s="1" t="s">
        <v>14</v>
      </c>
      <c r="F210" s="1" t="s">
        <v>3</v>
      </c>
      <c r="G210" s="1" t="s">
        <v>15</v>
      </c>
      <c r="H210" s="1" t="s">
        <v>5</v>
      </c>
      <c r="I210" s="1" t="s">
        <v>6</v>
      </c>
      <c r="J210" s="1" t="s">
        <v>7</v>
      </c>
      <c r="K210" s="1" t="s">
        <v>8</v>
      </c>
      <c r="L210" s="1" t="s">
        <v>9</v>
      </c>
      <c r="M210" s="1" t="s">
        <v>10</v>
      </c>
    </row>
    <row r="211" spans="1:13">
      <c r="B211" s="11"/>
      <c r="C211" s="11"/>
      <c r="D211" s="11"/>
    </row>
    <row r="212" spans="1:13">
      <c r="A212">
        <v>99201</v>
      </c>
      <c r="B212" s="12" t="s">
        <v>11</v>
      </c>
      <c r="C212" s="12"/>
      <c r="D212" s="12"/>
      <c r="E212">
        <v>0</v>
      </c>
      <c r="F212" s="2">
        <v>16.23</v>
      </c>
      <c r="G212" s="2">
        <f t="shared" ref="G212:G232" si="36">(E212*F212)</f>
        <v>0</v>
      </c>
      <c r="H212" s="2">
        <v>19.829999999999998</v>
      </c>
      <c r="I212" s="2">
        <f>(E212*H212)</f>
        <v>0</v>
      </c>
      <c r="J212" s="2">
        <v>1.08</v>
      </c>
      <c r="K212" s="2">
        <f>(E212*J212)</f>
        <v>0</v>
      </c>
      <c r="L212" s="2">
        <v>37.14</v>
      </c>
      <c r="M212" s="2">
        <f>(G212+I212+K212)</f>
        <v>0</v>
      </c>
    </row>
    <row r="213" spans="1:13">
      <c r="A213">
        <v>99202</v>
      </c>
      <c r="B213" s="9" t="s">
        <v>11</v>
      </c>
      <c r="C213" s="9"/>
      <c r="D213" s="9"/>
      <c r="E213">
        <v>0</v>
      </c>
      <c r="F213" s="2">
        <v>31.73</v>
      </c>
      <c r="G213" s="2">
        <f t="shared" si="36"/>
        <v>0</v>
      </c>
      <c r="H213" s="2">
        <v>30.65</v>
      </c>
      <c r="I213" s="2">
        <f t="shared" ref="I213:I232" si="37">(E213*H213)</f>
        <v>0</v>
      </c>
      <c r="J213" s="2">
        <v>1.8</v>
      </c>
      <c r="K213" s="2">
        <f t="shared" ref="K213:K232" si="38">(E213*J213)</f>
        <v>0</v>
      </c>
      <c r="L213" s="2">
        <v>64.180000000000007</v>
      </c>
      <c r="M213" s="2">
        <f t="shared" ref="M213:M233" si="39">(G213+I213+K213)</f>
        <v>0</v>
      </c>
    </row>
    <row r="214" spans="1:13">
      <c r="A214">
        <v>99203</v>
      </c>
      <c r="B214" s="9" t="s">
        <v>11</v>
      </c>
      <c r="C214" s="9"/>
      <c r="D214" s="9"/>
      <c r="E214">
        <v>0</v>
      </c>
      <c r="F214" s="2">
        <v>48.32</v>
      </c>
      <c r="G214" s="2">
        <f t="shared" si="36"/>
        <v>0</v>
      </c>
      <c r="H214" s="2">
        <v>40.39</v>
      </c>
      <c r="I214" s="2">
        <f t="shared" si="37"/>
        <v>0</v>
      </c>
      <c r="J214" s="2">
        <v>3.24</v>
      </c>
      <c r="K214" s="2">
        <f t="shared" si="38"/>
        <v>0</v>
      </c>
      <c r="L214" s="2">
        <v>91.95</v>
      </c>
      <c r="M214" s="2">
        <f t="shared" si="39"/>
        <v>0</v>
      </c>
    </row>
    <row r="215" spans="1:13">
      <c r="A215">
        <v>99204</v>
      </c>
      <c r="B215" s="9" t="s">
        <v>11</v>
      </c>
      <c r="C215" s="9"/>
      <c r="D215" s="9"/>
      <c r="E215">
        <v>0</v>
      </c>
      <c r="F215" s="2">
        <v>82.94</v>
      </c>
      <c r="G215" s="2">
        <f t="shared" si="36"/>
        <v>0</v>
      </c>
      <c r="H215" s="2">
        <v>54.45</v>
      </c>
      <c r="I215" s="2">
        <f t="shared" si="37"/>
        <v>0</v>
      </c>
      <c r="J215" s="2">
        <v>4.33</v>
      </c>
      <c r="K215" s="2">
        <f t="shared" si="38"/>
        <v>0</v>
      </c>
      <c r="L215" s="2">
        <v>141.72</v>
      </c>
      <c r="M215" s="2">
        <f t="shared" si="39"/>
        <v>0</v>
      </c>
    </row>
    <row r="216" spans="1:13">
      <c r="A216">
        <v>99211</v>
      </c>
      <c r="B216" s="9" t="s">
        <v>12</v>
      </c>
      <c r="C216" s="9"/>
      <c r="D216" s="9"/>
      <c r="E216">
        <v>0</v>
      </c>
      <c r="F216" s="2">
        <v>6.13</v>
      </c>
      <c r="G216" s="2">
        <f t="shared" si="36"/>
        <v>0</v>
      </c>
      <c r="H216" s="2">
        <v>11.54</v>
      </c>
      <c r="I216" s="2">
        <f t="shared" si="37"/>
        <v>0</v>
      </c>
      <c r="J216" s="2">
        <v>0.36</v>
      </c>
      <c r="K216" s="2">
        <f t="shared" si="38"/>
        <v>0</v>
      </c>
      <c r="L216" s="2">
        <v>18.03</v>
      </c>
      <c r="M216" s="2">
        <f t="shared" si="39"/>
        <v>0</v>
      </c>
    </row>
    <row r="217" spans="1:13">
      <c r="A217">
        <v>99212</v>
      </c>
      <c r="B217" s="9" t="s">
        <v>12</v>
      </c>
      <c r="C217" s="9"/>
      <c r="D217" s="9"/>
      <c r="E217">
        <v>0</v>
      </c>
      <c r="F217" s="2">
        <v>16.23</v>
      </c>
      <c r="G217" s="2">
        <f t="shared" si="36"/>
        <v>0</v>
      </c>
      <c r="H217" s="2">
        <v>19.829999999999998</v>
      </c>
      <c r="I217" s="2">
        <f t="shared" si="37"/>
        <v>0</v>
      </c>
      <c r="J217" s="2">
        <v>1.08</v>
      </c>
      <c r="K217" s="2">
        <f t="shared" si="38"/>
        <v>0</v>
      </c>
      <c r="L217" s="2">
        <v>37.11</v>
      </c>
      <c r="M217" s="2">
        <f t="shared" si="39"/>
        <v>0</v>
      </c>
    </row>
    <row r="218" spans="1:13">
      <c r="A218">
        <v>99213</v>
      </c>
      <c r="B218" s="9" t="s">
        <v>12</v>
      </c>
      <c r="C218" s="9"/>
      <c r="D218" s="9"/>
      <c r="E218">
        <v>0</v>
      </c>
      <c r="F218" s="2">
        <v>33.17</v>
      </c>
      <c r="G218" s="2">
        <f t="shared" si="36"/>
        <v>0</v>
      </c>
      <c r="H218" s="2">
        <v>27.77</v>
      </c>
      <c r="I218" s="2">
        <f t="shared" si="37"/>
        <v>0</v>
      </c>
      <c r="J218" s="2">
        <v>1.08</v>
      </c>
      <c r="K218" s="2">
        <f t="shared" si="38"/>
        <v>0</v>
      </c>
      <c r="L218" s="2">
        <v>62.02</v>
      </c>
      <c r="M218" s="2">
        <f t="shared" si="39"/>
        <v>0</v>
      </c>
    </row>
    <row r="219" spans="1:13">
      <c r="A219">
        <v>99214</v>
      </c>
      <c r="B219" s="9" t="s">
        <v>12</v>
      </c>
      <c r="C219" s="9"/>
      <c r="D219" s="9"/>
      <c r="E219">
        <v>0</v>
      </c>
      <c r="F219" s="2">
        <v>51.2</v>
      </c>
      <c r="G219" s="2">
        <f t="shared" si="36"/>
        <v>0</v>
      </c>
      <c r="H219" s="2">
        <v>39.67</v>
      </c>
      <c r="I219" s="2">
        <f t="shared" si="37"/>
        <v>0</v>
      </c>
      <c r="J219" s="2">
        <v>1.8</v>
      </c>
      <c r="K219" s="2">
        <f t="shared" si="38"/>
        <v>0</v>
      </c>
      <c r="L219" s="2">
        <v>92.67</v>
      </c>
      <c r="M219" s="2">
        <f t="shared" si="39"/>
        <v>0</v>
      </c>
    </row>
    <row r="220" spans="1:13">
      <c r="A220">
        <v>99215</v>
      </c>
      <c r="B220" s="9" t="s">
        <v>12</v>
      </c>
      <c r="C220" s="9"/>
      <c r="D220" s="9"/>
      <c r="E220">
        <v>0</v>
      </c>
      <c r="F220" s="2">
        <v>72.12</v>
      </c>
      <c r="G220" s="2">
        <f t="shared" si="36"/>
        <v>0</v>
      </c>
      <c r="H220" s="2">
        <v>50.48</v>
      </c>
      <c r="I220" s="2">
        <f t="shared" si="37"/>
        <v>0</v>
      </c>
      <c r="J220" s="2">
        <v>2.88</v>
      </c>
      <c r="K220" s="2">
        <f t="shared" si="38"/>
        <v>0</v>
      </c>
      <c r="L220" s="2">
        <v>125.48</v>
      </c>
      <c r="M220" s="2">
        <f t="shared" si="39"/>
        <v>0</v>
      </c>
    </row>
    <row r="221" spans="1:13">
      <c r="A221">
        <v>99381</v>
      </c>
      <c r="B221" s="9" t="s">
        <v>16</v>
      </c>
      <c r="C221" s="9"/>
      <c r="D221" s="9"/>
      <c r="E221">
        <v>0</v>
      </c>
      <c r="F221" s="2">
        <v>42.91</v>
      </c>
      <c r="G221" s="2">
        <f t="shared" si="36"/>
        <v>0</v>
      </c>
      <c r="H221" s="2">
        <v>42.91</v>
      </c>
      <c r="I221" s="2">
        <f t="shared" si="37"/>
        <v>0</v>
      </c>
      <c r="J221" s="2">
        <v>1.8</v>
      </c>
      <c r="K221" s="2">
        <f t="shared" si="38"/>
        <v>0</v>
      </c>
      <c r="L221" s="2">
        <v>87.62</v>
      </c>
      <c r="M221" s="2">
        <f t="shared" si="39"/>
        <v>0</v>
      </c>
    </row>
    <row r="222" spans="1:13">
      <c r="A222">
        <v>99382</v>
      </c>
      <c r="B222" s="9" t="s">
        <v>22</v>
      </c>
      <c r="C222" s="9"/>
      <c r="D222" s="9"/>
      <c r="E222">
        <v>0</v>
      </c>
      <c r="F222" s="2">
        <v>49.04</v>
      </c>
      <c r="G222" s="2">
        <f t="shared" si="36"/>
        <v>0</v>
      </c>
      <c r="H222" s="2">
        <v>45.07</v>
      </c>
      <c r="I222" s="2">
        <f t="shared" si="37"/>
        <v>0</v>
      </c>
      <c r="J222" s="2">
        <v>1.8</v>
      </c>
      <c r="K222" s="2">
        <f t="shared" si="38"/>
        <v>0</v>
      </c>
      <c r="L222" s="2">
        <v>95.91</v>
      </c>
      <c r="M222" s="2">
        <f t="shared" si="39"/>
        <v>0</v>
      </c>
    </row>
    <row r="223" spans="1:13">
      <c r="A223">
        <v>99383</v>
      </c>
      <c r="B223" s="9" t="s">
        <v>23</v>
      </c>
      <c r="C223" s="9"/>
      <c r="D223" s="9"/>
      <c r="E223">
        <v>0</v>
      </c>
      <c r="F223" s="2">
        <v>49.04</v>
      </c>
      <c r="G223" s="2">
        <f t="shared" si="36"/>
        <v>0</v>
      </c>
      <c r="H223" s="2">
        <v>44.71</v>
      </c>
      <c r="I223" s="2">
        <f t="shared" si="37"/>
        <v>0</v>
      </c>
      <c r="J223" s="2">
        <v>1.8</v>
      </c>
      <c r="K223" s="2">
        <f t="shared" si="38"/>
        <v>0</v>
      </c>
      <c r="L223" s="2">
        <v>95.55</v>
      </c>
      <c r="M223" s="2">
        <f t="shared" si="39"/>
        <v>0</v>
      </c>
    </row>
    <row r="224" spans="1:13">
      <c r="A224">
        <v>99384</v>
      </c>
      <c r="B224" s="9" t="s">
        <v>24</v>
      </c>
      <c r="C224" s="9"/>
      <c r="D224" s="9"/>
      <c r="E224">
        <v>0</v>
      </c>
      <c r="F224" s="2">
        <v>55.17</v>
      </c>
      <c r="G224" s="2">
        <f t="shared" si="36"/>
        <v>0</v>
      </c>
      <c r="H224" s="2">
        <v>46.88</v>
      </c>
      <c r="I224" s="2">
        <f t="shared" si="37"/>
        <v>0</v>
      </c>
      <c r="J224" s="2">
        <v>2.16</v>
      </c>
      <c r="K224" s="2">
        <f t="shared" si="38"/>
        <v>0</v>
      </c>
      <c r="L224" s="2">
        <v>104.21</v>
      </c>
      <c r="M224" s="2">
        <f t="shared" si="39"/>
        <v>0</v>
      </c>
    </row>
    <row r="225" spans="1:13">
      <c r="A225">
        <v>99385</v>
      </c>
      <c r="B225" s="9" t="s">
        <v>25</v>
      </c>
      <c r="C225" s="9"/>
      <c r="D225" s="9"/>
      <c r="E225">
        <v>0</v>
      </c>
      <c r="F225" s="2">
        <v>55.17</v>
      </c>
      <c r="G225" s="2">
        <f t="shared" si="36"/>
        <v>0</v>
      </c>
      <c r="H225" s="2">
        <v>46.88</v>
      </c>
      <c r="I225" s="2">
        <f t="shared" si="37"/>
        <v>0</v>
      </c>
      <c r="J225" s="2">
        <v>2.16</v>
      </c>
      <c r="K225" s="2">
        <f t="shared" si="38"/>
        <v>0</v>
      </c>
      <c r="L225" s="2">
        <v>104.21</v>
      </c>
      <c r="M225" s="2">
        <f t="shared" si="39"/>
        <v>0</v>
      </c>
    </row>
    <row r="226" spans="1:13">
      <c r="A226">
        <v>99391</v>
      </c>
      <c r="B226" s="9" t="s">
        <v>17</v>
      </c>
      <c r="C226" s="9"/>
      <c r="D226" s="9"/>
      <c r="E226">
        <v>0</v>
      </c>
      <c r="F226" s="2">
        <v>36.78</v>
      </c>
      <c r="G226" s="2">
        <f t="shared" si="36"/>
        <v>0</v>
      </c>
      <c r="H226" s="2">
        <v>37.14</v>
      </c>
      <c r="I226" s="2">
        <f t="shared" si="37"/>
        <v>0</v>
      </c>
      <c r="J226" s="2">
        <v>1.44</v>
      </c>
      <c r="K226" s="2">
        <f t="shared" si="38"/>
        <v>0</v>
      </c>
      <c r="L226" s="2">
        <v>75.36</v>
      </c>
      <c r="M226" s="2">
        <f t="shared" si="39"/>
        <v>0</v>
      </c>
    </row>
    <row r="227" spans="1:13">
      <c r="A227">
        <v>99392</v>
      </c>
      <c r="B227" s="9" t="s">
        <v>21</v>
      </c>
      <c r="C227" s="9"/>
      <c r="D227" s="9"/>
      <c r="E227">
        <v>0</v>
      </c>
      <c r="F227" s="2">
        <v>42.91</v>
      </c>
      <c r="G227" s="2">
        <f t="shared" si="36"/>
        <v>0</v>
      </c>
      <c r="H227" s="2">
        <v>39.299999999999997</v>
      </c>
      <c r="I227" s="2">
        <f t="shared" si="37"/>
        <v>0</v>
      </c>
      <c r="J227" s="2">
        <v>1.8</v>
      </c>
      <c r="K227" s="2">
        <f t="shared" si="38"/>
        <v>0</v>
      </c>
      <c r="L227" s="2">
        <v>84.01</v>
      </c>
      <c r="M227" s="2">
        <f t="shared" si="39"/>
        <v>0</v>
      </c>
    </row>
    <row r="228" spans="1:13">
      <c r="A228">
        <v>99393</v>
      </c>
      <c r="B228" s="9" t="s">
        <v>20</v>
      </c>
      <c r="C228" s="9"/>
      <c r="D228" s="9"/>
      <c r="E228">
        <v>0</v>
      </c>
      <c r="F228" s="2">
        <v>42.91</v>
      </c>
      <c r="G228" s="2">
        <f t="shared" si="36"/>
        <v>0</v>
      </c>
      <c r="H228" s="2">
        <v>38.94</v>
      </c>
      <c r="I228" s="2">
        <f t="shared" si="37"/>
        <v>0</v>
      </c>
      <c r="J228" s="2">
        <v>1.8</v>
      </c>
      <c r="K228" s="2">
        <f t="shared" si="38"/>
        <v>0</v>
      </c>
      <c r="L228" s="2">
        <v>83.65</v>
      </c>
      <c r="M228" s="2">
        <f t="shared" si="39"/>
        <v>0</v>
      </c>
    </row>
    <row r="229" spans="1:13">
      <c r="A229">
        <v>99394</v>
      </c>
      <c r="B229" s="9" t="s">
        <v>19</v>
      </c>
      <c r="C229" s="9"/>
      <c r="D229" s="9"/>
      <c r="E229">
        <v>0</v>
      </c>
      <c r="F229" s="2">
        <v>49.04</v>
      </c>
      <c r="G229" s="2">
        <f t="shared" si="36"/>
        <v>0</v>
      </c>
      <c r="H229" s="2">
        <v>41.11</v>
      </c>
      <c r="I229" s="2">
        <f t="shared" si="37"/>
        <v>0</v>
      </c>
      <c r="J229" s="2">
        <v>1.8</v>
      </c>
      <c r="K229" s="2">
        <f t="shared" si="38"/>
        <v>0</v>
      </c>
      <c r="L229" s="2">
        <v>91.95</v>
      </c>
      <c r="M229" s="2">
        <f t="shared" si="39"/>
        <v>0</v>
      </c>
    </row>
    <row r="230" spans="1:13">
      <c r="A230">
        <v>99395</v>
      </c>
      <c r="B230" s="9" t="s">
        <v>18</v>
      </c>
      <c r="C230" s="9"/>
      <c r="D230" s="9"/>
      <c r="E230">
        <v>0</v>
      </c>
      <c r="F230" s="2">
        <v>49.04</v>
      </c>
      <c r="G230" s="2">
        <f t="shared" si="36"/>
        <v>0</v>
      </c>
      <c r="H230" s="2">
        <v>41.11</v>
      </c>
      <c r="I230" s="2">
        <f t="shared" si="37"/>
        <v>0</v>
      </c>
      <c r="J230" s="2">
        <v>1.8</v>
      </c>
      <c r="K230" s="2">
        <f t="shared" si="38"/>
        <v>0</v>
      </c>
      <c r="L230" s="2">
        <v>91.95</v>
      </c>
      <c r="M230" s="2">
        <f t="shared" si="39"/>
        <v>0</v>
      </c>
    </row>
    <row r="231" spans="1:13">
      <c r="A231">
        <v>99396</v>
      </c>
      <c r="B231" s="9" t="s">
        <v>26</v>
      </c>
      <c r="C231" s="9"/>
      <c r="D231" s="9"/>
      <c r="E231">
        <v>0</v>
      </c>
      <c r="F231" s="2">
        <v>55.17</v>
      </c>
      <c r="G231" s="2">
        <f t="shared" si="36"/>
        <v>0</v>
      </c>
      <c r="H231" s="2">
        <v>43.27</v>
      </c>
      <c r="I231" s="2">
        <f t="shared" si="37"/>
        <v>0</v>
      </c>
      <c r="J231" s="2">
        <v>2.16</v>
      </c>
      <c r="K231" s="2">
        <f t="shared" si="38"/>
        <v>0</v>
      </c>
      <c r="L231" s="2">
        <v>100.6</v>
      </c>
      <c r="M231" s="2">
        <f t="shared" si="39"/>
        <v>0</v>
      </c>
    </row>
    <row r="232" spans="1:13">
      <c r="A232">
        <v>99397</v>
      </c>
      <c r="B232" s="9" t="s">
        <v>27</v>
      </c>
      <c r="C232" s="9"/>
      <c r="D232" s="9"/>
      <c r="E232">
        <v>0</v>
      </c>
      <c r="F232" s="2">
        <v>61.66</v>
      </c>
      <c r="G232" s="2">
        <f t="shared" si="36"/>
        <v>0</v>
      </c>
      <c r="H232" s="2">
        <v>49.04</v>
      </c>
      <c r="I232" s="2">
        <f t="shared" si="37"/>
        <v>0</v>
      </c>
      <c r="J232" s="2">
        <v>2.16</v>
      </c>
      <c r="K232" s="2">
        <f t="shared" si="38"/>
        <v>0</v>
      </c>
      <c r="L232" s="2">
        <v>112.86</v>
      </c>
      <c r="M232" s="2">
        <f t="shared" si="39"/>
        <v>0</v>
      </c>
    </row>
    <row r="233" spans="1:13">
      <c r="A233" s="10" t="s">
        <v>13</v>
      </c>
      <c r="B233" s="10"/>
      <c r="C233" s="10"/>
      <c r="D233" s="10"/>
      <c r="E233" s="1">
        <f>SUM(E212:E232)</f>
        <v>0</v>
      </c>
      <c r="F233" s="2"/>
      <c r="G233" s="3">
        <f>SUM(G212:G232)</f>
        <v>0</v>
      </c>
      <c r="H233" s="3"/>
      <c r="I233" s="3">
        <f>SUM(I212:I232)</f>
        <v>0</v>
      </c>
      <c r="J233" s="3"/>
      <c r="K233" s="3">
        <f>SUM(K212:K232)</f>
        <v>0</v>
      </c>
      <c r="L233" s="3"/>
      <c r="M233" s="3">
        <f t="shared" si="39"/>
        <v>0</v>
      </c>
    </row>
    <row r="234" spans="1:13">
      <c r="A234" s="9"/>
      <c r="B234" s="9"/>
      <c r="C234" s="9"/>
      <c r="D234" s="9"/>
    </row>
    <row r="235" spans="1:13">
      <c r="B235" s="10" t="s">
        <v>28</v>
      </c>
      <c r="C235" s="9"/>
      <c r="D235" s="9"/>
    </row>
    <row r="236" spans="1:13">
      <c r="A236" s="1" t="s">
        <v>0</v>
      </c>
      <c r="B236" s="10" t="s">
        <v>1</v>
      </c>
      <c r="C236" s="10"/>
      <c r="D236" s="10"/>
      <c r="E236" s="1" t="s">
        <v>14</v>
      </c>
      <c r="F236" s="1" t="s">
        <v>3</v>
      </c>
      <c r="G236" s="1" t="s">
        <v>15</v>
      </c>
      <c r="H236" s="1" t="s">
        <v>5</v>
      </c>
      <c r="I236" s="1" t="s">
        <v>6</v>
      </c>
      <c r="J236" s="1" t="s">
        <v>7</v>
      </c>
      <c r="K236" s="1" t="s">
        <v>8</v>
      </c>
      <c r="L236" s="1" t="s">
        <v>9</v>
      </c>
      <c r="M236" s="1" t="s">
        <v>10</v>
      </c>
    </row>
    <row r="237" spans="1:13">
      <c r="B237" s="11"/>
      <c r="C237" s="11"/>
      <c r="D237" s="11"/>
    </row>
    <row r="238" spans="1:13">
      <c r="A238">
        <v>99201</v>
      </c>
      <c r="B238" s="12" t="s">
        <v>11</v>
      </c>
      <c r="C238" s="12"/>
      <c r="D238" s="12"/>
      <c r="E238">
        <v>0</v>
      </c>
      <c r="F238" s="2">
        <v>16.23</v>
      </c>
      <c r="G238" s="2">
        <f t="shared" ref="G238:G258" si="40">(E238*F238)</f>
        <v>0</v>
      </c>
      <c r="H238" s="2">
        <v>19.829999999999998</v>
      </c>
      <c r="I238" s="2">
        <f>(E238*H238)</f>
        <v>0</v>
      </c>
      <c r="J238" s="2">
        <v>1.08</v>
      </c>
      <c r="K238" s="2">
        <f>(E238*J238)</f>
        <v>0</v>
      </c>
      <c r="L238" s="2">
        <v>37.14</v>
      </c>
      <c r="M238" s="2">
        <f>(G238+I238+K238)</f>
        <v>0</v>
      </c>
    </row>
    <row r="239" spans="1:13">
      <c r="A239">
        <v>99202</v>
      </c>
      <c r="B239" s="9" t="s">
        <v>11</v>
      </c>
      <c r="C239" s="9"/>
      <c r="D239" s="9"/>
      <c r="E239">
        <v>0</v>
      </c>
      <c r="F239" s="2">
        <v>31.73</v>
      </c>
      <c r="G239" s="2">
        <f t="shared" si="40"/>
        <v>0</v>
      </c>
      <c r="H239" s="2">
        <v>30.65</v>
      </c>
      <c r="I239" s="2">
        <f t="shared" ref="I239:I258" si="41">(E239*H239)</f>
        <v>0</v>
      </c>
      <c r="J239" s="2">
        <v>1.8</v>
      </c>
      <c r="K239" s="2">
        <f t="shared" ref="K239:K258" si="42">(E239*J239)</f>
        <v>0</v>
      </c>
      <c r="L239" s="2">
        <v>64.180000000000007</v>
      </c>
      <c r="M239" s="2">
        <f t="shared" ref="M239:M259" si="43">(G239+I239+K239)</f>
        <v>0</v>
      </c>
    </row>
    <row r="240" spans="1:13">
      <c r="A240">
        <v>99203</v>
      </c>
      <c r="B240" s="9" t="s">
        <v>11</v>
      </c>
      <c r="C240" s="9"/>
      <c r="D240" s="9"/>
      <c r="E240">
        <v>0</v>
      </c>
      <c r="F240" s="2">
        <v>48.32</v>
      </c>
      <c r="G240" s="2">
        <f t="shared" si="40"/>
        <v>0</v>
      </c>
      <c r="H240" s="2">
        <v>40.39</v>
      </c>
      <c r="I240" s="2">
        <f t="shared" si="41"/>
        <v>0</v>
      </c>
      <c r="J240" s="2">
        <v>3.24</v>
      </c>
      <c r="K240" s="2">
        <f t="shared" si="42"/>
        <v>0</v>
      </c>
      <c r="L240" s="2">
        <v>91.95</v>
      </c>
      <c r="M240" s="2">
        <f t="shared" si="43"/>
        <v>0</v>
      </c>
    </row>
    <row r="241" spans="1:13">
      <c r="A241">
        <v>99204</v>
      </c>
      <c r="B241" s="9" t="s">
        <v>11</v>
      </c>
      <c r="C241" s="9"/>
      <c r="D241" s="9"/>
      <c r="E241">
        <v>0</v>
      </c>
      <c r="F241" s="2">
        <v>82.94</v>
      </c>
      <c r="G241" s="2">
        <f t="shared" si="40"/>
        <v>0</v>
      </c>
      <c r="H241" s="2">
        <v>54.45</v>
      </c>
      <c r="I241" s="2">
        <f t="shared" si="41"/>
        <v>0</v>
      </c>
      <c r="J241" s="2">
        <v>4.33</v>
      </c>
      <c r="K241" s="2">
        <f t="shared" si="42"/>
        <v>0</v>
      </c>
      <c r="L241" s="2">
        <v>141.72</v>
      </c>
      <c r="M241" s="2">
        <f t="shared" si="43"/>
        <v>0</v>
      </c>
    </row>
    <row r="242" spans="1:13">
      <c r="A242">
        <v>99211</v>
      </c>
      <c r="B242" s="9" t="s">
        <v>12</v>
      </c>
      <c r="C242" s="9"/>
      <c r="D242" s="9"/>
      <c r="E242">
        <v>0</v>
      </c>
      <c r="F242" s="2">
        <v>6.13</v>
      </c>
      <c r="G242" s="2">
        <f t="shared" si="40"/>
        <v>0</v>
      </c>
      <c r="H242" s="2">
        <v>11.54</v>
      </c>
      <c r="I242" s="2">
        <f t="shared" si="41"/>
        <v>0</v>
      </c>
      <c r="J242" s="2">
        <v>0.36</v>
      </c>
      <c r="K242" s="2">
        <f t="shared" si="42"/>
        <v>0</v>
      </c>
      <c r="L242" s="2">
        <v>18.03</v>
      </c>
      <c r="M242" s="2">
        <f t="shared" si="43"/>
        <v>0</v>
      </c>
    </row>
    <row r="243" spans="1:13">
      <c r="A243">
        <v>99212</v>
      </c>
      <c r="B243" s="9" t="s">
        <v>12</v>
      </c>
      <c r="C243" s="9"/>
      <c r="D243" s="9"/>
      <c r="E243">
        <v>0</v>
      </c>
      <c r="F243" s="2">
        <v>16.23</v>
      </c>
      <c r="G243" s="2">
        <f t="shared" si="40"/>
        <v>0</v>
      </c>
      <c r="H243" s="2">
        <v>19.829999999999998</v>
      </c>
      <c r="I243" s="2">
        <f t="shared" si="41"/>
        <v>0</v>
      </c>
      <c r="J243" s="2">
        <v>1.08</v>
      </c>
      <c r="K243" s="2">
        <f t="shared" si="42"/>
        <v>0</v>
      </c>
      <c r="L243" s="2">
        <v>37.11</v>
      </c>
      <c r="M243" s="2">
        <f t="shared" si="43"/>
        <v>0</v>
      </c>
    </row>
    <row r="244" spans="1:13">
      <c r="A244">
        <v>99213</v>
      </c>
      <c r="B244" s="9" t="s">
        <v>12</v>
      </c>
      <c r="C244" s="9"/>
      <c r="D244" s="9"/>
      <c r="E244">
        <v>0</v>
      </c>
      <c r="F244" s="2">
        <v>33.17</v>
      </c>
      <c r="G244" s="2">
        <f t="shared" si="40"/>
        <v>0</v>
      </c>
      <c r="H244" s="2">
        <v>27.77</v>
      </c>
      <c r="I244" s="2">
        <f t="shared" si="41"/>
        <v>0</v>
      </c>
      <c r="J244" s="2">
        <v>1.08</v>
      </c>
      <c r="K244" s="2">
        <f t="shared" si="42"/>
        <v>0</v>
      </c>
      <c r="L244" s="2">
        <v>62.02</v>
      </c>
      <c r="M244" s="2">
        <f t="shared" si="43"/>
        <v>0</v>
      </c>
    </row>
    <row r="245" spans="1:13">
      <c r="A245">
        <v>99214</v>
      </c>
      <c r="B245" s="9" t="s">
        <v>12</v>
      </c>
      <c r="C245" s="9"/>
      <c r="D245" s="9"/>
      <c r="E245">
        <v>0</v>
      </c>
      <c r="F245" s="2">
        <v>51.2</v>
      </c>
      <c r="G245" s="2">
        <f t="shared" si="40"/>
        <v>0</v>
      </c>
      <c r="H245" s="2">
        <v>39.67</v>
      </c>
      <c r="I245" s="2">
        <f t="shared" si="41"/>
        <v>0</v>
      </c>
      <c r="J245" s="2">
        <v>1.8</v>
      </c>
      <c r="K245" s="2">
        <f t="shared" si="42"/>
        <v>0</v>
      </c>
      <c r="L245" s="2">
        <v>92.67</v>
      </c>
      <c r="M245" s="2">
        <f t="shared" si="43"/>
        <v>0</v>
      </c>
    </row>
    <row r="246" spans="1:13">
      <c r="A246">
        <v>99215</v>
      </c>
      <c r="B246" s="9" t="s">
        <v>12</v>
      </c>
      <c r="C246" s="9"/>
      <c r="D246" s="9"/>
      <c r="E246">
        <v>0</v>
      </c>
      <c r="F246" s="2">
        <v>72.12</v>
      </c>
      <c r="G246" s="2">
        <f t="shared" si="40"/>
        <v>0</v>
      </c>
      <c r="H246" s="2">
        <v>50.48</v>
      </c>
      <c r="I246" s="2">
        <f t="shared" si="41"/>
        <v>0</v>
      </c>
      <c r="J246" s="2">
        <v>2.88</v>
      </c>
      <c r="K246" s="2">
        <f t="shared" si="42"/>
        <v>0</v>
      </c>
      <c r="L246" s="2">
        <v>125.48</v>
      </c>
      <c r="M246" s="2">
        <f t="shared" si="43"/>
        <v>0</v>
      </c>
    </row>
    <row r="247" spans="1:13">
      <c r="A247">
        <v>99381</v>
      </c>
      <c r="B247" s="9" t="s">
        <v>16</v>
      </c>
      <c r="C247" s="9"/>
      <c r="D247" s="9"/>
      <c r="E247">
        <v>0</v>
      </c>
      <c r="F247" s="2">
        <v>42.91</v>
      </c>
      <c r="G247" s="2">
        <f t="shared" si="40"/>
        <v>0</v>
      </c>
      <c r="H247" s="2">
        <v>42.91</v>
      </c>
      <c r="I247" s="2">
        <f t="shared" si="41"/>
        <v>0</v>
      </c>
      <c r="J247" s="2">
        <v>1.8</v>
      </c>
      <c r="K247" s="2">
        <f t="shared" si="42"/>
        <v>0</v>
      </c>
      <c r="L247" s="2">
        <v>87.62</v>
      </c>
      <c r="M247" s="2">
        <f t="shared" si="43"/>
        <v>0</v>
      </c>
    </row>
    <row r="248" spans="1:13">
      <c r="A248">
        <v>99382</v>
      </c>
      <c r="B248" s="9" t="s">
        <v>22</v>
      </c>
      <c r="C248" s="9"/>
      <c r="D248" s="9"/>
      <c r="E248">
        <v>0</v>
      </c>
      <c r="F248" s="2">
        <v>49.04</v>
      </c>
      <c r="G248" s="2">
        <f t="shared" si="40"/>
        <v>0</v>
      </c>
      <c r="H248" s="2">
        <v>45.07</v>
      </c>
      <c r="I248" s="2">
        <f t="shared" si="41"/>
        <v>0</v>
      </c>
      <c r="J248" s="2">
        <v>1.8</v>
      </c>
      <c r="K248" s="2">
        <f t="shared" si="42"/>
        <v>0</v>
      </c>
      <c r="L248" s="2">
        <v>95.91</v>
      </c>
      <c r="M248" s="2">
        <f t="shared" si="43"/>
        <v>0</v>
      </c>
    </row>
    <row r="249" spans="1:13">
      <c r="A249">
        <v>99383</v>
      </c>
      <c r="B249" s="9" t="s">
        <v>23</v>
      </c>
      <c r="C249" s="9"/>
      <c r="D249" s="9"/>
      <c r="E249">
        <v>0</v>
      </c>
      <c r="F249" s="2">
        <v>49.04</v>
      </c>
      <c r="G249" s="2">
        <f t="shared" si="40"/>
        <v>0</v>
      </c>
      <c r="H249" s="2">
        <v>44.71</v>
      </c>
      <c r="I249" s="2">
        <f t="shared" si="41"/>
        <v>0</v>
      </c>
      <c r="J249" s="2">
        <v>1.8</v>
      </c>
      <c r="K249" s="2">
        <f t="shared" si="42"/>
        <v>0</v>
      </c>
      <c r="L249" s="2">
        <v>95.55</v>
      </c>
      <c r="M249" s="2">
        <f t="shared" si="43"/>
        <v>0</v>
      </c>
    </row>
    <row r="250" spans="1:13">
      <c r="A250">
        <v>99384</v>
      </c>
      <c r="B250" s="9" t="s">
        <v>24</v>
      </c>
      <c r="C250" s="9"/>
      <c r="D250" s="9"/>
      <c r="E250">
        <v>0</v>
      </c>
      <c r="F250" s="2">
        <v>55.17</v>
      </c>
      <c r="G250" s="2">
        <f t="shared" si="40"/>
        <v>0</v>
      </c>
      <c r="H250" s="2">
        <v>46.88</v>
      </c>
      <c r="I250" s="2">
        <f t="shared" si="41"/>
        <v>0</v>
      </c>
      <c r="J250" s="2">
        <v>2.16</v>
      </c>
      <c r="K250" s="2">
        <f t="shared" si="42"/>
        <v>0</v>
      </c>
      <c r="L250" s="2">
        <v>104.21</v>
      </c>
      <c r="M250" s="2">
        <f t="shared" si="43"/>
        <v>0</v>
      </c>
    </row>
    <row r="251" spans="1:13">
      <c r="A251">
        <v>99385</v>
      </c>
      <c r="B251" s="9" t="s">
        <v>25</v>
      </c>
      <c r="C251" s="9"/>
      <c r="D251" s="9"/>
      <c r="E251">
        <v>0</v>
      </c>
      <c r="F251" s="2">
        <v>55.17</v>
      </c>
      <c r="G251" s="2">
        <f t="shared" si="40"/>
        <v>0</v>
      </c>
      <c r="H251" s="2">
        <v>46.88</v>
      </c>
      <c r="I251" s="2">
        <f t="shared" si="41"/>
        <v>0</v>
      </c>
      <c r="J251" s="2">
        <v>2.16</v>
      </c>
      <c r="K251" s="2">
        <f t="shared" si="42"/>
        <v>0</v>
      </c>
      <c r="L251" s="2">
        <v>104.21</v>
      </c>
      <c r="M251" s="2">
        <f t="shared" si="43"/>
        <v>0</v>
      </c>
    </row>
    <row r="252" spans="1:13">
      <c r="A252">
        <v>99391</v>
      </c>
      <c r="B252" s="9" t="s">
        <v>17</v>
      </c>
      <c r="C252" s="9"/>
      <c r="D252" s="9"/>
      <c r="E252">
        <v>0</v>
      </c>
      <c r="F252" s="2">
        <v>36.78</v>
      </c>
      <c r="G252" s="2">
        <f t="shared" si="40"/>
        <v>0</v>
      </c>
      <c r="H252" s="2">
        <v>37.14</v>
      </c>
      <c r="I252" s="2">
        <f t="shared" si="41"/>
        <v>0</v>
      </c>
      <c r="J252" s="2">
        <v>1.44</v>
      </c>
      <c r="K252" s="2">
        <f t="shared" si="42"/>
        <v>0</v>
      </c>
      <c r="L252" s="2">
        <v>75.36</v>
      </c>
      <c r="M252" s="2">
        <f t="shared" si="43"/>
        <v>0</v>
      </c>
    </row>
    <row r="253" spans="1:13">
      <c r="A253">
        <v>99392</v>
      </c>
      <c r="B253" s="9" t="s">
        <v>21</v>
      </c>
      <c r="C253" s="9"/>
      <c r="D253" s="9"/>
      <c r="E253">
        <v>0</v>
      </c>
      <c r="F253" s="2">
        <v>42.91</v>
      </c>
      <c r="G253" s="2">
        <f t="shared" si="40"/>
        <v>0</v>
      </c>
      <c r="H253" s="2">
        <v>39.299999999999997</v>
      </c>
      <c r="I253" s="2">
        <f t="shared" si="41"/>
        <v>0</v>
      </c>
      <c r="J253" s="2">
        <v>1.8</v>
      </c>
      <c r="K253" s="2">
        <f t="shared" si="42"/>
        <v>0</v>
      </c>
      <c r="L253" s="2">
        <v>84.01</v>
      </c>
      <c r="M253" s="2">
        <f t="shared" si="43"/>
        <v>0</v>
      </c>
    </row>
    <row r="254" spans="1:13">
      <c r="A254">
        <v>99393</v>
      </c>
      <c r="B254" s="9" t="s">
        <v>20</v>
      </c>
      <c r="C254" s="9"/>
      <c r="D254" s="9"/>
      <c r="E254">
        <v>0</v>
      </c>
      <c r="F254" s="2">
        <v>42.91</v>
      </c>
      <c r="G254" s="2">
        <f t="shared" si="40"/>
        <v>0</v>
      </c>
      <c r="H254" s="2">
        <v>38.94</v>
      </c>
      <c r="I254" s="2">
        <f t="shared" si="41"/>
        <v>0</v>
      </c>
      <c r="J254" s="2">
        <v>1.8</v>
      </c>
      <c r="K254" s="2">
        <f t="shared" si="42"/>
        <v>0</v>
      </c>
      <c r="L254" s="2">
        <v>83.65</v>
      </c>
      <c r="M254" s="2">
        <f t="shared" si="43"/>
        <v>0</v>
      </c>
    </row>
    <row r="255" spans="1:13">
      <c r="A255">
        <v>99394</v>
      </c>
      <c r="B255" s="9" t="s">
        <v>19</v>
      </c>
      <c r="C255" s="9"/>
      <c r="D255" s="9"/>
      <c r="E255">
        <v>0</v>
      </c>
      <c r="F255" s="2">
        <v>49.04</v>
      </c>
      <c r="G255" s="2">
        <f t="shared" si="40"/>
        <v>0</v>
      </c>
      <c r="H255" s="2">
        <v>41.11</v>
      </c>
      <c r="I255" s="2">
        <f t="shared" si="41"/>
        <v>0</v>
      </c>
      <c r="J255" s="2">
        <v>1.8</v>
      </c>
      <c r="K255" s="2">
        <f t="shared" si="42"/>
        <v>0</v>
      </c>
      <c r="L255" s="2">
        <v>91.95</v>
      </c>
      <c r="M255" s="2">
        <f t="shared" si="43"/>
        <v>0</v>
      </c>
    </row>
    <row r="256" spans="1:13">
      <c r="A256">
        <v>99395</v>
      </c>
      <c r="B256" s="9" t="s">
        <v>18</v>
      </c>
      <c r="C256" s="9"/>
      <c r="D256" s="9"/>
      <c r="E256">
        <v>0</v>
      </c>
      <c r="F256" s="2">
        <v>49.04</v>
      </c>
      <c r="G256" s="2">
        <f t="shared" si="40"/>
        <v>0</v>
      </c>
      <c r="H256" s="2">
        <v>41.11</v>
      </c>
      <c r="I256" s="2">
        <f t="shared" si="41"/>
        <v>0</v>
      </c>
      <c r="J256" s="2">
        <v>1.8</v>
      </c>
      <c r="K256" s="2">
        <f t="shared" si="42"/>
        <v>0</v>
      </c>
      <c r="L256" s="2">
        <v>91.95</v>
      </c>
      <c r="M256" s="2">
        <f t="shared" si="43"/>
        <v>0</v>
      </c>
    </row>
    <row r="257" spans="1:13">
      <c r="A257">
        <v>99396</v>
      </c>
      <c r="B257" s="9" t="s">
        <v>26</v>
      </c>
      <c r="C257" s="9"/>
      <c r="D257" s="9"/>
      <c r="E257">
        <v>0</v>
      </c>
      <c r="F257" s="2">
        <v>55.17</v>
      </c>
      <c r="G257" s="2">
        <f t="shared" si="40"/>
        <v>0</v>
      </c>
      <c r="H257" s="2">
        <v>43.27</v>
      </c>
      <c r="I257" s="2">
        <f t="shared" si="41"/>
        <v>0</v>
      </c>
      <c r="J257" s="2">
        <v>2.16</v>
      </c>
      <c r="K257" s="2">
        <f t="shared" si="42"/>
        <v>0</v>
      </c>
      <c r="L257" s="2">
        <v>100.6</v>
      </c>
      <c r="M257" s="2">
        <f t="shared" si="43"/>
        <v>0</v>
      </c>
    </row>
    <row r="258" spans="1:13">
      <c r="A258">
        <v>99397</v>
      </c>
      <c r="B258" s="9" t="s">
        <v>27</v>
      </c>
      <c r="C258" s="9"/>
      <c r="D258" s="9"/>
      <c r="E258">
        <v>0</v>
      </c>
      <c r="F258" s="2">
        <v>61.66</v>
      </c>
      <c r="G258" s="2">
        <f t="shared" si="40"/>
        <v>0</v>
      </c>
      <c r="H258" s="2">
        <v>49.04</v>
      </c>
      <c r="I258" s="2">
        <f t="shared" si="41"/>
        <v>0</v>
      </c>
      <c r="J258" s="2">
        <v>2.16</v>
      </c>
      <c r="K258" s="2">
        <f t="shared" si="42"/>
        <v>0</v>
      </c>
      <c r="L258" s="2">
        <v>112.86</v>
      </c>
      <c r="M258" s="2">
        <f t="shared" si="43"/>
        <v>0</v>
      </c>
    </row>
    <row r="259" spans="1:13">
      <c r="A259" s="10" t="s">
        <v>13</v>
      </c>
      <c r="B259" s="10"/>
      <c r="C259" s="10"/>
      <c r="D259" s="10"/>
      <c r="E259" s="1">
        <f>SUM(E238:E258)</f>
        <v>0</v>
      </c>
      <c r="F259" s="2"/>
      <c r="G259" s="3">
        <f>SUM(G238:G258)</f>
        <v>0</v>
      </c>
      <c r="H259" s="3"/>
      <c r="I259" s="3">
        <f>SUM(I238:I258)</f>
        <v>0</v>
      </c>
      <c r="J259" s="3"/>
      <c r="K259" s="3">
        <f>SUM(K238:K258)</f>
        <v>0</v>
      </c>
      <c r="L259" s="3"/>
      <c r="M259" s="3">
        <f t="shared" si="43"/>
        <v>0</v>
      </c>
    </row>
    <row r="260" spans="1:13">
      <c r="A260" s="9"/>
      <c r="B260" s="9"/>
      <c r="C260" s="9"/>
      <c r="D260" s="9"/>
    </row>
    <row r="261" spans="1:13">
      <c r="B261" s="10" t="s">
        <v>28</v>
      </c>
      <c r="C261" s="9"/>
      <c r="D261" s="9"/>
    </row>
    <row r="262" spans="1:13">
      <c r="A262" s="1" t="s">
        <v>0</v>
      </c>
      <c r="B262" s="10" t="s">
        <v>1</v>
      </c>
      <c r="C262" s="10"/>
      <c r="D262" s="10"/>
      <c r="E262" s="1" t="s">
        <v>14</v>
      </c>
      <c r="F262" s="1" t="s">
        <v>3</v>
      </c>
      <c r="G262" s="1" t="s">
        <v>15</v>
      </c>
      <c r="H262" s="1" t="s">
        <v>5</v>
      </c>
      <c r="I262" s="1" t="s">
        <v>6</v>
      </c>
      <c r="J262" s="1" t="s">
        <v>7</v>
      </c>
      <c r="K262" s="1" t="s">
        <v>8</v>
      </c>
      <c r="L262" s="1" t="s">
        <v>9</v>
      </c>
      <c r="M262" s="1" t="s">
        <v>10</v>
      </c>
    </row>
    <row r="263" spans="1:13">
      <c r="B263" s="11"/>
      <c r="C263" s="11"/>
      <c r="D263" s="11"/>
    </row>
    <row r="264" spans="1:13">
      <c r="A264">
        <v>99201</v>
      </c>
      <c r="B264" s="12" t="s">
        <v>11</v>
      </c>
      <c r="C264" s="12"/>
      <c r="D264" s="12"/>
      <c r="E264">
        <v>0</v>
      </c>
      <c r="F264" s="2">
        <v>16.23</v>
      </c>
      <c r="G264" s="2">
        <f t="shared" ref="G264:G284" si="44">(E264*F264)</f>
        <v>0</v>
      </c>
      <c r="H264" s="2">
        <v>19.829999999999998</v>
      </c>
      <c r="I264" s="2">
        <f>(E264*H264)</f>
        <v>0</v>
      </c>
      <c r="J264" s="2">
        <v>1.08</v>
      </c>
      <c r="K264" s="2">
        <f>(E264*J264)</f>
        <v>0</v>
      </c>
      <c r="L264" s="2">
        <v>37.14</v>
      </c>
      <c r="M264" s="2">
        <f>(G264+I264+K264)</f>
        <v>0</v>
      </c>
    </row>
    <row r="265" spans="1:13">
      <c r="A265">
        <v>99202</v>
      </c>
      <c r="B265" s="9" t="s">
        <v>11</v>
      </c>
      <c r="C265" s="9"/>
      <c r="D265" s="9"/>
      <c r="E265">
        <v>0</v>
      </c>
      <c r="F265" s="2">
        <v>31.73</v>
      </c>
      <c r="G265" s="2">
        <f t="shared" si="44"/>
        <v>0</v>
      </c>
      <c r="H265" s="2">
        <v>30.65</v>
      </c>
      <c r="I265" s="2">
        <f t="shared" ref="I265:I284" si="45">(E265*H265)</f>
        <v>0</v>
      </c>
      <c r="J265" s="2">
        <v>1.8</v>
      </c>
      <c r="K265" s="2">
        <f t="shared" ref="K265:K284" si="46">(E265*J265)</f>
        <v>0</v>
      </c>
      <c r="L265" s="2">
        <v>64.180000000000007</v>
      </c>
      <c r="M265" s="2">
        <f t="shared" ref="M265:M285" si="47">(G265+I265+K265)</f>
        <v>0</v>
      </c>
    </row>
    <row r="266" spans="1:13">
      <c r="A266">
        <v>99203</v>
      </c>
      <c r="B266" s="9" t="s">
        <v>11</v>
      </c>
      <c r="C266" s="9"/>
      <c r="D266" s="9"/>
      <c r="E266">
        <v>0</v>
      </c>
      <c r="F266" s="2">
        <v>48.32</v>
      </c>
      <c r="G266" s="2">
        <f t="shared" si="44"/>
        <v>0</v>
      </c>
      <c r="H266" s="2">
        <v>40.39</v>
      </c>
      <c r="I266" s="2">
        <f t="shared" si="45"/>
        <v>0</v>
      </c>
      <c r="J266" s="2">
        <v>3.24</v>
      </c>
      <c r="K266" s="2">
        <f t="shared" si="46"/>
        <v>0</v>
      </c>
      <c r="L266" s="2">
        <v>91.95</v>
      </c>
      <c r="M266" s="2">
        <f t="shared" si="47"/>
        <v>0</v>
      </c>
    </row>
    <row r="267" spans="1:13">
      <c r="A267">
        <v>99204</v>
      </c>
      <c r="B267" s="9" t="s">
        <v>11</v>
      </c>
      <c r="C267" s="9"/>
      <c r="D267" s="9"/>
      <c r="E267">
        <v>0</v>
      </c>
      <c r="F267" s="2">
        <v>82.94</v>
      </c>
      <c r="G267" s="2">
        <f t="shared" si="44"/>
        <v>0</v>
      </c>
      <c r="H267" s="2">
        <v>54.45</v>
      </c>
      <c r="I267" s="2">
        <f t="shared" si="45"/>
        <v>0</v>
      </c>
      <c r="J267" s="2">
        <v>4.33</v>
      </c>
      <c r="K267" s="2">
        <f t="shared" si="46"/>
        <v>0</v>
      </c>
      <c r="L267" s="2">
        <v>141.72</v>
      </c>
      <c r="M267" s="2">
        <f t="shared" si="47"/>
        <v>0</v>
      </c>
    </row>
    <row r="268" spans="1:13">
      <c r="A268">
        <v>99211</v>
      </c>
      <c r="B268" s="9" t="s">
        <v>12</v>
      </c>
      <c r="C268" s="9"/>
      <c r="D268" s="9"/>
      <c r="E268">
        <v>0</v>
      </c>
      <c r="F268" s="2">
        <v>6.13</v>
      </c>
      <c r="G268" s="2">
        <f t="shared" si="44"/>
        <v>0</v>
      </c>
      <c r="H268" s="2">
        <v>11.54</v>
      </c>
      <c r="I268" s="2">
        <f t="shared" si="45"/>
        <v>0</v>
      </c>
      <c r="J268" s="2">
        <v>0.36</v>
      </c>
      <c r="K268" s="2">
        <f t="shared" si="46"/>
        <v>0</v>
      </c>
      <c r="L268" s="2">
        <v>18.03</v>
      </c>
      <c r="M268" s="2">
        <f t="shared" si="47"/>
        <v>0</v>
      </c>
    </row>
    <row r="269" spans="1:13">
      <c r="A269">
        <v>99212</v>
      </c>
      <c r="B269" s="9" t="s">
        <v>12</v>
      </c>
      <c r="C269" s="9"/>
      <c r="D269" s="9"/>
      <c r="E269">
        <v>0</v>
      </c>
      <c r="F269" s="2">
        <v>16.23</v>
      </c>
      <c r="G269" s="2">
        <f t="shared" si="44"/>
        <v>0</v>
      </c>
      <c r="H269" s="2">
        <v>19.829999999999998</v>
      </c>
      <c r="I269" s="2">
        <f t="shared" si="45"/>
        <v>0</v>
      </c>
      <c r="J269" s="2">
        <v>1.08</v>
      </c>
      <c r="K269" s="2">
        <f t="shared" si="46"/>
        <v>0</v>
      </c>
      <c r="L269" s="2">
        <v>37.11</v>
      </c>
      <c r="M269" s="2">
        <f t="shared" si="47"/>
        <v>0</v>
      </c>
    </row>
    <row r="270" spans="1:13">
      <c r="A270">
        <v>99213</v>
      </c>
      <c r="B270" s="9" t="s">
        <v>12</v>
      </c>
      <c r="C270" s="9"/>
      <c r="D270" s="9"/>
      <c r="E270">
        <v>0</v>
      </c>
      <c r="F270" s="2">
        <v>33.17</v>
      </c>
      <c r="G270" s="2">
        <f t="shared" si="44"/>
        <v>0</v>
      </c>
      <c r="H270" s="2">
        <v>27.77</v>
      </c>
      <c r="I270" s="2">
        <f t="shared" si="45"/>
        <v>0</v>
      </c>
      <c r="J270" s="2">
        <v>1.08</v>
      </c>
      <c r="K270" s="2">
        <f t="shared" si="46"/>
        <v>0</v>
      </c>
      <c r="L270" s="2">
        <v>62.02</v>
      </c>
      <c r="M270" s="2">
        <f t="shared" si="47"/>
        <v>0</v>
      </c>
    </row>
    <row r="271" spans="1:13">
      <c r="A271">
        <v>99214</v>
      </c>
      <c r="B271" s="9" t="s">
        <v>12</v>
      </c>
      <c r="C271" s="9"/>
      <c r="D271" s="9"/>
      <c r="E271">
        <v>0</v>
      </c>
      <c r="F271" s="2">
        <v>51.2</v>
      </c>
      <c r="G271" s="2">
        <f t="shared" si="44"/>
        <v>0</v>
      </c>
      <c r="H271" s="2">
        <v>39.67</v>
      </c>
      <c r="I271" s="2">
        <f t="shared" si="45"/>
        <v>0</v>
      </c>
      <c r="J271" s="2">
        <v>1.8</v>
      </c>
      <c r="K271" s="2">
        <f t="shared" si="46"/>
        <v>0</v>
      </c>
      <c r="L271" s="2">
        <v>92.67</v>
      </c>
      <c r="M271" s="2">
        <f t="shared" si="47"/>
        <v>0</v>
      </c>
    </row>
    <row r="272" spans="1:13">
      <c r="A272">
        <v>99215</v>
      </c>
      <c r="B272" s="9" t="s">
        <v>12</v>
      </c>
      <c r="C272" s="9"/>
      <c r="D272" s="9"/>
      <c r="E272">
        <v>0</v>
      </c>
      <c r="F272" s="2">
        <v>72.12</v>
      </c>
      <c r="G272" s="2">
        <f t="shared" si="44"/>
        <v>0</v>
      </c>
      <c r="H272" s="2">
        <v>50.48</v>
      </c>
      <c r="I272" s="2">
        <f t="shared" si="45"/>
        <v>0</v>
      </c>
      <c r="J272" s="2">
        <v>2.88</v>
      </c>
      <c r="K272" s="2">
        <f t="shared" si="46"/>
        <v>0</v>
      </c>
      <c r="L272" s="2">
        <v>125.48</v>
      </c>
      <c r="M272" s="2">
        <f t="shared" si="47"/>
        <v>0</v>
      </c>
    </row>
    <row r="273" spans="1:13">
      <c r="A273">
        <v>99381</v>
      </c>
      <c r="B273" s="9" t="s">
        <v>16</v>
      </c>
      <c r="C273" s="9"/>
      <c r="D273" s="9"/>
      <c r="E273">
        <v>0</v>
      </c>
      <c r="F273" s="2">
        <v>42.91</v>
      </c>
      <c r="G273" s="2">
        <f t="shared" si="44"/>
        <v>0</v>
      </c>
      <c r="H273" s="2">
        <v>42.91</v>
      </c>
      <c r="I273" s="2">
        <f t="shared" si="45"/>
        <v>0</v>
      </c>
      <c r="J273" s="2">
        <v>1.8</v>
      </c>
      <c r="K273" s="2">
        <f t="shared" si="46"/>
        <v>0</v>
      </c>
      <c r="L273" s="2">
        <v>87.62</v>
      </c>
      <c r="M273" s="2">
        <f t="shared" si="47"/>
        <v>0</v>
      </c>
    </row>
    <row r="274" spans="1:13">
      <c r="A274">
        <v>99382</v>
      </c>
      <c r="B274" s="9" t="s">
        <v>22</v>
      </c>
      <c r="C274" s="9"/>
      <c r="D274" s="9"/>
      <c r="E274">
        <v>0</v>
      </c>
      <c r="F274" s="2">
        <v>49.04</v>
      </c>
      <c r="G274" s="2">
        <f t="shared" si="44"/>
        <v>0</v>
      </c>
      <c r="H274" s="2">
        <v>45.07</v>
      </c>
      <c r="I274" s="2">
        <f t="shared" si="45"/>
        <v>0</v>
      </c>
      <c r="J274" s="2">
        <v>1.8</v>
      </c>
      <c r="K274" s="2">
        <f t="shared" si="46"/>
        <v>0</v>
      </c>
      <c r="L274" s="2">
        <v>95.91</v>
      </c>
      <c r="M274" s="2">
        <f t="shared" si="47"/>
        <v>0</v>
      </c>
    </row>
    <row r="275" spans="1:13">
      <c r="A275">
        <v>99383</v>
      </c>
      <c r="B275" s="9" t="s">
        <v>23</v>
      </c>
      <c r="C275" s="9"/>
      <c r="D275" s="9"/>
      <c r="E275">
        <v>0</v>
      </c>
      <c r="F275" s="2">
        <v>49.04</v>
      </c>
      <c r="G275" s="2">
        <f t="shared" si="44"/>
        <v>0</v>
      </c>
      <c r="H275" s="2">
        <v>44.71</v>
      </c>
      <c r="I275" s="2">
        <f t="shared" si="45"/>
        <v>0</v>
      </c>
      <c r="J275" s="2">
        <v>1.8</v>
      </c>
      <c r="K275" s="2">
        <f t="shared" si="46"/>
        <v>0</v>
      </c>
      <c r="L275" s="2">
        <v>95.55</v>
      </c>
      <c r="M275" s="2">
        <f t="shared" si="47"/>
        <v>0</v>
      </c>
    </row>
    <row r="276" spans="1:13">
      <c r="A276">
        <v>99384</v>
      </c>
      <c r="B276" s="9" t="s">
        <v>24</v>
      </c>
      <c r="C276" s="9"/>
      <c r="D276" s="9"/>
      <c r="E276">
        <v>0</v>
      </c>
      <c r="F276" s="2">
        <v>55.17</v>
      </c>
      <c r="G276" s="2">
        <f t="shared" si="44"/>
        <v>0</v>
      </c>
      <c r="H276" s="2">
        <v>46.88</v>
      </c>
      <c r="I276" s="2">
        <f t="shared" si="45"/>
        <v>0</v>
      </c>
      <c r="J276" s="2">
        <v>2.16</v>
      </c>
      <c r="K276" s="2">
        <f t="shared" si="46"/>
        <v>0</v>
      </c>
      <c r="L276" s="2">
        <v>104.21</v>
      </c>
      <c r="M276" s="2">
        <f t="shared" si="47"/>
        <v>0</v>
      </c>
    </row>
    <row r="277" spans="1:13">
      <c r="A277">
        <v>99385</v>
      </c>
      <c r="B277" s="9" t="s">
        <v>25</v>
      </c>
      <c r="C277" s="9"/>
      <c r="D277" s="9"/>
      <c r="E277">
        <v>0</v>
      </c>
      <c r="F277" s="2">
        <v>55.17</v>
      </c>
      <c r="G277" s="2">
        <f t="shared" si="44"/>
        <v>0</v>
      </c>
      <c r="H277" s="2">
        <v>46.88</v>
      </c>
      <c r="I277" s="2">
        <f t="shared" si="45"/>
        <v>0</v>
      </c>
      <c r="J277" s="2">
        <v>2.16</v>
      </c>
      <c r="K277" s="2">
        <f t="shared" si="46"/>
        <v>0</v>
      </c>
      <c r="L277" s="2">
        <v>104.21</v>
      </c>
      <c r="M277" s="2">
        <f t="shared" si="47"/>
        <v>0</v>
      </c>
    </row>
    <row r="278" spans="1:13">
      <c r="A278">
        <v>99391</v>
      </c>
      <c r="B278" s="9" t="s">
        <v>17</v>
      </c>
      <c r="C278" s="9"/>
      <c r="D278" s="9"/>
      <c r="E278">
        <v>0</v>
      </c>
      <c r="F278" s="2">
        <v>36.78</v>
      </c>
      <c r="G278" s="2">
        <f t="shared" si="44"/>
        <v>0</v>
      </c>
      <c r="H278" s="2">
        <v>37.14</v>
      </c>
      <c r="I278" s="2">
        <f t="shared" si="45"/>
        <v>0</v>
      </c>
      <c r="J278" s="2">
        <v>1.44</v>
      </c>
      <c r="K278" s="2">
        <f t="shared" si="46"/>
        <v>0</v>
      </c>
      <c r="L278" s="2">
        <v>75.36</v>
      </c>
      <c r="M278" s="2">
        <f t="shared" si="47"/>
        <v>0</v>
      </c>
    </row>
    <row r="279" spans="1:13">
      <c r="A279">
        <v>99392</v>
      </c>
      <c r="B279" s="9" t="s">
        <v>21</v>
      </c>
      <c r="C279" s="9"/>
      <c r="D279" s="9"/>
      <c r="E279">
        <v>0</v>
      </c>
      <c r="F279" s="2">
        <v>42.91</v>
      </c>
      <c r="G279" s="2">
        <f t="shared" si="44"/>
        <v>0</v>
      </c>
      <c r="H279" s="2">
        <v>39.299999999999997</v>
      </c>
      <c r="I279" s="2">
        <f t="shared" si="45"/>
        <v>0</v>
      </c>
      <c r="J279" s="2">
        <v>1.8</v>
      </c>
      <c r="K279" s="2">
        <f t="shared" si="46"/>
        <v>0</v>
      </c>
      <c r="L279" s="2">
        <v>84.01</v>
      </c>
      <c r="M279" s="2">
        <f t="shared" si="47"/>
        <v>0</v>
      </c>
    </row>
    <row r="280" spans="1:13">
      <c r="A280">
        <v>99393</v>
      </c>
      <c r="B280" s="9" t="s">
        <v>20</v>
      </c>
      <c r="C280" s="9"/>
      <c r="D280" s="9"/>
      <c r="E280">
        <v>0</v>
      </c>
      <c r="F280" s="2">
        <v>42.91</v>
      </c>
      <c r="G280" s="2">
        <f t="shared" si="44"/>
        <v>0</v>
      </c>
      <c r="H280" s="2">
        <v>38.94</v>
      </c>
      <c r="I280" s="2">
        <f t="shared" si="45"/>
        <v>0</v>
      </c>
      <c r="J280" s="2">
        <v>1.8</v>
      </c>
      <c r="K280" s="2">
        <f t="shared" si="46"/>
        <v>0</v>
      </c>
      <c r="L280" s="2">
        <v>83.65</v>
      </c>
      <c r="M280" s="2">
        <f t="shared" si="47"/>
        <v>0</v>
      </c>
    </row>
    <row r="281" spans="1:13">
      <c r="A281">
        <v>99394</v>
      </c>
      <c r="B281" s="9" t="s">
        <v>19</v>
      </c>
      <c r="C281" s="9"/>
      <c r="D281" s="9"/>
      <c r="E281">
        <v>0</v>
      </c>
      <c r="F281" s="2">
        <v>49.04</v>
      </c>
      <c r="G281" s="2">
        <f t="shared" si="44"/>
        <v>0</v>
      </c>
      <c r="H281" s="2">
        <v>41.11</v>
      </c>
      <c r="I281" s="2">
        <f t="shared" si="45"/>
        <v>0</v>
      </c>
      <c r="J281" s="2">
        <v>1.8</v>
      </c>
      <c r="K281" s="2">
        <f t="shared" si="46"/>
        <v>0</v>
      </c>
      <c r="L281" s="2">
        <v>91.95</v>
      </c>
      <c r="M281" s="2">
        <f t="shared" si="47"/>
        <v>0</v>
      </c>
    </row>
    <row r="282" spans="1:13">
      <c r="A282">
        <v>99395</v>
      </c>
      <c r="B282" s="9" t="s">
        <v>18</v>
      </c>
      <c r="C282" s="9"/>
      <c r="D282" s="9"/>
      <c r="E282">
        <v>0</v>
      </c>
      <c r="F282" s="2">
        <v>49.04</v>
      </c>
      <c r="G282" s="2">
        <f t="shared" si="44"/>
        <v>0</v>
      </c>
      <c r="H282" s="2">
        <v>41.11</v>
      </c>
      <c r="I282" s="2">
        <f t="shared" si="45"/>
        <v>0</v>
      </c>
      <c r="J282" s="2">
        <v>1.8</v>
      </c>
      <c r="K282" s="2">
        <f t="shared" si="46"/>
        <v>0</v>
      </c>
      <c r="L282" s="2">
        <v>91.95</v>
      </c>
      <c r="M282" s="2">
        <f t="shared" si="47"/>
        <v>0</v>
      </c>
    </row>
    <row r="283" spans="1:13">
      <c r="A283">
        <v>99396</v>
      </c>
      <c r="B283" s="9" t="s">
        <v>26</v>
      </c>
      <c r="C283" s="9"/>
      <c r="D283" s="9"/>
      <c r="E283">
        <v>0</v>
      </c>
      <c r="F283" s="2">
        <v>55.17</v>
      </c>
      <c r="G283" s="2">
        <f t="shared" si="44"/>
        <v>0</v>
      </c>
      <c r="H283" s="2">
        <v>43.27</v>
      </c>
      <c r="I283" s="2">
        <f t="shared" si="45"/>
        <v>0</v>
      </c>
      <c r="J283" s="2">
        <v>2.16</v>
      </c>
      <c r="K283" s="2">
        <f t="shared" si="46"/>
        <v>0</v>
      </c>
      <c r="L283" s="2">
        <v>100.6</v>
      </c>
      <c r="M283" s="2">
        <f t="shared" si="47"/>
        <v>0</v>
      </c>
    </row>
    <row r="284" spans="1:13">
      <c r="A284">
        <v>99397</v>
      </c>
      <c r="B284" s="9" t="s">
        <v>27</v>
      </c>
      <c r="C284" s="9"/>
      <c r="D284" s="9"/>
      <c r="E284">
        <v>0</v>
      </c>
      <c r="F284" s="2">
        <v>61.66</v>
      </c>
      <c r="G284" s="2">
        <f t="shared" si="44"/>
        <v>0</v>
      </c>
      <c r="H284" s="2">
        <v>49.04</v>
      </c>
      <c r="I284" s="2">
        <f t="shared" si="45"/>
        <v>0</v>
      </c>
      <c r="J284" s="2">
        <v>2.16</v>
      </c>
      <c r="K284" s="2">
        <f t="shared" si="46"/>
        <v>0</v>
      </c>
      <c r="L284" s="2">
        <v>112.86</v>
      </c>
      <c r="M284" s="2">
        <f t="shared" si="47"/>
        <v>0</v>
      </c>
    </row>
    <row r="285" spans="1:13">
      <c r="A285" s="10" t="s">
        <v>13</v>
      </c>
      <c r="B285" s="10"/>
      <c r="C285" s="10"/>
      <c r="D285" s="10"/>
      <c r="E285" s="1">
        <f>SUM(E264:E284)</f>
        <v>0</v>
      </c>
      <c r="F285" s="2"/>
      <c r="G285" s="3">
        <f>SUM(G264:G284)</f>
        <v>0</v>
      </c>
      <c r="H285" s="3"/>
      <c r="I285" s="3">
        <f>SUM(I264:I284)</f>
        <v>0</v>
      </c>
      <c r="J285" s="3"/>
      <c r="K285" s="3">
        <f>SUM(K264:K284)</f>
        <v>0</v>
      </c>
      <c r="L285" s="3"/>
      <c r="M285" s="3">
        <f t="shared" si="47"/>
        <v>0</v>
      </c>
    </row>
    <row r="286" spans="1:13">
      <c r="A286" s="9"/>
      <c r="B286" s="9"/>
      <c r="C286" s="9"/>
      <c r="D286" s="9"/>
    </row>
    <row r="287" spans="1:13">
      <c r="B287" s="10" t="s">
        <v>28</v>
      </c>
      <c r="C287" s="9"/>
      <c r="D287" s="9"/>
    </row>
    <row r="288" spans="1:13">
      <c r="A288" s="1" t="s">
        <v>0</v>
      </c>
      <c r="B288" s="10" t="s">
        <v>1</v>
      </c>
      <c r="C288" s="10"/>
      <c r="D288" s="10"/>
      <c r="E288" s="1" t="s">
        <v>14</v>
      </c>
      <c r="F288" s="1" t="s">
        <v>3</v>
      </c>
      <c r="G288" s="1" t="s">
        <v>15</v>
      </c>
      <c r="H288" s="1" t="s">
        <v>5</v>
      </c>
      <c r="I288" s="1" t="s">
        <v>6</v>
      </c>
      <c r="J288" s="1" t="s">
        <v>7</v>
      </c>
      <c r="K288" s="1" t="s">
        <v>8</v>
      </c>
      <c r="L288" s="1" t="s">
        <v>9</v>
      </c>
      <c r="M288" s="1" t="s">
        <v>10</v>
      </c>
    </row>
    <row r="289" spans="1:13">
      <c r="B289" s="11"/>
      <c r="C289" s="11"/>
      <c r="D289" s="11"/>
    </row>
    <row r="290" spans="1:13">
      <c r="A290">
        <v>99201</v>
      </c>
      <c r="B290" s="12" t="s">
        <v>11</v>
      </c>
      <c r="C290" s="12"/>
      <c r="D290" s="12"/>
      <c r="E290">
        <v>0</v>
      </c>
      <c r="F290" s="2">
        <v>16.23</v>
      </c>
      <c r="G290" s="2">
        <f t="shared" ref="G290:G310" si="48">(E290*F290)</f>
        <v>0</v>
      </c>
      <c r="H290" s="2">
        <v>19.829999999999998</v>
      </c>
      <c r="I290" s="2">
        <f>(E290*H290)</f>
        <v>0</v>
      </c>
      <c r="J290" s="2">
        <v>1.08</v>
      </c>
      <c r="K290" s="2">
        <f>(E290*J290)</f>
        <v>0</v>
      </c>
      <c r="L290" s="2">
        <v>37.14</v>
      </c>
      <c r="M290" s="2">
        <f>(G290+I290+K290)</f>
        <v>0</v>
      </c>
    </row>
    <row r="291" spans="1:13">
      <c r="A291">
        <v>99202</v>
      </c>
      <c r="B291" s="9" t="s">
        <v>11</v>
      </c>
      <c r="C291" s="9"/>
      <c r="D291" s="9"/>
      <c r="E291">
        <v>0</v>
      </c>
      <c r="F291" s="2">
        <v>31.73</v>
      </c>
      <c r="G291" s="2">
        <f t="shared" si="48"/>
        <v>0</v>
      </c>
      <c r="H291" s="2">
        <v>30.65</v>
      </c>
      <c r="I291" s="2">
        <f t="shared" ref="I291:I310" si="49">(E291*H291)</f>
        <v>0</v>
      </c>
      <c r="J291" s="2">
        <v>1.8</v>
      </c>
      <c r="K291" s="2">
        <f t="shared" ref="K291:K310" si="50">(E291*J291)</f>
        <v>0</v>
      </c>
      <c r="L291" s="2">
        <v>64.180000000000007</v>
      </c>
      <c r="M291" s="2">
        <f t="shared" ref="M291:M311" si="51">(G291+I291+K291)</f>
        <v>0</v>
      </c>
    </row>
    <row r="292" spans="1:13">
      <c r="A292">
        <v>99203</v>
      </c>
      <c r="B292" s="9" t="s">
        <v>11</v>
      </c>
      <c r="C292" s="9"/>
      <c r="D292" s="9"/>
      <c r="E292">
        <v>0</v>
      </c>
      <c r="F292" s="2">
        <v>48.32</v>
      </c>
      <c r="G292" s="2">
        <f t="shared" si="48"/>
        <v>0</v>
      </c>
      <c r="H292" s="2">
        <v>40.39</v>
      </c>
      <c r="I292" s="2">
        <f t="shared" si="49"/>
        <v>0</v>
      </c>
      <c r="J292" s="2">
        <v>3.24</v>
      </c>
      <c r="K292" s="2">
        <f t="shared" si="50"/>
        <v>0</v>
      </c>
      <c r="L292" s="2">
        <v>91.95</v>
      </c>
      <c r="M292" s="2">
        <f t="shared" si="51"/>
        <v>0</v>
      </c>
    </row>
    <row r="293" spans="1:13">
      <c r="A293">
        <v>99204</v>
      </c>
      <c r="B293" s="9" t="s">
        <v>11</v>
      </c>
      <c r="C293" s="9"/>
      <c r="D293" s="9"/>
      <c r="E293">
        <v>0</v>
      </c>
      <c r="F293" s="2">
        <v>82.94</v>
      </c>
      <c r="G293" s="2">
        <f t="shared" si="48"/>
        <v>0</v>
      </c>
      <c r="H293" s="2">
        <v>54.45</v>
      </c>
      <c r="I293" s="2">
        <f t="shared" si="49"/>
        <v>0</v>
      </c>
      <c r="J293" s="2">
        <v>4.33</v>
      </c>
      <c r="K293" s="2">
        <f t="shared" si="50"/>
        <v>0</v>
      </c>
      <c r="L293" s="2">
        <v>141.72</v>
      </c>
      <c r="M293" s="2">
        <f t="shared" si="51"/>
        <v>0</v>
      </c>
    </row>
    <row r="294" spans="1:13">
      <c r="A294">
        <v>99211</v>
      </c>
      <c r="B294" s="9" t="s">
        <v>12</v>
      </c>
      <c r="C294" s="9"/>
      <c r="D294" s="9"/>
      <c r="E294">
        <v>0</v>
      </c>
      <c r="F294" s="2">
        <v>6.13</v>
      </c>
      <c r="G294" s="2">
        <f t="shared" si="48"/>
        <v>0</v>
      </c>
      <c r="H294" s="2">
        <v>11.54</v>
      </c>
      <c r="I294" s="2">
        <f t="shared" si="49"/>
        <v>0</v>
      </c>
      <c r="J294" s="2">
        <v>0.36</v>
      </c>
      <c r="K294" s="2">
        <f t="shared" si="50"/>
        <v>0</v>
      </c>
      <c r="L294" s="2">
        <v>18.03</v>
      </c>
      <c r="M294" s="2">
        <f t="shared" si="51"/>
        <v>0</v>
      </c>
    </row>
    <row r="295" spans="1:13">
      <c r="A295">
        <v>99212</v>
      </c>
      <c r="B295" s="9" t="s">
        <v>12</v>
      </c>
      <c r="C295" s="9"/>
      <c r="D295" s="9"/>
      <c r="E295">
        <v>0</v>
      </c>
      <c r="F295" s="2">
        <v>16.23</v>
      </c>
      <c r="G295" s="2">
        <f t="shared" si="48"/>
        <v>0</v>
      </c>
      <c r="H295" s="2">
        <v>19.829999999999998</v>
      </c>
      <c r="I295" s="2">
        <f t="shared" si="49"/>
        <v>0</v>
      </c>
      <c r="J295" s="2">
        <v>1.08</v>
      </c>
      <c r="K295" s="2">
        <f t="shared" si="50"/>
        <v>0</v>
      </c>
      <c r="L295" s="2">
        <v>37.11</v>
      </c>
      <c r="M295" s="2">
        <f t="shared" si="51"/>
        <v>0</v>
      </c>
    </row>
    <row r="296" spans="1:13">
      <c r="A296">
        <v>99213</v>
      </c>
      <c r="B296" s="9" t="s">
        <v>12</v>
      </c>
      <c r="C296" s="9"/>
      <c r="D296" s="9"/>
      <c r="E296">
        <v>0</v>
      </c>
      <c r="F296" s="2">
        <v>33.17</v>
      </c>
      <c r="G296" s="2">
        <f t="shared" si="48"/>
        <v>0</v>
      </c>
      <c r="H296" s="2">
        <v>27.77</v>
      </c>
      <c r="I296" s="2">
        <f t="shared" si="49"/>
        <v>0</v>
      </c>
      <c r="J296" s="2">
        <v>1.08</v>
      </c>
      <c r="K296" s="2">
        <f t="shared" si="50"/>
        <v>0</v>
      </c>
      <c r="L296" s="2">
        <v>62.02</v>
      </c>
      <c r="M296" s="2">
        <f t="shared" si="51"/>
        <v>0</v>
      </c>
    </row>
    <row r="297" spans="1:13">
      <c r="A297">
        <v>99214</v>
      </c>
      <c r="B297" s="9" t="s">
        <v>12</v>
      </c>
      <c r="C297" s="9"/>
      <c r="D297" s="9"/>
      <c r="E297">
        <v>0</v>
      </c>
      <c r="F297" s="2">
        <v>51.2</v>
      </c>
      <c r="G297" s="2">
        <f t="shared" si="48"/>
        <v>0</v>
      </c>
      <c r="H297" s="2">
        <v>39.67</v>
      </c>
      <c r="I297" s="2">
        <f t="shared" si="49"/>
        <v>0</v>
      </c>
      <c r="J297" s="2">
        <v>1.8</v>
      </c>
      <c r="K297" s="2">
        <f t="shared" si="50"/>
        <v>0</v>
      </c>
      <c r="L297" s="2">
        <v>92.67</v>
      </c>
      <c r="M297" s="2">
        <f t="shared" si="51"/>
        <v>0</v>
      </c>
    </row>
    <row r="298" spans="1:13">
      <c r="A298">
        <v>99215</v>
      </c>
      <c r="B298" s="9" t="s">
        <v>12</v>
      </c>
      <c r="C298" s="9"/>
      <c r="D298" s="9"/>
      <c r="E298">
        <v>0</v>
      </c>
      <c r="F298" s="2">
        <v>72.12</v>
      </c>
      <c r="G298" s="2">
        <f t="shared" si="48"/>
        <v>0</v>
      </c>
      <c r="H298" s="2">
        <v>50.48</v>
      </c>
      <c r="I298" s="2">
        <f t="shared" si="49"/>
        <v>0</v>
      </c>
      <c r="J298" s="2">
        <v>2.88</v>
      </c>
      <c r="K298" s="2">
        <f t="shared" si="50"/>
        <v>0</v>
      </c>
      <c r="L298" s="2">
        <v>125.48</v>
      </c>
      <c r="M298" s="2">
        <f t="shared" si="51"/>
        <v>0</v>
      </c>
    </row>
    <row r="299" spans="1:13">
      <c r="A299">
        <v>99381</v>
      </c>
      <c r="B299" s="9" t="s">
        <v>16</v>
      </c>
      <c r="C299" s="9"/>
      <c r="D299" s="9"/>
      <c r="E299">
        <v>0</v>
      </c>
      <c r="F299" s="2">
        <v>42.91</v>
      </c>
      <c r="G299" s="2">
        <f t="shared" si="48"/>
        <v>0</v>
      </c>
      <c r="H299" s="2">
        <v>42.91</v>
      </c>
      <c r="I299" s="2">
        <f t="shared" si="49"/>
        <v>0</v>
      </c>
      <c r="J299" s="2">
        <v>1.8</v>
      </c>
      <c r="K299" s="2">
        <f t="shared" si="50"/>
        <v>0</v>
      </c>
      <c r="L299" s="2">
        <v>87.62</v>
      </c>
      <c r="M299" s="2">
        <f t="shared" si="51"/>
        <v>0</v>
      </c>
    </row>
    <row r="300" spans="1:13">
      <c r="A300">
        <v>99382</v>
      </c>
      <c r="B300" s="9" t="s">
        <v>22</v>
      </c>
      <c r="C300" s="9"/>
      <c r="D300" s="9"/>
      <c r="E300">
        <v>0</v>
      </c>
      <c r="F300" s="2">
        <v>49.04</v>
      </c>
      <c r="G300" s="2">
        <f t="shared" si="48"/>
        <v>0</v>
      </c>
      <c r="H300" s="2">
        <v>45.07</v>
      </c>
      <c r="I300" s="2">
        <f t="shared" si="49"/>
        <v>0</v>
      </c>
      <c r="J300" s="2">
        <v>1.8</v>
      </c>
      <c r="K300" s="2">
        <f t="shared" si="50"/>
        <v>0</v>
      </c>
      <c r="L300" s="2">
        <v>95.91</v>
      </c>
      <c r="M300" s="2">
        <f t="shared" si="51"/>
        <v>0</v>
      </c>
    </row>
    <row r="301" spans="1:13">
      <c r="A301">
        <v>99383</v>
      </c>
      <c r="B301" s="9" t="s">
        <v>23</v>
      </c>
      <c r="C301" s="9"/>
      <c r="D301" s="9"/>
      <c r="E301">
        <v>0</v>
      </c>
      <c r="F301" s="2">
        <v>49.04</v>
      </c>
      <c r="G301" s="2">
        <f t="shared" si="48"/>
        <v>0</v>
      </c>
      <c r="H301" s="2">
        <v>44.71</v>
      </c>
      <c r="I301" s="2">
        <f t="shared" si="49"/>
        <v>0</v>
      </c>
      <c r="J301" s="2">
        <v>1.8</v>
      </c>
      <c r="K301" s="2">
        <f t="shared" si="50"/>
        <v>0</v>
      </c>
      <c r="L301" s="2">
        <v>95.55</v>
      </c>
      <c r="M301" s="2">
        <f t="shared" si="51"/>
        <v>0</v>
      </c>
    </row>
    <row r="302" spans="1:13">
      <c r="A302">
        <v>99384</v>
      </c>
      <c r="B302" s="9" t="s">
        <v>24</v>
      </c>
      <c r="C302" s="9"/>
      <c r="D302" s="9"/>
      <c r="E302">
        <v>0</v>
      </c>
      <c r="F302" s="2">
        <v>55.17</v>
      </c>
      <c r="G302" s="2">
        <f t="shared" si="48"/>
        <v>0</v>
      </c>
      <c r="H302" s="2">
        <v>46.88</v>
      </c>
      <c r="I302" s="2">
        <f t="shared" si="49"/>
        <v>0</v>
      </c>
      <c r="J302" s="2">
        <v>2.16</v>
      </c>
      <c r="K302" s="2">
        <f t="shared" si="50"/>
        <v>0</v>
      </c>
      <c r="L302" s="2">
        <v>104.21</v>
      </c>
      <c r="M302" s="2">
        <f t="shared" si="51"/>
        <v>0</v>
      </c>
    </row>
    <row r="303" spans="1:13">
      <c r="A303">
        <v>99385</v>
      </c>
      <c r="B303" s="9" t="s">
        <v>25</v>
      </c>
      <c r="C303" s="9"/>
      <c r="D303" s="9"/>
      <c r="E303">
        <v>0</v>
      </c>
      <c r="F303" s="2">
        <v>55.17</v>
      </c>
      <c r="G303" s="2">
        <f t="shared" si="48"/>
        <v>0</v>
      </c>
      <c r="H303" s="2">
        <v>46.88</v>
      </c>
      <c r="I303" s="2">
        <f t="shared" si="49"/>
        <v>0</v>
      </c>
      <c r="J303" s="2">
        <v>2.16</v>
      </c>
      <c r="K303" s="2">
        <f t="shared" si="50"/>
        <v>0</v>
      </c>
      <c r="L303" s="2">
        <v>104.21</v>
      </c>
      <c r="M303" s="2">
        <f t="shared" si="51"/>
        <v>0</v>
      </c>
    </row>
    <row r="304" spans="1:13">
      <c r="A304">
        <v>99391</v>
      </c>
      <c r="B304" s="9" t="s">
        <v>17</v>
      </c>
      <c r="C304" s="9"/>
      <c r="D304" s="9"/>
      <c r="E304">
        <v>0</v>
      </c>
      <c r="F304" s="2">
        <v>36.78</v>
      </c>
      <c r="G304" s="2">
        <f t="shared" si="48"/>
        <v>0</v>
      </c>
      <c r="H304" s="2">
        <v>37.14</v>
      </c>
      <c r="I304" s="2">
        <f t="shared" si="49"/>
        <v>0</v>
      </c>
      <c r="J304" s="2">
        <v>1.44</v>
      </c>
      <c r="K304" s="2">
        <f t="shared" si="50"/>
        <v>0</v>
      </c>
      <c r="L304" s="2">
        <v>75.36</v>
      </c>
      <c r="M304" s="2">
        <f t="shared" si="51"/>
        <v>0</v>
      </c>
    </row>
    <row r="305" spans="1:13">
      <c r="A305">
        <v>99392</v>
      </c>
      <c r="B305" s="9" t="s">
        <v>21</v>
      </c>
      <c r="C305" s="9"/>
      <c r="D305" s="9"/>
      <c r="E305">
        <v>0</v>
      </c>
      <c r="F305" s="2">
        <v>42.91</v>
      </c>
      <c r="G305" s="2">
        <f t="shared" si="48"/>
        <v>0</v>
      </c>
      <c r="H305" s="2">
        <v>39.299999999999997</v>
      </c>
      <c r="I305" s="2">
        <f t="shared" si="49"/>
        <v>0</v>
      </c>
      <c r="J305" s="2">
        <v>1.8</v>
      </c>
      <c r="K305" s="2">
        <f t="shared" si="50"/>
        <v>0</v>
      </c>
      <c r="L305" s="2">
        <v>84.01</v>
      </c>
      <c r="M305" s="2">
        <f t="shared" si="51"/>
        <v>0</v>
      </c>
    </row>
    <row r="306" spans="1:13">
      <c r="A306">
        <v>99393</v>
      </c>
      <c r="B306" s="9" t="s">
        <v>20</v>
      </c>
      <c r="C306" s="9"/>
      <c r="D306" s="9"/>
      <c r="E306">
        <v>0</v>
      </c>
      <c r="F306" s="2">
        <v>42.91</v>
      </c>
      <c r="G306" s="2">
        <f t="shared" si="48"/>
        <v>0</v>
      </c>
      <c r="H306" s="2">
        <v>38.94</v>
      </c>
      <c r="I306" s="2">
        <f t="shared" si="49"/>
        <v>0</v>
      </c>
      <c r="J306" s="2">
        <v>1.8</v>
      </c>
      <c r="K306" s="2">
        <f t="shared" si="50"/>
        <v>0</v>
      </c>
      <c r="L306" s="2">
        <v>83.65</v>
      </c>
      <c r="M306" s="2">
        <f t="shared" si="51"/>
        <v>0</v>
      </c>
    </row>
    <row r="307" spans="1:13">
      <c r="A307">
        <v>99394</v>
      </c>
      <c r="B307" s="9" t="s">
        <v>19</v>
      </c>
      <c r="C307" s="9"/>
      <c r="D307" s="9"/>
      <c r="E307">
        <v>0</v>
      </c>
      <c r="F307" s="2">
        <v>49.04</v>
      </c>
      <c r="G307" s="2">
        <f t="shared" si="48"/>
        <v>0</v>
      </c>
      <c r="H307" s="2">
        <v>41.11</v>
      </c>
      <c r="I307" s="2">
        <f t="shared" si="49"/>
        <v>0</v>
      </c>
      <c r="J307" s="2">
        <v>1.8</v>
      </c>
      <c r="K307" s="2">
        <f t="shared" si="50"/>
        <v>0</v>
      </c>
      <c r="L307" s="2">
        <v>91.95</v>
      </c>
      <c r="M307" s="2">
        <f t="shared" si="51"/>
        <v>0</v>
      </c>
    </row>
    <row r="308" spans="1:13">
      <c r="A308">
        <v>99395</v>
      </c>
      <c r="B308" s="9" t="s">
        <v>18</v>
      </c>
      <c r="C308" s="9"/>
      <c r="D308" s="9"/>
      <c r="E308">
        <v>0</v>
      </c>
      <c r="F308" s="2">
        <v>49.04</v>
      </c>
      <c r="G308" s="2">
        <f t="shared" si="48"/>
        <v>0</v>
      </c>
      <c r="H308" s="2">
        <v>41.11</v>
      </c>
      <c r="I308" s="2">
        <f t="shared" si="49"/>
        <v>0</v>
      </c>
      <c r="J308" s="2">
        <v>1.8</v>
      </c>
      <c r="K308" s="2">
        <f t="shared" si="50"/>
        <v>0</v>
      </c>
      <c r="L308" s="2">
        <v>91.95</v>
      </c>
      <c r="M308" s="2">
        <f t="shared" si="51"/>
        <v>0</v>
      </c>
    </row>
    <row r="309" spans="1:13">
      <c r="A309">
        <v>99396</v>
      </c>
      <c r="B309" s="9" t="s">
        <v>26</v>
      </c>
      <c r="C309" s="9"/>
      <c r="D309" s="9"/>
      <c r="E309">
        <v>0</v>
      </c>
      <c r="F309" s="2">
        <v>55.17</v>
      </c>
      <c r="G309" s="2">
        <f t="shared" si="48"/>
        <v>0</v>
      </c>
      <c r="H309" s="2">
        <v>43.27</v>
      </c>
      <c r="I309" s="2">
        <f t="shared" si="49"/>
        <v>0</v>
      </c>
      <c r="J309" s="2">
        <v>2.16</v>
      </c>
      <c r="K309" s="2">
        <f t="shared" si="50"/>
        <v>0</v>
      </c>
      <c r="L309" s="2">
        <v>100.6</v>
      </c>
      <c r="M309" s="2">
        <f t="shared" si="51"/>
        <v>0</v>
      </c>
    </row>
    <row r="310" spans="1:13">
      <c r="A310">
        <v>99397</v>
      </c>
      <c r="B310" s="9" t="s">
        <v>27</v>
      </c>
      <c r="C310" s="9"/>
      <c r="D310" s="9"/>
      <c r="E310">
        <v>0</v>
      </c>
      <c r="F310" s="2">
        <v>61.66</v>
      </c>
      <c r="G310" s="2">
        <f t="shared" si="48"/>
        <v>0</v>
      </c>
      <c r="H310" s="2">
        <v>49.04</v>
      </c>
      <c r="I310" s="2">
        <f t="shared" si="49"/>
        <v>0</v>
      </c>
      <c r="J310" s="2">
        <v>2.16</v>
      </c>
      <c r="K310" s="2">
        <f t="shared" si="50"/>
        <v>0</v>
      </c>
      <c r="L310" s="2">
        <v>112.86</v>
      </c>
      <c r="M310" s="2">
        <f t="shared" si="51"/>
        <v>0</v>
      </c>
    </row>
    <row r="311" spans="1:13">
      <c r="A311" s="10" t="s">
        <v>13</v>
      </c>
      <c r="B311" s="10"/>
      <c r="C311" s="10"/>
      <c r="D311" s="10"/>
      <c r="E311" s="1">
        <f>SUM(E290:E310)</f>
        <v>0</v>
      </c>
      <c r="F311" s="2"/>
      <c r="G311" s="3">
        <f>SUM(G290:G310)</f>
        <v>0</v>
      </c>
      <c r="H311" s="3"/>
      <c r="I311" s="3">
        <f>SUM(I290:I310)</f>
        <v>0</v>
      </c>
      <c r="J311" s="3"/>
      <c r="K311" s="3">
        <f>SUM(K290:K310)</f>
        <v>0</v>
      </c>
      <c r="L311" s="3"/>
      <c r="M311" s="3">
        <f t="shared" si="51"/>
        <v>0</v>
      </c>
    </row>
    <row r="312" spans="1:13">
      <c r="A312" s="9"/>
      <c r="B312" s="9"/>
      <c r="C312" s="9"/>
      <c r="D312" s="9"/>
    </row>
    <row r="313" spans="1:13">
      <c r="B313" s="10"/>
      <c r="C313" s="9"/>
      <c r="D313" s="9"/>
    </row>
    <row r="314" spans="1:13">
      <c r="A314" s="1"/>
      <c r="B314" s="10"/>
      <c r="C314" s="10"/>
      <c r="D314" s="10"/>
      <c r="E314" s="1"/>
      <c r="F314" s="1"/>
      <c r="G314" s="1"/>
      <c r="H314" s="1"/>
      <c r="I314" s="1"/>
      <c r="J314" s="1"/>
      <c r="K314" s="1"/>
      <c r="L314" s="1"/>
      <c r="M314" s="1"/>
    </row>
    <row r="315" spans="1:13">
      <c r="B315" s="11"/>
      <c r="C315" s="11"/>
      <c r="D315" s="11"/>
    </row>
    <row r="316" spans="1:13">
      <c r="B316" s="12"/>
      <c r="C316" s="12"/>
      <c r="D316" s="12"/>
      <c r="F316" s="2"/>
      <c r="G316" s="2"/>
      <c r="H316" s="2"/>
      <c r="I316" s="2"/>
      <c r="J316" s="2"/>
      <c r="K316" s="2"/>
      <c r="L316" s="2"/>
      <c r="M316" s="2"/>
    </row>
    <row r="317" spans="1:13">
      <c r="B317" s="9"/>
      <c r="C317" s="9"/>
      <c r="D317" s="9"/>
      <c r="F317" s="2"/>
      <c r="G317" s="2"/>
      <c r="H317" s="2"/>
      <c r="I317" s="2"/>
      <c r="J317" s="2"/>
      <c r="K317" s="2"/>
      <c r="L317" s="2"/>
      <c r="M317" s="2"/>
    </row>
    <row r="318" spans="1:13">
      <c r="B318" s="9"/>
      <c r="C318" s="9"/>
      <c r="D318" s="9"/>
      <c r="F318" s="2"/>
      <c r="G318" s="2"/>
      <c r="H318" s="2"/>
      <c r="I318" s="2"/>
      <c r="J318" s="2"/>
      <c r="K318" s="2"/>
      <c r="L318" s="2"/>
      <c r="M318" s="2"/>
    </row>
    <row r="319" spans="1:13">
      <c r="B319" s="9"/>
      <c r="C319" s="9"/>
      <c r="D319" s="9"/>
      <c r="F319" s="2"/>
      <c r="G319" s="2"/>
      <c r="H319" s="2"/>
      <c r="I319" s="2"/>
      <c r="J319" s="2"/>
      <c r="K319" s="2"/>
      <c r="L319" s="2"/>
      <c r="M319" s="2"/>
    </row>
    <row r="320" spans="1:13">
      <c r="B320" s="9"/>
      <c r="C320" s="9"/>
      <c r="D320" s="9"/>
      <c r="F320" s="2"/>
      <c r="G320" s="2"/>
      <c r="H320" s="2"/>
      <c r="I320" s="2"/>
      <c r="J320" s="2"/>
      <c r="K320" s="2"/>
      <c r="L320" s="2"/>
      <c r="M320" s="2"/>
    </row>
    <row r="321" spans="2:13">
      <c r="B321" s="9"/>
      <c r="C321" s="9"/>
      <c r="D321" s="9"/>
      <c r="F321" s="2"/>
      <c r="G321" s="2"/>
      <c r="H321" s="2"/>
      <c r="I321" s="2"/>
      <c r="J321" s="2"/>
      <c r="K321" s="2"/>
      <c r="L321" s="2"/>
      <c r="M321" s="2"/>
    </row>
    <row r="322" spans="2:13">
      <c r="B322" s="9"/>
      <c r="C322" s="9"/>
      <c r="D322" s="9"/>
      <c r="F322" s="2"/>
      <c r="G322" s="2"/>
      <c r="H322" s="2"/>
      <c r="I322" s="2"/>
      <c r="J322" s="2"/>
      <c r="K322" s="2"/>
      <c r="L322" s="2"/>
      <c r="M322" s="2"/>
    </row>
    <row r="323" spans="2:13">
      <c r="B323" s="9"/>
      <c r="C323" s="9"/>
      <c r="D323" s="9"/>
      <c r="F323" s="2"/>
      <c r="G323" s="2"/>
      <c r="H323" s="2"/>
      <c r="I323" s="2"/>
      <c r="J323" s="2"/>
      <c r="K323" s="2"/>
      <c r="L323" s="2"/>
      <c r="M323" s="2"/>
    </row>
    <row r="324" spans="2:13">
      <c r="B324" s="9"/>
      <c r="C324" s="9"/>
      <c r="D324" s="9"/>
      <c r="F324" s="2"/>
      <c r="G324" s="2"/>
      <c r="H324" s="2"/>
      <c r="I324" s="2"/>
      <c r="J324" s="2"/>
      <c r="K324" s="2"/>
      <c r="L324" s="2"/>
      <c r="M324" s="2"/>
    </row>
    <row r="325" spans="2:13">
      <c r="B325" s="9"/>
      <c r="C325" s="9"/>
      <c r="D325" s="9"/>
      <c r="F325" s="2"/>
      <c r="G325" s="2"/>
      <c r="H325" s="2"/>
      <c r="I325" s="2"/>
      <c r="J325" s="2"/>
      <c r="K325" s="2"/>
      <c r="L325" s="2"/>
      <c r="M325" s="2"/>
    </row>
    <row r="326" spans="2:13">
      <c r="B326" s="9"/>
      <c r="C326" s="9"/>
      <c r="D326" s="9"/>
      <c r="F326" s="2"/>
      <c r="G326" s="2"/>
      <c r="H326" s="2"/>
      <c r="I326" s="2"/>
      <c r="J326" s="2"/>
      <c r="K326" s="2"/>
      <c r="L326" s="2"/>
      <c r="M326" s="2"/>
    </row>
    <row r="327" spans="2:13">
      <c r="B327" s="9"/>
      <c r="C327" s="9"/>
      <c r="D327" s="9"/>
      <c r="F327" s="2"/>
      <c r="G327" s="2"/>
      <c r="H327" s="2"/>
      <c r="I327" s="2"/>
      <c r="J327" s="2"/>
      <c r="K327" s="2"/>
      <c r="L327" s="2"/>
      <c r="M327" s="2"/>
    </row>
    <row r="328" spans="2:13">
      <c r="B328" s="9"/>
      <c r="C328" s="9"/>
      <c r="D328" s="9"/>
      <c r="F328" s="2"/>
      <c r="G328" s="2"/>
      <c r="H328" s="2"/>
      <c r="I328" s="2"/>
      <c r="J328" s="2"/>
      <c r="K328" s="2"/>
      <c r="L328" s="2"/>
      <c r="M328" s="2"/>
    </row>
    <row r="329" spans="2:13">
      <c r="B329" s="9"/>
      <c r="C329" s="9"/>
      <c r="D329" s="9"/>
      <c r="F329" s="2"/>
      <c r="G329" s="2"/>
      <c r="H329" s="2"/>
      <c r="I329" s="2"/>
      <c r="J329" s="2"/>
      <c r="K329" s="2"/>
      <c r="L329" s="2"/>
      <c r="M329" s="2"/>
    </row>
    <row r="330" spans="2:13">
      <c r="B330" s="9"/>
      <c r="C330" s="9"/>
      <c r="D330" s="9"/>
      <c r="F330" s="2"/>
      <c r="G330" s="2"/>
      <c r="H330" s="2"/>
      <c r="I330" s="2"/>
      <c r="J330" s="2"/>
      <c r="K330" s="2"/>
      <c r="L330" s="2"/>
      <c r="M330" s="2"/>
    </row>
    <row r="331" spans="2:13">
      <c r="B331" s="9"/>
      <c r="C331" s="9"/>
      <c r="D331" s="9"/>
      <c r="F331" s="2"/>
      <c r="G331" s="2"/>
      <c r="H331" s="2"/>
      <c r="I331" s="2"/>
      <c r="J331" s="2"/>
      <c r="K331" s="2"/>
      <c r="L331" s="2"/>
      <c r="M331" s="2"/>
    </row>
    <row r="332" spans="2:13">
      <c r="B332" s="9"/>
      <c r="C332" s="9"/>
      <c r="D332" s="9"/>
      <c r="F332" s="2"/>
      <c r="G332" s="2"/>
      <c r="H332" s="2"/>
      <c r="I332" s="2"/>
      <c r="J332" s="2"/>
      <c r="K332" s="2"/>
      <c r="L332" s="2"/>
      <c r="M332" s="2"/>
    </row>
    <row r="333" spans="2:13">
      <c r="B333" s="9"/>
      <c r="C333" s="9"/>
      <c r="D333" s="9"/>
      <c r="F333" s="2"/>
      <c r="G333" s="2"/>
      <c r="H333" s="2"/>
      <c r="I333" s="2"/>
      <c r="J333" s="2"/>
      <c r="K333" s="2"/>
      <c r="L333" s="2"/>
      <c r="M333" s="2"/>
    </row>
    <row r="334" spans="2:13">
      <c r="B334" s="9"/>
      <c r="C334" s="9"/>
      <c r="D334" s="9"/>
      <c r="F334" s="2"/>
      <c r="G334" s="2"/>
      <c r="H334" s="2"/>
      <c r="I334" s="2"/>
      <c r="J334" s="2"/>
      <c r="K334" s="2"/>
      <c r="L334" s="2"/>
      <c r="M334" s="2"/>
    </row>
    <row r="335" spans="2:13">
      <c r="B335" s="9"/>
      <c r="C335" s="9"/>
      <c r="D335" s="9"/>
      <c r="F335" s="2"/>
      <c r="G335" s="2"/>
      <c r="H335" s="2"/>
      <c r="I335" s="2"/>
      <c r="J335" s="2"/>
      <c r="K335" s="2"/>
      <c r="L335" s="2"/>
      <c r="M335" s="2"/>
    </row>
    <row r="336" spans="2:13">
      <c r="B336" s="9"/>
      <c r="C336" s="9"/>
      <c r="D336" s="9"/>
      <c r="F336" s="2"/>
      <c r="G336" s="2"/>
      <c r="H336" s="2"/>
      <c r="I336" s="2"/>
      <c r="J336" s="2"/>
      <c r="K336" s="2"/>
      <c r="L336" s="2"/>
      <c r="M336" s="2"/>
    </row>
    <row r="337" spans="1:13">
      <c r="A337" s="10"/>
      <c r="B337" s="10"/>
      <c r="C337" s="10"/>
      <c r="D337" s="10"/>
      <c r="E337" s="1"/>
      <c r="F337" s="2"/>
      <c r="G337" s="3"/>
      <c r="H337" s="3"/>
      <c r="I337" s="3"/>
      <c r="J337" s="3"/>
      <c r="K337" s="3"/>
      <c r="L337" s="3"/>
      <c r="M337" s="3"/>
    </row>
  </sheetData>
  <mergeCells count="337">
    <mergeCell ref="B289:D289"/>
    <mergeCell ref="B290:D290"/>
    <mergeCell ref="B291:D291"/>
    <mergeCell ref="B292:D292"/>
    <mergeCell ref="B293:D293"/>
    <mergeCell ref="B294:D294"/>
    <mergeCell ref="B282:D282"/>
    <mergeCell ref="B332:D332"/>
    <mergeCell ref="B333:D333"/>
    <mergeCell ref="B334:D334"/>
    <mergeCell ref="B335:D335"/>
    <mergeCell ref="B336:D336"/>
    <mergeCell ref="A337:D337"/>
    <mergeCell ref="B326:D326"/>
    <mergeCell ref="B327:D327"/>
    <mergeCell ref="B328:D328"/>
    <mergeCell ref="B329:D329"/>
    <mergeCell ref="B330:D330"/>
    <mergeCell ref="B331:D331"/>
    <mergeCell ref="B320:D320"/>
    <mergeCell ref="B321:D321"/>
    <mergeCell ref="B322:D322"/>
    <mergeCell ref="B323:D323"/>
    <mergeCell ref="B324:D324"/>
    <mergeCell ref="B325:D325"/>
    <mergeCell ref="B314:D314"/>
    <mergeCell ref="B315:D315"/>
    <mergeCell ref="B316:D316"/>
    <mergeCell ref="B317:D317"/>
    <mergeCell ref="B318:D318"/>
    <mergeCell ref="B319:D319"/>
    <mergeCell ref="B313:D313"/>
    <mergeCell ref="B301:D301"/>
    <mergeCell ref="B302:D302"/>
    <mergeCell ref="B303:D303"/>
    <mergeCell ref="B304:D304"/>
    <mergeCell ref="B305:D305"/>
    <mergeCell ref="B306:D306"/>
    <mergeCell ref="B295:D295"/>
    <mergeCell ref="B296:D296"/>
    <mergeCell ref="B297:D297"/>
    <mergeCell ref="B298:D298"/>
    <mergeCell ref="B299:D299"/>
    <mergeCell ref="B300:D300"/>
    <mergeCell ref="A312:D312"/>
    <mergeCell ref="B307:D307"/>
    <mergeCell ref="B308:D308"/>
    <mergeCell ref="B309:D309"/>
    <mergeCell ref="B310:D310"/>
    <mergeCell ref="A311:D311"/>
    <mergeCell ref="B283:D283"/>
    <mergeCell ref="B284:D284"/>
    <mergeCell ref="A285:D285"/>
    <mergeCell ref="B287:D287"/>
    <mergeCell ref="B288:D288"/>
    <mergeCell ref="B276:D276"/>
    <mergeCell ref="B277:D277"/>
    <mergeCell ref="B278:D278"/>
    <mergeCell ref="B279:D279"/>
    <mergeCell ref="B280:D280"/>
    <mergeCell ref="B281:D281"/>
    <mergeCell ref="A286:D286"/>
    <mergeCell ref="B270:D270"/>
    <mergeCell ref="B271:D271"/>
    <mergeCell ref="B272:D272"/>
    <mergeCell ref="B273:D273"/>
    <mergeCell ref="B274:D274"/>
    <mergeCell ref="B275:D275"/>
    <mergeCell ref="B264:D264"/>
    <mergeCell ref="B265:D265"/>
    <mergeCell ref="B266:D266"/>
    <mergeCell ref="B267:D267"/>
    <mergeCell ref="B268:D268"/>
    <mergeCell ref="B269:D269"/>
    <mergeCell ref="B257:D257"/>
    <mergeCell ref="B258:D258"/>
    <mergeCell ref="A259:D259"/>
    <mergeCell ref="B261:D261"/>
    <mergeCell ref="B262:D262"/>
    <mergeCell ref="B263:D263"/>
    <mergeCell ref="B251:D251"/>
    <mergeCell ref="B252:D252"/>
    <mergeCell ref="B253:D253"/>
    <mergeCell ref="B254:D254"/>
    <mergeCell ref="B255:D255"/>
    <mergeCell ref="B256:D256"/>
    <mergeCell ref="A260:D260"/>
    <mergeCell ref="B245:D245"/>
    <mergeCell ref="B246:D246"/>
    <mergeCell ref="B247:D247"/>
    <mergeCell ref="B248:D248"/>
    <mergeCell ref="B249:D249"/>
    <mergeCell ref="B250:D250"/>
    <mergeCell ref="B239:D239"/>
    <mergeCell ref="B240:D240"/>
    <mergeCell ref="B241:D241"/>
    <mergeCell ref="B242:D242"/>
    <mergeCell ref="B243:D243"/>
    <mergeCell ref="B244:D244"/>
    <mergeCell ref="B232:D232"/>
    <mergeCell ref="A233:D233"/>
    <mergeCell ref="B235:D235"/>
    <mergeCell ref="B236:D236"/>
    <mergeCell ref="B237:D237"/>
    <mergeCell ref="B238:D238"/>
    <mergeCell ref="B226:D226"/>
    <mergeCell ref="B227:D227"/>
    <mergeCell ref="B228:D228"/>
    <mergeCell ref="B229:D229"/>
    <mergeCell ref="B230:D230"/>
    <mergeCell ref="B231:D231"/>
    <mergeCell ref="A234:D234"/>
    <mergeCell ref="B220:D220"/>
    <mergeCell ref="B221:D221"/>
    <mergeCell ref="B222:D222"/>
    <mergeCell ref="B223:D223"/>
    <mergeCell ref="B224:D224"/>
    <mergeCell ref="B225:D225"/>
    <mergeCell ref="B214:D214"/>
    <mergeCell ref="B215:D215"/>
    <mergeCell ref="B216:D216"/>
    <mergeCell ref="B217:D217"/>
    <mergeCell ref="B218:D218"/>
    <mergeCell ref="B219:D219"/>
    <mergeCell ref="A207:D207"/>
    <mergeCell ref="B209:D209"/>
    <mergeCell ref="B210:D210"/>
    <mergeCell ref="B211:D211"/>
    <mergeCell ref="B212:D212"/>
    <mergeCell ref="B213:D213"/>
    <mergeCell ref="B201:D201"/>
    <mergeCell ref="B202:D202"/>
    <mergeCell ref="B203:D203"/>
    <mergeCell ref="B204:D204"/>
    <mergeCell ref="B205:D205"/>
    <mergeCell ref="B206:D206"/>
    <mergeCell ref="A208:D208"/>
    <mergeCell ref="B195:D195"/>
    <mergeCell ref="B196:D196"/>
    <mergeCell ref="B197:D197"/>
    <mergeCell ref="B198:D198"/>
    <mergeCell ref="B199:D199"/>
    <mergeCell ref="B200:D200"/>
    <mergeCell ref="B189:D189"/>
    <mergeCell ref="B190:D190"/>
    <mergeCell ref="B191:D191"/>
    <mergeCell ref="B192:D192"/>
    <mergeCell ref="B193:D193"/>
    <mergeCell ref="B194:D194"/>
    <mergeCell ref="B183:D183"/>
    <mergeCell ref="B184:D184"/>
    <mergeCell ref="B185:D185"/>
    <mergeCell ref="B186:D186"/>
    <mergeCell ref="B187:D187"/>
    <mergeCell ref="B188:D188"/>
    <mergeCell ref="B176:D176"/>
    <mergeCell ref="B177:D177"/>
    <mergeCell ref="B178:D178"/>
    <mergeCell ref="B179:D179"/>
    <mergeCell ref="B180:D180"/>
    <mergeCell ref="A181:D181"/>
    <mergeCell ref="A182:D182"/>
    <mergeCell ref="B170:D170"/>
    <mergeCell ref="B171:D171"/>
    <mergeCell ref="B172:D172"/>
    <mergeCell ref="B173:D173"/>
    <mergeCell ref="B174:D174"/>
    <mergeCell ref="B175:D175"/>
    <mergeCell ref="B164:D164"/>
    <mergeCell ref="B165:D165"/>
    <mergeCell ref="B166:D166"/>
    <mergeCell ref="B167:D167"/>
    <mergeCell ref="B168:D168"/>
    <mergeCell ref="B169:D169"/>
    <mergeCell ref="B158:D158"/>
    <mergeCell ref="B159:D159"/>
    <mergeCell ref="B160:D160"/>
    <mergeCell ref="B161:D161"/>
    <mergeCell ref="B162:D162"/>
    <mergeCell ref="B163:D163"/>
    <mergeCell ref="B151:D151"/>
    <mergeCell ref="B152:D152"/>
    <mergeCell ref="B153:D153"/>
    <mergeCell ref="B154:D154"/>
    <mergeCell ref="A155:D155"/>
    <mergeCell ref="B157:D157"/>
    <mergeCell ref="A156:D156"/>
    <mergeCell ref="B145:D145"/>
    <mergeCell ref="B146:D146"/>
    <mergeCell ref="B147:D147"/>
    <mergeCell ref="B148:D148"/>
    <mergeCell ref="B149:D149"/>
    <mergeCell ref="B150:D150"/>
    <mergeCell ref="B139:D139"/>
    <mergeCell ref="B140:D140"/>
    <mergeCell ref="B141:D141"/>
    <mergeCell ref="B142:D142"/>
    <mergeCell ref="B143:D143"/>
    <mergeCell ref="B144:D144"/>
    <mergeCell ref="B133:D133"/>
    <mergeCell ref="B134:D134"/>
    <mergeCell ref="B135:D135"/>
    <mergeCell ref="B136:D136"/>
    <mergeCell ref="B137:D137"/>
    <mergeCell ref="B138:D138"/>
    <mergeCell ref="B126:D126"/>
    <mergeCell ref="B127:D127"/>
    <mergeCell ref="B128:D128"/>
    <mergeCell ref="A129:D129"/>
    <mergeCell ref="B131:D131"/>
    <mergeCell ref="B132:D132"/>
    <mergeCell ref="A130:D130"/>
    <mergeCell ref="B120:D120"/>
    <mergeCell ref="B121:D121"/>
    <mergeCell ref="B122:D122"/>
    <mergeCell ref="B123:D123"/>
    <mergeCell ref="B124:D124"/>
    <mergeCell ref="B125:D125"/>
    <mergeCell ref="B114:D114"/>
    <mergeCell ref="B115:D115"/>
    <mergeCell ref="B116:D116"/>
    <mergeCell ref="B117:D117"/>
    <mergeCell ref="B118:D118"/>
    <mergeCell ref="B119:D119"/>
    <mergeCell ref="B108:D108"/>
    <mergeCell ref="B109:D109"/>
    <mergeCell ref="B110:D110"/>
    <mergeCell ref="B111:D111"/>
    <mergeCell ref="B112:D112"/>
    <mergeCell ref="B113:D113"/>
    <mergeCell ref="B101:D101"/>
    <mergeCell ref="B102:D102"/>
    <mergeCell ref="A103:D103"/>
    <mergeCell ref="B105:D105"/>
    <mergeCell ref="B106:D106"/>
    <mergeCell ref="B107:D107"/>
    <mergeCell ref="A104:D104"/>
    <mergeCell ref="B95:D95"/>
    <mergeCell ref="B96:D96"/>
    <mergeCell ref="B97:D97"/>
    <mergeCell ref="B98:D98"/>
    <mergeCell ref="B99:D99"/>
    <mergeCell ref="B100:D100"/>
    <mergeCell ref="B89:D89"/>
    <mergeCell ref="B90:D90"/>
    <mergeCell ref="B91:D91"/>
    <mergeCell ref="B92:D92"/>
    <mergeCell ref="B93:D93"/>
    <mergeCell ref="B94:D94"/>
    <mergeCell ref="B83:D83"/>
    <mergeCell ref="B84:D84"/>
    <mergeCell ref="B85:D85"/>
    <mergeCell ref="B86:D86"/>
    <mergeCell ref="B87:D87"/>
    <mergeCell ref="B88:D88"/>
    <mergeCell ref="B76:D76"/>
    <mergeCell ref="A77:D77"/>
    <mergeCell ref="B79:D79"/>
    <mergeCell ref="B80:D80"/>
    <mergeCell ref="B81:D81"/>
    <mergeCell ref="B82:D82"/>
    <mergeCell ref="A78:D78"/>
    <mergeCell ref="B70:D70"/>
    <mergeCell ref="B71:D71"/>
    <mergeCell ref="B72:D72"/>
    <mergeCell ref="B73:D73"/>
    <mergeCell ref="B74:D74"/>
    <mergeCell ref="B75:D75"/>
    <mergeCell ref="B64:D64"/>
    <mergeCell ref="B65:D65"/>
    <mergeCell ref="B66:D66"/>
    <mergeCell ref="B67:D67"/>
    <mergeCell ref="B68:D68"/>
    <mergeCell ref="B69:D69"/>
    <mergeCell ref="B58:D58"/>
    <mergeCell ref="B59:D59"/>
    <mergeCell ref="B60:D60"/>
    <mergeCell ref="B61:D61"/>
    <mergeCell ref="B62:D62"/>
    <mergeCell ref="B63:D63"/>
    <mergeCell ref="A51:D51"/>
    <mergeCell ref="B53:D53"/>
    <mergeCell ref="B54:D54"/>
    <mergeCell ref="B55:D55"/>
    <mergeCell ref="B56:D56"/>
    <mergeCell ref="B57:D57"/>
    <mergeCell ref="A52:D52"/>
    <mergeCell ref="B45:D45"/>
    <mergeCell ref="B46:D46"/>
    <mergeCell ref="B47:D47"/>
    <mergeCell ref="B48:D48"/>
    <mergeCell ref="B49:D49"/>
    <mergeCell ref="B50:D50"/>
    <mergeCell ref="B39:D39"/>
    <mergeCell ref="B40:D40"/>
    <mergeCell ref="B41:D41"/>
    <mergeCell ref="B42:D42"/>
    <mergeCell ref="B43:D43"/>
    <mergeCell ref="B44:D44"/>
    <mergeCell ref="B5:D5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A26:D26"/>
    <mergeCell ref="B7:D7"/>
    <mergeCell ref="B23:D23"/>
    <mergeCell ref="B24:D24"/>
    <mergeCell ref="A25:D25"/>
    <mergeCell ref="B1:D1"/>
    <mergeCell ref="B3:D3"/>
    <mergeCell ref="B2:D2"/>
    <mergeCell ref="B17:D17"/>
    <mergeCell ref="B18:D18"/>
    <mergeCell ref="B19:D19"/>
    <mergeCell ref="B20:D20"/>
    <mergeCell ref="B21:D21"/>
    <mergeCell ref="B22:D22"/>
    <mergeCell ref="B12:D12"/>
    <mergeCell ref="B13:D13"/>
    <mergeCell ref="B14:D14"/>
    <mergeCell ref="B15:D15"/>
    <mergeCell ref="B16:D16"/>
    <mergeCell ref="B10:D10"/>
    <mergeCell ref="B8:D8"/>
    <mergeCell ref="B6:D6"/>
    <mergeCell ref="B9:D9"/>
    <mergeCell ref="B11:D11"/>
    <mergeCell ref="B4:D4"/>
  </mergeCells>
  <pageMargins left="0.7" right="0.7" top="0.75" bottom="0.75" header="0.3" footer="0.3"/>
  <pageSetup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00"/>
  <sheetViews>
    <sheetView workbookViewId="0">
      <selection activeCell="M13" sqref="M13"/>
    </sheetView>
  </sheetViews>
  <sheetFormatPr defaultRowHeight="15"/>
  <cols>
    <col min="1" max="1" width="15.28515625" bestFit="1" customWidth="1"/>
    <col min="2" max="2" width="12.85546875" bestFit="1" customWidth="1"/>
    <col min="3" max="3" width="11.140625" bestFit="1" customWidth="1"/>
    <col min="4" max="4" width="12" bestFit="1" customWidth="1"/>
    <col min="5" max="5" width="12.42578125" bestFit="1" customWidth="1"/>
    <col min="7" max="7" width="11.28515625" bestFit="1" customWidth="1"/>
    <col min="8" max="8" width="12.85546875" bestFit="1" customWidth="1"/>
    <col min="9" max="9" width="10.7109375" bestFit="1" customWidth="1"/>
    <col min="10" max="10" width="12" bestFit="1" customWidth="1"/>
    <col min="11" max="11" width="12.42578125" bestFit="1" customWidth="1"/>
  </cols>
  <sheetData>
    <row r="1" spans="1:12">
      <c r="A1" s="6" t="s">
        <v>59</v>
      </c>
      <c r="B1" s="14" t="s">
        <v>54</v>
      </c>
      <c r="C1" s="14"/>
      <c r="D1" s="14"/>
      <c r="E1" s="14"/>
      <c r="G1" s="6" t="s">
        <v>60</v>
      </c>
      <c r="H1" s="14" t="s">
        <v>54</v>
      </c>
      <c r="I1" s="14"/>
      <c r="J1" s="14"/>
      <c r="K1" s="14"/>
    </row>
    <row r="2" spans="1:12">
      <c r="A2" s="1" t="s">
        <v>2</v>
      </c>
      <c r="B2" s="1" t="s">
        <v>4</v>
      </c>
      <c r="C2" s="1" t="s">
        <v>6</v>
      </c>
      <c r="D2" s="1" t="s">
        <v>8</v>
      </c>
      <c r="E2" s="1" t="s">
        <v>10</v>
      </c>
      <c r="G2" s="1" t="s">
        <v>2</v>
      </c>
      <c r="H2" s="1" t="s">
        <v>4</v>
      </c>
      <c r="I2" s="1" t="s">
        <v>6</v>
      </c>
      <c r="J2" s="1" t="s">
        <v>8</v>
      </c>
      <c r="K2" s="1" t="s">
        <v>10</v>
      </c>
    </row>
    <row r="3" spans="1:12">
      <c r="A3" t="s">
        <v>36</v>
      </c>
      <c r="B3" s="2">
        <v>0</v>
      </c>
      <c r="C3" s="2">
        <v>0</v>
      </c>
      <c r="D3" s="2">
        <v>0</v>
      </c>
      <c r="E3" s="2">
        <f>SUM(B3+C3+D3)</f>
        <v>0</v>
      </c>
      <c r="G3" t="s">
        <v>36</v>
      </c>
      <c r="H3" s="2">
        <v>0</v>
      </c>
      <c r="I3" s="2">
        <v>0</v>
      </c>
      <c r="J3" s="2">
        <v>0</v>
      </c>
      <c r="K3" s="8">
        <f>SUM(H3+I3+J3)</f>
        <v>0</v>
      </c>
      <c r="L3" s="7"/>
    </row>
    <row r="4" spans="1:12">
      <c r="A4" t="s">
        <v>37</v>
      </c>
      <c r="B4" s="2">
        <v>0</v>
      </c>
      <c r="C4" s="2">
        <v>0</v>
      </c>
      <c r="D4" s="2">
        <v>0</v>
      </c>
      <c r="E4" s="2">
        <f t="shared" ref="E4:E14" si="0">SUM(B4+C4+D4)</f>
        <v>0</v>
      </c>
      <c r="G4" t="s">
        <v>37</v>
      </c>
      <c r="H4" s="2">
        <v>0</v>
      </c>
      <c r="I4" s="2">
        <v>0</v>
      </c>
      <c r="J4" s="2">
        <v>0</v>
      </c>
      <c r="K4" s="8">
        <f t="shared" ref="K4:K14" si="1">SUM(H4+I4+J4)</f>
        <v>0</v>
      </c>
      <c r="L4" s="7"/>
    </row>
    <row r="5" spans="1:12">
      <c r="A5" t="s">
        <v>38</v>
      </c>
      <c r="B5" s="2">
        <v>0</v>
      </c>
      <c r="C5" s="2">
        <v>0</v>
      </c>
      <c r="D5" s="2">
        <v>0</v>
      </c>
      <c r="E5" s="2">
        <f t="shared" si="0"/>
        <v>0</v>
      </c>
      <c r="G5" t="s">
        <v>38</v>
      </c>
      <c r="H5" s="2">
        <v>0</v>
      </c>
      <c r="I5" s="2">
        <v>0</v>
      </c>
      <c r="J5" s="2">
        <v>0</v>
      </c>
      <c r="K5" s="8">
        <f t="shared" si="1"/>
        <v>0</v>
      </c>
      <c r="L5" s="7"/>
    </row>
    <row r="6" spans="1:12">
      <c r="A6" t="s">
        <v>39</v>
      </c>
      <c r="B6" s="2">
        <v>0</v>
      </c>
      <c r="C6" s="2">
        <v>0</v>
      </c>
      <c r="D6" s="2">
        <v>0</v>
      </c>
      <c r="E6" s="2">
        <f t="shared" si="0"/>
        <v>0</v>
      </c>
      <c r="G6" t="s">
        <v>39</v>
      </c>
      <c r="H6" s="2">
        <v>0</v>
      </c>
      <c r="I6" s="2">
        <v>0</v>
      </c>
      <c r="J6" s="2">
        <v>0</v>
      </c>
      <c r="K6" s="8">
        <f t="shared" si="1"/>
        <v>0</v>
      </c>
      <c r="L6" s="7"/>
    </row>
    <row r="7" spans="1:12">
      <c r="A7" t="s">
        <v>41</v>
      </c>
      <c r="B7" s="2">
        <v>0</v>
      </c>
      <c r="C7" s="2">
        <v>0</v>
      </c>
      <c r="D7" s="2">
        <v>0</v>
      </c>
      <c r="E7" s="2">
        <f t="shared" si="0"/>
        <v>0</v>
      </c>
      <c r="G7" t="s">
        <v>41</v>
      </c>
      <c r="H7" s="2">
        <v>0</v>
      </c>
      <c r="I7" s="2">
        <v>0</v>
      </c>
      <c r="J7" s="2">
        <v>0</v>
      </c>
      <c r="K7" s="8">
        <f t="shared" si="1"/>
        <v>0</v>
      </c>
      <c r="L7" s="7"/>
    </row>
    <row r="8" spans="1:12">
      <c r="A8" t="s">
        <v>40</v>
      </c>
      <c r="B8" s="2">
        <v>0</v>
      </c>
      <c r="C8" s="2">
        <v>0</v>
      </c>
      <c r="D8" s="2">
        <v>0</v>
      </c>
      <c r="E8" s="2">
        <f t="shared" si="0"/>
        <v>0</v>
      </c>
      <c r="G8" t="s">
        <v>40</v>
      </c>
      <c r="H8" s="2">
        <v>0</v>
      </c>
      <c r="I8" s="2">
        <v>0</v>
      </c>
      <c r="J8" s="2">
        <v>0</v>
      </c>
      <c r="K8" s="8">
        <f t="shared" si="1"/>
        <v>0</v>
      </c>
      <c r="L8" s="7"/>
    </row>
    <row r="9" spans="1:12">
      <c r="A9" t="s">
        <v>42</v>
      </c>
      <c r="B9" s="2">
        <v>0</v>
      </c>
      <c r="C9" s="2">
        <v>0</v>
      </c>
      <c r="D9" s="2">
        <v>0</v>
      </c>
      <c r="E9" s="2">
        <f t="shared" si="0"/>
        <v>0</v>
      </c>
      <c r="G9" t="s">
        <v>42</v>
      </c>
      <c r="H9" s="2">
        <v>0</v>
      </c>
      <c r="I9" s="2">
        <v>0</v>
      </c>
      <c r="J9" s="2">
        <v>0</v>
      </c>
      <c r="K9" s="8">
        <f t="shared" si="1"/>
        <v>0</v>
      </c>
      <c r="L9" s="7"/>
    </row>
    <row r="10" spans="1:12">
      <c r="A10" t="s">
        <v>43</v>
      </c>
      <c r="B10" s="2">
        <v>0</v>
      </c>
      <c r="C10" s="2">
        <v>0</v>
      </c>
      <c r="D10" s="2">
        <v>0</v>
      </c>
      <c r="E10" s="2">
        <f t="shared" si="0"/>
        <v>0</v>
      </c>
      <c r="G10" t="s">
        <v>43</v>
      </c>
      <c r="H10" s="2">
        <v>0</v>
      </c>
      <c r="I10" s="2">
        <v>0</v>
      </c>
      <c r="J10" s="2">
        <v>0</v>
      </c>
      <c r="K10" s="8">
        <f t="shared" si="1"/>
        <v>0</v>
      </c>
      <c r="L10" s="7"/>
    </row>
    <row r="11" spans="1:12">
      <c r="A11" t="s">
        <v>44</v>
      </c>
      <c r="B11" s="2">
        <v>0</v>
      </c>
      <c r="C11" s="2">
        <v>0</v>
      </c>
      <c r="D11" s="2">
        <v>0</v>
      </c>
      <c r="E11" s="2">
        <f t="shared" si="0"/>
        <v>0</v>
      </c>
      <c r="G11" t="s">
        <v>44</v>
      </c>
      <c r="H11" s="2">
        <v>0</v>
      </c>
      <c r="I11" s="2">
        <v>0</v>
      </c>
      <c r="J11" s="2">
        <v>0</v>
      </c>
      <c r="K11" s="8">
        <f t="shared" si="1"/>
        <v>0</v>
      </c>
      <c r="L11" s="7"/>
    </row>
    <row r="12" spans="1:12">
      <c r="A12" t="s">
        <v>45</v>
      </c>
      <c r="B12" s="2">
        <v>0</v>
      </c>
      <c r="C12" s="2">
        <v>0</v>
      </c>
      <c r="D12" s="2">
        <v>0</v>
      </c>
      <c r="E12" s="2">
        <f t="shared" si="0"/>
        <v>0</v>
      </c>
      <c r="G12" t="s">
        <v>45</v>
      </c>
      <c r="H12" s="2">
        <v>0</v>
      </c>
      <c r="I12" s="2">
        <v>0</v>
      </c>
      <c r="J12" s="2">
        <v>0</v>
      </c>
      <c r="K12" s="8">
        <f t="shared" si="1"/>
        <v>0</v>
      </c>
      <c r="L12" s="7"/>
    </row>
    <row r="13" spans="1:12">
      <c r="A13" t="s">
        <v>46</v>
      </c>
      <c r="B13" s="2">
        <v>0</v>
      </c>
      <c r="C13" s="2">
        <v>0</v>
      </c>
      <c r="D13" s="2">
        <v>0</v>
      </c>
      <c r="E13" s="2">
        <f t="shared" si="0"/>
        <v>0</v>
      </c>
      <c r="G13" t="s">
        <v>46</v>
      </c>
      <c r="H13" s="2">
        <v>0</v>
      </c>
      <c r="I13" s="2">
        <v>0</v>
      </c>
      <c r="J13" s="2">
        <v>0</v>
      </c>
      <c r="K13" s="8">
        <f t="shared" si="1"/>
        <v>0</v>
      </c>
      <c r="L13" s="7"/>
    </row>
    <row r="14" spans="1:12">
      <c r="A14" t="s">
        <v>47</v>
      </c>
      <c r="B14" s="2">
        <v>0</v>
      </c>
      <c r="C14" s="2">
        <v>0</v>
      </c>
      <c r="D14" s="2">
        <v>0</v>
      </c>
      <c r="E14" s="2">
        <f t="shared" si="0"/>
        <v>0</v>
      </c>
      <c r="G14" t="s">
        <v>47</v>
      </c>
      <c r="H14" s="2">
        <v>0</v>
      </c>
      <c r="I14" s="2">
        <v>0</v>
      </c>
      <c r="J14" s="2">
        <v>0</v>
      </c>
      <c r="K14" s="8">
        <f t="shared" si="1"/>
        <v>0</v>
      </c>
      <c r="L14" s="7"/>
    </row>
    <row r="15" spans="1:12">
      <c r="E15" s="2"/>
      <c r="K15" s="2"/>
      <c r="L15" s="2"/>
    </row>
    <row r="16" spans="1:12">
      <c r="A16" s="1" t="s">
        <v>29</v>
      </c>
      <c r="B16" s="3">
        <f>SUM(B3:B15)</f>
        <v>0</v>
      </c>
      <c r="C16" s="3">
        <f>SUM(C3:C15)</f>
        <v>0</v>
      </c>
      <c r="D16" s="3">
        <f>SUM(D3:D15)</f>
        <v>0</v>
      </c>
      <c r="E16" s="3">
        <f>SUM(E3:E15)</f>
        <v>0</v>
      </c>
      <c r="G16" s="1" t="s">
        <v>29</v>
      </c>
      <c r="H16" s="3">
        <f>SUM(H3:H15)</f>
        <v>0</v>
      </c>
      <c r="I16" s="3">
        <f>SUM(I3:I15)</f>
        <v>0</v>
      </c>
      <c r="J16" s="3">
        <f>SUM(J3:J15)</f>
        <v>0</v>
      </c>
      <c r="K16" s="3">
        <f>SUM(K3:K15)</f>
        <v>0</v>
      </c>
      <c r="L16" s="3"/>
    </row>
    <row r="18" spans="1:11">
      <c r="A18" s="1" t="s">
        <v>30</v>
      </c>
      <c r="B18" s="1" t="s">
        <v>4</v>
      </c>
      <c r="C18" s="1" t="s">
        <v>6</v>
      </c>
      <c r="D18" s="1" t="s">
        <v>8</v>
      </c>
      <c r="E18" s="1" t="s">
        <v>10</v>
      </c>
      <c r="G18" s="1" t="s">
        <v>30</v>
      </c>
      <c r="H18" s="1" t="s">
        <v>4</v>
      </c>
      <c r="I18" s="1" t="s">
        <v>6</v>
      </c>
      <c r="J18" s="1" t="s">
        <v>8</v>
      </c>
      <c r="K18" s="1" t="s">
        <v>10</v>
      </c>
    </row>
    <row r="19" spans="1:11">
      <c r="A19" t="s">
        <v>36</v>
      </c>
      <c r="B19" s="2">
        <v>0</v>
      </c>
      <c r="C19" s="2">
        <v>0</v>
      </c>
      <c r="D19" s="2">
        <v>0</v>
      </c>
      <c r="E19" s="2">
        <f>SUM(B19+C19+D19)</f>
        <v>0</v>
      </c>
      <c r="G19" t="s">
        <v>36</v>
      </c>
      <c r="H19" s="2">
        <v>0</v>
      </c>
      <c r="I19" s="2">
        <v>0</v>
      </c>
      <c r="J19" s="2">
        <v>0</v>
      </c>
      <c r="K19" s="2">
        <f>SUM(H19+I19+J19)</f>
        <v>0</v>
      </c>
    </row>
    <row r="20" spans="1:11">
      <c r="A20" t="s">
        <v>37</v>
      </c>
      <c r="B20" s="2">
        <v>0</v>
      </c>
      <c r="C20" s="2">
        <v>0</v>
      </c>
      <c r="D20" s="2">
        <v>0</v>
      </c>
      <c r="E20" s="2">
        <f t="shared" ref="E20:E30" si="2">SUM(B20+C20+D20)</f>
        <v>0</v>
      </c>
      <c r="G20" t="s">
        <v>37</v>
      </c>
      <c r="H20" s="2">
        <v>0</v>
      </c>
      <c r="I20" s="2">
        <v>0</v>
      </c>
      <c r="J20" s="2">
        <v>0</v>
      </c>
      <c r="K20" s="2">
        <f t="shared" ref="K20:K30" si="3">SUM(H20+I20+J20)</f>
        <v>0</v>
      </c>
    </row>
    <row r="21" spans="1:11">
      <c r="A21" t="s">
        <v>38</v>
      </c>
      <c r="B21" s="2">
        <v>0</v>
      </c>
      <c r="C21" s="2">
        <v>0</v>
      </c>
      <c r="D21" s="2">
        <v>0</v>
      </c>
      <c r="E21" s="2">
        <f t="shared" si="2"/>
        <v>0</v>
      </c>
      <c r="G21" t="s">
        <v>38</v>
      </c>
      <c r="H21" s="2">
        <v>0</v>
      </c>
      <c r="I21" s="2">
        <v>0</v>
      </c>
      <c r="J21" s="2">
        <v>0</v>
      </c>
      <c r="K21" s="2">
        <f t="shared" si="3"/>
        <v>0</v>
      </c>
    </row>
    <row r="22" spans="1:11">
      <c r="A22" t="s">
        <v>39</v>
      </c>
      <c r="B22" s="2">
        <v>0</v>
      </c>
      <c r="C22" s="2">
        <v>0</v>
      </c>
      <c r="D22" s="2">
        <v>0</v>
      </c>
      <c r="E22" s="2">
        <f t="shared" si="2"/>
        <v>0</v>
      </c>
      <c r="G22" t="s">
        <v>39</v>
      </c>
      <c r="H22" s="2">
        <v>0</v>
      </c>
      <c r="I22" s="2">
        <v>0</v>
      </c>
      <c r="J22" s="2">
        <v>0</v>
      </c>
      <c r="K22" s="2">
        <f t="shared" si="3"/>
        <v>0</v>
      </c>
    </row>
    <row r="23" spans="1:11">
      <c r="A23" t="s">
        <v>41</v>
      </c>
      <c r="B23" s="2">
        <v>0</v>
      </c>
      <c r="C23" s="2">
        <v>0</v>
      </c>
      <c r="D23" s="2">
        <v>0</v>
      </c>
      <c r="E23" s="2">
        <f t="shared" si="2"/>
        <v>0</v>
      </c>
      <c r="G23" t="s">
        <v>41</v>
      </c>
      <c r="H23" s="2">
        <v>0</v>
      </c>
      <c r="I23" s="2">
        <v>0</v>
      </c>
      <c r="J23" s="2">
        <v>0</v>
      </c>
      <c r="K23" s="2">
        <f t="shared" si="3"/>
        <v>0</v>
      </c>
    </row>
    <row r="24" spans="1:11">
      <c r="A24" t="s">
        <v>40</v>
      </c>
      <c r="B24" s="2">
        <v>0</v>
      </c>
      <c r="C24" s="2">
        <v>0</v>
      </c>
      <c r="D24" s="2">
        <v>0</v>
      </c>
      <c r="E24" s="2">
        <f t="shared" si="2"/>
        <v>0</v>
      </c>
      <c r="G24" t="s">
        <v>40</v>
      </c>
      <c r="H24" s="2">
        <v>0</v>
      </c>
      <c r="I24" s="2">
        <v>0</v>
      </c>
      <c r="J24" s="2">
        <v>0</v>
      </c>
      <c r="K24" s="2">
        <f t="shared" si="3"/>
        <v>0</v>
      </c>
    </row>
    <row r="25" spans="1:11">
      <c r="A25" t="s">
        <v>42</v>
      </c>
      <c r="B25" s="2">
        <v>0</v>
      </c>
      <c r="C25" s="2">
        <v>0</v>
      </c>
      <c r="D25" s="2">
        <v>0</v>
      </c>
      <c r="E25" s="2">
        <f t="shared" si="2"/>
        <v>0</v>
      </c>
      <c r="G25" t="s">
        <v>42</v>
      </c>
      <c r="H25" s="2">
        <v>0</v>
      </c>
      <c r="I25" s="2">
        <v>0</v>
      </c>
      <c r="J25" s="2">
        <v>0</v>
      </c>
      <c r="K25" s="2">
        <f t="shared" si="3"/>
        <v>0</v>
      </c>
    </row>
    <row r="26" spans="1:11">
      <c r="A26" t="s">
        <v>43</v>
      </c>
      <c r="B26" s="2">
        <v>0</v>
      </c>
      <c r="C26" s="2">
        <v>0</v>
      </c>
      <c r="D26" s="2">
        <v>0</v>
      </c>
      <c r="E26" s="2">
        <f t="shared" si="2"/>
        <v>0</v>
      </c>
      <c r="G26" t="s">
        <v>43</v>
      </c>
      <c r="H26" s="2">
        <v>0</v>
      </c>
      <c r="I26" s="2">
        <v>0</v>
      </c>
      <c r="J26" s="2">
        <v>0</v>
      </c>
      <c r="K26" s="2">
        <f t="shared" si="3"/>
        <v>0</v>
      </c>
    </row>
    <row r="27" spans="1:11">
      <c r="A27" t="s">
        <v>44</v>
      </c>
      <c r="B27" s="2">
        <v>0</v>
      </c>
      <c r="C27" s="2">
        <v>0</v>
      </c>
      <c r="D27" s="5">
        <v>0</v>
      </c>
      <c r="E27" s="2">
        <f t="shared" si="2"/>
        <v>0</v>
      </c>
      <c r="G27" t="s">
        <v>44</v>
      </c>
      <c r="H27" s="2">
        <v>0</v>
      </c>
      <c r="I27" s="2">
        <v>0</v>
      </c>
      <c r="J27" s="5">
        <v>0</v>
      </c>
      <c r="K27" s="2">
        <f t="shared" si="3"/>
        <v>0</v>
      </c>
    </row>
    <row r="28" spans="1:11">
      <c r="A28" t="s">
        <v>45</v>
      </c>
      <c r="B28" s="2">
        <v>0</v>
      </c>
      <c r="C28" s="2">
        <v>0</v>
      </c>
      <c r="D28" s="5">
        <v>0</v>
      </c>
      <c r="E28" s="2">
        <f t="shared" si="2"/>
        <v>0</v>
      </c>
      <c r="G28" t="s">
        <v>45</v>
      </c>
      <c r="H28" s="2">
        <v>0</v>
      </c>
      <c r="I28" s="2">
        <v>0</v>
      </c>
      <c r="J28" s="5">
        <v>0</v>
      </c>
      <c r="K28" s="2">
        <f t="shared" si="3"/>
        <v>0</v>
      </c>
    </row>
    <row r="29" spans="1:11">
      <c r="A29" t="s">
        <v>46</v>
      </c>
      <c r="B29" s="2">
        <v>0</v>
      </c>
      <c r="C29" s="2">
        <v>0</v>
      </c>
      <c r="D29" s="5">
        <v>0</v>
      </c>
      <c r="E29" s="2">
        <f t="shared" si="2"/>
        <v>0</v>
      </c>
      <c r="G29" t="s">
        <v>46</v>
      </c>
      <c r="H29" s="2">
        <v>0</v>
      </c>
      <c r="I29" s="2">
        <v>0</v>
      </c>
      <c r="J29" s="5">
        <v>0</v>
      </c>
      <c r="K29" s="2">
        <f t="shared" si="3"/>
        <v>0</v>
      </c>
    </row>
    <row r="30" spans="1:11">
      <c r="A30" t="s">
        <v>47</v>
      </c>
      <c r="B30" s="2">
        <v>0</v>
      </c>
      <c r="C30" s="2">
        <v>0</v>
      </c>
      <c r="D30" s="5">
        <v>0</v>
      </c>
      <c r="E30" s="2">
        <f t="shared" si="2"/>
        <v>0</v>
      </c>
      <c r="G30" t="s">
        <v>47</v>
      </c>
      <c r="H30" s="2">
        <v>0</v>
      </c>
      <c r="I30" s="2">
        <v>0</v>
      </c>
      <c r="J30" s="5">
        <v>0</v>
      </c>
      <c r="K30" s="2">
        <f t="shared" si="3"/>
        <v>0</v>
      </c>
    </row>
    <row r="32" spans="1:11">
      <c r="A32" s="1" t="s">
        <v>29</v>
      </c>
      <c r="B32" s="3">
        <f>SUM(B19:B31)</f>
        <v>0</v>
      </c>
      <c r="C32" s="3">
        <f>SUM(C19:C31)</f>
        <v>0</v>
      </c>
      <c r="D32" s="3">
        <f>SUM(D19:D31)</f>
        <v>0</v>
      </c>
      <c r="E32" s="3">
        <f>SUM(E19:E31)</f>
        <v>0</v>
      </c>
      <c r="G32" s="1" t="s">
        <v>29</v>
      </c>
      <c r="H32" s="3">
        <f>SUM(H19:H31)</f>
        <v>0</v>
      </c>
      <c r="I32" s="3">
        <f>SUM(I19:I31)</f>
        <v>0</v>
      </c>
      <c r="J32" s="3">
        <f>SUM(J19:J31)</f>
        <v>0</v>
      </c>
      <c r="K32" s="3">
        <f>SUM(K19:K31)</f>
        <v>0</v>
      </c>
    </row>
    <row r="34" spans="1:11">
      <c r="A34" s="1" t="s">
        <v>31</v>
      </c>
      <c r="B34" s="1" t="s">
        <v>4</v>
      </c>
      <c r="C34" s="1" t="s">
        <v>6</v>
      </c>
      <c r="D34" s="1" t="s">
        <v>8</v>
      </c>
      <c r="E34" s="1" t="s">
        <v>10</v>
      </c>
      <c r="G34" s="1" t="s">
        <v>31</v>
      </c>
      <c r="H34" s="1" t="s">
        <v>4</v>
      </c>
      <c r="I34" s="1" t="s">
        <v>6</v>
      </c>
      <c r="J34" s="1" t="s">
        <v>8</v>
      </c>
      <c r="K34" s="1" t="s">
        <v>10</v>
      </c>
    </row>
    <row r="35" spans="1:11">
      <c r="A35" t="s">
        <v>36</v>
      </c>
      <c r="B35" s="2">
        <v>0</v>
      </c>
      <c r="C35" s="2">
        <v>0</v>
      </c>
      <c r="D35" s="2">
        <v>0</v>
      </c>
      <c r="E35" s="2">
        <f t="shared" ref="E35:E46" si="4">SUM(B35+C35+D35)</f>
        <v>0</v>
      </c>
      <c r="G35" t="s">
        <v>36</v>
      </c>
      <c r="H35" s="2">
        <v>0</v>
      </c>
      <c r="I35" s="2">
        <v>0</v>
      </c>
      <c r="J35" s="2">
        <v>0</v>
      </c>
      <c r="K35" s="2">
        <f t="shared" ref="K35:K46" si="5">SUM(H35+I35+J35)</f>
        <v>0</v>
      </c>
    </row>
    <row r="36" spans="1:11">
      <c r="A36" t="s">
        <v>37</v>
      </c>
      <c r="B36" s="2">
        <v>0</v>
      </c>
      <c r="C36" s="2">
        <v>0</v>
      </c>
      <c r="D36" s="2">
        <v>0</v>
      </c>
      <c r="E36" s="2">
        <f t="shared" si="4"/>
        <v>0</v>
      </c>
      <c r="G36" t="s">
        <v>37</v>
      </c>
      <c r="H36" s="2">
        <v>0</v>
      </c>
      <c r="I36" s="2">
        <v>0</v>
      </c>
      <c r="J36" s="2">
        <v>0</v>
      </c>
      <c r="K36" s="2">
        <f t="shared" si="5"/>
        <v>0</v>
      </c>
    </row>
    <row r="37" spans="1:11">
      <c r="A37" t="s">
        <v>38</v>
      </c>
      <c r="B37" s="2">
        <v>0</v>
      </c>
      <c r="C37" s="2">
        <v>0</v>
      </c>
      <c r="D37" s="2">
        <v>0</v>
      </c>
      <c r="E37" s="2">
        <f t="shared" si="4"/>
        <v>0</v>
      </c>
      <c r="G37" t="s">
        <v>38</v>
      </c>
      <c r="H37" s="2">
        <v>0</v>
      </c>
      <c r="I37" s="2">
        <v>0</v>
      </c>
      <c r="J37" s="2">
        <v>0</v>
      </c>
      <c r="K37" s="2">
        <f t="shared" si="5"/>
        <v>0</v>
      </c>
    </row>
    <row r="38" spans="1:11">
      <c r="A38" t="s">
        <v>39</v>
      </c>
      <c r="B38" s="2">
        <v>0</v>
      </c>
      <c r="C38" s="2">
        <v>0</v>
      </c>
      <c r="D38" s="2">
        <v>0</v>
      </c>
      <c r="E38" s="2">
        <f t="shared" si="4"/>
        <v>0</v>
      </c>
      <c r="G38" t="s">
        <v>39</v>
      </c>
      <c r="H38" s="2">
        <v>0</v>
      </c>
      <c r="I38" s="2">
        <v>0</v>
      </c>
      <c r="J38" s="2">
        <v>0</v>
      </c>
      <c r="K38" s="2">
        <f t="shared" si="5"/>
        <v>0</v>
      </c>
    </row>
    <row r="39" spans="1:11">
      <c r="A39" t="s">
        <v>41</v>
      </c>
      <c r="B39" s="2">
        <v>0</v>
      </c>
      <c r="C39" s="2">
        <v>0</v>
      </c>
      <c r="D39" s="2">
        <v>0</v>
      </c>
      <c r="E39" s="2">
        <f t="shared" si="4"/>
        <v>0</v>
      </c>
      <c r="G39" t="s">
        <v>41</v>
      </c>
      <c r="H39" s="2">
        <v>0</v>
      </c>
      <c r="I39" s="2">
        <v>0</v>
      </c>
      <c r="J39" s="2">
        <v>0</v>
      </c>
      <c r="K39" s="2">
        <f t="shared" si="5"/>
        <v>0</v>
      </c>
    </row>
    <row r="40" spans="1:11">
      <c r="A40" t="s">
        <v>40</v>
      </c>
      <c r="B40" s="2">
        <v>0</v>
      </c>
      <c r="C40" s="2">
        <v>0</v>
      </c>
      <c r="D40" s="2">
        <v>0</v>
      </c>
      <c r="E40" s="2">
        <f t="shared" si="4"/>
        <v>0</v>
      </c>
      <c r="G40" t="s">
        <v>40</v>
      </c>
      <c r="H40" s="2">
        <v>0</v>
      </c>
      <c r="I40" s="2">
        <v>0</v>
      </c>
      <c r="J40" s="2">
        <v>0</v>
      </c>
      <c r="K40" s="2">
        <f t="shared" si="5"/>
        <v>0</v>
      </c>
    </row>
    <row r="41" spans="1:11">
      <c r="A41" t="s">
        <v>42</v>
      </c>
      <c r="B41" s="2">
        <v>0</v>
      </c>
      <c r="C41" s="2">
        <v>0</v>
      </c>
      <c r="D41" s="2">
        <v>0</v>
      </c>
      <c r="E41" s="2">
        <f t="shared" si="4"/>
        <v>0</v>
      </c>
      <c r="G41" t="s">
        <v>42</v>
      </c>
      <c r="H41" s="2">
        <v>0</v>
      </c>
      <c r="I41" s="2">
        <v>0</v>
      </c>
      <c r="J41" s="2">
        <v>0</v>
      </c>
      <c r="K41" s="2">
        <f t="shared" si="5"/>
        <v>0</v>
      </c>
    </row>
    <row r="42" spans="1:11">
      <c r="A42" t="s">
        <v>43</v>
      </c>
      <c r="B42" s="2">
        <v>0</v>
      </c>
      <c r="C42" s="2">
        <v>0</v>
      </c>
      <c r="D42" s="2">
        <v>0</v>
      </c>
      <c r="E42" s="2">
        <f t="shared" si="4"/>
        <v>0</v>
      </c>
      <c r="G42" t="s">
        <v>43</v>
      </c>
      <c r="H42" s="2">
        <v>0</v>
      </c>
      <c r="I42" s="2">
        <v>0</v>
      </c>
      <c r="J42" s="2">
        <v>0</v>
      </c>
      <c r="K42" s="2">
        <f t="shared" si="5"/>
        <v>0</v>
      </c>
    </row>
    <row r="43" spans="1:11">
      <c r="A43" t="s">
        <v>44</v>
      </c>
      <c r="B43" s="2">
        <v>0</v>
      </c>
      <c r="C43" s="2">
        <v>0</v>
      </c>
      <c r="D43" s="2">
        <v>0</v>
      </c>
      <c r="E43" s="2">
        <f t="shared" si="4"/>
        <v>0</v>
      </c>
      <c r="G43" t="s">
        <v>44</v>
      </c>
      <c r="H43" s="2">
        <v>0</v>
      </c>
      <c r="I43" s="2">
        <v>0</v>
      </c>
      <c r="J43" s="2">
        <v>0</v>
      </c>
      <c r="K43" s="2">
        <f t="shared" si="5"/>
        <v>0</v>
      </c>
    </row>
    <row r="44" spans="1:11">
      <c r="A44" t="s">
        <v>45</v>
      </c>
      <c r="B44" s="2">
        <v>0</v>
      </c>
      <c r="C44" s="2">
        <v>0</v>
      </c>
      <c r="D44" s="2">
        <v>0</v>
      </c>
      <c r="E44" s="2">
        <f t="shared" si="4"/>
        <v>0</v>
      </c>
      <c r="G44" t="s">
        <v>45</v>
      </c>
      <c r="H44" s="2">
        <v>0</v>
      </c>
      <c r="I44" s="2">
        <v>0</v>
      </c>
      <c r="J44" s="2">
        <v>0</v>
      </c>
      <c r="K44" s="2">
        <f t="shared" si="5"/>
        <v>0</v>
      </c>
    </row>
    <row r="45" spans="1:11">
      <c r="A45" t="s">
        <v>46</v>
      </c>
      <c r="B45" s="2">
        <v>0</v>
      </c>
      <c r="C45" s="2">
        <v>0</v>
      </c>
      <c r="D45" s="2">
        <v>0</v>
      </c>
      <c r="E45" s="2">
        <f t="shared" si="4"/>
        <v>0</v>
      </c>
      <c r="G45" t="s">
        <v>46</v>
      </c>
      <c r="H45" s="2">
        <v>0</v>
      </c>
      <c r="I45" s="2">
        <v>0</v>
      </c>
      <c r="J45" s="2">
        <v>0</v>
      </c>
      <c r="K45" s="2">
        <f t="shared" si="5"/>
        <v>0</v>
      </c>
    </row>
    <row r="46" spans="1:11">
      <c r="A46" t="s">
        <v>47</v>
      </c>
      <c r="B46" s="2">
        <v>0</v>
      </c>
      <c r="C46" s="2">
        <v>0</v>
      </c>
      <c r="D46" s="2">
        <v>0</v>
      </c>
      <c r="E46" s="2">
        <f t="shared" si="4"/>
        <v>0</v>
      </c>
      <c r="G46" t="s">
        <v>47</v>
      </c>
      <c r="H46" s="2">
        <v>0</v>
      </c>
      <c r="I46" s="2">
        <v>0</v>
      </c>
      <c r="J46" s="2">
        <v>0</v>
      </c>
      <c r="K46" s="2">
        <f t="shared" si="5"/>
        <v>0</v>
      </c>
    </row>
    <row r="47" spans="1:11">
      <c r="B47" s="2"/>
      <c r="C47" s="2"/>
      <c r="E47" s="2"/>
      <c r="H47" s="2"/>
      <c r="I47" s="2"/>
      <c r="K47" s="2"/>
    </row>
    <row r="48" spans="1:11">
      <c r="A48" s="1" t="s">
        <v>29</v>
      </c>
      <c r="B48" s="3">
        <f>SUM(B35:B47)</f>
        <v>0</v>
      </c>
      <c r="C48" s="3">
        <f>SUM(C35:C47)</f>
        <v>0</v>
      </c>
      <c r="D48" s="3">
        <f>SUM(D35:D47)</f>
        <v>0</v>
      </c>
      <c r="E48" s="3">
        <f>SUM(E35:E47)</f>
        <v>0</v>
      </c>
      <c r="G48" s="1" t="s">
        <v>29</v>
      </c>
      <c r="H48" s="3">
        <f>SUM(H35:H47)</f>
        <v>0</v>
      </c>
      <c r="I48" s="3">
        <f>SUM(I35:I47)</f>
        <v>0</v>
      </c>
      <c r="J48" s="3">
        <f>SUM(J35:J47)</f>
        <v>0</v>
      </c>
      <c r="K48" s="3">
        <f>SUM(K35:K47)</f>
        <v>0</v>
      </c>
    </row>
    <row r="49" spans="1:11">
      <c r="A49" s="1" t="s">
        <v>32</v>
      </c>
      <c r="B49" s="3">
        <f>(B16+B32+B48)</f>
        <v>0</v>
      </c>
      <c r="C49" s="3">
        <f>(C16+C32+C48)</f>
        <v>0</v>
      </c>
      <c r="D49" s="3">
        <f>(D16+D32+D48)</f>
        <v>0</v>
      </c>
      <c r="E49" s="3">
        <f>(E16+E32+E48)</f>
        <v>0</v>
      </c>
      <c r="G49" s="1" t="s">
        <v>32</v>
      </c>
      <c r="H49" s="3">
        <f>(H16+H32+H48)</f>
        <v>0</v>
      </c>
      <c r="I49" s="3">
        <f>(I16+I32+I48)</f>
        <v>0</v>
      </c>
      <c r="J49" s="3">
        <f>(J16+J32+J48)</f>
        <v>0</v>
      </c>
      <c r="K49" s="3">
        <f>(K16+K32+K48)</f>
        <v>0</v>
      </c>
    </row>
    <row r="50" spans="1:11">
      <c r="A50" s="1"/>
      <c r="B50" s="3"/>
      <c r="C50" s="3"/>
      <c r="D50" s="3"/>
      <c r="E50" s="3"/>
      <c r="G50" s="1"/>
      <c r="H50" s="3"/>
      <c r="I50" s="3"/>
      <c r="J50" s="3"/>
      <c r="K50" s="3"/>
    </row>
    <row r="51" spans="1:11">
      <c r="B51" s="14" t="s">
        <v>55</v>
      </c>
      <c r="C51" s="14"/>
      <c r="D51" s="14"/>
      <c r="E51" s="14"/>
      <c r="H51" s="14" t="s">
        <v>55</v>
      </c>
      <c r="I51" s="14"/>
      <c r="J51" s="14"/>
      <c r="K51" s="14"/>
    </row>
    <row r="52" spans="1:11">
      <c r="A52" s="1" t="s">
        <v>33</v>
      </c>
      <c r="B52" s="1" t="s">
        <v>4</v>
      </c>
      <c r="C52" s="1" t="s">
        <v>6</v>
      </c>
      <c r="D52" s="1" t="s">
        <v>8</v>
      </c>
      <c r="E52" s="1" t="s">
        <v>10</v>
      </c>
      <c r="G52" s="1" t="s">
        <v>33</v>
      </c>
      <c r="H52" s="1" t="s">
        <v>4</v>
      </c>
      <c r="I52" s="1" t="s">
        <v>6</v>
      </c>
      <c r="J52" s="1" t="s">
        <v>8</v>
      </c>
      <c r="K52" s="1" t="s">
        <v>10</v>
      </c>
    </row>
    <row r="53" spans="1:11">
      <c r="A53" t="s">
        <v>36</v>
      </c>
      <c r="B53" s="2">
        <v>0</v>
      </c>
      <c r="C53" s="2">
        <v>0</v>
      </c>
      <c r="D53" s="2">
        <v>0</v>
      </c>
      <c r="E53" s="2">
        <f t="shared" ref="E53:E64" si="6">SUM(B53:D53)</f>
        <v>0</v>
      </c>
      <c r="F53" s="2"/>
      <c r="G53" t="s">
        <v>36</v>
      </c>
      <c r="H53" s="2">
        <v>0</v>
      </c>
      <c r="I53" s="2">
        <v>0</v>
      </c>
      <c r="J53" s="2">
        <v>0</v>
      </c>
      <c r="K53" s="2">
        <f t="shared" ref="K53:K64" si="7">SUM(H53:J53)</f>
        <v>0</v>
      </c>
    </row>
    <row r="54" spans="1:11">
      <c r="A54" t="s">
        <v>37</v>
      </c>
      <c r="B54" s="2">
        <v>0</v>
      </c>
      <c r="C54" s="2">
        <v>0</v>
      </c>
      <c r="D54" s="2">
        <v>0</v>
      </c>
      <c r="E54" s="2">
        <f t="shared" si="6"/>
        <v>0</v>
      </c>
      <c r="G54" t="s">
        <v>37</v>
      </c>
      <c r="H54" s="2">
        <v>0</v>
      </c>
      <c r="I54" s="2">
        <v>0</v>
      </c>
      <c r="J54" s="2">
        <v>0</v>
      </c>
      <c r="K54" s="2">
        <f t="shared" si="7"/>
        <v>0</v>
      </c>
    </row>
    <row r="55" spans="1:11">
      <c r="A55" t="s">
        <v>38</v>
      </c>
      <c r="B55" s="2">
        <v>0</v>
      </c>
      <c r="C55" s="2">
        <v>0</v>
      </c>
      <c r="D55" s="2">
        <v>0</v>
      </c>
      <c r="E55" s="2">
        <f t="shared" si="6"/>
        <v>0</v>
      </c>
      <c r="G55" t="s">
        <v>38</v>
      </c>
      <c r="H55" s="2">
        <v>0</v>
      </c>
      <c r="I55" s="2">
        <v>0</v>
      </c>
      <c r="J55" s="2">
        <v>0</v>
      </c>
      <c r="K55" s="2">
        <f t="shared" si="7"/>
        <v>0</v>
      </c>
    </row>
    <row r="56" spans="1:11">
      <c r="A56" t="s">
        <v>39</v>
      </c>
      <c r="B56" s="2">
        <v>0</v>
      </c>
      <c r="C56" s="2">
        <v>0</v>
      </c>
      <c r="D56" s="2">
        <v>0</v>
      </c>
      <c r="E56" s="2">
        <f t="shared" si="6"/>
        <v>0</v>
      </c>
      <c r="G56" t="s">
        <v>39</v>
      </c>
      <c r="H56" s="2">
        <v>0</v>
      </c>
      <c r="I56" s="2">
        <v>0</v>
      </c>
      <c r="J56" s="2">
        <v>0</v>
      </c>
      <c r="K56" s="2">
        <f t="shared" si="7"/>
        <v>0</v>
      </c>
    </row>
    <row r="57" spans="1:11">
      <c r="A57" t="s">
        <v>41</v>
      </c>
      <c r="B57" s="2">
        <v>0</v>
      </c>
      <c r="C57" s="2">
        <v>0</v>
      </c>
      <c r="D57" s="2">
        <v>0</v>
      </c>
      <c r="E57" s="2">
        <f t="shared" si="6"/>
        <v>0</v>
      </c>
      <c r="G57" t="s">
        <v>41</v>
      </c>
      <c r="H57" s="2">
        <v>0</v>
      </c>
      <c r="I57" s="2">
        <v>0</v>
      </c>
      <c r="J57" s="2">
        <v>0</v>
      </c>
      <c r="K57" s="2">
        <f t="shared" si="7"/>
        <v>0</v>
      </c>
    </row>
    <row r="58" spans="1:11">
      <c r="A58" t="s">
        <v>40</v>
      </c>
      <c r="B58" s="2">
        <v>0</v>
      </c>
      <c r="C58" s="2">
        <v>0</v>
      </c>
      <c r="D58" s="2">
        <v>0</v>
      </c>
      <c r="E58" s="2">
        <f t="shared" si="6"/>
        <v>0</v>
      </c>
      <c r="G58" t="s">
        <v>40</v>
      </c>
      <c r="H58" s="2">
        <v>0</v>
      </c>
      <c r="I58" s="2">
        <v>0</v>
      </c>
      <c r="J58" s="2">
        <v>0</v>
      </c>
      <c r="K58" s="2">
        <f t="shared" si="7"/>
        <v>0</v>
      </c>
    </row>
    <row r="59" spans="1:11">
      <c r="A59" t="s">
        <v>42</v>
      </c>
      <c r="B59" s="2">
        <v>0</v>
      </c>
      <c r="C59" s="2">
        <v>0</v>
      </c>
      <c r="D59" s="2">
        <v>0</v>
      </c>
      <c r="E59" s="2">
        <f t="shared" si="6"/>
        <v>0</v>
      </c>
      <c r="G59" t="s">
        <v>42</v>
      </c>
      <c r="H59" s="2">
        <v>0</v>
      </c>
      <c r="I59" s="2">
        <v>0</v>
      </c>
      <c r="J59" s="2">
        <v>0</v>
      </c>
      <c r="K59" s="2">
        <f t="shared" si="7"/>
        <v>0</v>
      </c>
    </row>
    <row r="60" spans="1:11">
      <c r="A60" t="s">
        <v>43</v>
      </c>
      <c r="B60" s="2">
        <v>0</v>
      </c>
      <c r="C60" s="2">
        <v>0</v>
      </c>
      <c r="D60" s="2">
        <v>0</v>
      </c>
      <c r="E60" s="2">
        <f t="shared" si="6"/>
        <v>0</v>
      </c>
      <c r="G60" t="s">
        <v>43</v>
      </c>
      <c r="H60" s="2">
        <v>0</v>
      </c>
      <c r="I60" s="2">
        <v>0</v>
      </c>
      <c r="J60" s="2">
        <v>0</v>
      </c>
      <c r="K60" s="2">
        <f t="shared" si="7"/>
        <v>0</v>
      </c>
    </row>
    <row r="61" spans="1:11">
      <c r="A61" t="s">
        <v>44</v>
      </c>
      <c r="B61" s="2">
        <v>0</v>
      </c>
      <c r="C61" s="2">
        <v>0</v>
      </c>
      <c r="D61" s="2">
        <v>0</v>
      </c>
      <c r="E61" s="2">
        <f t="shared" si="6"/>
        <v>0</v>
      </c>
      <c r="G61" t="s">
        <v>44</v>
      </c>
      <c r="H61" s="2">
        <v>0</v>
      </c>
      <c r="I61" s="2">
        <v>0</v>
      </c>
      <c r="J61" s="2">
        <v>0</v>
      </c>
      <c r="K61" s="2">
        <f t="shared" si="7"/>
        <v>0</v>
      </c>
    </row>
    <row r="62" spans="1:11">
      <c r="A62" t="s">
        <v>45</v>
      </c>
      <c r="B62" s="2">
        <v>0</v>
      </c>
      <c r="C62" s="2">
        <v>0</v>
      </c>
      <c r="D62" s="2">
        <v>0</v>
      </c>
      <c r="E62" s="2">
        <f t="shared" si="6"/>
        <v>0</v>
      </c>
      <c r="G62" t="s">
        <v>45</v>
      </c>
      <c r="H62" s="2">
        <v>0</v>
      </c>
      <c r="I62" s="2">
        <v>0</v>
      </c>
      <c r="J62" s="2">
        <v>0</v>
      </c>
      <c r="K62" s="2">
        <f t="shared" si="7"/>
        <v>0</v>
      </c>
    </row>
    <row r="63" spans="1:11">
      <c r="A63" t="s">
        <v>46</v>
      </c>
      <c r="B63" s="2">
        <v>0</v>
      </c>
      <c r="C63" s="2">
        <v>0</v>
      </c>
      <c r="D63" s="2">
        <v>0</v>
      </c>
      <c r="E63" s="2">
        <f t="shared" si="6"/>
        <v>0</v>
      </c>
      <c r="G63" t="s">
        <v>46</v>
      </c>
      <c r="H63" s="2">
        <v>0</v>
      </c>
      <c r="I63" s="2">
        <v>0</v>
      </c>
      <c r="J63" s="2">
        <v>0</v>
      </c>
      <c r="K63" s="2">
        <f t="shared" si="7"/>
        <v>0</v>
      </c>
    </row>
    <row r="64" spans="1:11">
      <c r="A64" t="s">
        <v>47</v>
      </c>
      <c r="B64" s="2">
        <v>0</v>
      </c>
      <c r="C64" s="2">
        <v>0</v>
      </c>
      <c r="D64" s="2">
        <v>0</v>
      </c>
      <c r="E64" s="2">
        <f t="shared" si="6"/>
        <v>0</v>
      </c>
      <c r="G64" t="s">
        <v>47</v>
      </c>
      <c r="H64" s="2">
        <v>0</v>
      </c>
      <c r="I64" s="2">
        <v>0</v>
      </c>
      <c r="J64" s="2">
        <v>0</v>
      </c>
      <c r="K64" s="2">
        <f t="shared" si="7"/>
        <v>0</v>
      </c>
    </row>
    <row r="65" spans="1:11">
      <c r="B65" s="2"/>
      <c r="C65" s="2"/>
      <c r="D65" s="2"/>
      <c r="E65" s="2"/>
      <c r="H65" s="2"/>
      <c r="I65" s="2"/>
      <c r="J65" s="2"/>
      <c r="K65" s="2"/>
    </row>
    <row r="66" spans="1:11">
      <c r="A66" s="1" t="s">
        <v>29</v>
      </c>
      <c r="B66" s="3">
        <f>SUM(B53:B65)</f>
        <v>0</v>
      </c>
      <c r="C66" s="3">
        <f>SUM(C53:C65)</f>
        <v>0</v>
      </c>
      <c r="D66" s="3">
        <f>SUM(D53:D65)</f>
        <v>0</v>
      </c>
      <c r="E66" s="3">
        <f>SUM(B66:D66)</f>
        <v>0</v>
      </c>
      <c r="G66" s="1" t="s">
        <v>29</v>
      </c>
      <c r="H66" s="3">
        <f>SUM(H53:H65)</f>
        <v>0</v>
      </c>
      <c r="I66" s="3">
        <f>SUM(I53:I65)</f>
        <v>0</v>
      </c>
      <c r="J66" s="3">
        <f>SUM(J53:J65)</f>
        <v>0</v>
      </c>
      <c r="K66" s="3">
        <f>SUM(H66:J66)</f>
        <v>0</v>
      </c>
    </row>
    <row r="68" spans="1:11">
      <c r="A68" s="1" t="s">
        <v>34</v>
      </c>
      <c r="B68" s="1" t="s">
        <v>4</v>
      </c>
      <c r="C68" s="1" t="s">
        <v>6</v>
      </c>
      <c r="D68" s="1" t="s">
        <v>8</v>
      </c>
      <c r="E68" s="1" t="s">
        <v>10</v>
      </c>
      <c r="G68" s="1" t="s">
        <v>34</v>
      </c>
      <c r="H68" s="1" t="s">
        <v>4</v>
      </c>
      <c r="I68" s="1" t="s">
        <v>6</v>
      </c>
      <c r="J68" s="1" t="s">
        <v>8</v>
      </c>
      <c r="K68" s="1" t="s">
        <v>10</v>
      </c>
    </row>
    <row r="69" spans="1:11">
      <c r="A69" t="s">
        <v>36</v>
      </c>
      <c r="B69" s="2">
        <v>0</v>
      </c>
      <c r="C69" s="2">
        <v>0</v>
      </c>
      <c r="D69" s="2">
        <v>0</v>
      </c>
      <c r="E69" s="2">
        <f t="shared" ref="E69:E80" si="8">SUM(B69:D69)</f>
        <v>0</v>
      </c>
      <c r="G69" t="s">
        <v>36</v>
      </c>
      <c r="H69" s="2">
        <v>0</v>
      </c>
      <c r="I69" s="2">
        <v>0</v>
      </c>
      <c r="J69" s="2">
        <v>0</v>
      </c>
      <c r="K69" s="2">
        <f t="shared" ref="K69:K80" si="9">SUM(H69:J69)</f>
        <v>0</v>
      </c>
    </row>
    <row r="70" spans="1:11">
      <c r="A70" t="s">
        <v>37</v>
      </c>
      <c r="B70" s="2">
        <v>0</v>
      </c>
      <c r="C70" s="2">
        <v>0</v>
      </c>
      <c r="D70" s="2">
        <v>0</v>
      </c>
      <c r="E70" s="2">
        <f t="shared" si="8"/>
        <v>0</v>
      </c>
      <c r="G70" t="s">
        <v>37</v>
      </c>
      <c r="H70" s="2">
        <v>0</v>
      </c>
      <c r="I70" s="2">
        <v>0</v>
      </c>
      <c r="J70" s="2">
        <v>0</v>
      </c>
      <c r="K70" s="2">
        <f t="shared" si="9"/>
        <v>0</v>
      </c>
    </row>
    <row r="71" spans="1:11">
      <c r="A71" t="s">
        <v>38</v>
      </c>
      <c r="B71" s="2">
        <v>0</v>
      </c>
      <c r="C71" s="2">
        <v>0</v>
      </c>
      <c r="D71" s="2">
        <v>0</v>
      </c>
      <c r="E71" s="2">
        <f t="shared" si="8"/>
        <v>0</v>
      </c>
      <c r="G71" t="s">
        <v>38</v>
      </c>
      <c r="H71" s="2">
        <v>0</v>
      </c>
      <c r="I71" s="2">
        <v>0</v>
      </c>
      <c r="J71" s="2">
        <v>0</v>
      </c>
      <c r="K71" s="2">
        <f t="shared" si="9"/>
        <v>0</v>
      </c>
    </row>
    <row r="72" spans="1:11">
      <c r="A72" t="s">
        <v>39</v>
      </c>
      <c r="B72" s="2">
        <v>0</v>
      </c>
      <c r="C72" s="2">
        <v>0</v>
      </c>
      <c r="D72" s="2">
        <v>0</v>
      </c>
      <c r="E72" s="2">
        <f t="shared" si="8"/>
        <v>0</v>
      </c>
      <c r="G72" t="s">
        <v>39</v>
      </c>
      <c r="H72" s="2">
        <v>0</v>
      </c>
      <c r="I72" s="2">
        <v>0</v>
      </c>
      <c r="J72" s="2">
        <v>0</v>
      </c>
      <c r="K72" s="2">
        <f t="shared" si="9"/>
        <v>0</v>
      </c>
    </row>
    <row r="73" spans="1:11">
      <c r="A73" t="s">
        <v>41</v>
      </c>
      <c r="B73" s="2">
        <v>0</v>
      </c>
      <c r="C73" s="2">
        <v>0</v>
      </c>
      <c r="D73" s="2">
        <v>0</v>
      </c>
      <c r="E73" s="2">
        <f t="shared" si="8"/>
        <v>0</v>
      </c>
      <c r="G73" t="s">
        <v>41</v>
      </c>
      <c r="H73" s="2">
        <v>0</v>
      </c>
      <c r="I73" s="2">
        <v>0</v>
      </c>
      <c r="J73" s="2">
        <v>0</v>
      </c>
      <c r="K73" s="2">
        <f t="shared" si="9"/>
        <v>0</v>
      </c>
    </row>
    <row r="74" spans="1:11">
      <c r="A74" t="s">
        <v>40</v>
      </c>
      <c r="B74" s="2">
        <v>0</v>
      </c>
      <c r="C74" s="2">
        <v>0</v>
      </c>
      <c r="D74" s="2">
        <v>0</v>
      </c>
      <c r="E74" s="2">
        <f t="shared" si="8"/>
        <v>0</v>
      </c>
      <c r="G74" t="s">
        <v>40</v>
      </c>
      <c r="H74" s="2">
        <v>0</v>
      </c>
      <c r="I74" s="2">
        <v>0</v>
      </c>
      <c r="J74" s="2">
        <v>0</v>
      </c>
      <c r="K74" s="2">
        <f t="shared" si="9"/>
        <v>0</v>
      </c>
    </row>
    <row r="75" spans="1:11">
      <c r="A75" t="s">
        <v>42</v>
      </c>
      <c r="B75" s="2">
        <v>0</v>
      </c>
      <c r="C75" s="2">
        <v>0</v>
      </c>
      <c r="D75" s="2">
        <v>0</v>
      </c>
      <c r="E75" s="2">
        <f t="shared" si="8"/>
        <v>0</v>
      </c>
      <c r="G75" t="s">
        <v>42</v>
      </c>
      <c r="H75" s="2">
        <v>0</v>
      </c>
      <c r="I75" s="2">
        <v>0</v>
      </c>
      <c r="J75" s="2">
        <v>0</v>
      </c>
      <c r="K75" s="2">
        <f t="shared" si="9"/>
        <v>0</v>
      </c>
    </row>
    <row r="76" spans="1:11">
      <c r="A76" t="s">
        <v>43</v>
      </c>
      <c r="B76" s="2">
        <v>0</v>
      </c>
      <c r="C76" s="2">
        <v>0</v>
      </c>
      <c r="D76" s="2">
        <v>0</v>
      </c>
      <c r="E76" s="2">
        <f t="shared" si="8"/>
        <v>0</v>
      </c>
      <c r="G76" t="s">
        <v>43</v>
      </c>
      <c r="H76" s="2">
        <v>0</v>
      </c>
      <c r="I76" s="2">
        <v>0</v>
      </c>
      <c r="J76" s="2">
        <v>0</v>
      </c>
      <c r="K76" s="2">
        <f t="shared" si="9"/>
        <v>0</v>
      </c>
    </row>
    <row r="77" spans="1:11">
      <c r="A77" t="s">
        <v>44</v>
      </c>
      <c r="B77" s="2">
        <v>0</v>
      </c>
      <c r="C77" s="2">
        <v>0</v>
      </c>
      <c r="D77" s="2">
        <v>0</v>
      </c>
      <c r="E77" s="2">
        <f t="shared" si="8"/>
        <v>0</v>
      </c>
      <c r="G77" t="s">
        <v>44</v>
      </c>
      <c r="H77" s="2">
        <v>0</v>
      </c>
      <c r="I77" s="2">
        <v>0</v>
      </c>
      <c r="J77" s="2">
        <v>0</v>
      </c>
      <c r="K77" s="2">
        <f t="shared" si="9"/>
        <v>0</v>
      </c>
    </row>
    <row r="78" spans="1:11">
      <c r="A78" t="s">
        <v>45</v>
      </c>
      <c r="B78" s="2">
        <v>0</v>
      </c>
      <c r="C78" s="2">
        <v>0</v>
      </c>
      <c r="D78" s="2">
        <v>0</v>
      </c>
      <c r="E78" s="2">
        <f t="shared" si="8"/>
        <v>0</v>
      </c>
      <c r="G78" t="s">
        <v>45</v>
      </c>
      <c r="H78" s="2">
        <v>0</v>
      </c>
      <c r="I78" s="2">
        <v>0</v>
      </c>
      <c r="J78" s="2">
        <v>0</v>
      </c>
      <c r="K78" s="2">
        <f t="shared" si="9"/>
        <v>0</v>
      </c>
    </row>
    <row r="79" spans="1:11">
      <c r="A79" t="s">
        <v>46</v>
      </c>
      <c r="B79" s="2">
        <v>0</v>
      </c>
      <c r="C79" s="2">
        <v>0</v>
      </c>
      <c r="D79" s="2">
        <v>0</v>
      </c>
      <c r="E79" s="2">
        <f t="shared" si="8"/>
        <v>0</v>
      </c>
      <c r="G79" t="s">
        <v>46</v>
      </c>
      <c r="H79" s="2">
        <v>0</v>
      </c>
      <c r="I79" s="2">
        <v>0</v>
      </c>
      <c r="J79" s="2">
        <v>0</v>
      </c>
      <c r="K79" s="2">
        <f t="shared" si="9"/>
        <v>0</v>
      </c>
    </row>
    <row r="80" spans="1:11">
      <c r="A80" t="s">
        <v>47</v>
      </c>
      <c r="B80" s="2">
        <v>0</v>
      </c>
      <c r="C80" s="2">
        <v>0</v>
      </c>
      <c r="D80" s="2">
        <v>0</v>
      </c>
      <c r="E80" s="2">
        <f t="shared" si="8"/>
        <v>0</v>
      </c>
      <c r="G80" t="s">
        <v>47</v>
      </c>
      <c r="H80" s="2">
        <v>0</v>
      </c>
      <c r="I80" s="2">
        <v>0</v>
      </c>
      <c r="J80" s="2">
        <v>0</v>
      </c>
      <c r="K80" s="2">
        <f t="shared" si="9"/>
        <v>0</v>
      </c>
    </row>
    <row r="81" spans="1:11">
      <c r="B81" s="2"/>
      <c r="C81" s="2"/>
      <c r="D81" s="2"/>
      <c r="E81" s="2"/>
      <c r="H81" s="2"/>
      <c r="I81" s="2"/>
      <c r="J81" s="2"/>
      <c r="K81" s="2"/>
    </row>
    <row r="82" spans="1:11">
      <c r="A82" s="1" t="s">
        <v>29</v>
      </c>
      <c r="B82" s="3">
        <f>SUM(B69:B81)</f>
        <v>0</v>
      </c>
      <c r="C82" s="3">
        <f>SUM(C69:C81)</f>
        <v>0</v>
      </c>
      <c r="D82" s="3">
        <f>SUM(D69:D81)</f>
        <v>0</v>
      </c>
      <c r="E82" s="3">
        <f>SUM(E69:E81)</f>
        <v>0</v>
      </c>
      <c r="G82" s="1" t="s">
        <v>29</v>
      </c>
      <c r="H82" s="3">
        <f>SUM(H69:H81)</f>
        <v>0</v>
      </c>
      <c r="I82" s="3">
        <f>SUM(I69:I81)</f>
        <v>0</v>
      </c>
      <c r="J82" s="3">
        <f>SUM(J69:J81)</f>
        <v>0</v>
      </c>
      <c r="K82" s="3">
        <f>SUM(K69:K81)</f>
        <v>0</v>
      </c>
    </row>
    <row r="84" spans="1:11">
      <c r="A84" s="1" t="s">
        <v>35</v>
      </c>
      <c r="B84" s="1" t="s">
        <v>4</v>
      </c>
      <c r="C84" s="1" t="s">
        <v>6</v>
      </c>
      <c r="D84" s="1" t="s">
        <v>8</v>
      </c>
      <c r="E84" s="1" t="s">
        <v>10</v>
      </c>
      <c r="G84" s="1" t="s">
        <v>35</v>
      </c>
      <c r="H84" s="1" t="s">
        <v>4</v>
      </c>
      <c r="I84" s="1" t="s">
        <v>6</v>
      </c>
      <c r="J84" s="1" t="s">
        <v>8</v>
      </c>
      <c r="K84" s="1" t="s">
        <v>10</v>
      </c>
    </row>
    <row r="85" spans="1:11">
      <c r="A85" t="s">
        <v>36</v>
      </c>
      <c r="B85" s="2">
        <v>0</v>
      </c>
      <c r="C85" s="2">
        <v>0</v>
      </c>
      <c r="D85" s="2">
        <v>0</v>
      </c>
      <c r="E85" s="2">
        <f t="shared" ref="E85:E96" si="10">SUM(B85:D85)</f>
        <v>0</v>
      </c>
      <c r="G85" t="s">
        <v>36</v>
      </c>
      <c r="H85" s="2">
        <v>0</v>
      </c>
      <c r="I85" s="2">
        <v>0</v>
      </c>
      <c r="J85" s="2">
        <v>0</v>
      </c>
      <c r="K85" s="2">
        <f t="shared" ref="K85:K96" si="11">SUM(H85:J85)</f>
        <v>0</v>
      </c>
    </row>
    <row r="86" spans="1:11">
      <c r="A86" t="s">
        <v>37</v>
      </c>
      <c r="B86" s="2">
        <v>0</v>
      </c>
      <c r="C86" s="2">
        <v>0</v>
      </c>
      <c r="D86" s="2">
        <v>0</v>
      </c>
      <c r="E86" s="2">
        <f t="shared" si="10"/>
        <v>0</v>
      </c>
      <c r="G86" t="s">
        <v>37</v>
      </c>
      <c r="H86" s="2">
        <v>0</v>
      </c>
      <c r="I86" s="2">
        <v>0</v>
      </c>
      <c r="J86" s="2">
        <v>0</v>
      </c>
      <c r="K86" s="2">
        <f t="shared" si="11"/>
        <v>0</v>
      </c>
    </row>
    <row r="87" spans="1:11">
      <c r="A87" t="s">
        <v>38</v>
      </c>
      <c r="B87" s="2">
        <v>0</v>
      </c>
      <c r="C87" s="2">
        <v>0</v>
      </c>
      <c r="D87" s="2">
        <v>0</v>
      </c>
      <c r="E87" s="2">
        <f t="shared" si="10"/>
        <v>0</v>
      </c>
      <c r="G87" t="s">
        <v>38</v>
      </c>
      <c r="H87" s="2">
        <v>0</v>
      </c>
      <c r="I87" s="2">
        <v>0</v>
      </c>
      <c r="J87" s="2">
        <v>0</v>
      </c>
      <c r="K87" s="2">
        <f t="shared" si="11"/>
        <v>0</v>
      </c>
    </row>
    <row r="88" spans="1:11">
      <c r="A88" t="s">
        <v>39</v>
      </c>
      <c r="B88" s="2">
        <v>0</v>
      </c>
      <c r="C88" s="2">
        <v>0</v>
      </c>
      <c r="D88" s="2">
        <v>0</v>
      </c>
      <c r="E88" s="2">
        <f t="shared" si="10"/>
        <v>0</v>
      </c>
      <c r="G88" t="s">
        <v>39</v>
      </c>
      <c r="H88" s="2">
        <v>0</v>
      </c>
      <c r="I88" s="2">
        <v>0</v>
      </c>
      <c r="J88" s="2">
        <v>0</v>
      </c>
      <c r="K88" s="2">
        <f t="shared" si="11"/>
        <v>0</v>
      </c>
    </row>
    <row r="89" spans="1:11">
      <c r="A89" t="s">
        <v>41</v>
      </c>
      <c r="B89" s="2">
        <v>0</v>
      </c>
      <c r="C89" s="2">
        <v>0</v>
      </c>
      <c r="D89" s="2">
        <v>0</v>
      </c>
      <c r="E89" s="2">
        <f t="shared" si="10"/>
        <v>0</v>
      </c>
      <c r="G89" t="s">
        <v>41</v>
      </c>
      <c r="H89" s="2">
        <v>0</v>
      </c>
      <c r="I89" s="2">
        <v>0</v>
      </c>
      <c r="J89" s="2">
        <v>0</v>
      </c>
      <c r="K89" s="2">
        <f t="shared" si="11"/>
        <v>0</v>
      </c>
    </row>
    <row r="90" spans="1:11">
      <c r="A90" t="s">
        <v>40</v>
      </c>
      <c r="B90" s="2">
        <v>0</v>
      </c>
      <c r="C90" s="2">
        <v>0</v>
      </c>
      <c r="D90" s="2">
        <v>0</v>
      </c>
      <c r="E90" s="2">
        <f t="shared" si="10"/>
        <v>0</v>
      </c>
      <c r="G90" t="s">
        <v>40</v>
      </c>
      <c r="H90" s="2">
        <v>0</v>
      </c>
      <c r="I90" s="2">
        <v>0</v>
      </c>
      <c r="J90" s="2">
        <v>0</v>
      </c>
      <c r="K90" s="2">
        <f t="shared" si="11"/>
        <v>0</v>
      </c>
    </row>
    <row r="91" spans="1:11">
      <c r="A91" t="s">
        <v>42</v>
      </c>
      <c r="B91" s="2">
        <v>0</v>
      </c>
      <c r="C91" s="2">
        <v>0</v>
      </c>
      <c r="D91" s="2">
        <v>0</v>
      </c>
      <c r="E91" s="2">
        <f t="shared" si="10"/>
        <v>0</v>
      </c>
      <c r="G91" t="s">
        <v>42</v>
      </c>
      <c r="H91" s="2">
        <v>0</v>
      </c>
      <c r="I91" s="2">
        <v>0</v>
      </c>
      <c r="J91" s="2">
        <v>0</v>
      </c>
      <c r="K91" s="2">
        <f t="shared" si="11"/>
        <v>0</v>
      </c>
    </row>
    <row r="92" spans="1:11">
      <c r="A92" t="s">
        <v>43</v>
      </c>
      <c r="B92" s="2">
        <v>0</v>
      </c>
      <c r="C92" s="2">
        <v>0</v>
      </c>
      <c r="D92" s="2">
        <v>0</v>
      </c>
      <c r="E92" s="2">
        <f t="shared" si="10"/>
        <v>0</v>
      </c>
      <c r="G92" t="s">
        <v>43</v>
      </c>
      <c r="H92" s="2">
        <v>0</v>
      </c>
      <c r="I92" s="2">
        <v>0</v>
      </c>
      <c r="J92" s="2">
        <v>0</v>
      </c>
      <c r="K92" s="2">
        <f t="shared" si="11"/>
        <v>0</v>
      </c>
    </row>
    <row r="93" spans="1:11">
      <c r="A93" t="s">
        <v>44</v>
      </c>
      <c r="B93" s="2">
        <v>0</v>
      </c>
      <c r="C93" s="2">
        <v>0</v>
      </c>
      <c r="D93" s="2">
        <v>0</v>
      </c>
      <c r="E93" s="2">
        <f t="shared" si="10"/>
        <v>0</v>
      </c>
      <c r="G93" t="s">
        <v>44</v>
      </c>
      <c r="H93" s="2">
        <v>0</v>
      </c>
      <c r="I93" s="2">
        <v>0</v>
      </c>
      <c r="J93" s="2">
        <v>0</v>
      </c>
      <c r="K93" s="2">
        <f t="shared" si="11"/>
        <v>0</v>
      </c>
    </row>
    <row r="94" spans="1:11">
      <c r="A94" t="s">
        <v>45</v>
      </c>
      <c r="B94" s="2">
        <v>0</v>
      </c>
      <c r="C94" s="2">
        <v>0</v>
      </c>
      <c r="D94" s="2">
        <v>0</v>
      </c>
      <c r="E94" s="2">
        <f t="shared" si="10"/>
        <v>0</v>
      </c>
      <c r="G94" t="s">
        <v>45</v>
      </c>
      <c r="H94" s="2">
        <v>0</v>
      </c>
      <c r="I94" s="2">
        <v>0</v>
      </c>
      <c r="J94" s="2">
        <v>0</v>
      </c>
      <c r="K94" s="2">
        <f t="shared" si="11"/>
        <v>0</v>
      </c>
    </row>
    <row r="95" spans="1:11">
      <c r="A95" t="s">
        <v>46</v>
      </c>
      <c r="B95" s="2">
        <v>0</v>
      </c>
      <c r="C95" s="2">
        <v>0</v>
      </c>
      <c r="D95" s="2">
        <v>0</v>
      </c>
      <c r="E95" s="2">
        <f t="shared" si="10"/>
        <v>0</v>
      </c>
      <c r="G95" t="s">
        <v>46</v>
      </c>
      <c r="H95" s="2">
        <v>0</v>
      </c>
      <c r="I95" s="2">
        <v>0</v>
      </c>
      <c r="J95" s="2">
        <v>0</v>
      </c>
      <c r="K95" s="2">
        <f t="shared" si="11"/>
        <v>0</v>
      </c>
    </row>
    <row r="96" spans="1:11">
      <c r="A96" t="s">
        <v>47</v>
      </c>
      <c r="B96" s="2">
        <v>0</v>
      </c>
      <c r="C96" s="2">
        <v>0</v>
      </c>
      <c r="D96" s="2">
        <v>0</v>
      </c>
      <c r="E96" s="2">
        <f t="shared" si="10"/>
        <v>0</v>
      </c>
      <c r="G96" t="s">
        <v>47</v>
      </c>
      <c r="H96" s="2">
        <v>0</v>
      </c>
      <c r="I96" s="2">
        <v>0</v>
      </c>
      <c r="J96" s="2">
        <v>0</v>
      </c>
      <c r="K96" s="2">
        <f t="shared" si="11"/>
        <v>0</v>
      </c>
    </row>
    <row r="97" spans="1:11">
      <c r="B97" s="2"/>
      <c r="C97" s="2"/>
      <c r="D97" s="2"/>
      <c r="E97" s="2"/>
      <c r="H97" s="2"/>
      <c r="I97" s="2"/>
      <c r="J97" s="2"/>
      <c r="K97" s="2"/>
    </row>
    <row r="98" spans="1:11">
      <c r="A98" s="1" t="s">
        <v>29</v>
      </c>
      <c r="B98" s="3">
        <f>SUM(B85:B97)</f>
        <v>0</v>
      </c>
      <c r="C98" s="3">
        <f>SUM(C85:C97)</f>
        <v>0</v>
      </c>
      <c r="D98" s="3">
        <f>SUM(D85:D97)</f>
        <v>0</v>
      </c>
      <c r="E98" s="3">
        <f>SUM(E85:E97)</f>
        <v>0</v>
      </c>
      <c r="G98" s="1" t="s">
        <v>29</v>
      </c>
      <c r="H98" s="3">
        <f>SUM(H85:H97)</f>
        <v>0</v>
      </c>
      <c r="I98" s="3">
        <f>SUM(I85:I97)</f>
        <v>0</v>
      </c>
      <c r="J98" s="3">
        <f>SUM(J85:J97)</f>
        <v>0</v>
      </c>
      <c r="K98" s="3">
        <f>SUM(K85:K97)</f>
        <v>0</v>
      </c>
    </row>
    <row r="99" spans="1:11">
      <c r="A99" s="1" t="s">
        <v>32</v>
      </c>
      <c r="B99" s="3">
        <f>(B66+B82+B98)</f>
        <v>0</v>
      </c>
      <c r="C99" s="3">
        <f>(C66+C82+C98)</f>
        <v>0</v>
      </c>
      <c r="D99" s="3">
        <f>(D66+D82+D98)</f>
        <v>0</v>
      </c>
      <c r="E99" s="3">
        <f>(E66+E82+E98)</f>
        <v>0</v>
      </c>
      <c r="G99" s="1" t="s">
        <v>32</v>
      </c>
      <c r="H99" s="3">
        <f>(H66+H82+H98)</f>
        <v>0</v>
      </c>
      <c r="I99" s="3">
        <f>(I66+I82+I98)</f>
        <v>0</v>
      </c>
      <c r="J99" s="3">
        <f>(J66+J82+J98)</f>
        <v>0</v>
      </c>
      <c r="K99" s="3">
        <f>(K66+K82+K98)</f>
        <v>0</v>
      </c>
    </row>
    <row r="100" spans="1:11">
      <c r="A100" s="1"/>
      <c r="B100" s="15"/>
      <c r="C100" s="15"/>
      <c r="D100" s="15"/>
      <c r="E100" s="15"/>
      <c r="G100" s="1"/>
      <c r="H100" s="15"/>
      <c r="I100" s="15"/>
      <c r="J100" s="15"/>
      <c r="K100" s="15"/>
    </row>
    <row r="101" spans="1:11">
      <c r="A101" s="6"/>
      <c r="B101" s="14" t="s">
        <v>56</v>
      </c>
      <c r="C101" s="14"/>
      <c r="D101" s="14"/>
      <c r="E101" s="14"/>
      <c r="G101" s="6"/>
      <c r="H101" s="14" t="s">
        <v>56</v>
      </c>
      <c r="I101" s="14"/>
      <c r="J101" s="14"/>
      <c r="K101" s="14"/>
    </row>
    <row r="102" spans="1:11">
      <c r="A102" s="1" t="s">
        <v>48</v>
      </c>
      <c r="B102" s="1" t="s">
        <v>4</v>
      </c>
      <c r="C102" s="1" t="s">
        <v>6</v>
      </c>
      <c r="D102" s="1" t="s">
        <v>8</v>
      </c>
      <c r="E102" s="1" t="s">
        <v>10</v>
      </c>
      <c r="G102" s="1" t="s">
        <v>48</v>
      </c>
      <c r="H102" s="1" t="s">
        <v>4</v>
      </c>
      <c r="I102" s="1" t="s">
        <v>6</v>
      </c>
      <c r="J102" s="1" t="s">
        <v>8</v>
      </c>
      <c r="K102" s="1" t="s">
        <v>10</v>
      </c>
    </row>
    <row r="103" spans="1:11">
      <c r="A103" t="s">
        <v>36</v>
      </c>
      <c r="B103" s="2">
        <v>0</v>
      </c>
      <c r="C103" s="2">
        <v>0</v>
      </c>
      <c r="D103" s="2">
        <v>0</v>
      </c>
      <c r="E103" s="2">
        <f>SUM(B103+C103+D103)</f>
        <v>0</v>
      </c>
      <c r="G103" t="s">
        <v>36</v>
      </c>
      <c r="H103" s="2">
        <v>0</v>
      </c>
      <c r="I103" s="2">
        <v>0</v>
      </c>
      <c r="J103" s="2">
        <v>0</v>
      </c>
      <c r="K103" s="2">
        <f>SUM(H103+I103+J103)</f>
        <v>0</v>
      </c>
    </row>
    <row r="104" spans="1:11">
      <c r="A104" t="s">
        <v>37</v>
      </c>
      <c r="B104" s="2">
        <v>0</v>
      </c>
      <c r="C104" s="2">
        <v>0</v>
      </c>
      <c r="D104" s="2">
        <v>0</v>
      </c>
      <c r="E104" s="2">
        <f t="shared" ref="E104:E114" si="12">SUM(B104+C104+D104)</f>
        <v>0</v>
      </c>
      <c r="G104" t="s">
        <v>37</v>
      </c>
      <c r="H104" s="2">
        <v>0</v>
      </c>
      <c r="I104" s="2">
        <v>0</v>
      </c>
      <c r="J104" s="2">
        <v>0</v>
      </c>
      <c r="K104" s="2">
        <f t="shared" ref="K104:K114" si="13">SUM(H104+I104+J104)</f>
        <v>0</v>
      </c>
    </row>
    <row r="105" spans="1:11">
      <c r="A105" t="s">
        <v>38</v>
      </c>
      <c r="B105" s="2">
        <v>0</v>
      </c>
      <c r="C105" s="2">
        <v>0</v>
      </c>
      <c r="D105" s="2">
        <v>0</v>
      </c>
      <c r="E105" s="2">
        <f t="shared" si="12"/>
        <v>0</v>
      </c>
      <c r="G105" t="s">
        <v>38</v>
      </c>
      <c r="H105" s="2">
        <v>0</v>
      </c>
      <c r="I105" s="2">
        <v>0</v>
      </c>
      <c r="J105" s="2">
        <v>0</v>
      </c>
      <c r="K105" s="2">
        <f t="shared" si="13"/>
        <v>0</v>
      </c>
    </row>
    <row r="106" spans="1:11">
      <c r="A106" t="s">
        <v>39</v>
      </c>
      <c r="B106" s="2">
        <v>0</v>
      </c>
      <c r="C106" s="2">
        <v>0</v>
      </c>
      <c r="D106" s="2">
        <v>0</v>
      </c>
      <c r="E106" s="2">
        <f t="shared" si="12"/>
        <v>0</v>
      </c>
      <c r="G106" t="s">
        <v>39</v>
      </c>
      <c r="H106" s="2">
        <v>0</v>
      </c>
      <c r="I106" s="2">
        <v>0</v>
      </c>
      <c r="J106" s="2">
        <v>0</v>
      </c>
      <c r="K106" s="2">
        <f t="shared" si="13"/>
        <v>0</v>
      </c>
    </row>
    <row r="107" spans="1:11">
      <c r="A107" t="s">
        <v>41</v>
      </c>
      <c r="B107" s="2">
        <v>0</v>
      </c>
      <c r="C107" s="2">
        <v>0</v>
      </c>
      <c r="D107" s="2">
        <v>0</v>
      </c>
      <c r="E107" s="2">
        <f t="shared" si="12"/>
        <v>0</v>
      </c>
      <c r="G107" t="s">
        <v>41</v>
      </c>
      <c r="H107" s="2">
        <v>0</v>
      </c>
      <c r="I107" s="2">
        <v>0</v>
      </c>
      <c r="J107" s="2">
        <v>0</v>
      </c>
      <c r="K107" s="2">
        <f t="shared" si="13"/>
        <v>0</v>
      </c>
    </row>
    <row r="108" spans="1:11">
      <c r="A108" t="s">
        <v>40</v>
      </c>
      <c r="B108" s="2">
        <v>0</v>
      </c>
      <c r="C108" s="2">
        <v>0</v>
      </c>
      <c r="D108" s="2">
        <v>0</v>
      </c>
      <c r="E108" s="2">
        <f t="shared" si="12"/>
        <v>0</v>
      </c>
      <c r="G108" t="s">
        <v>40</v>
      </c>
      <c r="H108" s="2">
        <v>0</v>
      </c>
      <c r="I108" s="2">
        <v>0</v>
      </c>
      <c r="J108" s="2">
        <v>0</v>
      </c>
      <c r="K108" s="2">
        <f t="shared" si="13"/>
        <v>0</v>
      </c>
    </row>
    <row r="109" spans="1:11">
      <c r="A109" t="s">
        <v>42</v>
      </c>
      <c r="B109" s="2">
        <v>0</v>
      </c>
      <c r="C109" s="2">
        <v>0</v>
      </c>
      <c r="D109" s="2">
        <v>0</v>
      </c>
      <c r="E109" s="2">
        <f t="shared" si="12"/>
        <v>0</v>
      </c>
      <c r="G109" t="s">
        <v>42</v>
      </c>
      <c r="H109" s="2">
        <v>0</v>
      </c>
      <c r="I109" s="2">
        <v>0</v>
      </c>
      <c r="J109" s="2">
        <v>0</v>
      </c>
      <c r="K109" s="2">
        <f t="shared" si="13"/>
        <v>0</v>
      </c>
    </row>
    <row r="110" spans="1:11">
      <c r="A110" t="s">
        <v>43</v>
      </c>
      <c r="B110" s="2">
        <v>0</v>
      </c>
      <c r="C110" s="2">
        <v>0</v>
      </c>
      <c r="D110" s="2">
        <v>0</v>
      </c>
      <c r="E110" s="2">
        <f t="shared" si="12"/>
        <v>0</v>
      </c>
      <c r="G110" t="s">
        <v>43</v>
      </c>
      <c r="H110" s="2">
        <v>0</v>
      </c>
      <c r="I110" s="2">
        <v>0</v>
      </c>
      <c r="J110" s="2">
        <v>0</v>
      </c>
      <c r="K110" s="2">
        <f t="shared" si="13"/>
        <v>0</v>
      </c>
    </row>
    <row r="111" spans="1:11">
      <c r="A111" t="s">
        <v>44</v>
      </c>
      <c r="B111" s="2">
        <v>0</v>
      </c>
      <c r="C111" s="2">
        <v>0</v>
      </c>
      <c r="D111" s="2">
        <v>0</v>
      </c>
      <c r="E111" s="2">
        <f t="shared" si="12"/>
        <v>0</v>
      </c>
      <c r="G111" t="s">
        <v>44</v>
      </c>
      <c r="H111" s="2">
        <v>0</v>
      </c>
      <c r="I111" s="2">
        <v>0</v>
      </c>
      <c r="J111" s="2">
        <v>0</v>
      </c>
      <c r="K111" s="2">
        <f t="shared" si="13"/>
        <v>0</v>
      </c>
    </row>
    <row r="112" spans="1:11">
      <c r="A112" t="s">
        <v>45</v>
      </c>
      <c r="B112" s="2">
        <v>0</v>
      </c>
      <c r="C112" s="2">
        <v>0</v>
      </c>
      <c r="D112" s="2">
        <v>0</v>
      </c>
      <c r="E112" s="2">
        <f t="shared" si="12"/>
        <v>0</v>
      </c>
      <c r="G112" t="s">
        <v>45</v>
      </c>
      <c r="H112" s="2">
        <v>0</v>
      </c>
      <c r="I112" s="2">
        <v>0</v>
      </c>
      <c r="J112" s="2">
        <v>0</v>
      </c>
      <c r="K112" s="2">
        <f t="shared" si="13"/>
        <v>0</v>
      </c>
    </row>
    <row r="113" spans="1:11">
      <c r="A113" t="s">
        <v>46</v>
      </c>
      <c r="B113" s="2">
        <v>0</v>
      </c>
      <c r="C113" s="2">
        <v>0</v>
      </c>
      <c r="D113" s="2">
        <v>0</v>
      </c>
      <c r="E113" s="2">
        <f t="shared" si="12"/>
        <v>0</v>
      </c>
      <c r="G113" t="s">
        <v>46</v>
      </c>
      <c r="H113" s="2">
        <v>0</v>
      </c>
      <c r="I113" s="2">
        <v>0</v>
      </c>
      <c r="J113" s="2">
        <v>0</v>
      </c>
      <c r="K113" s="2">
        <f t="shared" si="13"/>
        <v>0</v>
      </c>
    </row>
    <row r="114" spans="1:11">
      <c r="A114" t="s">
        <v>47</v>
      </c>
      <c r="B114" s="2">
        <v>0</v>
      </c>
      <c r="C114" s="2">
        <v>0</v>
      </c>
      <c r="D114" s="2">
        <v>0</v>
      </c>
      <c r="E114" s="2">
        <f t="shared" si="12"/>
        <v>0</v>
      </c>
      <c r="G114" t="s">
        <v>47</v>
      </c>
      <c r="H114" s="2">
        <v>0</v>
      </c>
      <c r="I114" s="2">
        <v>0</v>
      </c>
      <c r="J114" s="2">
        <v>0</v>
      </c>
      <c r="K114" s="2">
        <f t="shared" si="13"/>
        <v>0</v>
      </c>
    </row>
    <row r="115" spans="1:11">
      <c r="E115" s="2"/>
      <c r="K115" s="2"/>
    </row>
    <row r="116" spans="1:11">
      <c r="A116" s="1" t="s">
        <v>29</v>
      </c>
      <c r="B116" s="3">
        <f>SUM(B103:B115)</f>
        <v>0</v>
      </c>
      <c r="C116" s="3">
        <f>SUM(C103:C115)</f>
        <v>0</v>
      </c>
      <c r="D116" s="3">
        <f>SUM(D103:D115)</f>
        <v>0</v>
      </c>
      <c r="E116" s="3">
        <f>SUM(E103:E115)</f>
        <v>0</v>
      </c>
      <c r="G116" s="1" t="s">
        <v>29</v>
      </c>
      <c r="H116" s="3">
        <f>SUM(H103:H115)</f>
        <v>0</v>
      </c>
      <c r="I116" s="3">
        <f>SUM(I103:I115)</f>
        <v>0</v>
      </c>
      <c r="J116" s="3">
        <f>SUM(J103:J115)</f>
        <v>0</v>
      </c>
      <c r="K116" s="3">
        <f>SUM(K103:K115)</f>
        <v>0</v>
      </c>
    </row>
    <row r="118" spans="1:11">
      <c r="A118" s="1" t="s">
        <v>49</v>
      </c>
      <c r="B118" s="1" t="s">
        <v>4</v>
      </c>
      <c r="C118" s="1" t="s">
        <v>6</v>
      </c>
      <c r="D118" s="1" t="s">
        <v>8</v>
      </c>
      <c r="E118" s="1" t="s">
        <v>10</v>
      </c>
      <c r="G118" s="1" t="s">
        <v>49</v>
      </c>
      <c r="H118" s="1" t="s">
        <v>4</v>
      </c>
      <c r="I118" s="1" t="s">
        <v>6</v>
      </c>
      <c r="J118" s="1" t="s">
        <v>8</v>
      </c>
      <c r="K118" s="1" t="s">
        <v>10</v>
      </c>
    </row>
    <row r="119" spans="1:11">
      <c r="A119" t="s">
        <v>36</v>
      </c>
      <c r="B119" s="2">
        <v>0</v>
      </c>
      <c r="C119" s="2">
        <v>0</v>
      </c>
      <c r="D119" s="2">
        <v>0</v>
      </c>
      <c r="E119" s="2">
        <f>SUM(B119+C119+D119)</f>
        <v>0</v>
      </c>
      <c r="G119" t="s">
        <v>36</v>
      </c>
      <c r="H119" s="2">
        <v>0</v>
      </c>
      <c r="I119" s="2">
        <v>0</v>
      </c>
      <c r="J119" s="2">
        <v>0</v>
      </c>
      <c r="K119" s="2">
        <f>SUM(H119+I119+J119)</f>
        <v>0</v>
      </c>
    </row>
    <row r="120" spans="1:11">
      <c r="A120" t="s">
        <v>37</v>
      </c>
      <c r="B120" s="2">
        <v>0</v>
      </c>
      <c r="C120" s="2">
        <v>0</v>
      </c>
      <c r="D120" s="2">
        <v>0</v>
      </c>
      <c r="E120" s="2">
        <f t="shared" ref="E120:E130" si="14">SUM(B120+C120+D120)</f>
        <v>0</v>
      </c>
      <c r="G120" t="s">
        <v>37</v>
      </c>
      <c r="H120" s="2">
        <v>0</v>
      </c>
      <c r="I120" s="2">
        <v>0</v>
      </c>
      <c r="J120" s="2">
        <v>0</v>
      </c>
      <c r="K120" s="2">
        <f t="shared" ref="K120:K130" si="15">SUM(H120+I120+J120)</f>
        <v>0</v>
      </c>
    </row>
    <row r="121" spans="1:11">
      <c r="A121" t="s">
        <v>38</v>
      </c>
      <c r="B121" s="2">
        <v>0</v>
      </c>
      <c r="C121" s="2">
        <v>0</v>
      </c>
      <c r="D121" s="2">
        <v>0</v>
      </c>
      <c r="E121" s="2">
        <f t="shared" si="14"/>
        <v>0</v>
      </c>
      <c r="G121" t="s">
        <v>38</v>
      </c>
      <c r="H121" s="2">
        <v>0</v>
      </c>
      <c r="I121" s="2">
        <v>0</v>
      </c>
      <c r="J121" s="2">
        <v>0</v>
      </c>
      <c r="K121" s="2">
        <f t="shared" si="15"/>
        <v>0</v>
      </c>
    </row>
    <row r="122" spans="1:11">
      <c r="A122" t="s">
        <v>39</v>
      </c>
      <c r="B122" s="2">
        <v>0</v>
      </c>
      <c r="C122" s="2">
        <v>0</v>
      </c>
      <c r="D122" s="2">
        <v>0</v>
      </c>
      <c r="E122" s="2">
        <f t="shared" si="14"/>
        <v>0</v>
      </c>
      <c r="G122" t="s">
        <v>39</v>
      </c>
      <c r="H122" s="2">
        <v>0</v>
      </c>
      <c r="I122" s="2">
        <v>0</v>
      </c>
      <c r="J122" s="2">
        <v>0</v>
      </c>
      <c r="K122" s="2">
        <f t="shared" si="15"/>
        <v>0</v>
      </c>
    </row>
    <row r="123" spans="1:11">
      <c r="A123" t="s">
        <v>41</v>
      </c>
      <c r="B123" s="2">
        <v>0</v>
      </c>
      <c r="C123" s="2">
        <v>0</v>
      </c>
      <c r="D123" s="2">
        <v>0</v>
      </c>
      <c r="E123" s="2">
        <f t="shared" si="14"/>
        <v>0</v>
      </c>
      <c r="G123" t="s">
        <v>41</v>
      </c>
      <c r="H123" s="2">
        <v>0</v>
      </c>
      <c r="I123" s="2">
        <v>0</v>
      </c>
      <c r="J123" s="2">
        <v>0</v>
      </c>
      <c r="K123" s="2">
        <f t="shared" si="15"/>
        <v>0</v>
      </c>
    </row>
    <row r="124" spans="1:11">
      <c r="A124" t="s">
        <v>40</v>
      </c>
      <c r="B124" s="2">
        <v>0</v>
      </c>
      <c r="C124" s="2">
        <v>0</v>
      </c>
      <c r="D124" s="2">
        <v>0</v>
      </c>
      <c r="E124" s="2">
        <f t="shared" si="14"/>
        <v>0</v>
      </c>
      <c r="G124" t="s">
        <v>40</v>
      </c>
      <c r="H124" s="2">
        <v>0</v>
      </c>
      <c r="I124" s="2">
        <v>0</v>
      </c>
      <c r="J124" s="2">
        <v>0</v>
      </c>
      <c r="K124" s="2">
        <f t="shared" si="15"/>
        <v>0</v>
      </c>
    </row>
    <row r="125" spans="1:11">
      <c r="A125" t="s">
        <v>42</v>
      </c>
      <c r="B125" s="2">
        <v>0</v>
      </c>
      <c r="C125" s="2">
        <v>0</v>
      </c>
      <c r="D125" s="2">
        <v>0</v>
      </c>
      <c r="E125" s="2">
        <f t="shared" si="14"/>
        <v>0</v>
      </c>
      <c r="G125" t="s">
        <v>42</v>
      </c>
      <c r="H125" s="2">
        <v>0</v>
      </c>
      <c r="I125" s="2">
        <v>0</v>
      </c>
      <c r="J125" s="2">
        <v>0</v>
      </c>
      <c r="K125" s="2">
        <f t="shared" si="15"/>
        <v>0</v>
      </c>
    </row>
    <row r="126" spans="1:11">
      <c r="A126" t="s">
        <v>43</v>
      </c>
      <c r="B126" s="2">
        <v>0</v>
      </c>
      <c r="C126" s="2">
        <v>0</v>
      </c>
      <c r="D126" s="2">
        <v>0</v>
      </c>
      <c r="E126" s="2">
        <f t="shared" si="14"/>
        <v>0</v>
      </c>
      <c r="G126" t="s">
        <v>43</v>
      </c>
      <c r="H126" s="2">
        <v>0</v>
      </c>
      <c r="I126" s="2">
        <v>0</v>
      </c>
      <c r="J126" s="2">
        <v>0</v>
      </c>
      <c r="K126" s="2">
        <f t="shared" si="15"/>
        <v>0</v>
      </c>
    </row>
    <row r="127" spans="1:11">
      <c r="A127" t="s">
        <v>44</v>
      </c>
      <c r="B127" s="2">
        <v>0</v>
      </c>
      <c r="C127" s="2">
        <v>0</v>
      </c>
      <c r="D127" s="5">
        <v>0</v>
      </c>
      <c r="E127" s="2">
        <f t="shared" si="14"/>
        <v>0</v>
      </c>
      <c r="G127" t="s">
        <v>44</v>
      </c>
      <c r="H127" s="2">
        <v>0</v>
      </c>
      <c r="I127" s="2">
        <v>0</v>
      </c>
      <c r="J127" s="5">
        <v>0</v>
      </c>
      <c r="K127" s="2">
        <f t="shared" si="15"/>
        <v>0</v>
      </c>
    </row>
    <row r="128" spans="1:11">
      <c r="A128" t="s">
        <v>45</v>
      </c>
      <c r="B128" s="2">
        <v>0</v>
      </c>
      <c r="C128" s="2">
        <v>0</v>
      </c>
      <c r="D128" s="5">
        <v>0</v>
      </c>
      <c r="E128" s="2">
        <f t="shared" si="14"/>
        <v>0</v>
      </c>
      <c r="G128" t="s">
        <v>45</v>
      </c>
      <c r="H128" s="2">
        <v>0</v>
      </c>
      <c r="I128" s="2">
        <v>0</v>
      </c>
      <c r="J128" s="5">
        <v>0</v>
      </c>
      <c r="K128" s="2">
        <f t="shared" si="15"/>
        <v>0</v>
      </c>
    </row>
    <row r="129" spans="1:11">
      <c r="A129" t="s">
        <v>46</v>
      </c>
      <c r="B129" s="2">
        <v>0</v>
      </c>
      <c r="C129" s="2">
        <v>0</v>
      </c>
      <c r="D129" s="5">
        <v>0</v>
      </c>
      <c r="E129" s="2">
        <f t="shared" si="14"/>
        <v>0</v>
      </c>
      <c r="G129" t="s">
        <v>46</v>
      </c>
      <c r="H129" s="2">
        <v>0</v>
      </c>
      <c r="I129" s="2">
        <v>0</v>
      </c>
      <c r="J129" s="5">
        <v>0</v>
      </c>
      <c r="K129" s="2">
        <f t="shared" si="15"/>
        <v>0</v>
      </c>
    </row>
    <row r="130" spans="1:11">
      <c r="A130" t="s">
        <v>47</v>
      </c>
      <c r="B130" s="2">
        <v>0</v>
      </c>
      <c r="C130" s="2">
        <v>0</v>
      </c>
      <c r="D130" s="5">
        <v>0</v>
      </c>
      <c r="E130" s="2">
        <f t="shared" si="14"/>
        <v>0</v>
      </c>
      <c r="G130" t="s">
        <v>47</v>
      </c>
      <c r="H130" s="2">
        <v>0</v>
      </c>
      <c r="I130" s="2">
        <v>0</v>
      </c>
      <c r="J130" s="5">
        <v>0</v>
      </c>
      <c r="K130" s="2">
        <f t="shared" si="15"/>
        <v>0</v>
      </c>
    </row>
    <row r="132" spans="1:11">
      <c r="A132" s="1" t="s">
        <v>29</v>
      </c>
      <c r="B132" s="3">
        <f>SUM(B119:B131)</f>
        <v>0</v>
      </c>
      <c r="C132" s="3">
        <f>SUM(C119:C131)</f>
        <v>0</v>
      </c>
      <c r="D132" s="3">
        <f>SUM(D119:D131)</f>
        <v>0</v>
      </c>
      <c r="E132" s="3">
        <f>SUM(E119:E131)</f>
        <v>0</v>
      </c>
      <c r="G132" s="1" t="s">
        <v>29</v>
      </c>
      <c r="H132" s="3">
        <f>SUM(H119:H131)</f>
        <v>0</v>
      </c>
      <c r="I132" s="3">
        <f>SUM(I119:I131)</f>
        <v>0</v>
      </c>
      <c r="J132" s="3">
        <f>SUM(J119:J131)</f>
        <v>0</v>
      </c>
      <c r="K132" s="3">
        <f>SUM(K119:K131)</f>
        <v>0</v>
      </c>
    </row>
    <row r="134" spans="1:11">
      <c r="A134" s="1" t="s">
        <v>50</v>
      </c>
      <c r="B134" s="1" t="s">
        <v>4</v>
      </c>
      <c r="C134" s="1" t="s">
        <v>6</v>
      </c>
      <c r="D134" s="1" t="s">
        <v>8</v>
      </c>
      <c r="E134" s="1" t="s">
        <v>10</v>
      </c>
      <c r="G134" s="1" t="s">
        <v>50</v>
      </c>
      <c r="H134" s="1" t="s">
        <v>4</v>
      </c>
      <c r="I134" s="1" t="s">
        <v>6</v>
      </c>
      <c r="J134" s="1" t="s">
        <v>8</v>
      </c>
      <c r="K134" s="1" t="s">
        <v>10</v>
      </c>
    </row>
    <row r="135" spans="1:11">
      <c r="A135" t="s">
        <v>36</v>
      </c>
      <c r="B135" s="2">
        <v>0</v>
      </c>
      <c r="C135" s="2">
        <v>0</v>
      </c>
      <c r="D135" s="2">
        <v>0</v>
      </c>
      <c r="E135" s="2">
        <f t="shared" ref="E135:E146" si="16">SUM(B135+C135+D135)</f>
        <v>0</v>
      </c>
      <c r="G135" t="s">
        <v>36</v>
      </c>
      <c r="H135" s="2">
        <v>0</v>
      </c>
      <c r="I135" s="2">
        <v>0</v>
      </c>
      <c r="J135" s="2">
        <v>0</v>
      </c>
      <c r="K135" s="2">
        <f t="shared" ref="K135:K146" si="17">SUM(H135+I135+J135)</f>
        <v>0</v>
      </c>
    </row>
    <row r="136" spans="1:11">
      <c r="A136" t="s">
        <v>37</v>
      </c>
      <c r="B136" s="2">
        <v>0</v>
      </c>
      <c r="C136" s="2">
        <v>0</v>
      </c>
      <c r="D136" s="2">
        <v>0</v>
      </c>
      <c r="E136" s="2">
        <f t="shared" si="16"/>
        <v>0</v>
      </c>
      <c r="G136" t="s">
        <v>37</v>
      </c>
      <c r="H136" s="2">
        <v>0</v>
      </c>
      <c r="I136" s="2">
        <v>0</v>
      </c>
      <c r="J136" s="2">
        <v>0</v>
      </c>
      <c r="K136" s="2">
        <f t="shared" si="17"/>
        <v>0</v>
      </c>
    </row>
    <row r="137" spans="1:11">
      <c r="A137" t="s">
        <v>38</v>
      </c>
      <c r="B137" s="2">
        <v>0</v>
      </c>
      <c r="C137" s="2">
        <v>0</v>
      </c>
      <c r="D137" s="2">
        <v>0</v>
      </c>
      <c r="E137" s="2">
        <f t="shared" si="16"/>
        <v>0</v>
      </c>
      <c r="G137" t="s">
        <v>38</v>
      </c>
      <c r="H137" s="2">
        <v>0</v>
      </c>
      <c r="I137" s="2">
        <v>0</v>
      </c>
      <c r="J137" s="2">
        <v>0</v>
      </c>
      <c r="K137" s="2">
        <f t="shared" si="17"/>
        <v>0</v>
      </c>
    </row>
    <row r="138" spans="1:11">
      <c r="A138" t="s">
        <v>39</v>
      </c>
      <c r="B138" s="2">
        <v>0</v>
      </c>
      <c r="C138" s="2">
        <v>0</v>
      </c>
      <c r="D138" s="2">
        <v>0</v>
      </c>
      <c r="E138" s="2">
        <f t="shared" si="16"/>
        <v>0</v>
      </c>
      <c r="G138" t="s">
        <v>39</v>
      </c>
      <c r="H138" s="2">
        <v>0</v>
      </c>
      <c r="I138" s="2">
        <v>0</v>
      </c>
      <c r="J138" s="2">
        <v>0</v>
      </c>
      <c r="K138" s="2">
        <f t="shared" si="17"/>
        <v>0</v>
      </c>
    </row>
    <row r="139" spans="1:11">
      <c r="A139" t="s">
        <v>41</v>
      </c>
      <c r="B139" s="2">
        <v>0</v>
      </c>
      <c r="C139" s="2">
        <v>0</v>
      </c>
      <c r="D139" s="2">
        <v>0</v>
      </c>
      <c r="E139" s="2">
        <f t="shared" si="16"/>
        <v>0</v>
      </c>
      <c r="G139" t="s">
        <v>41</v>
      </c>
      <c r="H139" s="2">
        <v>0</v>
      </c>
      <c r="I139" s="2">
        <v>0</v>
      </c>
      <c r="J139" s="2">
        <v>0</v>
      </c>
      <c r="K139" s="2">
        <f t="shared" si="17"/>
        <v>0</v>
      </c>
    </row>
    <row r="140" spans="1:11">
      <c r="A140" t="s">
        <v>40</v>
      </c>
      <c r="B140" s="2">
        <v>0</v>
      </c>
      <c r="C140" s="2">
        <v>0</v>
      </c>
      <c r="D140" s="2">
        <v>0</v>
      </c>
      <c r="E140" s="2">
        <f t="shared" si="16"/>
        <v>0</v>
      </c>
      <c r="G140" t="s">
        <v>40</v>
      </c>
      <c r="H140" s="2">
        <v>0</v>
      </c>
      <c r="I140" s="2">
        <v>0</v>
      </c>
      <c r="J140" s="2">
        <v>0</v>
      </c>
      <c r="K140" s="2">
        <f t="shared" si="17"/>
        <v>0</v>
      </c>
    </row>
    <row r="141" spans="1:11">
      <c r="A141" t="s">
        <v>42</v>
      </c>
      <c r="B141" s="2">
        <v>0</v>
      </c>
      <c r="C141" s="2">
        <v>0</v>
      </c>
      <c r="D141" s="2">
        <v>0</v>
      </c>
      <c r="E141" s="2">
        <f t="shared" si="16"/>
        <v>0</v>
      </c>
      <c r="G141" t="s">
        <v>42</v>
      </c>
      <c r="H141" s="2">
        <v>0</v>
      </c>
      <c r="I141" s="2">
        <v>0</v>
      </c>
      <c r="J141" s="2">
        <v>0</v>
      </c>
      <c r="K141" s="2">
        <f t="shared" si="17"/>
        <v>0</v>
      </c>
    </row>
    <row r="142" spans="1:11">
      <c r="A142" t="s">
        <v>43</v>
      </c>
      <c r="B142" s="2">
        <v>0</v>
      </c>
      <c r="C142" s="2">
        <v>0</v>
      </c>
      <c r="D142" s="2">
        <v>0</v>
      </c>
      <c r="E142" s="2">
        <f t="shared" si="16"/>
        <v>0</v>
      </c>
      <c r="G142" t="s">
        <v>43</v>
      </c>
      <c r="H142" s="2">
        <v>0</v>
      </c>
      <c r="I142" s="2">
        <v>0</v>
      </c>
      <c r="J142" s="2">
        <v>0</v>
      </c>
      <c r="K142" s="2">
        <f t="shared" si="17"/>
        <v>0</v>
      </c>
    </row>
    <row r="143" spans="1:11">
      <c r="A143" t="s">
        <v>44</v>
      </c>
      <c r="B143" s="2">
        <v>0</v>
      </c>
      <c r="C143" s="2">
        <v>0</v>
      </c>
      <c r="D143" s="2">
        <v>0</v>
      </c>
      <c r="E143" s="2">
        <f t="shared" si="16"/>
        <v>0</v>
      </c>
      <c r="G143" t="s">
        <v>44</v>
      </c>
      <c r="H143" s="2">
        <v>0</v>
      </c>
      <c r="I143" s="2">
        <v>0</v>
      </c>
      <c r="J143" s="2">
        <v>0</v>
      </c>
      <c r="K143" s="2">
        <f t="shared" si="17"/>
        <v>0</v>
      </c>
    </row>
    <row r="144" spans="1:11">
      <c r="A144" t="s">
        <v>45</v>
      </c>
      <c r="B144" s="2">
        <v>0</v>
      </c>
      <c r="C144" s="2">
        <v>0</v>
      </c>
      <c r="D144" s="2">
        <v>0</v>
      </c>
      <c r="E144" s="2">
        <f t="shared" si="16"/>
        <v>0</v>
      </c>
      <c r="G144" t="s">
        <v>45</v>
      </c>
      <c r="H144" s="2">
        <v>0</v>
      </c>
      <c r="I144" s="2">
        <v>0</v>
      </c>
      <c r="J144" s="2">
        <v>0</v>
      </c>
      <c r="K144" s="2">
        <f t="shared" si="17"/>
        <v>0</v>
      </c>
    </row>
    <row r="145" spans="1:11">
      <c r="A145" t="s">
        <v>46</v>
      </c>
      <c r="B145" s="2">
        <v>0</v>
      </c>
      <c r="C145" s="2">
        <v>0</v>
      </c>
      <c r="D145" s="2">
        <v>0</v>
      </c>
      <c r="E145" s="2">
        <f t="shared" si="16"/>
        <v>0</v>
      </c>
      <c r="G145" t="s">
        <v>46</v>
      </c>
      <c r="H145" s="2">
        <v>0</v>
      </c>
      <c r="I145" s="2">
        <v>0</v>
      </c>
      <c r="J145" s="2">
        <v>0</v>
      </c>
      <c r="K145" s="2">
        <f t="shared" si="17"/>
        <v>0</v>
      </c>
    </row>
    <row r="146" spans="1:11">
      <c r="A146" t="s">
        <v>47</v>
      </c>
      <c r="B146" s="2">
        <v>0</v>
      </c>
      <c r="C146" s="2">
        <v>0</v>
      </c>
      <c r="D146" s="2">
        <v>0</v>
      </c>
      <c r="E146" s="2">
        <f t="shared" si="16"/>
        <v>0</v>
      </c>
      <c r="G146" t="s">
        <v>47</v>
      </c>
      <c r="H146" s="2">
        <v>0</v>
      </c>
      <c r="I146" s="2">
        <v>0</v>
      </c>
      <c r="J146" s="2">
        <v>0</v>
      </c>
      <c r="K146" s="2">
        <f t="shared" si="17"/>
        <v>0</v>
      </c>
    </row>
    <row r="147" spans="1:11">
      <c r="B147" s="2"/>
      <c r="C147" s="2"/>
      <c r="E147" s="2"/>
      <c r="H147" s="2"/>
      <c r="I147" s="2"/>
      <c r="K147" s="2"/>
    </row>
    <row r="148" spans="1:11">
      <c r="A148" s="1" t="s">
        <v>29</v>
      </c>
      <c r="B148" s="3">
        <f>SUM(B135:B147)</f>
        <v>0</v>
      </c>
      <c r="C148" s="3">
        <f>SUM(C135:C147)</f>
        <v>0</v>
      </c>
      <c r="D148" s="3">
        <f>SUM(D135:D147)</f>
        <v>0</v>
      </c>
      <c r="E148" s="3">
        <f>SUM(E135:E147)</f>
        <v>0</v>
      </c>
      <c r="G148" s="1" t="s">
        <v>29</v>
      </c>
      <c r="H148" s="3">
        <f>SUM(H135:H147)</f>
        <v>0</v>
      </c>
      <c r="I148" s="3">
        <f>SUM(I135:I147)</f>
        <v>0</v>
      </c>
      <c r="J148" s="3">
        <f>SUM(J135:J147)</f>
        <v>0</v>
      </c>
      <c r="K148" s="3">
        <f>SUM(K135:K147)</f>
        <v>0</v>
      </c>
    </row>
    <row r="149" spans="1:11">
      <c r="A149" s="1" t="s">
        <v>32</v>
      </c>
      <c r="B149" s="3">
        <f>(B116+B132+B148)</f>
        <v>0</v>
      </c>
      <c r="C149" s="3">
        <f>(C116+C132+C148)</f>
        <v>0</v>
      </c>
      <c r="D149" s="3">
        <f>(D116+D132+D148)</f>
        <v>0</v>
      </c>
      <c r="E149" s="3">
        <f>(E116+E132+E148)</f>
        <v>0</v>
      </c>
      <c r="G149" s="1" t="s">
        <v>32</v>
      </c>
      <c r="H149" s="3">
        <f>(H116+H132+H148)</f>
        <v>0</v>
      </c>
      <c r="I149" s="3">
        <f>(I116+I132+I148)</f>
        <v>0</v>
      </c>
      <c r="J149" s="3">
        <f>(J116+J132+J148)</f>
        <v>0</v>
      </c>
      <c r="K149" s="3">
        <f>(K116+K132+K148)</f>
        <v>0</v>
      </c>
    </row>
    <row r="150" spans="1:11">
      <c r="A150" s="1"/>
      <c r="B150" s="13"/>
      <c r="C150" s="13"/>
      <c r="D150" s="13"/>
      <c r="E150" s="13"/>
      <c r="G150" s="1"/>
      <c r="H150" s="13"/>
      <c r="I150" s="13"/>
      <c r="J150" s="13"/>
      <c r="K150" s="13"/>
    </row>
    <row r="151" spans="1:11">
      <c r="B151" s="14" t="s">
        <v>57</v>
      </c>
      <c r="C151" s="14"/>
      <c r="D151" s="14"/>
      <c r="E151" s="14"/>
      <c r="H151" s="14" t="s">
        <v>57</v>
      </c>
      <c r="I151" s="14"/>
      <c r="J151" s="14"/>
      <c r="K151" s="14"/>
    </row>
    <row r="152" spans="1:11">
      <c r="A152" s="1" t="s">
        <v>51</v>
      </c>
      <c r="B152" s="1" t="s">
        <v>4</v>
      </c>
      <c r="C152" s="1" t="s">
        <v>6</v>
      </c>
      <c r="D152" s="1" t="s">
        <v>8</v>
      </c>
      <c r="E152" s="1" t="s">
        <v>10</v>
      </c>
      <c r="G152" s="1" t="s">
        <v>51</v>
      </c>
      <c r="H152" s="1" t="s">
        <v>4</v>
      </c>
      <c r="I152" s="1" t="s">
        <v>6</v>
      </c>
      <c r="J152" s="1" t="s">
        <v>8</v>
      </c>
      <c r="K152" s="1" t="s">
        <v>10</v>
      </c>
    </row>
    <row r="153" spans="1:11">
      <c r="A153" t="s">
        <v>36</v>
      </c>
      <c r="B153" s="2">
        <v>0</v>
      </c>
      <c r="C153" s="2">
        <v>0</v>
      </c>
      <c r="D153" s="2">
        <v>0</v>
      </c>
      <c r="E153" s="2">
        <f t="shared" ref="E153:E164" si="18">SUM(B153:D153)</f>
        <v>0</v>
      </c>
      <c r="G153" t="s">
        <v>36</v>
      </c>
      <c r="H153" s="2">
        <v>0</v>
      </c>
      <c r="I153" s="2">
        <v>0</v>
      </c>
      <c r="J153" s="2">
        <v>0</v>
      </c>
      <c r="K153" s="2">
        <f t="shared" ref="K153:K164" si="19">SUM(H153:J153)</f>
        <v>0</v>
      </c>
    </row>
    <row r="154" spans="1:11">
      <c r="A154" t="s">
        <v>37</v>
      </c>
      <c r="B154" s="2">
        <v>0</v>
      </c>
      <c r="C154" s="2">
        <v>0</v>
      </c>
      <c r="D154" s="2">
        <v>0</v>
      </c>
      <c r="E154" s="2">
        <f t="shared" si="18"/>
        <v>0</v>
      </c>
      <c r="G154" t="s">
        <v>37</v>
      </c>
      <c r="H154" s="2">
        <v>0</v>
      </c>
      <c r="I154" s="2">
        <v>0</v>
      </c>
      <c r="J154" s="2">
        <v>0</v>
      </c>
      <c r="K154" s="2">
        <f t="shared" si="19"/>
        <v>0</v>
      </c>
    </row>
    <row r="155" spans="1:11">
      <c r="A155" t="s">
        <v>38</v>
      </c>
      <c r="B155" s="2">
        <v>0</v>
      </c>
      <c r="C155" s="2">
        <v>0</v>
      </c>
      <c r="D155" s="2">
        <v>0</v>
      </c>
      <c r="E155" s="2">
        <f t="shared" si="18"/>
        <v>0</v>
      </c>
      <c r="G155" t="s">
        <v>38</v>
      </c>
      <c r="H155" s="2">
        <v>0</v>
      </c>
      <c r="I155" s="2">
        <v>0</v>
      </c>
      <c r="J155" s="2">
        <v>0</v>
      </c>
      <c r="K155" s="2">
        <f t="shared" si="19"/>
        <v>0</v>
      </c>
    </row>
    <row r="156" spans="1:11">
      <c r="A156" t="s">
        <v>39</v>
      </c>
      <c r="B156" s="2">
        <v>0</v>
      </c>
      <c r="C156" s="2">
        <v>0</v>
      </c>
      <c r="D156" s="2">
        <v>0</v>
      </c>
      <c r="E156" s="2">
        <f t="shared" si="18"/>
        <v>0</v>
      </c>
      <c r="G156" t="s">
        <v>39</v>
      </c>
      <c r="H156" s="2">
        <v>0</v>
      </c>
      <c r="I156" s="2">
        <v>0</v>
      </c>
      <c r="J156" s="2">
        <v>0</v>
      </c>
      <c r="K156" s="2">
        <f t="shared" si="19"/>
        <v>0</v>
      </c>
    </row>
    <row r="157" spans="1:11">
      <c r="A157" t="s">
        <v>41</v>
      </c>
      <c r="B157" s="2">
        <v>0</v>
      </c>
      <c r="C157" s="2">
        <v>0</v>
      </c>
      <c r="D157" s="2">
        <v>0</v>
      </c>
      <c r="E157" s="2">
        <f t="shared" si="18"/>
        <v>0</v>
      </c>
      <c r="G157" t="s">
        <v>41</v>
      </c>
      <c r="H157" s="2">
        <v>0</v>
      </c>
      <c r="I157" s="2">
        <v>0</v>
      </c>
      <c r="J157" s="2">
        <v>0</v>
      </c>
      <c r="K157" s="2">
        <f t="shared" si="19"/>
        <v>0</v>
      </c>
    </row>
    <row r="158" spans="1:11">
      <c r="A158" t="s">
        <v>40</v>
      </c>
      <c r="B158" s="2">
        <v>0</v>
      </c>
      <c r="C158" s="2">
        <v>0</v>
      </c>
      <c r="D158" s="2">
        <v>0</v>
      </c>
      <c r="E158" s="2">
        <f t="shared" si="18"/>
        <v>0</v>
      </c>
      <c r="G158" t="s">
        <v>40</v>
      </c>
      <c r="H158" s="2">
        <v>0</v>
      </c>
      <c r="I158" s="2">
        <v>0</v>
      </c>
      <c r="J158" s="2">
        <v>0</v>
      </c>
      <c r="K158" s="2">
        <f t="shared" si="19"/>
        <v>0</v>
      </c>
    </row>
    <row r="159" spans="1:11">
      <c r="A159" t="s">
        <v>42</v>
      </c>
      <c r="B159" s="2">
        <v>0</v>
      </c>
      <c r="C159" s="2">
        <v>0</v>
      </c>
      <c r="D159" s="2">
        <v>0</v>
      </c>
      <c r="E159" s="2">
        <f t="shared" si="18"/>
        <v>0</v>
      </c>
      <c r="G159" t="s">
        <v>42</v>
      </c>
      <c r="H159" s="2">
        <v>0</v>
      </c>
      <c r="I159" s="2">
        <v>0</v>
      </c>
      <c r="J159" s="2">
        <v>0</v>
      </c>
      <c r="K159" s="2">
        <f t="shared" si="19"/>
        <v>0</v>
      </c>
    </row>
    <row r="160" spans="1:11">
      <c r="A160" t="s">
        <v>43</v>
      </c>
      <c r="B160" s="2">
        <v>0</v>
      </c>
      <c r="C160" s="2">
        <v>0</v>
      </c>
      <c r="D160" s="2">
        <v>0</v>
      </c>
      <c r="E160" s="2">
        <f t="shared" si="18"/>
        <v>0</v>
      </c>
      <c r="G160" t="s">
        <v>43</v>
      </c>
      <c r="H160" s="2">
        <v>0</v>
      </c>
      <c r="I160" s="2">
        <v>0</v>
      </c>
      <c r="J160" s="2">
        <v>0</v>
      </c>
      <c r="K160" s="2">
        <f t="shared" si="19"/>
        <v>0</v>
      </c>
    </row>
    <row r="161" spans="1:11">
      <c r="A161" t="s">
        <v>44</v>
      </c>
      <c r="B161" s="2">
        <v>0</v>
      </c>
      <c r="C161" s="2">
        <v>0</v>
      </c>
      <c r="D161" s="2">
        <v>0</v>
      </c>
      <c r="E161" s="2">
        <f t="shared" si="18"/>
        <v>0</v>
      </c>
      <c r="G161" t="s">
        <v>44</v>
      </c>
      <c r="H161" s="2">
        <v>0</v>
      </c>
      <c r="I161" s="2">
        <v>0</v>
      </c>
      <c r="J161" s="2">
        <v>0</v>
      </c>
      <c r="K161" s="2">
        <f t="shared" si="19"/>
        <v>0</v>
      </c>
    </row>
    <row r="162" spans="1:11">
      <c r="A162" t="s">
        <v>45</v>
      </c>
      <c r="B162" s="2">
        <v>0</v>
      </c>
      <c r="C162" s="2">
        <v>0</v>
      </c>
      <c r="D162" s="2">
        <v>0</v>
      </c>
      <c r="E162" s="2">
        <f t="shared" si="18"/>
        <v>0</v>
      </c>
      <c r="G162" t="s">
        <v>45</v>
      </c>
      <c r="H162" s="2">
        <v>0</v>
      </c>
      <c r="I162" s="2">
        <v>0</v>
      </c>
      <c r="J162" s="2">
        <v>0</v>
      </c>
      <c r="K162" s="2">
        <f t="shared" si="19"/>
        <v>0</v>
      </c>
    </row>
    <row r="163" spans="1:11">
      <c r="A163" t="s">
        <v>46</v>
      </c>
      <c r="B163" s="2">
        <v>0</v>
      </c>
      <c r="C163" s="2">
        <v>0</v>
      </c>
      <c r="D163" s="2">
        <v>0</v>
      </c>
      <c r="E163" s="2">
        <f t="shared" si="18"/>
        <v>0</v>
      </c>
      <c r="G163" t="s">
        <v>46</v>
      </c>
      <c r="H163" s="2">
        <v>0</v>
      </c>
      <c r="I163" s="2">
        <v>0</v>
      </c>
      <c r="J163" s="2">
        <v>0</v>
      </c>
      <c r="K163" s="2">
        <f t="shared" si="19"/>
        <v>0</v>
      </c>
    </row>
    <row r="164" spans="1:11">
      <c r="A164" t="s">
        <v>47</v>
      </c>
      <c r="B164" s="2">
        <v>0</v>
      </c>
      <c r="C164" s="2">
        <v>0</v>
      </c>
      <c r="D164" s="2">
        <v>0</v>
      </c>
      <c r="E164" s="2">
        <f t="shared" si="18"/>
        <v>0</v>
      </c>
      <c r="G164" t="s">
        <v>47</v>
      </c>
      <c r="H164" s="2">
        <v>0</v>
      </c>
      <c r="I164" s="2">
        <v>0</v>
      </c>
      <c r="J164" s="2">
        <v>0</v>
      </c>
      <c r="K164" s="2">
        <f t="shared" si="19"/>
        <v>0</v>
      </c>
    </row>
    <row r="165" spans="1:11">
      <c r="B165" s="2"/>
      <c r="C165" s="2"/>
      <c r="D165" s="2"/>
      <c r="E165" s="2"/>
      <c r="H165" s="2"/>
      <c r="I165" s="2"/>
      <c r="J165" s="2"/>
      <c r="K165" s="2"/>
    </row>
    <row r="166" spans="1:11">
      <c r="A166" s="1" t="s">
        <v>29</v>
      </c>
      <c r="B166" s="3">
        <f>SUM(B153:B165)</f>
        <v>0</v>
      </c>
      <c r="C166" s="3">
        <f>SUM(C153:C165)</f>
        <v>0</v>
      </c>
      <c r="D166" s="3">
        <f>SUM(D153:D165)</f>
        <v>0</v>
      </c>
      <c r="E166" s="3">
        <f>SUM(B166:D166)</f>
        <v>0</v>
      </c>
      <c r="G166" s="1" t="s">
        <v>29</v>
      </c>
      <c r="H166" s="3">
        <f>SUM(H153:H165)</f>
        <v>0</v>
      </c>
      <c r="I166" s="3">
        <f>SUM(I153:I165)</f>
        <v>0</v>
      </c>
      <c r="J166" s="3">
        <f>SUM(J153:J165)</f>
        <v>0</v>
      </c>
      <c r="K166" s="3">
        <f>SUM(H166:J166)</f>
        <v>0</v>
      </c>
    </row>
    <row r="168" spans="1:11">
      <c r="A168" s="1" t="s">
        <v>52</v>
      </c>
      <c r="B168" s="1" t="s">
        <v>4</v>
      </c>
      <c r="C168" s="1" t="s">
        <v>6</v>
      </c>
      <c r="D168" s="1" t="s">
        <v>8</v>
      </c>
      <c r="E168" s="1" t="s">
        <v>10</v>
      </c>
      <c r="G168" s="1" t="s">
        <v>52</v>
      </c>
      <c r="H168" s="1" t="s">
        <v>4</v>
      </c>
      <c r="I168" s="1" t="s">
        <v>6</v>
      </c>
      <c r="J168" s="1" t="s">
        <v>8</v>
      </c>
      <c r="K168" s="1" t="s">
        <v>10</v>
      </c>
    </row>
    <row r="169" spans="1:11">
      <c r="A169" t="s">
        <v>36</v>
      </c>
      <c r="B169" s="2">
        <v>0</v>
      </c>
      <c r="C169" s="2">
        <v>0</v>
      </c>
      <c r="D169" s="2">
        <v>0</v>
      </c>
      <c r="E169" s="2">
        <f t="shared" ref="E169:E180" si="20">SUM(B169:D169)</f>
        <v>0</v>
      </c>
      <c r="G169" t="s">
        <v>36</v>
      </c>
      <c r="H169" s="2">
        <v>0</v>
      </c>
      <c r="I169" s="2">
        <v>0</v>
      </c>
      <c r="J169" s="2">
        <v>0</v>
      </c>
      <c r="K169" s="2">
        <f t="shared" ref="K169:K180" si="21">SUM(H169:J169)</f>
        <v>0</v>
      </c>
    </row>
    <row r="170" spans="1:11">
      <c r="A170" t="s">
        <v>37</v>
      </c>
      <c r="B170" s="2">
        <v>0</v>
      </c>
      <c r="C170" s="2">
        <v>0</v>
      </c>
      <c r="D170" s="2">
        <v>0</v>
      </c>
      <c r="E170" s="2">
        <f t="shared" si="20"/>
        <v>0</v>
      </c>
      <c r="G170" t="s">
        <v>37</v>
      </c>
      <c r="H170" s="2">
        <v>0</v>
      </c>
      <c r="I170" s="2">
        <v>0</v>
      </c>
      <c r="J170" s="2">
        <v>0</v>
      </c>
      <c r="K170" s="2">
        <f t="shared" si="21"/>
        <v>0</v>
      </c>
    </row>
    <row r="171" spans="1:11">
      <c r="A171" t="s">
        <v>38</v>
      </c>
      <c r="B171" s="2">
        <v>0</v>
      </c>
      <c r="C171" s="2">
        <v>0</v>
      </c>
      <c r="D171" s="2">
        <v>0</v>
      </c>
      <c r="E171" s="2">
        <f t="shared" si="20"/>
        <v>0</v>
      </c>
      <c r="G171" t="s">
        <v>38</v>
      </c>
      <c r="H171" s="2">
        <v>0</v>
      </c>
      <c r="I171" s="2">
        <v>0</v>
      </c>
      <c r="J171" s="2">
        <v>0</v>
      </c>
      <c r="K171" s="2">
        <f t="shared" si="21"/>
        <v>0</v>
      </c>
    </row>
    <row r="172" spans="1:11">
      <c r="A172" t="s">
        <v>39</v>
      </c>
      <c r="B172" s="2">
        <v>0</v>
      </c>
      <c r="C172" s="2">
        <v>0</v>
      </c>
      <c r="D172" s="2">
        <v>0</v>
      </c>
      <c r="E172" s="2">
        <f t="shared" si="20"/>
        <v>0</v>
      </c>
      <c r="G172" t="s">
        <v>39</v>
      </c>
      <c r="H172" s="2">
        <v>0</v>
      </c>
      <c r="I172" s="2">
        <v>0</v>
      </c>
      <c r="J172" s="2">
        <v>0</v>
      </c>
      <c r="K172" s="2">
        <f t="shared" si="21"/>
        <v>0</v>
      </c>
    </row>
    <row r="173" spans="1:11">
      <c r="A173" t="s">
        <v>41</v>
      </c>
      <c r="B173" s="2">
        <v>0</v>
      </c>
      <c r="C173" s="2">
        <v>0</v>
      </c>
      <c r="D173" s="2">
        <v>0</v>
      </c>
      <c r="E173" s="2">
        <f t="shared" si="20"/>
        <v>0</v>
      </c>
      <c r="G173" t="s">
        <v>41</v>
      </c>
      <c r="H173" s="2">
        <v>0</v>
      </c>
      <c r="I173" s="2">
        <v>0</v>
      </c>
      <c r="J173" s="2">
        <v>0</v>
      </c>
      <c r="K173" s="2">
        <f t="shared" si="21"/>
        <v>0</v>
      </c>
    </row>
    <row r="174" spans="1:11">
      <c r="A174" t="s">
        <v>40</v>
      </c>
      <c r="B174" s="2">
        <v>0</v>
      </c>
      <c r="C174" s="2">
        <v>0</v>
      </c>
      <c r="D174" s="2">
        <v>0</v>
      </c>
      <c r="E174" s="2">
        <f t="shared" si="20"/>
        <v>0</v>
      </c>
      <c r="G174" t="s">
        <v>40</v>
      </c>
      <c r="H174" s="2">
        <v>0</v>
      </c>
      <c r="I174" s="2">
        <v>0</v>
      </c>
      <c r="J174" s="2">
        <v>0</v>
      </c>
      <c r="K174" s="2">
        <f t="shared" si="21"/>
        <v>0</v>
      </c>
    </row>
    <row r="175" spans="1:11">
      <c r="A175" t="s">
        <v>42</v>
      </c>
      <c r="B175" s="2">
        <v>0</v>
      </c>
      <c r="C175" s="2">
        <v>0</v>
      </c>
      <c r="D175" s="2">
        <v>0</v>
      </c>
      <c r="E175" s="2">
        <f t="shared" si="20"/>
        <v>0</v>
      </c>
      <c r="G175" t="s">
        <v>42</v>
      </c>
      <c r="H175" s="2">
        <v>0</v>
      </c>
      <c r="I175" s="2">
        <v>0</v>
      </c>
      <c r="J175" s="2">
        <v>0</v>
      </c>
      <c r="K175" s="2">
        <f t="shared" si="21"/>
        <v>0</v>
      </c>
    </row>
    <row r="176" spans="1:11">
      <c r="A176" t="s">
        <v>43</v>
      </c>
      <c r="B176" s="2">
        <v>0</v>
      </c>
      <c r="C176" s="2">
        <v>0</v>
      </c>
      <c r="D176" s="2">
        <v>0</v>
      </c>
      <c r="E176" s="2">
        <f t="shared" si="20"/>
        <v>0</v>
      </c>
      <c r="G176" t="s">
        <v>43</v>
      </c>
      <c r="H176" s="2">
        <v>0</v>
      </c>
      <c r="I176" s="2">
        <v>0</v>
      </c>
      <c r="J176" s="2">
        <v>0</v>
      </c>
      <c r="K176" s="2">
        <f t="shared" si="21"/>
        <v>0</v>
      </c>
    </row>
    <row r="177" spans="1:11">
      <c r="A177" t="s">
        <v>44</v>
      </c>
      <c r="B177" s="2">
        <v>0</v>
      </c>
      <c r="C177" s="2">
        <v>0</v>
      </c>
      <c r="D177" s="2">
        <v>0</v>
      </c>
      <c r="E177" s="2">
        <f t="shared" si="20"/>
        <v>0</v>
      </c>
      <c r="G177" t="s">
        <v>44</v>
      </c>
      <c r="H177" s="2">
        <v>0</v>
      </c>
      <c r="I177" s="2">
        <v>0</v>
      </c>
      <c r="J177" s="2">
        <v>0</v>
      </c>
      <c r="K177" s="2">
        <f t="shared" si="21"/>
        <v>0</v>
      </c>
    </row>
    <row r="178" spans="1:11">
      <c r="A178" t="s">
        <v>45</v>
      </c>
      <c r="B178" s="2">
        <v>0</v>
      </c>
      <c r="C178" s="2">
        <v>0</v>
      </c>
      <c r="D178" s="2">
        <v>0</v>
      </c>
      <c r="E178" s="2">
        <f t="shared" si="20"/>
        <v>0</v>
      </c>
      <c r="G178" t="s">
        <v>45</v>
      </c>
      <c r="H178" s="2">
        <v>0</v>
      </c>
      <c r="I178" s="2">
        <v>0</v>
      </c>
      <c r="J178" s="2">
        <v>0</v>
      </c>
      <c r="K178" s="2">
        <f t="shared" si="21"/>
        <v>0</v>
      </c>
    </row>
    <row r="179" spans="1:11">
      <c r="A179" t="s">
        <v>46</v>
      </c>
      <c r="B179" s="2">
        <v>0</v>
      </c>
      <c r="C179" s="2">
        <v>0</v>
      </c>
      <c r="D179" s="2">
        <v>0</v>
      </c>
      <c r="E179" s="2">
        <f t="shared" si="20"/>
        <v>0</v>
      </c>
      <c r="G179" t="s">
        <v>46</v>
      </c>
      <c r="H179" s="2">
        <v>0</v>
      </c>
      <c r="I179" s="2">
        <v>0</v>
      </c>
      <c r="J179" s="2">
        <v>0</v>
      </c>
      <c r="K179" s="2">
        <f t="shared" si="21"/>
        <v>0</v>
      </c>
    </row>
    <row r="180" spans="1:11">
      <c r="A180" t="s">
        <v>47</v>
      </c>
      <c r="B180" s="2">
        <v>0</v>
      </c>
      <c r="C180" s="2">
        <v>0</v>
      </c>
      <c r="D180" s="2">
        <v>0</v>
      </c>
      <c r="E180" s="2">
        <f t="shared" si="20"/>
        <v>0</v>
      </c>
      <c r="G180" t="s">
        <v>47</v>
      </c>
      <c r="H180" s="2">
        <v>0</v>
      </c>
      <c r="I180" s="2">
        <v>0</v>
      </c>
      <c r="J180" s="2">
        <v>0</v>
      </c>
      <c r="K180" s="2">
        <f t="shared" si="21"/>
        <v>0</v>
      </c>
    </row>
    <row r="181" spans="1:11">
      <c r="B181" s="2"/>
      <c r="C181" s="2"/>
      <c r="D181" s="2"/>
      <c r="E181" s="2"/>
      <c r="H181" s="2"/>
      <c r="I181" s="2"/>
      <c r="J181" s="2"/>
      <c r="K181" s="2"/>
    </row>
    <row r="182" spans="1:11">
      <c r="A182" s="1" t="s">
        <v>29</v>
      </c>
      <c r="B182" s="3">
        <f>SUM(B169:B181)</f>
        <v>0</v>
      </c>
      <c r="C182" s="3">
        <f>SUM(C169:C181)</f>
        <v>0</v>
      </c>
      <c r="D182" s="3">
        <f>SUM(D169:D181)</f>
        <v>0</v>
      </c>
      <c r="E182" s="3">
        <f>SUM(E169:E181)</f>
        <v>0</v>
      </c>
      <c r="G182" s="1" t="s">
        <v>29</v>
      </c>
      <c r="H182" s="3">
        <f>SUM(H169:H181)</f>
        <v>0</v>
      </c>
      <c r="I182" s="3">
        <f>SUM(I169:I181)</f>
        <v>0</v>
      </c>
      <c r="J182" s="3">
        <f>SUM(J169:J181)</f>
        <v>0</v>
      </c>
      <c r="K182" s="3">
        <f>SUM(K169:K181)</f>
        <v>0</v>
      </c>
    </row>
    <row r="184" spans="1:11">
      <c r="A184" s="1" t="s">
        <v>53</v>
      </c>
      <c r="B184" s="1" t="s">
        <v>4</v>
      </c>
      <c r="C184" s="1" t="s">
        <v>6</v>
      </c>
      <c r="D184" s="1" t="s">
        <v>8</v>
      </c>
      <c r="E184" s="1" t="s">
        <v>10</v>
      </c>
      <c r="G184" s="1" t="s">
        <v>53</v>
      </c>
      <c r="H184" s="1" t="s">
        <v>4</v>
      </c>
      <c r="I184" s="1" t="s">
        <v>6</v>
      </c>
      <c r="J184" s="1" t="s">
        <v>8</v>
      </c>
      <c r="K184" s="1" t="s">
        <v>10</v>
      </c>
    </row>
    <row r="185" spans="1:11">
      <c r="A185" t="s">
        <v>36</v>
      </c>
      <c r="B185" s="2">
        <v>0</v>
      </c>
      <c r="C185" s="2">
        <v>0</v>
      </c>
      <c r="D185" s="2">
        <v>0</v>
      </c>
      <c r="E185" s="2">
        <f t="shared" ref="E185:E196" si="22">SUM(B185:D185)</f>
        <v>0</v>
      </c>
      <c r="G185" t="s">
        <v>36</v>
      </c>
      <c r="H185" s="2">
        <v>0</v>
      </c>
      <c r="I185" s="2">
        <v>0</v>
      </c>
      <c r="J185" s="2">
        <v>0</v>
      </c>
      <c r="K185" s="2">
        <f t="shared" ref="K185:K196" si="23">SUM(H185:J185)</f>
        <v>0</v>
      </c>
    </row>
    <row r="186" spans="1:11">
      <c r="A186" t="s">
        <v>37</v>
      </c>
      <c r="B186" s="2">
        <v>0</v>
      </c>
      <c r="C186" s="2">
        <v>0</v>
      </c>
      <c r="D186" s="2">
        <v>0</v>
      </c>
      <c r="E186" s="2">
        <f t="shared" si="22"/>
        <v>0</v>
      </c>
      <c r="G186" t="s">
        <v>37</v>
      </c>
      <c r="H186" s="2">
        <v>0</v>
      </c>
      <c r="I186" s="2">
        <v>0</v>
      </c>
      <c r="J186" s="2">
        <v>0</v>
      </c>
      <c r="K186" s="2">
        <f t="shared" si="23"/>
        <v>0</v>
      </c>
    </row>
    <row r="187" spans="1:11">
      <c r="A187" t="s">
        <v>38</v>
      </c>
      <c r="B187" s="2">
        <v>0</v>
      </c>
      <c r="C187" s="2">
        <v>0</v>
      </c>
      <c r="D187" s="2">
        <v>0</v>
      </c>
      <c r="E187" s="2">
        <f t="shared" si="22"/>
        <v>0</v>
      </c>
      <c r="G187" t="s">
        <v>38</v>
      </c>
      <c r="H187" s="2">
        <v>0</v>
      </c>
      <c r="I187" s="2">
        <v>0</v>
      </c>
      <c r="J187" s="2">
        <v>0</v>
      </c>
      <c r="K187" s="2">
        <f t="shared" si="23"/>
        <v>0</v>
      </c>
    </row>
    <row r="188" spans="1:11">
      <c r="A188" t="s">
        <v>39</v>
      </c>
      <c r="B188" s="2">
        <v>0</v>
      </c>
      <c r="C188" s="2">
        <v>0</v>
      </c>
      <c r="D188" s="2">
        <v>0</v>
      </c>
      <c r="E188" s="2">
        <f t="shared" si="22"/>
        <v>0</v>
      </c>
      <c r="G188" t="s">
        <v>39</v>
      </c>
      <c r="H188" s="2">
        <v>0</v>
      </c>
      <c r="I188" s="2">
        <v>0</v>
      </c>
      <c r="J188" s="2">
        <v>0</v>
      </c>
      <c r="K188" s="2">
        <f t="shared" si="23"/>
        <v>0</v>
      </c>
    </row>
    <row r="189" spans="1:11">
      <c r="A189" t="s">
        <v>41</v>
      </c>
      <c r="B189" s="2">
        <v>0</v>
      </c>
      <c r="C189" s="2">
        <v>0</v>
      </c>
      <c r="D189" s="2">
        <v>0</v>
      </c>
      <c r="E189" s="2">
        <f t="shared" si="22"/>
        <v>0</v>
      </c>
      <c r="G189" t="s">
        <v>41</v>
      </c>
      <c r="H189" s="2">
        <v>0</v>
      </c>
      <c r="I189" s="2">
        <v>0</v>
      </c>
      <c r="J189" s="2">
        <v>0</v>
      </c>
      <c r="K189" s="2">
        <f t="shared" si="23"/>
        <v>0</v>
      </c>
    </row>
    <row r="190" spans="1:11">
      <c r="A190" t="s">
        <v>40</v>
      </c>
      <c r="B190" s="2">
        <v>0</v>
      </c>
      <c r="C190" s="2">
        <v>0</v>
      </c>
      <c r="D190" s="2">
        <v>0</v>
      </c>
      <c r="E190" s="2">
        <f t="shared" si="22"/>
        <v>0</v>
      </c>
      <c r="G190" t="s">
        <v>40</v>
      </c>
      <c r="H190" s="2">
        <v>0</v>
      </c>
      <c r="I190" s="2">
        <v>0</v>
      </c>
      <c r="J190" s="2">
        <v>0</v>
      </c>
      <c r="K190" s="2">
        <f t="shared" si="23"/>
        <v>0</v>
      </c>
    </row>
    <row r="191" spans="1:11">
      <c r="A191" t="s">
        <v>42</v>
      </c>
      <c r="B191" s="2">
        <v>0</v>
      </c>
      <c r="C191" s="2">
        <v>0</v>
      </c>
      <c r="D191" s="2">
        <v>0</v>
      </c>
      <c r="E191" s="2">
        <f t="shared" si="22"/>
        <v>0</v>
      </c>
      <c r="G191" t="s">
        <v>42</v>
      </c>
      <c r="H191" s="2">
        <v>0</v>
      </c>
      <c r="I191" s="2">
        <v>0</v>
      </c>
      <c r="J191" s="2">
        <v>0</v>
      </c>
      <c r="K191" s="2">
        <f t="shared" si="23"/>
        <v>0</v>
      </c>
    </row>
    <row r="192" spans="1:11">
      <c r="A192" t="s">
        <v>43</v>
      </c>
      <c r="B192" s="2">
        <v>0</v>
      </c>
      <c r="C192" s="2">
        <v>0</v>
      </c>
      <c r="D192" s="2">
        <v>0</v>
      </c>
      <c r="E192" s="2">
        <f t="shared" si="22"/>
        <v>0</v>
      </c>
      <c r="G192" t="s">
        <v>43</v>
      </c>
      <c r="H192" s="2">
        <v>0</v>
      </c>
      <c r="I192" s="2">
        <v>0</v>
      </c>
      <c r="J192" s="2">
        <v>0</v>
      </c>
      <c r="K192" s="2">
        <f t="shared" si="23"/>
        <v>0</v>
      </c>
    </row>
    <row r="193" spans="1:11">
      <c r="A193" t="s">
        <v>44</v>
      </c>
      <c r="B193" s="2">
        <v>0</v>
      </c>
      <c r="C193" s="2">
        <v>0</v>
      </c>
      <c r="D193" s="2">
        <v>0</v>
      </c>
      <c r="E193" s="2">
        <f t="shared" si="22"/>
        <v>0</v>
      </c>
      <c r="G193" t="s">
        <v>44</v>
      </c>
      <c r="H193" s="2">
        <v>0</v>
      </c>
      <c r="I193" s="2">
        <v>0</v>
      </c>
      <c r="J193" s="2">
        <v>0</v>
      </c>
      <c r="K193" s="2">
        <f t="shared" si="23"/>
        <v>0</v>
      </c>
    </row>
    <row r="194" spans="1:11">
      <c r="A194" t="s">
        <v>45</v>
      </c>
      <c r="B194" s="2">
        <v>0</v>
      </c>
      <c r="C194" s="2">
        <v>0</v>
      </c>
      <c r="D194" s="2">
        <v>0</v>
      </c>
      <c r="E194" s="2">
        <f t="shared" si="22"/>
        <v>0</v>
      </c>
      <c r="G194" t="s">
        <v>45</v>
      </c>
      <c r="H194" s="2">
        <v>0</v>
      </c>
      <c r="I194" s="2">
        <v>0</v>
      </c>
      <c r="J194" s="2">
        <v>0</v>
      </c>
      <c r="K194" s="2">
        <f t="shared" si="23"/>
        <v>0</v>
      </c>
    </row>
    <row r="195" spans="1:11">
      <c r="A195" t="s">
        <v>46</v>
      </c>
      <c r="B195" s="2">
        <v>0</v>
      </c>
      <c r="C195" s="2">
        <v>0</v>
      </c>
      <c r="D195" s="2">
        <v>0</v>
      </c>
      <c r="E195" s="2">
        <f t="shared" si="22"/>
        <v>0</v>
      </c>
      <c r="G195" t="s">
        <v>46</v>
      </c>
      <c r="H195" s="2">
        <v>0</v>
      </c>
      <c r="I195" s="2">
        <v>0</v>
      </c>
      <c r="J195" s="2">
        <v>0</v>
      </c>
      <c r="K195" s="2">
        <f t="shared" si="23"/>
        <v>0</v>
      </c>
    </row>
    <row r="196" spans="1:11">
      <c r="A196" t="s">
        <v>47</v>
      </c>
      <c r="B196" s="2">
        <v>0</v>
      </c>
      <c r="C196" s="2">
        <v>0</v>
      </c>
      <c r="D196" s="2">
        <v>0</v>
      </c>
      <c r="E196" s="2">
        <f t="shared" si="22"/>
        <v>0</v>
      </c>
      <c r="G196" t="s">
        <v>47</v>
      </c>
      <c r="H196" s="2">
        <v>0</v>
      </c>
      <c r="I196" s="2">
        <v>0</v>
      </c>
      <c r="J196" s="2">
        <v>0</v>
      </c>
      <c r="K196" s="2">
        <f t="shared" si="23"/>
        <v>0</v>
      </c>
    </row>
    <row r="197" spans="1:11">
      <c r="B197" s="2"/>
      <c r="C197" s="2"/>
      <c r="D197" s="2"/>
      <c r="E197" s="2"/>
      <c r="H197" s="2"/>
      <c r="I197" s="2"/>
      <c r="J197" s="2"/>
      <c r="K197" s="2"/>
    </row>
    <row r="198" spans="1:11">
      <c r="A198" s="1" t="s">
        <v>29</v>
      </c>
      <c r="B198" s="3">
        <f>SUM(B185:B197)</f>
        <v>0</v>
      </c>
      <c r="C198" s="3">
        <f>SUM(C185:C197)</f>
        <v>0</v>
      </c>
      <c r="D198" s="3">
        <f>SUM(D185:D197)</f>
        <v>0</v>
      </c>
      <c r="E198" s="3">
        <f>SUM(E185:E197)</f>
        <v>0</v>
      </c>
      <c r="G198" s="1" t="s">
        <v>29</v>
      </c>
      <c r="H198" s="3">
        <f>SUM(H185:H197)</f>
        <v>0</v>
      </c>
      <c r="I198" s="3">
        <f>SUM(I185:I197)</f>
        <v>0</v>
      </c>
      <c r="J198" s="3">
        <f>SUM(J185:J197)</f>
        <v>0</v>
      </c>
      <c r="K198" s="3">
        <f>SUM(K185:K197)</f>
        <v>0</v>
      </c>
    </row>
    <row r="199" spans="1:11">
      <c r="A199" s="1" t="s">
        <v>32</v>
      </c>
      <c r="B199" s="3">
        <f>(B166+B182+B198)</f>
        <v>0</v>
      </c>
      <c r="C199" s="3">
        <f>(C166+C182+C198)</f>
        <v>0</v>
      </c>
      <c r="D199" s="3">
        <f>(D166+D182+D198)</f>
        <v>0</v>
      </c>
      <c r="E199" s="3">
        <f>(E166+E182+E198)</f>
        <v>0</v>
      </c>
      <c r="G199" s="1" t="s">
        <v>32</v>
      </c>
      <c r="H199" s="3">
        <f>(H166+H182+H198)</f>
        <v>0</v>
      </c>
      <c r="I199" s="3">
        <f>(I166+I182+I198)</f>
        <v>0</v>
      </c>
      <c r="J199" s="3">
        <f>(J166+J182+J198)</f>
        <v>0</v>
      </c>
      <c r="K199" s="3">
        <f>(K166+K182+K198)</f>
        <v>0</v>
      </c>
    </row>
    <row r="200" spans="1:11">
      <c r="A200" s="1" t="s">
        <v>58</v>
      </c>
      <c r="B200" s="3">
        <f>(B49+B99+B149+B199)</f>
        <v>0</v>
      </c>
      <c r="C200" s="3">
        <f>(C49+C99+C149+C199)</f>
        <v>0</v>
      </c>
      <c r="D200" s="3">
        <f>(D49+D99+D149+D199)</f>
        <v>0</v>
      </c>
      <c r="E200" s="3">
        <f>(E49+E99+E149+E199)</f>
        <v>0</v>
      </c>
      <c r="G200" s="1" t="s">
        <v>58</v>
      </c>
      <c r="H200" s="3">
        <f>(H49+H99+H149+H199)</f>
        <v>0</v>
      </c>
      <c r="I200" s="3">
        <f>(I49+I99+I149+I199)</f>
        <v>0</v>
      </c>
      <c r="J200" s="3">
        <f>(J49+J99+J149+J199)</f>
        <v>0</v>
      </c>
      <c r="K200" s="3">
        <f>(K49+K99+K149+K199)</f>
        <v>0</v>
      </c>
    </row>
  </sheetData>
  <mergeCells count="12">
    <mergeCell ref="B150:E150"/>
    <mergeCell ref="B151:E151"/>
    <mergeCell ref="H1:K1"/>
    <mergeCell ref="H51:K51"/>
    <mergeCell ref="H100:K100"/>
    <mergeCell ref="H101:K101"/>
    <mergeCell ref="H150:K150"/>
    <mergeCell ref="H151:K151"/>
    <mergeCell ref="B51:E51"/>
    <mergeCell ref="B1:E1"/>
    <mergeCell ref="B100:E100"/>
    <mergeCell ref="B101:E10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58"/>
  <sheetViews>
    <sheetView tabSelected="1" workbookViewId="0">
      <selection activeCell="G3" sqref="G3"/>
    </sheetView>
  </sheetViews>
  <sheetFormatPr defaultRowHeight="15"/>
  <cols>
    <col min="1" max="1" width="14.42578125" bestFit="1" customWidth="1"/>
    <col min="2" max="4" width="11.140625" bestFit="1" customWidth="1"/>
    <col min="5" max="5" width="11.85546875" bestFit="1" customWidth="1"/>
    <col min="7" max="7" width="14.42578125" bestFit="1" customWidth="1"/>
    <col min="8" max="10" width="10.85546875" bestFit="1" customWidth="1"/>
    <col min="11" max="11" width="11.85546875" bestFit="1" customWidth="1"/>
    <col min="13" max="13" width="14.42578125" bestFit="1" customWidth="1"/>
    <col min="14" max="17" width="11.85546875" bestFit="1" customWidth="1"/>
  </cols>
  <sheetData>
    <row r="1" spans="1:18">
      <c r="B1" s="4" t="s">
        <v>98</v>
      </c>
      <c r="H1" s="4" t="s">
        <v>99</v>
      </c>
      <c r="N1" s="1" t="s">
        <v>63</v>
      </c>
    </row>
    <row r="2" spans="1:18">
      <c r="C2" s="1" t="s">
        <v>97</v>
      </c>
      <c r="I2" s="1" t="s">
        <v>97</v>
      </c>
      <c r="O2" s="1" t="s">
        <v>97</v>
      </c>
    </row>
    <row r="4" spans="1:18">
      <c r="B4" s="6" t="s">
        <v>2</v>
      </c>
      <c r="C4" s="6" t="s">
        <v>30</v>
      </c>
      <c r="D4" s="6" t="s">
        <v>31</v>
      </c>
      <c r="E4" s="6" t="s">
        <v>64</v>
      </c>
      <c r="H4" s="6" t="s">
        <v>2</v>
      </c>
      <c r="I4" s="6" t="s">
        <v>30</v>
      </c>
      <c r="J4" s="6" t="s">
        <v>31</v>
      </c>
      <c r="K4" s="6" t="s">
        <v>64</v>
      </c>
      <c r="N4" s="6" t="s">
        <v>2</v>
      </c>
      <c r="O4" s="6" t="s">
        <v>30</v>
      </c>
      <c r="P4" s="6" t="s">
        <v>31</v>
      </c>
      <c r="Q4" s="6" t="s">
        <v>64</v>
      </c>
      <c r="R4" s="1"/>
    </row>
    <row r="5" spans="1:18">
      <c r="B5" s="1"/>
      <c r="C5" s="1"/>
      <c r="D5" s="1"/>
      <c r="E5" s="1"/>
      <c r="H5" s="1"/>
      <c r="I5" s="1"/>
      <c r="J5" s="1"/>
      <c r="K5" s="1"/>
    </row>
    <row r="6" spans="1:18">
      <c r="A6" s="1" t="s">
        <v>65</v>
      </c>
      <c r="B6" s="2">
        <v>0</v>
      </c>
      <c r="C6" s="2">
        <v>0</v>
      </c>
      <c r="D6" s="2">
        <v>0</v>
      </c>
      <c r="E6" s="2">
        <f>SUM(B6+C6+D6)</f>
        <v>0</v>
      </c>
      <c r="G6" s="1" t="s">
        <v>65</v>
      </c>
      <c r="H6" s="2">
        <v>0</v>
      </c>
      <c r="I6" s="2">
        <v>0</v>
      </c>
      <c r="J6" s="2">
        <v>0</v>
      </c>
      <c r="K6" s="2">
        <f>SUM(H6+I6+J6)</f>
        <v>0</v>
      </c>
      <c r="M6" s="1" t="s">
        <v>65</v>
      </c>
      <c r="N6" s="2">
        <f>(B6+H6)</f>
        <v>0</v>
      </c>
      <c r="O6" s="2">
        <f>(C6+I6)</f>
        <v>0</v>
      </c>
      <c r="P6" s="2">
        <f>(D6+J6)</f>
        <v>0</v>
      </c>
      <c r="Q6" s="2">
        <f>(E6+K6)</f>
        <v>0</v>
      </c>
    </row>
    <row r="7" spans="1:18">
      <c r="B7" s="2"/>
      <c r="C7" s="2"/>
      <c r="D7" s="2"/>
      <c r="E7" s="2"/>
      <c r="H7" s="2"/>
      <c r="I7" s="2"/>
      <c r="J7" s="2"/>
      <c r="K7" s="2"/>
    </row>
    <row r="8" spans="1:18">
      <c r="A8" s="1" t="s">
        <v>66</v>
      </c>
      <c r="B8" s="2"/>
      <c r="C8" s="2"/>
      <c r="D8" s="2"/>
      <c r="E8" s="2"/>
      <c r="G8" s="1" t="s">
        <v>66</v>
      </c>
      <c r="H8" s="2"/>
      <c r="I8" s="2"/>
      <c r="J8" s="2"/>
      <c r="K8" s="2"/>
      <c r="M8" s="1" t="s">
        <v>66</v>
      </c>
    </row>
    <row r="9" spans="1:18">
      <c r="A9" t="s">
        <v>67</v>
      </c>
      <c r="B9" s="2">
        <f>(63*0.15)</f>
        <v>9.4499999999999993</v>
      </c>
      <c r="C9" s="2">
        <f>(22*0.15)</f>
        <v>3.3</v>
      </c>
      <c r="D9" s="2">
        <f>(111*0.15)</f>
        <v>16.649999999999999</v>
      </c>
      <c r="E9" s="2">
        <f>SUM(B9:D9)</f>
        <v>29.4</v>
      </c>
      <c r="G9" t="s">
        <v>67</v>
      </c>
      <c r="H9" s="2">
        <f>(63*0.1)</f>
        <v>6.3000000000000007</v>
      </c>
      <c r="I9" s="2">
        <f>(22*0.1)</f>
        <v>2.2000000000000002</v>
      </c>
      <c r="J9" s="2">
        <f>(111*0.1)</f>
        <v>11.100000000000001</v>
      </c>
      <c r="K9" s="2">
        <f>SUM(H9:J9)</f>
        <v>19.600000000000001</v>
      </c>
      <c r="M9" t="s">
        <v>67</v>
      </c>
      <c r="N9" s="2">
        <f t="shared" ref="N9:Q10" si="0">(B9+H9)</f>
        <v>15.75</v>
      </c>
      <c r="O9" s="2">
        <f t="shared" si="0"/>
        <v>5.5</v>
      </c>
      <c r="P9" s="2">
        <f t="shared" si="0"/>
        <v>27.75</v>
      </c>
      <c r="Q9" s="2">
        <f t="shared" si="0"/>
        <v>49</v>
      </c>
    </row>
    <row r="10" spans="1:18">
      <c r="A10" t="s">
        <v>68</v>
      </c>
      <c r="B10" s="2">
        <f>SUM(B9:B9)</f>
        <v>9.4499999999999993</v>
      </c>
      <c r="C10" s="2">
        <f>SUM(C9:C9)</f>
        <v>3.3</v>
      </c>
      <c r="D10" s="2">
        <f t="shared" ref="D10:E10" si="1">SUM(D9:D9)</f>
        <v>16.649999999999999</v>
      </c>
      <c r="E10" s="2">
        <f t="shared" si="1"/>
        <v>29.4</v>
      </c>
      <c r="G10" t="s">
        <v>68</v>
      </c>
      <c r="H10" s="2">
        <f>SUM(H9:H9)</f>
        <v>6.3000000000000007</v>
      </c>
      <c r="I10" s="2">
        <f>SUM(I9:I9)</f>
        <v>2.2000000000000002</v>
      </c>
      <c r="J10" s="2">
        <f t="shared" ref="J10:K10" si="2">SUM(J9:J9)</f>
        <v>11.100000000000001</v>
      </c>
      <c r="K10" s="2">
        <f t="shared" si="2"/>
        <v>19.600000000000001</v>
      </c>
      <c r="M10" t="s">
        <v>68</v>
      </c>
      <c r="N10" s="2">
        <f t="shared" si="0"/>
        <v>15.75</v>
      </c>
      <c r="O10" s="2">
        <f t="shared" si="0"/>
        <v>5.5</v>
      </c>
      <c r="P10" s="2">
        <f t="shared" si="0"/>
        <v>27.75</v>
      </c>
      <c r="Q10" s="2">
        <f t="shared" si="0"/>
        <v>49</v>
      </c>
    </row>
    <row r="11" spans="1:18">
      <c r="B11" s="2"/>
      <c r="C11" s="2"/>
      <c r="D11" s="2"/>
      <c r="E11" s="2"/>
      <c r="H11" s="2"/>
      <c r="I11" s="2"/>
      <c r="J11" s="2"/>
      <c r="K11" s="2"/>
    </row>
    <row r="12" spans="1:18">
      <c r="A12" s="1" t="s">
        <v>69</v>
      </c>
      <c r="B12" s="2">
        <f>(B6-B10)</f>
        <v>-9.4499999999999993</v>
      </c>
      <c r="C12" s="2">
        <f t="shared" ref="C12:E12" si="3">(C6-C10)</f>
        <v>-3.3</v>
      </c>
      <c r="D12" s="2">
        <f t="shared" si="3"/>
        <v>-16.649999999999999</v>
      </c>
      <c r="E12" s="2">
        <f t="shared" si="3"/>
        <v>-29.4</v>
      </c>
      <c r="G12" s="1" t="s">
        <v>69</v>
      </c>
      <c r="H12" s="2">
        <f>(H6-H10)</f>
        <v>-6.3000000000000007</v>
      </c>
      <c r="I12" s="2">
        <f t="shared" ref="I12:K12" si="4">(I6-I10)</f>
        <v>-2.2000000000000002</v>
      </c>
      <c r="J12" s="2">
        <f t="shared" si="4"/>
        <v>-11.100000000000001</v>
      </c>
      <c r="K12" s="2">
        <f t="shared" si="4"/>
        <v>-19.600000000000001</v>
      </c>
      <c r="M12" s="1" t="s">
        <v>69</v>
      </c>
      <c r="N12" s="2">
        <f>(B12+H12)</f>
        <v>-15.75</v>
      </c>
      <c r="O12" s="2">
        <f>(C12+I12)</f>
        <v>-5.5</v>
      </c>
      <c r="P12" s="2">
        <f>(D12+J12)</f>
        <v>-27.75</v>
      </c>
      <c r="Q12" s="2">
        <f>(E12+K12)</f>
        <v>-49</v>
      </c>
    </row>
    <row r="13" spans="1:18">
      <c r="B13" s="2"/>
      <c r="C13" s="2"/>
      <c r="D13" s="2"/>
      <c r="E13" s="2"/>
      <c r="H13" s="2"/>
      <c r="I13" s="2"/>
      <c r="J13" s="2"/>
      <c r="K13" s="2"/>
    </row>
    <row r="14" spans="1:18">
      <c r="A14" s="1" t="s">
        <v>70</v>
      </c>
      <c r="B14" s="2"/>
      <c r="C14" s="2"/>
      <c r="D14" s="2"/>
      <c r="E14" s="2"/>
      <c r="G14" s="1" t="s">
        <v>70</v>
      </c>
      <c r="H14" s="2"/>
      <c r="I14" s="2"/>
      <c r="J14" s="2"/>
      <c r="K14" s="2"/>
      <c r="M14" s="1" t="s">
        <v>70</v>
      </c>
    </row>
    <row r="15" spans="1:18">
      <c r="A15" t="s">
        <v>71</v>
      </c>
      <c r="B15" s="2">
        <f>(82892*0.15)</f>
        <v>12433.8</v>
      </c>
      <c r="C15" s="2">
        <f>(77207*0.15)</f>
        <v>11581.05</v>
      </c>
      <c r="D15" s="2">
        <f>(80171*0.15)</f>
        <v>12025.65</v>
      </c>
      <c r="E15" s="2">
        <f t="shared" ref="E15:E26" si="5">SUM(B15:D15)</f>
        <v>36040.5</v>
      </c>
      <c r="G15" t="s">
        <v>71</v>
      </c>
      <c r="H15" s="2">
        <f>(82892*0.1)</f>
        <v>8289.2000000000007</v>
      </c>
      <c r="I15" s="2">
        <f>(77207*0.1)</f>
        <v>7720.7000000000007</v>
      </c>
      <c r="J15" s="2">
        <f>(83343*0.1)</f>
        <v>8334.3000000000011</v>
      </c>
      <c r="K15" s="2">
        <f t="shared" ref="K15:K26" si="6">SUM(H15:J15)</f>
        <v>24344.200000000004</v>
      </c>
      <c r="M15" t="s">
        <v>71</v>
      </c>
      <c r="N15" s="2">
        <f t="shared" ref="N15:Q26" si="7">(B15+H15)</f>
        <v>20723</v>
      </c>
      <c r="O15" s="2">
        <f t="shared" si="7"/>
        <v>19301.75</v>
      </c>
      <c r="P15" s="2">
        <f t="shared" si="7"/>
        <v>20359.95</v>
      </c>
      <c r="Q15" s="2">
        <f t="shared" si="7"/>
        <v>60384.700000000004</v>
      </c>
    </row>
    <row r="16" spans="1:18">
      <c r="A16" t="s">
        <v>72</v>
      </c>
      <c r="B16" s="2">
        <f>(64220*0.15)</f>
        <v>9633</v>
      </c>
      <c r="C16" s="2">
        <f>(47615*0.15)</f>
        <v>7142.25</v>
      </c>
      <c r="D16" s="2">
        <f>(61440*0.15)</f>
        <v>9216</v>
      </c>
      <c r="E16" s="2">
        <f t="shared" si="5"/>
        <v>25991.25</v>
      </c>
      <c r="G16" t="s">
        <v>72</v>
      </c>
      <c r="H16" s="2">
        <f>(64220*0.1)</f>
        <v>6422</v>
      </c>
      <c r="I16" s="2">
        <f>(47615*0.1)</f>
        <v>4761.5</v>
      </c>
      <c r="J16" s="2">
        <f>(61440*0.1)</f>
        <v>6144</v>
      </c>
      <c r="K16" s="2">
        <f t="shared" si="6"/>
        <v>17327.5</v>
      </c>
      <c r="M16" t="s">
        <v>72</v>
      </c>
      <c r="N16" s="2">
        <f t="shared" si="7"/>
        <v>16055</v>
      </c>
      <c r="O16" s="2">
        <f t="shared" si="7"/>
        <v>11903.75</v>
      </c>
      <c r="P16" s="2">
        <f t="shared" si="7"/>
        <v>15360</v>
      </c>
      <c r="Q16" s="2">
        <f t="shared" si="7"/>
        <v>43318.75</v>
      </c>
    </row>
    <row r="17" spans="1:17">
      <c r="A17" t="s">
        <v>73</v>
      </c>
      <c r="B17" s="2">
        <v>0</v>
      </c>
      <c r="C17" s="2">
        <v>0</v>
      </c>
      <c r="D17" s="2">
        <v>0</v>
      </c>
      <c r="E17" s="2">
        <f t="shared" si="5"/>
        <v>0</v>
      </c>
      <c r="G17" t="s">
        <v>73</v>
      </c>
      <c r="H17" s="2">
        <f>(0*0.1)</f>
        <v>0</v>
      </c>
      <c r="I17" s="2">
        <f>(0*0.1)</f>
        <v>0</v>
      </c>
      <c r="J17" s="2">
        <f>(0*0.1)</f>
        <v>0</v>
      </c>
      <c r="K17" s="2">
        <f t="shared" si="6"/>
        <v>0</v>
      </c>
      <c r="M17" t="s">
        <v>73</v>
      </c>
      <c r="N17" s="2">
        <f t="shared" si="7"/>
        <v>0</v>
      </c>
      <c r="O17" s="2">
        <f t="shared" si="7"/>
        <v>0</v>
      </c>
      <c r="P17" s="2">
        <f t="shared" si="7"/>
        <v>0</v>
      </c>
      <c r="Q17" s="2">
        <f t="shared" si="7"/>
        <v>0</v>
      </c>
    </row>
    <row r="18" spans="1:17">
      <c r="A18" t="s">
        <v>74</v>
      </c>
      <c r="B18" s="2">
        <f>(6380*0.15)</f>
        <v>957</v>
      </c>
      <c r="C18" s="2">
        <f>(6416*0.15)</f>
        <v>962.4</v>
      </c>
      <c r="D18" s="2">
        <f>(6380*0.15)</f>
        <v>957</v>
      </c>
      <c r="E18" s="2">
        <f t="shared" si="5"/>
        <v>2876.4</v>
      </c>
      <c r="G18" t="s">
        <v>74</v>
      </c>
      <c r="H18" s="2">
        <f>(6380*0.1)</f>
        <v>638</v>
      </c>
      <c r="I18" s="2">
        <f>(6416*0.1)</f>
        <v>641.6</v>
      </c>
      <c r="J18" s="2">
        <f>(6380*0.1)</f>
        <v>638</v>
      </c>
      <c r="K18" s="2">
        <f t="shared" si="6"/>
        <v>1917.6</v>
      </c>
      <c r="M18" t="s">
        <v>74</v>
      </c>
      <c r="N18" s="2">
        <f t="shared" si="7"/>
        <v>1595</v>
      </c>
      <c r="O18" s="2">
        <f t="shared" si="7"/>
        <v>1604</v>
      </c>
      <c r="P18" s="2">
        <f t="shared" si="7"/>
        <v>1595</v>
      </c>
      <c r="Q18" s="2">
        <f t="shared" si="7"/>
        <v>4794</v>
      </c>
    </row>
    <row r="19" spans="1:17">
      <c r="A19" t="s">
        <v>75</v>
      </c>
      <c r="B19" s="2">
        <v>0</v>
      </c>
      <c r="C19" s="2">
        <v>0</v>
      </c>
      <c r="D19" s="2">
        <v>0</v>
      </c>
      <c r="E19" s="2">
        <f t="shared" si="5"/>
        <v>0</v>
      </c>
      <c r="G19" t="s">
        <v>75</v>
      </c>
      <c r="H19" s="2">
        <f>(0*0.1)</f>
        <v>0</v>
      </c>
      <c r="I19" s="2">
        <f>(0*0.1)</f>
        <v>0</v>
      </c>
      <c r="J19" s="2">
        <f>(0*0.1)</f>
        <v>0</v>
      </c>
      <c r="K19" s="2">
        <f t="shared" si="6"/>
        <v>0</v>
      </c>
      <c r="M19" t="s">
        <v>75</v>
      </c>
      <c r="N19" s="2">
        <f t="shared" si="7"/>
        <v>0</v>
      </c>
      <c r="O19" s="2">
        <f t="shared" si="7"/>
        <v>0</v>
      </c>
      <c r="P19" s="2">
        <f t="shared" si="7"/>
        <v>0</v>
      </c>
      <c r="Q19" s="2">
        <f t="shared" si="7"/>
        <v>0</v>
      </c>
    </row>
    <row r="20" spans="1:17">
      <c r="A20" t="s">
        <v>76</v>
      </c>
      <c r="B20" s="2">
        <f>(9566*0.15)</f>
        <v>1434.8999999999999</v>
      </c>
      <c r="C20" s="2">
        <f>(7673*0.15)</f>
        <v>1150.95</v>
      </c>
      <c r="D20" s="2">
        <f>(20958*0.15)</f>
        <v>3143.7</v>
      </c>
      <c r="E20" s="2">
        <f t="shared" si="5"/>
        <v>5729.5499999999993</v>
      </c>
      <c r="G20" t="s">
        <v>76</v>
      </c>
      <c r="H20" s="2">
        <f>(9566*0.1)</f>
        <v>956.6</v>
      </c>
      <c r="I20" s="2">
        <f>(7673*0.1)</f>
        <v>767.30000000000007</v>
      </c>
      <c r="J20" s="2">
        <f>(20958*0.1)</f>
        <v>2095.8000000000002</v>
      </c>
      <c r="K20" s="2">
        <f t="shared" si="6"/>
        <v>3819.7000000000003</v>
      </c>
      <c r="M20" t="s">
        <v>76</v>
      </c>
      <c r="N20" s="2">
        <f t="shared" si="7"/>
        <v>2391.5</v>
      </c>
      <c r="O20" s="2">
        <f t="shared" si="7"/>
        <v>1918.25</v>
      </c>
      <c r="P20" s="2">
        <f t="shared" si="7"/>
        <v>5239.5</v>
      </c>
      <c r="Q20" s="2">
        <f t="shared" si="7"/>
        <v>9549.25</v>
      </c>
    </row>
    <row r="21" spans="1:17">
      <c r="A21" t="s">
        <v>77</v>
      </c>
      <c r="B21" s="2">
        <f>(45337*0.15)</f>
        <v>6800.55</v>
      </c>
      <c r="C21" s="2">
        <f t="shared" ref="C21:D21" si="8">(45337*0.15)</f>
        <v>6800.55</v>
      </c>
      <c r="D21" s="2">
        <f t="shared" si="8"/>
        <v>6800.55</v>
      </c>
      <c r="E21" s="2">
        <f t="shared" si="5"/>
        <v>20401.650000000001</v>
      </c>
      <c r="G21" t="s">
        <v>77</v>
      </c>
      <c r="H21" s="2">
        <f>(45337*0.1)</f>
        <v>4533.7</v>
      </c>
      <c r="I21" s="2">
        <f>(45337*0.1)</f>
        <v>4533.7</v>
      </c>
      <c r="J21" s="2">
        <f>(45337*0.1)</f>
        <v>4533.7</v>
      </c>
      <c r="K21" s="2">
        <f t="shared" si="6"/>
        <v>13601.099999999999</v>
      </c>
      <c r="M21" t="s">
        <v>77</v>
      </c>
      <c r="N21" s="2">
        <f t="shared" si="7"/>
        <v>11334.25</v>
      </c>
      <c r="O21" s="2">
        <f t="shared" si="7"/>
        <v>11334.25</v>
      </c>
      <c r="P21" s="2">
        <f t="shared" si="7"/>
        <v>11334.25</v>
      </c>
      <c r="Q21" s="2">
        <f t="shared" si="7"/>
        <v>34002.75</v>
      </c>
    </row>
    <row r="22" spans="1:17">
      <c r="A22" t="s">
        <v>78</v>
      </c>
      <c r="B22" s="2">
        <v>0</v>
      </c>
      <c r="C22" s="2">
        <v>0</v>
      </c>
      <c r="D22" s="2">
        <v>0</v>
      </c>
      <c r="E22" s="2">
        <f t="shared" si="5"/>
        <v>0</v>
      </c>
      <c r="G22" t="s">
        <v>78</v>
      </c>
      <c r="H22" s="2">
        <f>(0*0.1)</f>
        <v>0</v>
      </c>
      <c r="I22" s="2">
        <f>(0*0.1)</f>
        <v>0</v>
      </c>
      <c r="J22" s="2">
        <f>(0*0.1)</f>
        <v>0</v>
      </c>
      <c r="K22" s="2">
        <f t="shared" si="6"/>
        <v>0</v>
      </c>
      <c r="M22" t="s">
        <v>78</v>
      </c>
      <c r="N22" s="2">
        <f t="shared" si="7"/>
        <v>0</v>
      </c>
      <c r="O22" s="2">
        <f t="shared" si="7"/>
        <v>0</v>
      </c>
      <c r="P22" s="2">
        <f t="shared" si="7"/>
        <v>0</v>
      </c>
      <c r="Q22" s="2">
        <f t="shared" si="7"/>
        <v>0</v>
      </c>
    </row>
    <row r="23" spans="1:17">
      <c r="A23" t="s">
        <v>79</v>
      </c>
      <c r="B23" s="2">
        <f>(316*0.15)</f>
        <v>47.4</v>
      </c>
      <c r="C23" s="2">
        <f>(52*0.15)</f>
        <v>7.8</v>
      </c>
      <c r="D23" s="2">
        <f>(484*0.15)</f>
        <v>72.599999999999994</v>
      </c>
      <c r="E23" s="2">
        <f t="shared" si="5"/>
        <v>127.79999999999998</v>
      </c>
      <c r="G23" t="s">
        <v>79</v>
      </c>
      <c r="H23" s="2">
        <f>(316*0.1)</f>
        <v>31.6</v>
      </c>
      <c r="I23" s="2">
        <f>(52*0.1)</f>
        <v>5.2</v>
      </c>
      <c r="J23" s="2">
        <f>(484*0.1)</f>
        <v>48.400000000000006</v>
      </c>
      <c r="K23" s="2">
        <f t="shared" si="6"/>
        <v>85.200000000000017</v>
      </c>
      <c r="M23" t="s">
        <v>79</v>
      </c>
      <c r="N23" s="2">
        <f t="shared" si="7"/>
        <v>79</v>
      </c>
      <c r="O23" s="2">
        <f t="shared" si="7"/>
        <v>13</v>
      </c>
      <c r="P23" s="2">
        <f t="shared" si="7"/>
        <v>121</v>
      </c>
      <c r="Q23" s="2">
        <f t="shared" si="7"/>
        <v>213</v>
      </c>
    </row>
    <row r="24" spans="1:17">
      <c r="A24" t="s">
        <v>80</v>
      </c>
      <c r="B24" s="2">
        <f>(4749*0.15)</f>
        <v>712.35</v>
      </c>
      <c r="C24" s="2">
        <f t="shared" ref="C24:D24" si="9">(4749*0.15)</f>
        <v>712.35</v>
      </c>
      <c r="D24" s="2">
        <f t="shared" si="9"/>
        <v>712.35</v>
      </c>
      <c r="E24" s="2">
        <f t="shared" si="5"/>
        <v>2137.0500000000002</v>
      </c>
      <c r="G24" t="s">
        <v>80</v>
      </c>
      <c r="H24" s="2">
        <f>(4749*0.1)</f>
        <v>474.90000000000003</v>
      </c>
      <c r="I24" s="2">
        <f>(4749*0.1)</f>
        <v>474.90000000000003</v>
      </c>
      <c r="J24" s="2">
        <f>(4749*0.1)</f>
        <v>474.90000000000003</v>
      </c>
      <c r="K24" s="2">
        <f t="shared" si="6"/>
        <v>1424.7</v>
      </c>
      <c r="M24" t="s">
        <v>80</v>
      </c>
      <c r="N24" s="2">
        <f t="shared" si="7"/>
        <v>1187.25</v>
      </c>
      <c r="O24" s="2">
        <f t="shared" si="7"/>
        <v>1187.25</v>
      </c>
      <c r="P24" s="2">
        <f t="shared" si="7"/>
        <v>1187.25</v>
      </c>
      <c r="Q24" s="2">
        <f t="shared" si="7"/>
        <v>3561.75</v>
      </c>
    </row>
    <row r="25" spans="1:17">
      <c r="A25" t="s">
        <v>81</v>
      </c>
      <c r="B25" s="2">
        <f>(553*0.15)</f>
        <v>82.95</v>
      </c>
      <c r="C25" s="2">
        <f>(2460*0.15)</f>
        <v>369</v>
      </c>
      <c r="D25" s="2">
        <f>(1163*0.15)</f>
        <v>174.45</v>
      </c>
      <c r="E25" s="2">
        <f t="shared" si="5"/>
        <v>626.4</v>
      </c>
      <c r="G25" t="s">
        <v>81</v>
      </c>
      <c r="H25" s="2">
        <f>(553*0.1)</f>
        <v>55.300000000000004</v>
      </c>
      <c r="I25" s="2">
        <f>(-2460*0.1)</f>
        <v>-246</v>
      </c>
      <c r="J25" s="2">
        <f>(1163*0.1)</f>
        <v>116.30000000000001</v>
      </c>
      <c r="K25" s="2">
        <f t="shared" si="6"/>
        <v>-74.399999999999977</v>
      </c>
      <c r="M25" t="s">
        <v>81</v>
      </c>
      <c r="N25" s="2">
        <f t="shared" si="7"/>
        <v>138.25</v>
      </c>
      <c r="O25" s="2">
        <f t="shared" si="7"/>
        <v>123</v>
      </c>
      <c r="P25" s="2">
        <f t="shared" si="7"/>
        <v>290.75</v>
      </c>
      <c r="Q25" s="2">
        <f t="shared" si="7"/>
        <v>552</v>
      </c>
    </row>
    <row r="26" spans="1:17">
      <c r="A26" s="1" t="s">
        <v>82</v>
      </c>
      <c r="B26" s="2">
        <f>SUM(B15:B25)</f>
        <v>32101.95</v>
      </c>
      <c r="C26" s="2">
        <f>SUM(C15:C25)</f>
        <v>28726.35</v>
      </c>
      <c r="D26" s="2">
        <f>SUM(D15:D25)</f>
        <v>33102.299999999996</v>
      </c>
      <c r="E26" s="2">
        <f t="shared" si="5"/>
        <v>93930.6</v>
      </c>
      <c r="G26" s="1" t="s">
        <v>82</v>
      </c>
      <c r="H26" s="2">
        <f>SUM(H15:H25)</f>
        <v>21401.3</v>
      </c>
      <c r="I26" s="2">
        <f>SUM(I15:I25)</f>
        <v>18658.900000000001</v>
      </c>
      <c r="J26" s="2">
        <f>SUM(J15:J25)</f>
        <v>22385.400000000005</v>
      </c>
      <c r="K26" s="2">
        <f t="shared" si="6"/>
        <v>62445.600000000006</v>
      </c>
      <c r="M26" s="1" t="s">
        <v>82</v>
      </c>
      <c r="N26" s="2">
        <f t="shared" si="7"/>
        <v>53503.25</v>
      </c>
      <c r="O26" s="2">
        <f t="shared" si="7"/>
        <v>47385.25</v>
      </c>
      <c r="P26" s="2">
        <f t="shared" si="7"/>
        <v>55487.7</v>
      </c>
      <c r="Q26" s="2">
        <f t="shared" si="7"/>
        <v>156376.20000000001</v>
      </c>
    </row>
    <row r="27" spans="1:17">
      <c r="B27" s="2"/>
      <c r="C27" s="2"/>
      <c r="D27" s="2"/>
      <c r="E27" s="2"/>
      <c r="H27" s="2"/>
      <c r="I27" s="2"/>
      <c r="J27" s="2"/>
      <c r="K27" s="2"/>
    </row>
    <row r="28" spans="1:17">
      <c r="A28" s="1" t="s">
        <v>83</v>
      </c>
      <c r="B28" s="2">
        <f>(B12-B26)</f>
        <v>-32111.4</v>
      </c>
      <c r="C28" s="2">
        <f t="shared" ref="C28:E28" si="10">(C12-C26)</f>
        <v>-28729.649999999998</v>
      </c>
      <c r="D28" s="2">
        <f t="shared" si="10"/>
        <v>-33118.949999999997</v>
      </c>
      <c r="E28" s="2">
        <f t="shared" si="10"/>
        <v>-93960</v>
      </c>
      <c r="G28" s="1" t="s">
        <v>83</v>
      </c>
      <c r="H28" s="2">
        <f>(H12-H26)</f>
        <v>-21407.599999999999</v>
      </c>
      <c r="I28" s="2">
        <f t="shared" ref="I28:K28" si="11">(I12-I26)</f>
        <v>-18661.100000000002</v>
      </c>
      <c r="J28" s="2">
        <f t="shared" si="11"/>
        <v>-22396.500000000004</v>
      </c>
      <c r="K28" s="2">
        <f t="shared" si="11"/>
        <v>-62465.200000000004</v>
      </c>
      <c r="M28" s="1" t="s">
        <v>83</v>
      </c>
      <c r="N28" s="2">
        <f>(B28+H28)</f>
        <v>-53519</v>
      </c>
      <c r="O28" s="2">
        <f>(C28+I28)</f>
        <v>-47390.75</v>
      </c>
      <c r="P28" s="2">
        <f>(D28+J28)</f>
        <v>-55515.45</v>
      </c>
      <c r="Q28" s="2">
        <f>(E28+K28)</f>
        <v>-156425.20000000001</v>
      </c>
    </row>
    <row r="29" spans="1:17">
      <c r="B29" s="2"/>
      <c r="C29" s="2"/>
      <c r="D29" s="2"/>
      <c r="E29" s="2"/>
      <c r="H29" s="2"/>
      <c r="I29" s="2"/>
      <c r="J29" s="2"/>
      <c r="K29" s="2"/>
    </row>
    <row r="30" spans="1:17">
      <c r="A30" s="1" t="s">
        <v>84</v>
      </c>
      <c r="B30" s="2"/>
      <c r="C30" s="2"/>
      <c r="D30" s="2"/>
      <c r="E30" s="2"/>
      <c r="G30" s="1" t="s">
        <v>84</v>
      </c>
      <c r="H30" s="2"/>
      <c r="I30" s="2"/>
      <c r="J30" s="2"/>
      <c r="K30" s="2"/>
      <c r="M30" s="1" t="s">
        <v>84</v>
      </c>
    </row>
    <row r="31" spans="1:17">
      <c r="A31" t="s">
        <v>85</v>
      </c>
      <c r="B31" s="2">
        <f>(11019*0.15)</f>
        <v>1652.85</v>
      </c>
      <c r="C31" s="2">
        <f>(9500*0.15)</f>
        <v>1425</v>
      </c>
      <c r="D31" s="2">
        <f>(10426*0.15)</f>
        <v>1563.8999999999999</v>
      </c>
      <c r="E31" s="2">
        <f>SUM(B31:D31)</f>
        <v>4641.75</v>
      </c>
      <c r="G31" t="s">
        <v>85</v>
      </c>
      <c r="H31" s="2">
        <f>(11019*0.1)</f>
        <v>1101.9000000000001</v>
      </c>
      <c r="I31" s="2">
        <f>(9500*0.1)</f>
        <v>950</v>
      </c>
      <c r="J31" s="2">
        <f>(10426*0.1)</f>
        <v>1042.6000000000001</v>
      </c>
      <c r="K31" s="2">
        <f>SUM(H31:J31)</f>
        <v>3094.5</v>
      </c>
      <c r="M31" t="s">
        <v>85</v>
      </c>
      <c r="N31" s="2">
        <f t="shared" ref="N31:Q34" si="12">(B31+H31)</f>
        <v>2754.75</v>
      </c>
      <c r="O31" s="2">
        <f t="shared" si="12"/>
        <v>2375</v>
      </c>
      <c r="P31" s="2">
        <f t="shared" si="12"/>
        <v>2606.5</v>
      </c>
      <c r="Q31" s="2">
        <f t="shared" si="12"/>
        <v>7736.25</v>
      </c>
    </row>
    <row r="32" spans="1:17">
      <c r="A32" t="s">
        <v>86</v>
      </c>
      <c r="B32" s="2">
        <f>(6760*0.15)</f>
        <v>1014</v>
      </c>
      <c r="C32" s="2">
        <f>(4632*0.15)</f>
        <v>694.8</v>
      </c>
      <c r="D32" s="2">
        <f>(-765*0.15)</f>
        <v>-114.75</v>
      </c>
      <c r="E32" s="2">
        <f>SUM(B32:D32)</f>
        <v>1594.05</v>
      </c>
      <c r="G32" t="s">
        <v>86</v>
      </c>
      <c r="H32" s="2">
        <f>(6760*0.1)</f>
        <v>676</v>
      </c>
      <c r="I32" s="2">
        <f>(4632*0.1)</f>
        <v>463.20000000000005</v>
      </c>
      <c r="J32" s="2">
        <f>(-765*0.1)</f>
        <v>-76.5</v>
      </c>
      <c r="K32" s="2">
        <f>SUM(H32:J32)</f>
        <v>1062.7</v>
      </c>
      <c r="M32" t="s">
        <v>86</v>
      </c>
      <c r="N32" s="2">
        <f t="shared" si="12"/>
        <v>1690</v>
      </c>
      <c r="O32" s="2">
        <f t="shared" si="12"/>
        <v>1158</v>
      </c>
      <c r="P32" s="2">
        <f t="shared" si="12"/>
        <v>-191.25</v>
      </c>
      <c r="Q32" s="2">
        <f t="shared" si="12"/>
        <v>2656.75</v>
      </c>
    </row>
    <row r="33" spans="1:17">
      <c r="A33" t="s">
        <v>87</v>
      </c>
      <c r="B33" s="2">
        <v>34097.4</v>
      </c>
      <c r="C33" s="2">
        <v>34621.049999999996</v>
      </c>
      <c r="D33" s="2">
        <v>35007.449999999997</v>
      </c>
      <c r="E33" s="2">
        <f>SUM(B33:D33)</f>
        <v>103725.9</v>
      </c>
      <c r="G33" t="s">
        <v>87</v>
      </c>
      <c r="H33" s="2">
        <v>30875.3</v>
      </c>
      <c r="I33" s="2">
        <v>30034.25</v>
      </c>
      <c r="J33" s="2">
        <v>30973.55</v>
      </c>
      <c r="K33" s="2">
        <f>SUM(H33:J33)</f>
        <v>91883.1</v>
      </c>
      <c r="M33" t="s">
        <v>87</v>
      </c>
      <c r="N33" s="2">
        <f t="shared" si="12"/>
        <v>64972.7</v>
      </c>
      <c r="O33" s="2">
        <f t="shared" si="12"/>
        <v>64655.299999999996</v>
      </c>
      <c r="P33" s="2">
        <f t="shared" si="12"/>
        <v>65981</v>
      </c>
      <c r="Q33" s="2">
        <f t="shared" si="12"/>
        <v>195609</v>
      </c>
    </row>
    <row r="34" spans="1:17">
      <c r="A34" s="1" t="s">
        <v>88</v>
      </c>
      <c r="B34" s="2">
        <f>SUM(B31:B33)</f>
        <v>36764.25</v>
      </c>
      <c r="C34" s="2">
        <f>SUM(C31:C33)</f>
        <v>36740.85</v>
      </c>
      <c r="D34" s="2">
        <f>SUM(D31:D33)</f>
        <v>36456.6</v>
      </c>
      <c r="E34" s="2">
        <f>SUM(B34:D34)</f>
        <v>109961.70000000001</v>
      </c>
      <c r="G34" s="1" t="s">
        <v>88</v>
      </c>
      <c r="H34" s="2">
        <f>SUM(H31:H33)</f>
        <v>32653.200000000001</v>
      </c>
      <c r="I34" s="2">
        <f>SUM(I31:I33)</f>
        <v>31447.45</v>
      </c>
      <c r="J34" s="2">
        <f>SUM(J31:J33)</f>
        <v>31939.649999999998</v>
      </c>
      <c r="K34" s="2">
        <f>SUM(H34:J34)</f>
        <v>96040.3</v>
      </c>
      <c r="M34" s="1" t="s">
        <v>88</v>
      </c>
      <c r="N34" s="2">
        <f t="shared" si="12"/>
        <v>69417.45</v>
      </c>
      <c r="O34" s="2">
        <f t="shared" si="12"/>
        <v>68188.3</v>
      </c>
      <c r="P34" s="2">
        <f t="shared" si="12"/>
        <v>68396.25</v>
      </c>
      <c r="Q34" s="2">
        <f t="shared" si="12"/>
        <v>206002</v>
      </c>
    </row>
    <row r="35" spans="1:17">
      <c r="B35" s="2"/>
      <c r="C35" s="2"/>
      <c r="D35" s="2"/>
      <c r="E35" s="2"/>
      <c r="H35" s="2"/>
      <c r="I35" s="2"/>
      <c r="J35" s="2"/>
      <c r="K35" s="2"/>
    </row>
    <row r="36" spans="1:17">
      <c r="A36" s="1" t="s">
        <v>89</v>
      </c>
      <c r="B36" s="2">
        <f>(B26+B34)</f>
        <v>68866.2</v>
      </c>
      <c r="C36" s="2">
        <f t="shared" ref="C36:E36" si="13">(C26+C34)</f>
        <v>65467.199999999997</v>
      </c>
      <c r="D36" s="2">
        <f t="shared" si="13"/>
        <v>69558.899999999994</v>
      </c>
      <c r="E36" s="2">
        <f t="shared" si="13"/>
        <v>203892.30000000002</v>
      </c>
      <c r="G36" s="1" t="s">
        <v>89</v>
      </c>
      <c r="H36" s="2">
        <f>(H26+H34)</f>
        <v>54054.5</v>
      </c>
      <c r="I36" s="2">
        <f t="shared" ref="I36:K36" si="14">(I26+I34)</f>
        <v>50106.350000000006</v>
      </c>
      <c r="J36" s="2">
        <f t="shared" si="14"/>
        <v>54325.05</v>
      </c>
      <c r="K36" s="2">
        <f t="shared" si="14"/>
        <v>158485.90000000002</v>
      </c>
      <c r="M36" s="1" t="s">
        <v>89</v>
      </c>
      <c r="N36" s="2">
        <f>(B36+H36)</f>
        <v>122920.7</v>
      </c>
      <c r="O36" s="2">
        <f>(C36+I36)</f>
        <v>115573.55</v>
      </c>
      <c r="P36" s="2">
        <f>(D36+J36)</f>
        <v>123883.95</v>
      </c>
      <c r="Q36" s="2">
        <f>(E36+K36)</f>
        <v>362378.20000000007</v>
      </c>
    </row>
    <row r="37" spans="1:17">
      <c r="B37" s="2"/>
      <c r="C37" s="2"/>
      <c r="D37" s="2"/>
      <c r="E37" s="2"/>
      <c r="H37" s="2"/>
      <c r="I37" s="2"/>
      <c r="J37" s="2"/>
      <c r="K37" s="2"/>
    </row>
    <row r="38" spans="1:17">
      <c r="A38" s="1" t="s">
        <v>90</v>
      </c>
      <c r="B38" s="2">
        <f>(B12-B36)</f>
        <v>-68875.649999999994</v>
      </c>
      <c r="C38" s="2">
        <f t="shared" ref="C38:E38" si="15">(C12-C36)</f>
        <v>-65470.5</v>
      </c>
      <c r="D38" s="2">
        <f t="shared" si="15"/>
        <v>-69575.549999999988</v>
      </c>
      <c r="E38" s="2">
        <f t="shared" si="15"/>
        <v>-203921.7</v>
      </c>
      <c r="G38" s="1" t="s">
        <v>90</v>
      </c>
      <c r="H38" s="2">
        <f>(H12-H36)</f>
        <v>-54060.800000000003</v>
      </c>
      <c r="I38" s="2">
        <f t="shared" ref="I38:K38" si="16">(I12-I36)</f>
        <v>-50108.55</v>
      </c>
      <c r="J38" s="2">
        <f t="shared" si="16"/>
        <v>-54336.15</v>
      </c>
      <c r="K38" s="2">
        <f t="shared" si="16"/>
        <v>-158505.50000000003</v>
      </c>
      <c r="M38" s="1" t="s">
        <v>90</v>
      </c>
      <c r="N38" s="2">
        <f>(B38+H38)</f>
        <v>-122936.45</v>
      </c>
      <c r="O38" s="2">
        <f>(C38+I38)</f>
        <v>-115579.05</v>
      </c>
      <c r="P38" s="2">
        <f>(D38+J38)</f>
        <v>-123911.69999999998</v>
      </c>
      <c r="Q38" s="2">
        <f>(E38+K38)</f>
        <v>-362427.20000000007</v>
      </c>
    </row>
    <row r="39" spans="1:17">
      <c r="A39" s="1"/>
      <c r="B39" s="2"/>
      <c r="C39" s="2"/>
      <c r="D39" s="2"/>
      <c r="E39" s="2"/>
      <c r="G39" s="1"/>
      <c r="H39" s="2"/>
      <c r="I39" s="2"/>
      <c r="J39" s="2"/>
      <c r="K39" s="2"/>
      <c r="M39" s="1"/>
      <c r="N39" s="2"/>
      <c r="O39" s="2"/>
      <c r="P39" s="2"/>
      <c r="Q39" s="2"/>
    </row>
    <row r="40" spans="1:17">
      <c r="G40" s="1"/>
      <c r="H40" s="2"/>
      <c r="I40" s="2"/>
      <c r="J40" s="2"/>
      <c r="K40" s="2"/>
      <c r="M40" s="1"/>
      <c r="N40" s="2"/>
      <c r="O40" s="2"/>
      <c r="P40" s="2"/>
      <c r="Q40" s="2"/>
    </row>
    <row r="41" spans="1:17">
      <c r="B41" s="1" t="s">
        <v>61</v>
      </c>
      <c r="H41" s="1" t="s">
        <v>62</v>
      </c>
      <c r="N41" s="1" t="s">
        <v>63</v>
      </c>
    </row>
    <row r="42" spans="1:17">
      <c r="C42" s="1" t="s">
        <v>91</v>
      </c>
      <c r="I42" s="1" t="s">
        <v>91</v>
      </c>
      <c r="O42" s="1" t="s">
        <v>91</v>
      </c>
    </row>
    <row r="44" spans="1:17">
      <c r="B44" s="6" t="s">
        <v>33</v>
      </c>
      <c r="C44" s="6" t="s">
        <v>34</v>
      </c>
      <c r="D44" s="6" t="s">
        <v>35</v>
      </c>
      <c r="E44" s="6" t="s">
        <v>92</v>
      </c>
      <c r="H44" s="6" t="s">
        <v>33</v>
      </c>
      <c r="I44" s="6" t="s">
        <v>34</v>
      </c>
      <c r="J44" s="6" t="s">
        <v>35</v>
      </c>
      <c r="K44" s="6" t="s">
        <v>92</v>
      </c>
      <c r="N44" s="6" t="s">
        <v>33</v>
      </c>
      <c r="O44" s="6" t="s">
        <v>34</v>
      </c>
      <c r="P44" s="6" t="s">
        <v>35</v>
      </c>
      <c r="Q44" s="6" t="s">
        <v>92</v>
      </c>
    </row>
    <row r="45" spans="1:17">
      <c r="B45" s="1"/>
      <c r="C45" s="1"/>
      <c r="D45" s="1"/>
      <c r="E45" s="1"/>
      <c r="H45" s="1"/>
      <c r="I45" s="1"/>
      <c r="J45" s="1"/>
      <c r="K45" s="1"/>
    </row>
    <row r="46" spans="1:17">
      <c r="A46" s="1" t="s">
        <v>65</v>
      </c>
      <c r="B46" s="2">
        <v>0</v>
      </c>
      <c r="C46" s="2">
        <v>0</v>
      </c>
      <c r="D46" s="2">
        <v>0</v>
      </c>
      <c r="E46" s="2">
        <f>SUM(B46:D46)</f>
        <v>0</v>
      </c>
      <c r="G46" s="1" t="s">
        <v>65</v>
      </c>
      <c r="H46" s="2">
        <v>0</v>
      </c>
      <c r="I46" s="2">
        <v>0</v>
      </c>
      <c r="J46" s="2">
        <v>0</v>
      </c>
      <c r="K46" s="2">
        <f>SUM(H46+I46+J46)</f>
        <v>0</v>
      </c>
      <c r="M46" s="1" t="s">
        <v>65</v>
      </c>
      <c r="N46" s="2">
        <f>B46+H46</f>
        <v>0</v>
      </c>
      <c r="O46" s="2">
        <f>C46+I46</f>
        <v>0</v>
      </c>
      <c r="P46" s="2">
        <f>D46+J46</f>
        <v>0</v>
      </c>
      <c r="Q46" s="2">
        <f>SUM(N46:P46)</f>
        <v>0</v>
      </c>
    </row>
    <row r="47" spans="1:17">
      <c r="B47" s="2"/>
      <c r="C47" s="2"/>
      <c r="D47" s="2"/>
      <c r="E47" s="2"/>
      <c r="H47" s="2"/>
      <c r="I47" s="2"/>
      <c r="J47" s="2"/>
      <c r="K47" s="2"/>
    </row>
    <row r="48" spans="1:17">
      <c r="A48" s="1" t="s">
        <v>66</v>
      </c>
      <c r="B48" s="2"/>
      <c r="C48" s="2"/>
      <c r="D48" s="2"/>
      <c r="E48" s="2"/>
      <c r="G48" s="1" t="s">
        <v>66</v>
      </c>
      <c r="H48" s="2"/>
      <c r="I48" s="2"/>
      <c r="J48" s="2"/>
      <c r="K48" s="2"/>
      <c r="M48" s="1" t="s">
        <v>66</v>
      </c>
    </row>
    <row r="49" spans="1:17">
      <c r="A49" t="s">
        <v>67</v>
      </c>
      <c r="B49" s="2">
        <f>(1150*0.15)</f>
        <v>172.5</v>
      </c>
      <c r="C49" s="2">
        <f>(63*0.15)</f>
        <v>9.4499999999999993</v>
      </c>
      <c r="D49" s="2">
        <f>(22*0.15)</f>
        <v>3.3</v>
      </c>
      <c r="E49" s="2">
        <f>SUM(B49:D49)</f>
        <v>185.25</v>
      </c>
      <c r="G49" t="s">
        <v>67</v>
      </c>
      <c r="H49" s="2">
        <f>(146*0.1)</f>
        <v>14.600000000000001</v>
      </c>
      <c r="I49" s="2">
        <f>(1150*0.1)</f>
        <v>115</v>
      </c>
      <c r="J49" s="2">
        <f>(63*0.1)</f>
        <v>6.3000000000000007</v>
      </c>
      <c r="K49" s="2">
        <f>SUM(H49:J49)</f>
        <v>135.9</v>
      </c>
      <c r="M49" t="s">
        <v>67</v>
      </c>
      <c r="N49" s="2">
        <f t="shared" ref="N49:P50" si="17">B49+H49</f>
        <v>187.1</v>
      </c>
      <c r="O49" s="2">
        <f t="shared" si="17"/>
        <v>124.45</v>
      </c>
      <c r="P49" s="2">
        <f t="shared" si="17"/>
        <v>9.6000000000000014</v>
      </c>
      <c r="Q49" s="2">
        <f>SUM(N49:P49)</f>
        <v>321.15000000000003</v>
      </c>
    </row>
    <row r="50" spans="1:17">
      <c r="A50" t="s">
        <v>68</v>
      </c>
      <c r="B50" s="2">
        <f t="shared" ref="B50:E50" si="18">SUM(B49:B49)</f>
        <v>172.5</v>
      </c>
      <c r="C50" s="2">
        <f t="shared" si="18"/>
        <v>9.4499999999999993</v>
      </c>
      <c r="D50" s="2">
        <f t="shared" si="18"/>
        <v>3.3</v>
      </c>
      <c r="E50" s="2">
        <f t="shared" si="18"/>
        <v>185.25</v>
      </c>
      <c r="G50" t="s">
        <v>68</v>
      </c>
      <c r="H50" s="2">
        <f t="shared" ref="H50:K50" si="19">SUM(H49:H49)</f>
        <v>14.600000000000001</v>
      </c>
      <c r="I50" s="2">
        <f t="shared" si="19"/>
        <v>115</v>
      </c>
      <c r="J50" s="2">
        <f t="shared" si="19"/>
        <v>6.3000000000000007</v>
      </c>
      <c r="K50" s="2">
        <f t="shared" si="19"/>
        <v>135.9</v>
      </c>
      <c r="M50" t="s">
        <v>68</v>
      </c>
      <c r="N50" s="2">
        <f t="shared" si="17"/>
        <v>187.1</v>
      </c>
      <c r="O50" s="2">
        <f t="shared" si="17"/>
        <v>124.45</v>
      </c>
      <c r="P50" s="2">
        <f t="shared" si="17"/>
        <v>9.6000000000000014</v>
      </c>
      <c r="Q50" s="2">
        <f>SUM(N50:P50)</f>
        <v>321.15000000000003</v>
      </c>
    </row>
    <row r="51" spans="1:17">
      <c r="B51" s="2"/>
      <c r="C51" s="2"/>
      <c r="D51" s="2"/>
      <c r="E51" s="2"/>
      <c r="H51" s="2"/>
      <c r="I51" s="2"/>
      <c r="J51" s="2"/>
      <c r="K51" s="2"/>
    </row>
    <row r="52" spans="1:17">
      <c r="A52" s="1" t="s">
        <v>69</v>
      </c>
      <c r="B52" s="2">
        <f t="shared" ref="B52:E52" si="20">(B46-B50)</f>
        <v>-172.5</v>
      </c>
      <c r="C52" s="2">
        <f t="shared" si="20"/>
        <v>-9.4499999999999993</v>
      </c>
      <c r="D52" s="2">
        <f t="shared" si="20"/>
        <v>-3.3</v>
      </c>
      <c r="E52" s="2">
        <f t="shared" si="20"/>
        <v>-185.25</v>
      </c>
      <c r="G52" s="1" t="s">
        <v>69</v>
      </c>
      <c r="H52" s="2">
        <f t="shared" ref="H52:K52" si="21">(H46-H50)</f>
        <v>-14.600000000000001</v>
      </c>
      <c r="I52" s="2">
        <f t="shared" si="21"/>
        <v>-115</v>
      </c>
      <c r="J52" s="2">
        <f t="shared" si="21"/>
        <v>-6.3000000000000007</v>
      </c>
      <c r="K52" s="2">
        <f t="shared" si="21"/>
        <v>-135.9</v>
      </c>
      <c r="M52" s="1" t="s">
        <v>69</v>
      </c>
      <c r="N52" s="2">
        <f>B52+H52</f>
        <v>-187.1</v>
      </c>
      <c r="O52" s="2">
        <f>C52+I52</f>
        <v>-124.45</v>
      </c>
      <c r="P52" s="2">
        <f>D52+J52</f>
        <v>-9.6000000000000014</v>
      </c>
      <c r="Q52" s="2">
        <f>SUM(N52:P52)</f>
        <v>-321.15000000000003</v>
      </c>
    </row>
    <row r="53" spans="1:17">
      <c r="B53" s="2"/>
      <c r="C53" s="2"/>
      <c r="D53" s="2"/>
      <c r="E53" s="2"/>
      <c r="H53" s="2"/>
      <c r="I53" s="2"/>
      <c r="J53" s="2"/>
      <c r="K53" s="2"/>
    </row>
    <row r="54" spans="1:17">
      <c r="A54" s="1" t="s">
        <v>70</v>
      </c>
      <c r="B54" s="2"/>
      <c r="C54" s="2"/>
      <c r="D54" s="2"/>
      <c r="E54" s="2"/>
      <c r="G54" s="1" t="s">
        <v>70</v>
      </c>
      <c r="H54" s="2"/>
      <c r="I54" s="2"/>
      <c r="J54" s="2"/>
      <c r="K54" s="2"/>
      <c r="M54" s="1" t="s">
        <v>70</v>
      </c>
    </row>
    <row r="55" spans="1:17">
      <c r="A55" t="s">
        <v>71</v>
      </c>
      <c r="B55" s="2">
        <f>(84378*0.15)</f>
        <v>12656.699999999999</v>
      </c>
      <c r="C55" s="2">
        <f>(82892*0.15)</f>
        <v>12433.8</v>
      </c>
      <c r="D55" s="2">
        <f>(77207*0.15)</f>
        <v>11581.05</v>
      </c>
      <c r="E55" s="2">
        <f t="shared" ref="E55:E65" si="22">SUM(B55:D55)</f>
        <v>36671.550000000003</v>
      </c>
      <c r="G55" t="s">
        <v>71</v>
      </c>
      <c r="H55" s="2">
        <f>(80171*0.1)</f>
        <v>8017.1</v>
      </c>
      <c r="I55" s="2">
        <f>(84378*0.1)</f>
        <v>8437.8000000000011</v>
      </c>
      <c r="J55" s="2">
        <f>(82892*0.1)</f>
        <v>8289.2000000000007</v>
      </c>
      <c r="K55" s="2">
        <f t="shared" ref="K55:K65" si="23">SUM(H55:J55)</f>
        <v>24744.100000000002</v>
      </c>
      <c r="M55" t="s">
        <v>71</v>
      </c>
      <c r="N55" s="2">
        <f>B55+H55</f>
        <v>20673.8</v>
      </c>
      <c r="O55" s="2">
        <f>C55+I55</f>
        <v>20871.599999999999</v>
      </c>
      <c r="P55" s="2">
        <f>D55+J55</f>
        <v>19870.25</v>
      </c>
      <c r="Q55" s="2">
        <f>SUM(N55:P55)</f>
        <v>61415.649999999994</v>
      </c>
    </row>
    <row r="56" spans="1:17">
      <c r="A56" t="s">
        <v>72</v>
      </c>
      <c r="B56" s="2">
        <f>(63324*0.15)</f>
        <v>9498.6</v>
      </c>
      <c r="C56" s="2">
        <f>(64220*0.15)</f>
        <v>9633</v>
      </c>
      <c r="D56" s="2">
        <f>(47615*0.15)</f>
        <v>7142.25</v>
      </c>
      <c r="E56" s="2">
        <f t="shared" si="22"/>
        <v>26273.85</v>
      </c>
      <c r="G56" t="s">
        <v>72</v>
      </c>
      <c r="H56" s="2">
        <f>(63324*0.1)</f>
        <v>6332.4000000000005</v>
      </c>
      <c r="I56" s="2">
        <f>(64220*0.1)</f>
        <v>6422</v>
      </c>
      <c r="J56" s="2">
        <f>(47615*0.1)</f>
        <v>4761.5</v>
      </c>
      <c r="K56" s="2">
        <f>SUM(I56:J56)</f>
        <v>11183.5</v>
      </c>
      <c r="M56" t="s">
        <v>72</v>
      </c>
      <c r="N56" s="2">
        <f t="shared" ref="N56:P66" si="24">B56+H56</f>
        <v>15831</v>
      </c>
      <c r="O56" s="2">
        <f t="shared" si="24"/>
        <v>16055</v>
      </c>
      <c r="P56" s="2">
        <f t="shared" si="24"/>
        <v>11903.75</v>
      </c>
      <c r="Q56" s="2">
        <f t="shared" ref="Q56:Q66" si="25">SUM(N56:P56)</f>
        <v>43789.75</v>
      </c>
    </row>
    <row r="57" spans="1:17">
      <c r="A57" t="s">
        <v>73</v>
      </c>
      <c r="B57" s="2">
        <v>0</v>
      </c>
      <c r="C57" s="2">
        <v>0</v>
      </c>
      <c r="D57" s="2">
        <v>0</v>
      </c>
      <c r="E57" s="2">
        <f t="shared" si="22"/>
        <v>0</v>
      </c>
      <c r="G57" t="s">
        <v>73</v>
      </c>
      <c r="H57" s="2">
        <f t="shared" ref="H57:J62" si="26">(0*0.1)</f>
        <v>0</v>
      </c>
      <c r="I57" s="2">
        <f t="shared" si="26"/>
        <v>0</v>
      </c>
      <c r="J57" s="2">
        <f t="shared" si="26"/>
        <v>0</v>
      </c>
      <c r="K57" s="2">
        <f>SUM(H57:J57)</f>
        <v>0</v>
      </c>
      <c r="M57" t="s">
        <v>73</v>
      </c>
      <c r="N57" s="2">
        <f t="shared" si="24"/>
        <v>0</v>
      </c>
      <c r="O57" s="2">
        <f t="shared" si="24"/>
        <v>0</v>
      </c>
      <c r="P57" s="2">
        <f t="shared" si="24"/>
        <v>0</v>
      </c>
      <c r="Q57" s="2">
        <f t="shared" si="25"/>
        <v>0</v>
      </c>
    </row>
    <row r="58" spans="1:17">
      <c r="A58" t="s">
        <v>74</v>
      </c>
      <c r="B58" s="2">
        <f>(6427*0.15)</f>
        <v>964.05</v>
      </c>
      <c r="C58" s="2">
        <f>(6380*0.15)</f>
        <v>957</v>
      </c>
      <c r="D58" s="2">
        <f>(6416*0.15)</f>
        <v>962.4</v>
      </c>
      <c r="E58" s="2">
        <f t="shared" si="22"/>
        <v>2883.45</v>
      </c>
      <c r="G58" t="s">
        <v>74</v>
      </c>
      <c r="H58" s="2">
        <f>(6427*0.1)</f>
        <v>642.70000000000005</v>
      </c>
      <c r="I58" s="2">
        <f>(6380*0.1)</f>
        <v>638</v>
      </c>
      <c r="J58" s="2">
        <f>(6416*0.1)</f>
        <v>641.6</v>
      </c>
      <c r="K58" s="2">
        <f t="shared" si="23"/>
        <v>1922.3000000000002</v>
      </c>
      <c r="M58" t="s">
        <v>74</v>
      </c>
      <c r="N58" s="2">
        <f t="shared" si="24"/>
        <v>1606.75</v>
      </c>
      <c r="O58" s="2">
        <f t="shared" si="24"/>
        <v>1595</v>
      </c>
      <c r="P58" s="2">
        <f t="shared" si="24"/>
        <v>1604</v>
      </c>
      <c r="Q58" s="2">
        <f t="shared" si="25"/>
        <v>4805.75</v>
      </c>
    </row>
    <row r="59" spans="1:17">
      <c r="A59" t="s">
        <v>75</v>
      </c>
      <c r="B59" s="2">
        <v>0</v>
      </c>
      <c r="C59" s="2">
        <v>0</v>
      </c>
      <c r="D59" s="2">
        <v>0</v>
      </c>
      <c r="E59" s="2">
        <f t="shared" si="22"/>
        <v>0</v>
      </c>
      <c r="G59" t="s">
        <v>75</v>
      </c>
      <c r="H59" s="2">
        <f t="shared" si="26"/>
        <v>0</v>
      </c>
      <c r="I59" s="2">
        <f t="shared" si="26"/>
        <v>0</v>
      </c>
      <c r="J59" s="2">
        <f t="shared" si="26"/>
        <v>0</v>
      </c>
      <c r="K59" s="2">
        <f t="shared" si="23"/>
        <v>0</v>
      </c>
      <c r="M59" t="s">
        <v>75</v>
      </c>
      <c r="N59" s="2">
        <f t="shared" si="24"/>
        <v>0</v>
      </c>
      <c r="O59" s="2">
        <f t="shared" si="24"/>
        <v>0</v>
      </c>
      <c r="P59" s="2">
        <f t="shared" si="24"/>
        <v>0</v>
      </c>
      <c r="Q59" s="2">
        <f t="shared" si="25"/>
        <v>0</v>
      </c>
    </row>
    <row r="60" spans="1:17">
      <c r="A60" t="s">
        <v>76</v>
      </c>
      <c r="B60" s="2">
        <f>(16997*0.15)</f>
        <v>2549.5499999999997</v>
      </c>
      <c r="C60" s="2">
        <f>(9566*0.15)</f>
        <v>1434.8999999999999</v>
      </c>
      <c r="D60" s="2">
        <f>(7673*0.15)</f>
        <v>1150.95</v>
      </c>
      <c r="E60" s="2">
        <f t="shared" si="22"/>
        <v>5135.3999999999996</v>
      </c>
      <c r="G60" t="s">
        <v>76</v>
      </c>
      <c r="H60" s="2">
        <f>(16997*0.1)</f>
        <v>1699.7</v>
      </c>
      <c r="I60" s="2">
        <f>(9566*0.1)</f>
        <v>956.6</v>
      </c>
      <c r="J60" s="2">
        <f>(7673*0.1)</f>
        <v>767.30000000000007</v>
      </c>
      <c r="K60" s="2">
        <f t="shared" si="23"/>
        <v>3423.6000000000004</v>
      </c>
      <c r="M60" t="s">
        <v>76</v>
      </c>
      <c r="N60" s="2">
        <f t="shared" si="24"/>
        <v>4249.25</v>
      </c>
      <c r="O60" s="2">
        <f t="shared" si="24"/>
        <v>2391.5</v>
      </c>
      <c r="P60" s="2">
        <f t="shared" si="24"/>
        <v>1918.25</v>
      </c>
      <c r="Q60" s="2">
        <f t="shared" si="25"/>
        <v>8559</v>
      </c>
    </row>
    <row r="61" spans="1:17">
      <c r="A61" t="s">
        <v>77</v>
      </c>
      <c r="B61" s="2">
        <f t="shared" ref="B61:C61" si="27">(45337*0.15)</f>
        <v>6800.55</v>
      </c>
      <c r="C61" s="2">
        <f t="shared" si="27"/>
        <v>6800.55</v>
      </c>
      <c r="D61" s="2">
        <f>(45337*0.15)</f>
        <v>6800.55</v>
      </c>
      <c r="E61" s="2">
        <f t="shared" si="22"/>
        <v>20401.650000000001</v>
      </c>
      <c r="G61" t="s">
        <v>77</v>
      </c>
      <c r="H61" s="2">
        <f>(45337*0.1)</f>
        <v>4533.7</v>
      </c>
      <c r="I61" s="2">
        <f t="shared" ref="I61:J61" si="28">(45337*0.1)</f>
        <v>4533.7</v>
      </c>
      <c r="J61" s="2">
        <f t="shared" si="28"/>
        <v>4533.7</v>
      </c>
      <c r="K61" s="2">
        <f t="shared" si="23"/>
        <v>13601.099999999999</v>
      </c>
      <c r="M61" t="s">
        <v>77</v>
      </c>
      <c r="N61" s="2">
        <f t="shared" si="24"/>
        <v>11334.25</v>
      </c>
      <c r="O61" s="2">
        <f t="shared" si="24"/>
        <v>11334.25</v>
      </c>
      <c r="P61" s="2">
        <f t="shared" si="24"/>
        <v>11334.25</v>
      </c>
      <c r="Q61" s="2">
        <f t="shared" si="25"/>
        <v>34002.75</v>
      </c>
    </row>
    <row r="62" spans="1:17">
      <c r="A62" t="s">
        <v>78</v>
      </c>
      <c r="B62" s="2">
        <v>0</v>
      </c>
      <c r="C62" s="2">
        <v>0</v>
      </c>
      <c r="D62" s="2">
        <v>0</v>
      </c>
      <c r="E62" s="2">
        <f t="shared" si="22"/>
        <v>0</v>
      </c>
      <c r="G62" t="s">
        <v>78</v>
      </c>
      <c r="H62" s="2">
        <f t="shared" si="26"/>
        <v>0</v>
      </c>
      <c r="I62" s="2">
        <f t="shared" si="26"/>
        <v>0</v>
      </c>
      <c r="J62" s="2">
        <f>(0*0.1)</f>
        <v>0</v>
      </c>
      <c r="K62" s="2">
        <f>SUM(I62:J62)</f>
        <v>0</v>
      </c>
      <c r="M62" t="s">
        <v>78</v>
      </c>
      <c r="N62" s="2">
        <f t="shared" si="24"/>
        <v>0</v>
      </c>
      <c r="O62" s="2">
        <f t="shared" si="24"/>
        <v>0</v>
      </c>
      <c r="P62" s="2">
        <f t="shared" si="24"/>
        <v>0</v>
      </c>
      <c r="Q62" s="2">
        <f t="shared" si="25"/>
        <v>0</v>
      </c>
    </row>
    <row r="63" spans="1:17">
      <c r="A63" t="s">
        <v>79</v>
      </c>
      <c r="B63" s="2">
        <f>(1385*0.15)</f>
        <v>207.75</v>
      </c>
      <c r="C63" s="2">
        <f>(316*0.15)</f>
        <v>47.4</v>
      </c>
      <c r="D63" s="2">
        <f>(52*0.15)</f>
        <v>7.8</v>
      </c>
      <c r="E63" s="2">
        <f t="shared" si="22"/>
        <v>262.95</v>
      </c>
      <c r="G63" t="s">
        <v>79</v>
      </c>
      <c r="H63" s="2">
        <f>(1385*0.1)</f>
        <v>138.5</v>
      </c>
      <c r="I63" s="2">
        <f>(316*0.1)</f>
        <v>31.6</v>
      </c>
      <c r="J63" s="2">
        <f>(52*0.1)</f>
        <v>5.2</v>
      </c>
      <c r="K63" s="2">
        <f>SUM(H63:J63)</f>
        <v>175.29999999999998</v>
      </c>
      <c r="M63" t="s">
        <v>79</v>
      </c>
      <c r="N63" s="2">
        <f t="shared" si="24"/>
        <v>346.25</v>
      </c>
      <c r="O63" s="2">
        <f t="shared" si="24"/>
        <v>79</v>
      </c>
      <c r="P63" s="2">
        <f t="shared" si="24"/>
        <v>13</v>
      </c>
      <c r="Q63" s="2">
        <f t="shared" si="25"/>
        <v>438.25</v>
      </c>
    </row>
    <row r="64" spans="1:17">
      <c r="A64" t="s">
        <v>80</v>
      </c>
      <c r="B64" s="2">
        <f>(4749*0.15)</f>
        <v>712.35</v>
      </c>
      <c r="C64" s="2">
        <f>(4749*0.15)</f>
        <v>712.35</v>
      </c>
      <c r="D64" s="2">
        <f>(4749*0.15)</f>
        <v>712.35</v>
      </c>
      <c r="E64" s="2">
        <f t="shared" si="22"/>
        <v>2137.0500000000002</v>
      </c>
      <c r="G64" t="s">
        <v>80</v>
      </c>
      <c r="H64" s="2">
        <f>(4749*0.1)</f>
        <v>474.90000000000003</v>
      </c>
      <c r="I64" s="2">
        <f>(4749*0.1)</f>
        <v>474.90000000000003</v>
      </c>
      <c r="J64" s="2">
        <f>(4749*0.1)</f>
        <v>474.90000000000003</v>
      </c>
      <c r="K64" s="2">
        <f t="shared" si="23"/>
        <v>1424.7</v>
      </c>
      <c r="M64" t="s">
        <v>80</v>
      </c>
      <c r="N64" s="2">
        <f t="shared" si="24"/>
        <v>1187.25</v>
      </c>
      <c r="O64" s="2">
        <f t="shared" si="24"/>
        <v>1187.25</v>
      </c>
      <c r="P64" s="2">
        <f t="shared" si="24"/>
        <v>1187.25</v>
      </c>
      <c r="Q64" s="2">
        <f t="shared" si="25"/>
        <v>3561.75</v>
      </c>
    </row>
    <row r="65" spans="1:17">
      <c r="A65" t="s">
        <v>81</v>
      </c>
      <c r="B65" s="2">
        <f>(1316*0.15)</f>
        <v>197.4</v>
      </c>
      <c r="C65" s="2">
        <f>(553*0.15)</f>
        <v>82.95</v>
      </c>
      <c r="D65" s="2">
        <f>(2460*0.15)</f>
        <v>369</v>
      </c>
      <c r="E65" s="2">
        <f t="shared" si="22"/>
        <v>649.35</v>
      </c>
      <c r="G65" t="s">
        <v>81</v>
      </c>
      <c r="H65" s="2">
        <f>(1316*0.1)</f>
        <v>131.6</v>
      </c>
      <c r="I65" s="2">
        <f>(553*0.1)</f>
        <v>55.300000000000004</v>
      </c>
      <c r="J65" s="2">
        <f>(2460*0.1)</f>
        <v>246</v>
      </c>
      <c r="K65" s="2">
        <f t="shared" si="23"/>
        <v>432.9</v>
      </c>
      <c r="M65" t="s">
        <v>81</v>
      </c>
      <c r="N65" s="2">
        <f t="shared" si="24"/>
        <v>329</v>
      </c>
      <c r="O65" s="2">
        <f t="shared" si="24"/>
        <v>138.25</v>
      </c>
      <c r="P65" s="2">
        <f t="shared" si="24"/>
        <v>615</v>
      </c>
      <c r="Q65" s="2">
        <f t="shared" si="25"/>
        <v>1082.25</v>
      </c>
    </row>
    <row r="66" spans="1:17">
      <c r="A66" s="1" t="s">
        <v>82</v>
      </c>
      <c r="B66" s="2">
        <f t="shared" ref="B66:E66" si="29">SUM(B55:B65)</f>
        <v>33586.949999999997</v>
      </c>
      <c r="C66" s="2">
        <f t="shared" si="29"/>
        <v>32101.95</v>
      </c>
      <c r="D66" s="2">
        <f t="shared" si="29"/>
        <v>28726.35</v>
      </c>
      <c r="E66" s="2">
        <f t="shared" si="29"/>
        <v>94415.25</v>
      </c>
      <c r="G66" s="1" t="s">
        <v>82</v>
      </c>
      <c r="H66" s="2">
        <f>SUM(H55:H65)</f>
        <v>21970.600000000002</v>
      </c>
      <c r="I66" s="2">
        <f>SUM(I55:I65)</f>
        <v>21549.9</v>
      </c>
      <c r="J66" s="2">
        <f t="shared" ref="J66:K66" si="30">SUM(J55:J65)</f>
        <v>19719.400000000001</v>
      </c>
      <c r="K66" s="2">
        <f t="shared" si="30"/>
        <v>56907.500000000007</v>
      </c>
      <c r="M66" s="1" t="s">
        <v>82</v>
      </c>
      <c r="N66" s="2">
        <f t="shared" si="24"/>
        <v>55557.55</v>
      </c>
      <c r="O66" s="2">
        <f t="shared" si="24"/>
        <v>53651.850000000006</v>
      </c>
      <c r="P66" s="2">
        <f t="shared" si="24"/>
        <v>48445.75</v>
      </c>
      <c r="Q66" s="2">
        <f t="shared" si="25"/>
        <v>157655.15000000002</v>
      </c>
    </row>
    <row r="67" spans="1:17">
      <c r="B67" s="2"/>
      <c r="C67" s="2"/>
      <c r="D67" s="2"/>
      <c r="E67" s="2"/>
      <c r="H67" s="2"/>
      <c r="I67" s="2"/>
      <c r="J67" s="2"/>
      <c r="K67" s="2"/>
    </row>
    <row r="68" spans="1:17">
      <c r="A68" s="1" t="s">
        <v>83</v>
      </c>
      <c r="B68" s="2">
        <f t="shared" ref="B68:E68" si="31">(B52-B66)</f>
        <v>-33759.449999999997</v>
      </c>
      <c r="C68" s="2">
        <f t="shared" si="31"/>
        <v>-32111.4</v>
      </c>
      <c r="D68" s="2">
        <f t="shared" si="31"/>
        <v>-28729.649999999998</v>
      </c>
      <c r="E68" s="2">
        <f t="shared" si="31"/>
        <v>-94600.5</v>
      </c>
      <c r="G68" s="1" t="s">
        <v>83</v>
      </c>
      <c r="H68" s="2">
        <f>(H52-H66)</f>
        <v>-21985.200000000001</v>
      </c>
      <c r="I68" s="2">
        <f>(I52-I66)</f>
        <v>-21664.9</v>
      </c>
      <c r="J68" s="2">
        <f t="shared" ref="J68:K68" si="32">(J52-J66)</f>
        <v>-19725.7</v>
      </c>
      <c r="K68" s="2">
        <f t="shared" si="32"/>
        <v>-57043.400000000009</v>
      </c>
      <c r="M68" s="1" t="s">
        <v>83</v>
      </c>
      <c r="N68" s="2">
        <f>(N52-N66)</f>
        <v>-55744.65</v>
      </c>
      <c r="O68" s="2">
        <f>(O52-N66)</f>
        <v>-55682</v>
      </c>
      <c r="P68" s="2">
        <f>(P52-P66)</f>
        <v>-48455.35</v>
      </c>
      <c r="Q68" s="2">
        <f>(Q52-Q66)</f>
        <v>-157976.30000000002</v>
      </c>
    </row>
    <row r="69" spans="1:17">
      <c r="B69" s="2"/>
      <c r="C69" s="2"/>
      <c r="D69" s="2"/>
      <c r="E69" s="2"/>
      <c r="H69" s="2"/>
      <c r="I69" s="2"/>
      <c r="J69" s="2"/>
      <c r="K69" s="2"/>
    </row>
    <row r="70" spans="1:17">
      <c r="A70" s="1" t="s">
        <v>84</v>
      </c>
      <c r="B70" s="2"/>
      <c r="C70" s="2"/>
      <c r="D70" s="2"/>
      <c r="E70" s="2"/>
      <c r="G70" s="1" t="s">
        <v>84</v>
      </c>
      <c r="H70" s="2"/>
      <c r="I70" s="2"/>
      <c r="J70" s="2"/>
      <c r="K70" s="2"/>
      <c r="M70" s="1" t="s">
        <v>84</v>
      </c>
    </row>
    <row r="71" spans="1:17">
      <c r="A71" t="s">
        <v>85</v>
      </c>
      <c r="B71" s="2">
        <f>(7980*0.15)</f>
        <v>1197</v>
      </c>
      <c r="C71" s="2">
        <f>(11019*0.15)</f>
        <v>1652.85</v>
      </c>
      <c r="D71" s="2">
        <f>(9500*0.15)</f>
        <v>1425</v>
      </c>
      <c r="E71" s="2">
        <f>SUM(B71:D71)</f>
        <v>4274.8500000000004</v>
      </c>
      <c r="G71" t="s">
        <v>85</v>
      </c>
      <c r="H71" s="2">
        <f>(10085*0.1)</f>
        <v>1008.5</v>
      </c>
      <c r="I71" s="2">
        <f>(7980*0.1)</f>
        <v>798</v>
      </c>
      <c r="J71" s="2">
        <f>(11019*0.1)</f>
        <v>1101.9000000000001</v>
      </c>
      <c r="K71" s="2">
        <f>SUM(H71:J71)</f>
        <v>2908.4</v>
      </c>
      <c r="M71" t="s">
        <v>85</v>
      </c>
      <c r="N71" s="2">
        <f>B71+H71</f>
        <v>2205.5</v>
      </c>
      <c r="O71" s="2">
        <f>C71+I71</f>
        <v>2450.85</v>
      </c>
      <c r="P71" s="2">
        <f>D71+J71</f>
        <v>2526.9</v>
      </c>
      <c r="Q71" s="2">
        <f>SUM(N71:P71)</f>
        <v>7183.25</v>
      </c>
    </row>
    <row r="72" spans="1:17">
      <c r="A72" t="s">
        <v>86</v>
      </c>
      <c r="B72" s="2">
        <f>(4464*0.15)</f>
        <v>669.6</v>
      </c>
      <c r="C72" s="2">
        <f>(6760*0.15)</f>
        <v>1014</v>
      </c>
      <c r="D72" s="2">
        <f>(4632*0.15)</f>
        <v>694.8</v>
      </c>
      <c r="E72" s="2">
        <f>SUM(B72:D72)</f>
        <v>2378.3999999999996</v>
      </c>
      <c r="G72" t="s">
        <v>86</v>
      </c>
      <c r="H72" s="2">
        <f>(4464*0.1)</f>
        <v>446.40000000000003</v>
      </c>
      <c r="I72" s="2">
        <f>(6760*0.1)</f>
        <v>676</v>
      </c>
      <c r="J72" s="2">
        <f>(4632*0.1)</f>
        <v>463.20000000000005</v>
      </c>
      <c r="K72" s="2">
        <f>SUM(H72:J72)</f>
        <v>1585.6000000000001</v>
      </c>
      <c r="M72" t="s">
        <v>86</v>
      </c>
      <c r="N72" s="2">
        <f t="shared" ref="N72:P74" si="33">B72+H72</f>
        <v>1116</v>
      </c>
      <c r="O72" s="2">
        <f t="shared" si="33"/>
        <v>1690</v>
      </c>
      <c r="P72" s="2">
        <f t="shared" si="33"/>
        <v>1158</v>
      </c>
      <c r="Q72" s="2">
        <f t="shared" ref="Q72:Q74" si="34">SUM(N72:P72)</f>
        <v>3964</v>
      </c>
    </row>
    <row r="73" spans="1:17">
      <c r="A73" t="s">
        <v>87</v>
      </c>
      <c r="B73" s="2">
        <v>30346.7</v>
      </c>
      <c r="C73" s="2">
        <f>(197316*0.15)</f>
        <v>29597.399999999998</v>
      </c>
      <c r="D73" s="2">
        <v>29621.05</v>
      </c>
      <c r="E73" s="2">
        <f>SUM(B73:D73)</f>
        <v>89565.15</v>
      </c>
      <c r="G73" t="s">
        <v>87</v>
      </c>
      <c r="H73" s="2">
        <v>30897.8</v>
      </c>
      <c r="I73" s="2">
        <v>29731.599999999999</v>
      </c>
      <c r="J73" s="2">
        <v>29080.7</v>
      </c>
      <c r="K73" s="2">
        <f>SUM(H73:J73)</f>
        <v>89710.099999999991</v>
      </c>
      <c r="M73" t="s">
        <v>87</v>
      </c>
      <c r="N73" s="2">
        <f t="shared" si="33"/>
        <v>61244.5</v>
      </c>
      <c r="O73" s="2">
        <f t="shared" si="33"/>
        <v>59329</v>
      </c>
      <c r="P73" s="2">
        <f t="shared" si="33"/>
        <v>58701.75</v>
      </c>
      <c r="Q73" s="2">
        <f t="shared" si="34"/>
        <v>179275.25</v>
      </c>
    </row>
    <row r="74" spans="1:17">
      <c r="A74" s="1" t="s">
        <v>88</v>
      </c>
      <c r="B74" s="2">
        <f>SUM(B71:B73)</f>
        <v>32213.3</v>
      </c>
      <c r="C74" s="2">
        <f>SUM(C71:C73)</f>
        <v>32264.249999999996</v>
      </c>
      <c r="D74" s="2">
        <f>SUM(D71:D73)</f>
        <v>31740.85</v>
      </c>
      <c r="E74" s="2">
        <f>SUM(B74:D74)</f>
        <v>96218.4</v>
      </c>
      <c r="G74" s="1" t="s">
        <v>88</v>
      </c>
      <c r="H74" s="2">
        <f>SUM(H71:H73)</f>
        <v>32352.7</v>
      </c>
      <c r="I74" s="2">
        <f>SUM(I71:I73)</f>
        <v>31205.599999999999</v>
      </c>
      <c r="J74" s="2">
        <f>SUM(J71:J73)</f>
        <v>30645.8</v>
      </c>
      <c r="K74" s="2">
        <f>SUM(H74:J74)</f>
        <v>94204.1</v>
      </c>
      <c r="M74" s="1" t="s">
        <v>88</v>
      </c>
      <c r="N74" s="2">
        <f t="shared" si="33"/>
        <v>64566</v>
      </c>
      <c r="O74" s="2">
        <f t="shared" si="33"/>
        <v>63469.849999999991</v>
      </c>
      <c r="P74" s="2">
        <f t="shared" si="33"/>
        <v>62386.649999999994</v>
      </c>
      <c r="Q74" s="2">
        <f t="shared" si="34"/>
        <v>190422.5</v>
      </c>
    </row>
    <row r="75" spans="1:17">
      <c r="B75" s="2"/>
      <c r="C75" s="2"/>
      <c r="D75" s="2"/>
      <c r="E75" s="2"/>
      <c r="H75" s="2"/>
      <c r="I75" s="2"/>
      <c r="J75" s="2"/>
      <c r="K75" s="2"/>
    </row>
    <row r="76" spans="1:17">
      <c r="A76" s="1" t="s">
        <v>89</v>
      </c>
      <c r="B76" s="2">
        <f t="shared" ref="B76:E76" si="35">(B66+B74)</f>
        <v>65800.25</v>
      </c>
      <c r="C76" s="2">
        <f t="shared" si="35"/>
        <v>64366.2</v>
      </c>
      <c r="D76" s="2">
        <f t="shared" si="35"/>
        <v>60467.199999999997</v>
      </c>
      <c r="E76" s="2">
        <f t="shared" si="35"/>
        <v>190633.65</v>
      </c>
      <c r="G76" s="1" t="s">
        <v>89</v>
      </c>
      <c r="H76" s="2">
        <f t="shared" ref="H76:K76" si="36">(H66+H74)</f>
        <v>54323.3</v>
      </c>
      <c r="I76" s="2">
        <f t="shared" si="36"/>
        <v>52755.5</v>
      </c>
      <c r="J76" s="2">
        <f t="shared" si="36"/>
        <v>50365.2</v>
      </c>
      <c r="K76" s="2">
        <f t="shared" si="36"/>
        <v>151111.6</v>
      </c>
      <c r="M76" s="1" t="s">
        <v>89</v>
      </c>
      <c r="N76" s="2">
        <f>B76+H76</f>
        <v>120123.55</v>
      </c>
      <c r="O76" s="2">
        <f>C76+I76</f>
        <v>117121.7</v>
      </c>
      <c r="P76" s="2">
        <f>D76+J76</f>
        <v>110832.4</v>
      </c>
      <c r="Q76" s="2">
        <f>SUM(N76:P76)</f>
        <v>348077.65</v>
      </c>
    </row>
    <row r="77" spans="1:17">
      <c r="B77" s="2"/>
      <c r="C77" s="2"/>
      <c r="D77" s="2"/>
      <c r="E77" s="2"/>
      <c r="H77" s="2"/>
      <c r="I77" s="2"/>
      <c r="J77" s="2"/>
      <c r="K77" s="2"/>
    </row>
    <row r="78" spans="1:17">
      <c r="A78" s="1" t="s">
        <v>90</v>
      </c>
      <c r="B78" s="2">
        <f t="shared" ref="B78:E78" si="37">(B52-B76)</f>
        <v>-65972.75</v>
      </c>
      <c r="C78" s="2">
        <f t="shared" si="37"/>
        <v>-64375.649999999994</v>
      </c>
      <c r="D78" s="2">
        <f t="shared" si="37"/>
        <v>-60470.5</v>
      </c>
      <c r="E78" s="2">
        <f t="shared" si="37"/>
        <v>-190818.9</v>
      </c>
      <c r="G78" s="1" t="s">
        <v>90</v>
      </c>
      <c r="H78" s="2">
        <f>(H52-H76)</f>
        <v>-54337.9</v>
      </c>
      <c r="I78" s="2">
        <f>(I52-I76)</f>
        <v>-52870.5</v>
      </c>
      <c r="J78" s="2">
        <f t="shared" ref="J78:K78" si="38">(J52-J76)</f>
        <v>-50371.5</v>
      </c>
      <c r="K78" s="2">
        <f t="shared" si="38"/>
        <v>-151247.5</v>
      </c>
      <c r="M78" s="1" t="s">
        <v>90</v>
      </c>
      <c r="N78" s="2">
        <f>(N52-N76)</f>
        <v>-120310.65000000001</v>
      </c>
      <c r="O78" s="2">
        <f t="shared" ref="O78:Q78" si="39">(O52-O76)</f>
        <v>-117246.15</v>
      </c>
      <c r="P78" s="2">
        <f t="shared" si="39"/>
        <v>-110842</v>
      </c>
      <c r="Q78" s="2">
        <f t="shared" si="39"/>
        <v>-348398.80000000005</v>
      </c>
    </row>
    <row r="79" spans="1:17">
      <c r="A79" s="1"/>
      <c r="B79" s="2"/>
      <c r="C79" s="2"/>
      <c r="D79" s="2"/>
      <c r="E79" s="2"/>
      <c r="G79" s="1"/>
      <c r="H79" s="2"/>
      <c r="I79" s="2"/>
      <c r="J79" s="2"/>
      <c r="K79" s="2"/>
      <c r="M79" s="1"/>
      <c r="N79" s="2"/>
      <c r="O79" s="2"/>
      <c r="P79" s="2"/>
      <c r="Q79" s="2"/>
    </row>
    <row r="81" spans="1:17">
      <c r="B81" s="1" t="s">
        <v>61</v>
      </c>
      <c r="H81" s="1" t="s">
        <v>62</v>
      </c>
      <c r="N81" s="1" t="s">
        <v>63</v>
      </c>
    </row>
    <row r="82" spans="1:17">
      <c r="C82" s="1" t="s">
        <v>93</v>
      </c>
      <c r="I82" s="1" t="s">
        <v>93</v>
      </c>
      <c r="O82" s="1" t="s">
        <v>93</v>
      </c>
    </row>
    <row r="84" spans="1:17">
      <c r="B84" s="1" t="s">
        <v>48</v>
      </c>
      <c r="C84" s="1" t="s">
        <v>49</v>
      </c>
      <c r="D84" s="1" t="s">
        <v>50</v>
      </c>
      <c r="E84" s="6" t="s">
        <v>94</v>
      </c>
      <c r="H84" s="1" t="s">
        <v>48</v>
      </c>
      <c r="I84" s="1" t="s">
        <v>49</v>
      </c>
      <c r="J84" s="1" t="s">
        <v>50</v>
      </c>
      <c r="K84" s="1" t="s">
        <v>94</v>
      </c>
      <c r="N84" s="6" t="s">
        <v>48</v>
      </c>
      <c r="O84" s="6" t="s">
        <v>49</v>
      </c>
      <c r="P84" s="6" t="s">
        <v>50</v>
      </c>
      <c r="Q84" s="6" t="s">
        <v>94</v>
      </c>
    </row>
    <row r="85" spans="1:17">
      <c r="B85" s="1"/>
      <c r="C85" s="1"/>
      <c r="D85" s="1"/>
      <c r="E85" s="1"/>
    </row>
    <row r="86" spans="1:17">
      <c r="A86" s="1" t="s">
        <v>65</v>
      </c>
      <c r="B86" s="2">
        <v>0</v>
      </c>
      <c r="C86" s="2">
        <v>0</v>
      </c>
      <c r="D86" s="2">
        <v>0</v>
      </c>
      <c r="E86" s="2">
        <f>SUM(B86+C86+D86)</f>
        <v>0</v>
      </c>
      <c r="G86" s="1" t="s">
        <v>65</v>
      </c>
      <c r="H86" s="2">
        <v>0</v>
      </c>
      <c r="I86" s="2">
        <v>0</v>
      </c>
      <c r="J86" s="2">
        <v>0</v>
      </c>
      <c r="K86" s="2">
        <f>SUM(H86+I86+J86)</f>
        <v>0</v>
      </c>
      <c r="M86" s="1" t="s">
        <v>65</v>
      </c>
      <c r="N86" s="2">
        <f>B86+H86</f>
        <v>0</v>
      </c>
      <c r="O86" s="2">
        <f>C86+I86</f>
        <v>0</v>
      </c>
      <c r="P86" s="2">
        <f>D86+J86</f>
        <v>0</v>
      </c>
      <c r="Q86" s="2">
        <f>SUM(N86:P86)</f>
        <v>0</v>
      </c>
    </row>
    <row r="87" spans="1:17">
      <c r="B87" s="2"/>
      <c r="C87" s="2"/>
      <c r="D87" s="2"/>
      <c r="E87" s="2"/>
      <c r="H87" s="2"/>
      <c r="I87" s="2"/>
      <c r="J87" s="2"/>
      <c r="K87" s="2"/>
    </row>
    <row r="88" spans="1:17">
      <c r="A88" s="1" t="s">
        <v>66</v>
      </c>
      <c r="B88" s="2"/>
      <c r="C88" s="2"/>
      <c r="D88" s="2"/>
      <c r="E88" s="2"/>
      <c r="G88" s="1" t="s">
        <v>66</v>
      </c>
      <c r="H88" s="2"/>
      <c r="I88" s="2"/>
      <c r="J88" s="2"/>
      <c r="K88" s="2"/>
      <c r="M88" s="1" t="s">
        <v>66</v>
      </c>
    </row>
    <row r="89" spans="1:17">
      <c r="A89" t="s">
        <v>67</v>
      </c>
      <c r="B89" s="2">
        <f>(111*0.15)</f>
        <v>16.649999999999999</v>
      </c>
      <c r="C89" s="2">
        <f>(146*0.15)</f>
        <v>21.9</v>
      </c>
      <c r="D89" s="2">
        <f>(63*0.15)</f>
        <v>9.4499999999999993</v>
      </c>
      <c r="E89" s="2">
        <f>SUM(B89:D89)</f>
        <v>48</v>
      </c>
      <c r="G89" t="s">
        <v>67</v>
      </c>
      <c r="H89" s="2">
        <f>(22*0.1)</f>
        <v>2.2000000000000002</v>
      </c>
      <c r="I89" s="2">
        <f>(111*0.1)</f>
        <v>11.100000000000001</v>
      </c>
      <c r="J89" s="2">
        <f>(146*0.1)</f>
        <v>14.600000000000001</v>
      </c>
      <c r="K89" s="2">
        <f>SUM(H89:J89)</f>
        <v>27.900000000000002</v>
      </c>
      <c r="M89" t="s">
        <v>67</v>
      </c>
      <c r="N89" s="2">
        <f t="shared" ref="N89:P90" si="40">B89+H89</f>
        <v>18.849999999999998</v>
      </c>
      <c r="O89" s="2">
        <f t="shared" si="40"/>
        <v>33</v>
      </c>
      <c r="P89" s="2">
        <f t="shared" si="40"/>
        <v>24.05</v>
      </c>
      <c r="Q89" s="2">
        <f>SUM(N89:P89)</f>
        <v>75.899999999999991</v>
      </c>
    </row>
    <row r="90" spans="1:17">
      <c r="A90" t="s">
        <v>68</v>
      </c>
      <c r="B90" s="2">
        <f t="shared" ref="B90:E90" si="41">SUM(B89:B89)</f>
        <v>16.649999999999999</v>
      </c>
      <c r="C90" s="2">
        <f t="shared" si="41"/>
        <v>21.9</v>
      </c>
      <c r="D90" s="2">
        <f t="shared" si="41"/>
        <v>9.4499999999999993</v>
      </c>
      <c r="E90" s="2">
        <f t="shared" si="41"/>
        <v>48</v>
      </c>
      <c r="G90" t="s">
        <v>68</v>
      </c>
      <c r="H90" s="2">
        <f t="shared" ref="H90:K90" si="42">SUM(H89:H89)</f>
        <v>2.2000000000000002</v>
      </c>
      <c r="I90" s="2">
        <f t="shared" si="42"/>
        <v>11.100000000000001</v>
      </c>
      <c r="J90" s="2">
        <f t="shared" si="42"/>
        <v>14.600000000000001</v>
      </c>
      <c r="K90" s="2">
        <f t="shared" si="42"/>
        <v>27.900000000000002</v>
      </c>
      <c r="M90" t="s">
        <v>68</v>
      </c>
      <c r="N90" s="2">
        <f t="shared" si="40"/>
        <v>18.849999999999998</v>
      </c>
      <c r="O90" s="2">
        <f t="shared" si="40"/>
        <v>33</v>
      </c>
      <c r="P90" s="2">
        <f t="shared" si="40"/>
        <v>24.05</v>
      </c>
      <c r="Q90" s="2">
        <f>SUM(N90:P90)</f>
        <v>75.899999999999991</v>
      </c>
    </row>
    <row r="91" spans="1:17">
      <c r="B91" s="2"/>
      <c r="C91" s="2"/>
      <c r="D91" s="2"/>
      <c r="E91" s="2"/>
      <c r="H91" s="2"/>
      <c r="I91" s="2"/>
      <c r="J91" s="2"/>
      <c r="K91" s="2"/>
    </row>
    <row r="92" spans="1:17">
      <c r="A92" s="1" t="s">
        <v>69</v>
      </c>
      <c r="B92" s="2">
        <f t="shared" ref="B92:E92" si="43">(B86-B90)</f>
        <v>-16.649999999999999</v>
      </c>
      <c r="C92" s="2">
        <f t="shared" si="43"/>
        <v>-21.9</v>
      </c>
      <c r="D92" s="2">
        <f t="shared" si="43"/>
        <v>-9.4499999999999993</v>
      </c>
      <c r="E92" s="2">
        <f t="shared" si="43"/>
        <v>-48</v>
      </c>
      <c r="G92" s="1" t="s">
        <v>69</v>
      </c>
      <c r="H92" s="2">
        <f t="shared" ref="H92:K92" si="44">(H86-H90)</f>
        <v>-2.2000000000000002</v>
      </c>
      <c r="I92" s="2">
        <f t="shared" si="44"/>
        <v>-11.100000000000001</v>
      </c>
      <c r="J92" s="2">
        <f t="shared" si="44"/>
        <v>-14.600000000000001</v>
      </c>
      <c r="K92" s="2">
        <f t="shared" si="44"/>
        <v>-27.900000000000002</v>
      </c>
      <c r="M92" s="1" t="s">
        <v>69</v>
      </c>
      <c r="N92" s="2">
        <f>B92+H92</f>
        <v>-18.849999999999998</v>
      </c>
      <c r="O92" s="2">
        <f>C92+I92</f>
        <v>-33</v>
      </c>
      <c r="P92" s="2">
        <f>D92+J92</f>
        <v>-24.05</v>
      </c>
      <c r="Q92" s="2">
        <f>SUM(N92:P92)</f>
        <v>-75.899999999999991</v>
      </c>
    </row>
    <row r="93" spans="1:17">
      <c r="B93" s="2"/>
      <c r="C93" s="2"/>
      <c r="D93" s="2"/>
      <c r="E93" s="2"/>
      <c r="H93" s="2"/>
      <c r="I93" s="2"/>
      <c r="J93" s="2"/>
      <c r="K93" s="2"/>
    </row>
    <row r="94" spans="1:17">
      <c r="A94" s="1" t="s">
        <v>70</v>
      </c>
      <c r="B94" s="2"/>
      <c r="C94" s="2"/>
      <c r="D94" s="2"/>
      <c r="E94" s="2"/>
      <c r="G94" s="1" t="s">
        <v>70</v>
      </c>
      <c r="H94" s="2"/>
      <c r="I94" s="2"/>
      <c r="J94" s="2"/>
      <c r="K94" s="2"/>
      <c r="M94" s="1" t="s">
        <v>70</v>
      </c>
    </row>
    <row r="95" spans="1:17">
      <c r="A95" t="s">
        <v>71</v>
      </c>
      <c r="B95" s="2">
        <f>(83343*0.15)</f>
        <v>12501.449999999999</v>
      </c>
      <c r="C95" s="2">
        <f>(80171*0.15)</f>
        <v>12025.65</v>
      </c>
      <c r="D95" s="2">
        <f>(82892*0.15)</f>
        <v>12433.8</v>
      </c>
      <c r="E95" s="2">
        <f t="shared" ref="E95:E105" si="45">SUM(B95:D95)</f>
        <v>36960.899999999994</v>
      </c>
      <c r="G95" t="s">
        <v>71</v>
      </c>
      <c r="H95" s="2">
        <f>(77207*0.1)</f>
        <v>7720.7000000000007</v>
      </c>
      <c r="I95" s="2">
        <f>(83343*0.1)</f>
        <v>8334.3000000000011</v>
      </c>
      <c r="J95" s="2">
        <f>(80171*0.1)</f>
        <v>8017.1</v>
      </c>
      <c r="K95" s="2">
        <f t="shared" ref="K95:K105" si="46">SUM(H95:J95)</f>
        <v>24072.100000000002</v>
      </c>
      <c r="M95" t="s">
        <v>71</v>
      </c>
      <c r="N95" s="2">
        <f>B95+H95</f>
        <v>20222.150000000001</v>
      </c>
      <c r="O95" s="2">
        <f>C95+I95</f>
        <v>20359.95</v>
      </c>
      <c r="P95" s="2">
        <f>D95+J95</f>
        <v>20450.900000000001</v>
      </c>
      <c r="Q95" s="2">
        <f>SUM(N95:P95)</f>
        <v>61033.000000000007</v>
      </c>
    </row>
    <row r="96" spans="1:17">
      <c r="A96" t="s">
        <v>72</v>
      </c>
      <c r="B96" s="2">
        <f>(53893*0.15)</f>
        <v>8083.95</v>
      </c>
      <c r="C96" s="2">
        <f>(61440*0.15)</f>
        <v>9216</v>
      </c>
      <c r="D96" s="2">
        <f>(64220*0.15)</f>
        <v>9633</v>
      </c>
      <c r="E96" s="2">
        <f t="shared" si="45"/>
        <v>26932.95</v>
      </c>
      <c r="G96" t="s">
        <v>72</v>
      </c>
      <c r="H96" s="2">
        <f>(61440*0.1)</f>
        <v>6144</v>
      </c>
      <c r="I96" s="2">
        <f>(63324*0.1)</f>
        <v>6332.4000000000005</v>
      </c>
      <c r="J96" s="2">
        <f>(64220*0.1)</f>
        <v>6422</v>
      </c>
      <c r="K96" s="2">
        <f t="shared" si="46"/>
        <v>18898.400000000001</v>
      </c>
      <c r="M96" t="s">
        <v>72</v>
      </c>
      <c r="N96" s="2">
        <f t="shared" ref="N96:P106" si="47">B96+H96</f>
        <v>14227.95</v>
      </c>
      <c r="O96" s="2">
        <f t="shared" si="47"/>
        <v>15548.400000000001</v>
      </c>
      <c r="P96" s="2">
        <f t="shared" si="47"/>
        <v>16055</v>
      </c>
      <c r="Q96" s="2">
        <f t="shared" ref="Q96:Q106" si="48">SUM(N96:P96)</f>
        <v>45831.350000000006</v>
      </c>
    </row>
    <row r="97" spans="1:17">
      <c r="A97" t="s">
        <v>73</v>
      </c>
      <c r="B97" s="2">
        <v>0</v>
      </c>
      <c r="C97" s="2">
        <v>0</v>
      </c>
      <c r="D97" s="2">
        <v>0</v>
      </c>
      <c r="E97" s="2">
        <f t="shared" si="45"/>
        <v>0</v>
      </c>
      <c r="G97" t="s">
        <v>73</v>
      </c>
      <c r="H97" s="2">
        <f t="shared" ref="H97:J102" si="49">(0*0.1)</f>
        <v>0</v>
      </c>
      <c r="I97" s="2">
        <f t="shared" si="49"/>
        <v>0</v>
      </c>
      <c r="J97" s="2">
        <f t="shared" si="49"/>
        <v>0</v>
      </c>
      <c r="K97" s="2">
        <f t="shared" si="46"/>
        <v>0</v>
      </c>
      <c r="M97" t="s">
        <v>73</v>
      </c>
      <c r="N97" s="2">
        <f t="shared" si="47"/>
        <v>0</v>
      </c>
      <c r="O97" s="2">
        <f t="shared" si="47"/>
        <v>0</v>
      </c>
      <c r="P97" s="2">
        <f t="shared" si="47"/>
        <v>0</v>
      </c>
      <c r="Q97" s="2">
        <f t="shared" si="48"/>
        <v>0</v>
      </c>
    </row>
    <row r="98" spans="1:17">
      <c r="A98" t="s">
        <v>74</v>
      </c>
      <c r="B98" s="2">
        <f>(6416*0.15)</f>
        <v>962.4</v>
      </c>
      <c r="C98" s="2">
        <f>(6380*0.15)</f>
        <v>957</v>
      </c>
      <c r="D98" s="2">
        <f>SUM(6380*0.15)</f>
        <v>957</v>
      </c>
      <c r="E98" s="2">
        <f t="shared" si="45"/>
        <v>2876.4</v>
      </c>
      <c r="G98" t="s">
        <v>74</v>
      </c>
      <c r="H98" s="2">
        <f>(6380*0.1)</f>
        <v>638</v>
      </c>
      <c r="I98" s="2">
        <f>(6427*0.1)</f>
        <v>642.70000000000005</v>
      </c>
      <c r="J98" s="2">
        <f>(6380*0.1)</f>
        <v>638</v>
      </c>
      <c r="K98" s="2">
        <f t="shared" si="46"/>
        <v>1918.7</v>
      </c>
      <c r="M98" t="s">
        <v>74</v>
      </c>
      <c r="N98" s="2">
        <f t="shared" si="47"/>
        <v>1600.4</v>
      </c>
      <c r="O98" s="2">
        <f t="shared" si="47"/>
        <v>1599.7</v>
      </c>
      <c r="P98" s="2">
        <f t="shared" si="47"/>
        <v>1595</v>
      </c>
      <c r="Q98" s="2">
        <f t="shared" si="48"/>
        <v>4795.1000000000004</v>
      </c>
    </row>
    <row r="99" spans="1:17">
      <c r="A99" t="s">
        <v>75</v>
      </c>
      <c r="B99" s="2">
        <v>0</v>
      </c>
      <c r="C99" s="2">
        <v>0</v>
      </c>
      <c r="D99" s="2">
        <v>0</v>
      </c>
      <c r="E99" s="2">
        <f t="shared" si="45"/>
        <v>0</v>
      </c>
      <c r="G99" t="s">
        <v>75</v>
      </c>
      <c r="H99" s="2">
        <f t="shared" si="49"/>
        <v>0</v>
      </c>
      <c r="I99" s="2">
        <f t="shared" si="49"/>
        <v>0</v>
      </c>
      <c r="J99" s="2">
        <f t="shared" si="49"/>
        <v>0</v>
      </c>
      <c r="K99" s="2">
        <f t="shared" si="46"/>
        <v>0</v>
      </c>
      <c r="M99" t="s">
        <v>75</v>
      </c>
      <c r="N99" s="2">
        <f t="shared" si="47"/>
        <v>0</v>
      </c>
      <c r="O99" s="2">
        <f t="shared" si="47"/>
        <v>0</v>
      </c>
      <c r="P99" s="2">
        <f t="shared" si="47"/>
        <v>0</v>
      </c>
      <c r="Q99" s="2">
        <f t="shared" si="48"/>
        <v>0</v>
      </c>
    </row>
    <row r="100" spans="1:17">
      <c r="A100" t="s">
        <v>76</v>
      </c>
      <c r="B100" s="2">
        <f>(11971*0.15)</f>
        <v>1795.6499999999999</v>
      </c>
      <c r="C100" s="2">
        <f>(20958*0.15)</f>
        <v>3143.7</v>
      </c>
      <c r="D100" s="2">
        <f>(9566*0.15)</f>
        <v>1434.8999999999999</v>
      </c>
      <c r="E100" s="2">
        <f t="shared" si="45"/>
        <v>6374.2499999999991</v>
      </c>
      <c r="G100" t="s">
        <v>76</v>
      </c>
      <c r="H100" s="2">
        <f>(11971*0.1)</f>
        <v>1197.1000000000001</v>
      </c>
      <c r="I100" s="2">
        <f>(16997*0.1)</f>
        <v>1699.7</v>
      </c>
      <c r="J100" s="2">
        <f>(9566*0.1)</f>
        <v>956.6</v>
      </c>
      <c r="K100" s="2">
        <f t="shared" si="46"/>
        <v>3853.4</v>
      </c>
      <c r="M100" t="s">
        <v>76</v>
      </c>
      <c r="N100" s="2">
        <f t="shared" si="47"/>
        <v>2992.75</v>
      </c>
      <c r="O100" s="2">
        <f t="shared" si="47"/>
        <v>4843.3999999999996</v>
      </c>
      <c r="P100" s="2">
        <f t="shared" si="47"/>
        <v>2391.5</v>
      </c>
      <c r="Q100" s="2">
        <f t="shared" si="48"/>
        <v>10227.65</v>
      </c>
    </row>
    <row r="101" spans="1:17">
      <c r="A101" t="s">
        <v>77</v>
      </c>
      <c r="B101" s="2">
        <f t="shared" ref="B101:D101" si="50">(45337*0.15)</f>
        <v>6800.55</v>
      </c>
      <c r="C101" s="2">
        <f>(45337*0.15)</f>
        <v>6800.55</v>
      </c>
      <c r="D101" s="2">
        <f t="shared" si="50"/>
        <v>6800.55</v>
      </c>
      <c r="E101" s="2">
        <f t="shared" si="45"/>
        <v>20401.650000000001</v>
      </c>
      <c r="G101" t="s">
        <v>77</v>
      </c>
      <c r="H101" s="2">
        <f t="shared" ref="H101:J101" si="51">(45337*0.1)</f>
        <v>4533.7</v>
      </c>
      <c r="I101" s="2">
        <f t="shared" si="51"/>
        <v>4533.7</v>
      </c>
      <c r="J101" s="2">
        <f t="shared" si="51"/>
        <v>4533.7</v>
      </c>
      <c r="K101" s="2">
        <f t="shared" si="46"/>
        <v>13601.099999999999</v>
      </c>
      <c r="M101" t="s">
        <v>77</v>
      </c>
      <c r="N101" s="2">
        <f t="shared" si="47"/>
        <v>11334.25</v>
      </c>
      <c r="O101" s="2">
        <f t="shared" si="47"/>
        <v>11334.25</v>
      </c>
      <c r="P101" s="2">
        <f t="shared" si="47"/>
        <v>11334.25</v>
      </c>
      <c r="Q101" s="2">
        <f t="shared" si="48"/>
        <v>34002.75</v>
      </c>
    </row>
    <row r="102" spans="1:17">
      <c r="A102" t="s">
        <v>78</v>
      </c>
      <c r="B102" s="2">
        <v>0</v>
      </c>
      <c r="C102" s="2">
        <v>0</v>
      </c>
      <c r="D102" s="2">
        <v>0</v>
      </c>
      <c r="E102" s="2">
        <f t="shared" si="45"/>
        <v>0</v>
      </c>
      <c r="G102" t="s">
        <v>78</v>
      </c>
      <c r="H102" s="2">
        <f t="shared" si="49"/>
        <v>0</v>
      </c>
      <c r="I102" s="2">
        <f t="shared" si="49"/>
        <v>0</v>
      </c>
      <c r="J102" s="2">
        <f t="shared" si="49"/>
        <v>0</v>
      </c>
      <c r="K102" s="2">
        <f t="shared" si="46"/>
        <v>0</v>
      </c>
      <c r="M102" t="s">
        <v>78</v>
      </c>
      <c r="N102" s="2">
        <f t="shared" si="47"/>
        <v>0</v>
      </c>
      <c r="O102" s="2">
        <f t="shared" si="47"/>
        <v>0</v>
      </c>
      <c r="P102" s="2">
        <f t="shared" si="47"/>
        <v>0</v>
      </c>
      <c r="Q102" s="2">
        <f t="shared" si="48"/>
        <v>0</v>
      </c>
    </row>
    <row r="103" spans="1:17">
      <c r="A103" t="s">
        <v>79</v>
      </c>
      <c r="B103" s="2">
        <f>(791*0.15)</f>
        <v>118.64999999999999</v>
      </c>
      <c r="C103" s="2">
        <f>(484*0.15)</f>
        <v>72.599999999999994</v>
      </c>
      <c r="D103" s="2">
        <f>(316*0.15)</f>
        <v>47.4</v>
      </c>
      <c r="E103" s="2">
        <f t="shared" si="45"/>
        <v>238.65</v>
      </c>
      <c r="G103" t="s">
        <v>79</v>
      </c>
      <c r="H103" s="2">
        <f>(791*0.1)</f>
        <v>79.100000000000009</v>
      </c>
      <c r="I103" s="2">
        <f>(1385*0.1)</f>
        <v>138.5</v>
      </c>
      <c r="J103" s="2">
        <f>(316*0.1)</f>
        <v>31.6</v>
      </c>
      <c r="K103" s="2">
        <f t="shared" si="46"/>
        <v>249.20000000000002</v>
      </c>
      <c r="M103" t="s">
        <v>79</v>
      </c>
      <c r="N103" s="2">
        <f t="shared" si="47"/>
        <v>197.75</v>
      </c>
      <c r="O103" s="2">
        <f t="shared" si="47"/>
        <v>211.1</v>
      </c>
      <c r="P103" s="2">
        <f t="shared" si="47"/>
        <v>79</v>
      </c>
      <c r="Q103" s="2">
        <f t="shared" si="48"/>
        <v>487.85</v>
      </c>
    </row>
    <row r="104" spans="1:17">
      <c r="A104" t="s">
        <v>80</v>
      </c>
      <c r="B104" s="2">
        <f>(4749*0.15)</f>
        <v>712.35</v>
      </c>
      <c r="C104" s="2">
        <f>(4749*0.15)</f>
        <v>712.35</v>
      </c>
      <c r="D104" s="2">
        <f>(4749*0.15)</f>
        <v>712.35</v>
      </c>
      <c r="E104" s="2">
        <f t="shared" si="45"/>
        <v>2137.0500000000002</v>
      </c>
      <c r="G104" t="s">
        <v>80</v>
      </c>
      <c r="H104" s="2">
        <f>(4749*0.1)</f>
        <v>474.90000000000003</v>
      </c>
      <c r="I104" s="2">
        <f>(4749*0.1)</f>
        <v>474.90000000000003</v>
      </c>
      <c r="J104" s="2">
        <f>(4749*0.1)</f>
        <v>474.90000000000003</v>
      </c>
      <c r="K104" s="2">
        <f t="shared" si="46"/>
        <v>1424.7</v>
      </c>
      <c r="M104" t="s">
        <v>80</v>
      </c>
      <c r="N104" s="2">
        <f t="shared" si="47"/>
        <v>1187.25</v>
      </c>
      <c r="O104" s="2">
        <f t="shared" si="47"/>
        <v>1187.25</v>
      </c>
      <c r="P104" s="2">
        <f t="shared" si="47"/>
        <v>1187.25</v>
      </c>
      <c r="Q104" s="2">
        <f t="shared" si="48"/>
        <v>3561.75</v>
      </c>
    </row>
    <row r="105" spans="1:17">
      <c r="A105" t="s">
        <v>81</v>
      </c>
      <c r="B105" s="2">
        <f>(2337*0.15)</f>
        <v>350.55</v>
      </c>
      <c r="C105" s="2">
        <f>(1163*0.15)</f>
        <v>174.45</v>
      </c>
      <c r="D105" s="2">
        <f>(553*0.15)</f>
        <v>82.95</v>
      </c>
      <c r="E105" s="2">
        <f t="shared" si="45"/>
        <v>607.95000000000005</v>
      </c>
      <c r="G105" t="s">
        <v>81</v>
      </c>
      <c r="H105" s="2">
        <f>(2337*0.1)</f>
        <v>233.70000000000002</v>
      </c>
      <c r="I105" s="2">
        <f>(1316*0.1)</f>
        <v>131.6</v>
      </c>
      <c r="J105" s="2">
        <f>(553*0.1)</f>
        <v>55.300000000000004</v>
      </c>
      <c r="K105" s="2">
        <f t="shared" si="46"/>
        <v>420.6</v>
      </c>
      <c r="M105" t="s">
        <v>81</v>
      </c>
      <c r="N105" s="2">
        <f t="shared" si="47"/>
        <v>584.25</v>
      </c>
      <c r="O105" s="2">
        <f t="shared" si="47"/>
        <v>306.04999999999995</v>
      </c>
      <c r="P105" s="2">
        <f t="shared" si="47"/>
        <v>138.25</v>
      </c>
      <c r="Q105" s="2">
        <f t="shared" si="48"/>
        <v>1028.55</v>
      </c>
    </row>
    <row r="106" spans="1:17">
      <c r="A106" s="1" t="s">
        <v>82</v>
      </c>
      <c r="B106" s="2">
        <f t="shared" ref="B106:E106" si="52">SUM(B95:B105)</f>
        <v>31325.55</v>
      </c>
      <c r="C106" s="2">
        <f t="shared" si="52"/>
        <v>33102.299999999996</v>
      </c>
      <c r="D106" s="2">
        <f t="shared" si="52"/>
        <v>32101.95</v>
      </c>
      <c r="E106" s="2">
        <f t="shared" si="52"/>
        <v>96529.799999999988</v>
      </c>
      <c r="G106" s="1" t="s">
        <v>82</v>
      </c>
      <c r="H106" s="2">
        <f t="shared" ref="H106:K106" si="53">SUM(H95:H105)</f>
        <v>21021.200000000001</v>
      </c>
      <c r="I106" s="2">
        <f t="shared" si="53"/>
        <v>22287.800000000003</v>
      </c>
      <c r="J106" s="2">
        <f t="shared" si="53"/>
        <v>21129.200000000001</v>
      </c>
      <c r="K106" s="2">
        <f t="shared" si="53"/>
        <v>64438.19999999999</v>
      </c>
      <c r="M106" s="1" t="s">
        <v>82</v>
      </c>
      <c r="N106" s="2">
        <f t="shared" si="47"/>
        <v>52346.75</v>
      </c>
      <c r="O106" s="2">
        <f t="shared" si="47"/>
        <v>55390.1</v>
      </c>
      <c r="P106" s="2">
        <f t="shared" si="47"/>
        <v>53231.15</v>
      </c>
      <c r="Q106" s="2">
        <f t="shared" si="48"/>
        <v>160968</v>
      </c>
    </row>
    <row r="107" spans="1:17">
      <c r="B107" s="2"/>
      <c r="C107" s="2"/>
      <c r="D107" s="2"/>
      <c r="E107" s="2"/>
      <c r="H107" s="2"/>
      <c r="I107" s="2"/>
      <c r="J107" s="2"/>
      <c r="K107" s="2"/>
    </row>
    <row r="108" spans="1:17">
      <c r="A108" s="1" t="s">
        <v>83</v>
      </c>
      <c r="B108" s="2">
        <f t="shared" ref="B108:E108" si="54">(B92-B106)</f>
        <v>-31342.2</v>
      </c>
      <c r="C108" s="2">
        <f t="shared" si="54"/>
        <v>-33124.199999999997</v>
      </c>
      <c r="D108" s="2">
        <f t="shared" si="54"/>
        <v>-32111.4</v>
      </c>
      <c r="E108" s="2">
        <f t="shared" si="54"/>
        <v>-96577.799999999988</v>
      </c>
      <c r="G108" s="1" t="s">
        <v>83</v>
      </c>
      <c r="H108" s="2">
        <f t="shared" ref="H108:K108" si="55">(H92-H106)</f>
        <v>-21023.4</v>
      </c>
      <c r="I108" s="2">
        <f t="shared" si="55"/>
        <v>-22298.9</v>
      </c>
      <c r="J108" s="2">
        <f t="shared" si="55"/>
        <v>-21143.8</v>
      </c>
      <c r="K108" s="2">
        <f t="shared" si="55"/>
        <v>-64466.099999999991</v>
      </c>
      <c r="M108" s="1" t="s">
        <v>83</v>
      </c>
      <c r="N108" s="2">
        <f>(N92-N106)</f>
        <v>-52365.599999999999</v>
      </c>
      <c r="O108" s="2">
        <f>(O92-N106)</f>
        <v>-52379.75</v>
      </c>
      <c r="P108" s="2">
        <f>(P92-P106)</f>
        <v>-53255.200000000004</v>
      </c>
      <c r="Q108" s="2">
        <f>(Q92-Q106)</f>
        <v>-161043.9</v>
      </c>
    </row>
    <row r="109" spans="1:17">
      <c r="B109" s="2"/>
      <c r="C109" s="2"/>
      <c r="D109" s="2"/>
      <c r="E109" s="2"/>
      <c r="H109" s="2"/>
      <c r="I109" s="2"/>
      <c r="J109" s="2"/>
      <c r="K109" s="2"/>
    </row>
    <row r="110" spans="1:17">
      <c r="A110" s="1" t="s">
        <v>84</v>
      </c>
      <c r="B110" s="2"/>
      <c r="C110" s="2"/>
      <c r="D110" s="2"/>
      <c r="E110" s="2"/>
      <c r="G110" s="1" t="s">
        <v>84</v>
      </c>
      <c r="H110" s="2"/>
      <c r="I110" s="2"/>
      <c r="J110" s="2"/>
      <c r="K110" s="2"/>
      <c r="M110" s="1" t="s">
        <v>84</v>
      </c>
    </row>
    <row r="111" spans="1:17">
      <c r="A111" t="s">
        <v>85</v>
      </c>
      <c r="B111" s="2">
        <f>(10426*0.15)</f>
        <v>1563.8999999999999</v>
      </c>
      <c r="C111" s="2">
        <f>(10085*0.15)</f>
        <v>1512.75</v>
      </c>
      <c r="D111" s="2">
        <f>(11019*0.15)</f>
        <v>1652.85</v>
      </c>
      <c r="E111" s="2">
        <f>SUM(B111:D111)</f>
        <v>4729.5</v>
      </c>
      <c r="G111" t="s">
        <v>85</v>
      </c>
      <c r="H111" s="2">
        <f>(950*0.1)</f>
        <v>95</v>
      </c>
      <c r="I111" s="2">
        <f>(7980*0.1)</f>
        <v>798</v>
      </c>
      <c r="J111" s="2">
        <f>(11019*0.1)</f>
        <v>1101.9000000000001</v>
      </c>
      <c r="K111" s="2">
        <f>SUM(H111:J111)</f>
        <v>1994.9</v>
      </c>
      <c r="M111" t="s">
        <v>85</v>
      </c>
      <c r="N111" s="2">
        <f>B111+H111</f>
        <v>1658.8999999999999</v>
      </c>
      <c r="O111" s="2">
        <f>C111+I111</f>
        <v>2310.75</v>
      </c>
      <c r="P111" s="2">
        <f>D111+J111</f>
        <v>2754.75</v>
      </c>
      <c r="Q111" s="2">
        <f>SUM(N111:P111)</f>
        <v>6724.4</v>
      </c>
    </row>
    <row r="112" spans="1:17">
      <c r="A112" t="s">
        <v>86</v>
      </c>
      <c r="B112" s="2">
        <f>(765*0.15)</f>
        <v>114.75</v>
      </c>
      <c r="C112" s="2">
        <f>(1480*0.15)</f>
        <v>222</v>
      </c>
      <c r="D112" s="2">
        <f>(6760*0.15)</f>
        <v>1014</v>
      </c>
      <c r="E112" s="2">
        <f>SUM(B112:D112)</f>
        <v>1350.75</v>
      </c>
      <c r="G112" t="s">
        <v>86</v>
      </c>
      <c r="H112" s="2">
        <f>(765*0.1)</f>
        <v>76.5</v>
      </c>
      <c r="I112" s="2">
        <f>(4464*0.1)</f>
        <v>446.40000000000003</v>
      </c>
      <c r="J112" s="2">
        <f>(6760*0.1)</f>
        <v>676</v>
      </c>
      <c r="K112" s="2">
        <f>SUM(H112:J112)</f>
        <v>1198.9000000000001</v>
      </c>
      <c r="M112" t="s">
        <v>86</v>
      </c>
      <c r="N112" s="2">
        <f t="shared" ref="N112:P114" si="56">B112+H112</f>
        <v>191.25</v>
      </c>
      <c r="O112" s="2">
        <f t="shared" si="56"/>
        <v>668.40000000000009</v>
      </c>
      <c r="P112" s="2">
        <f t="shared" si="56"/>
        <v>1690</v>
      </c>
      <c r="Q112" s="2">
        <f t="shared" ref="Q112:Q114" si="57">SUM(N112:P112)</f>
        <v>2549.65</v>
      </c>
    </row>
    <row r="113" spans="1:17">
      <c r="A113" t="s">
        <v>87</v>
      </c>
      <c r="B113" s="2">
        <f>(177883*0.15)</f>
        <v>26682.45</v>
      </c>
      <c r="C113" s="2">
        <f>(251523*0.15)</f>
        <v>37728.449999999997</v>
      </c>
      <c r="D113" s="2">
        <f>(197316*0.15)</f>
        <v>29597.399999999998</v>
      </c>
      <c r="E113" s="2">
        <f>SUM(B113:D113)</f>
        <v>94008.299999999988</v>
      </c>
      <c r="G113" t="s">
        <v>87</v>
      </c>
      <c r="H113" s="2">
        <f>(177883*0.1)</f>
        <v>17788.3</v>
      </c>
      <c r="I113" s="2">
        <f>(228978*0.1)</f>
        <v>22897.800000000003</v>
      </c>
      <c r="J113" s="2">
        <f>(197316*0.1)</f>
        <v>19731.600000000002</v>
      </c>
      <c r="K113" s="2">
        <f>SUM(H113:J113)</f>
        <v>60417.700000000012</v>
      </c>
      <c r="M113" t="s">
        <v>87</v>
      </c>
      <c r="N113" s="2">
        <f t="shared" si="56"/>
        <v>44470.75</v>
      </c>
      <c r="O113" s="2">
        <f t="shared" si="56"/>
        <v>60626.25</v>
      </c>
      <c r="P113" s="2">
        <f t="shared" si="56"/>
        <v>49329</v>
      </c>
      <c r="Q113" s="2">
        <f t="shared" si="57"/>
        <v>154426</v>
      </c>
    </row>
    <row r="114" spans="1:17">
      <c r="A114" s="1" t="s">
        <v>88</v>
      </c>
      <c r="B114" s="2">
        <f>SUM(B111:B113)</f>
        <v>28361.100000000002</v>
      </c>
      <c r="C114" s="2">
        <f>SUM(C111:C113)</f>
        <v>39463.199999999997</v>
      </c>
      <c r="D114" s="2">
        <f>SUM(D111:D113)</f>
        <v>32264.249999999996</v>
      </c>
      <c r="E114" s="2">
        <f>SUM(B114:D114)</f>
        <v>100088.55</v>
      </c>
      <c r="G114" s="1" t="s">
        <v>88</v>
      </c>
      <c r="H114" s="2">
        <f>SUM(H111:H113)</f>
        <v>17959.8</v>
      </c>
      <c r="I114" s="2">
        <f>SUM(I111:I113)</f>
        <v>24142.200000000004</v>
      </c>
      <c r="J114" s="2">
        <f>SUM(J111:J113)</f>
        <v>21509.500000000004</v>
      </c>
      <c r="K114" s="2">
        <f>SUM(H114:J114)</f>
        <v>63611.5</v>
      </c>
      <c r="M114" s="1" t="s">
        <v>88</v>
      </c>
      <c r="N114" s="2">
        <f t="shared" si="56"/>
        <v>46320.9</v>
      </c>
      <c r="O114" s="2">
        <f t="shared" si="56"/>
        <v>63605.4</v>
      </c>
      <c r="P114" s="2">
        <f t="shared" si="56"/>
        <v>53773.75</v>
      </c>
      <c r="Q114" s="2">
        <f t="shared" si="57"/>
        <v>163700.04999999999</v>
      </c>
    </row>
    <row r="115" spans="1:17">
      <c r="B115" s="2"/>
      <c r="C115" s="2"/>
      <c r="D115" s="2"/>
      <c r="E115" s="2"/>
      <c r="H115" s="2"/>
      <c r="I115" s="2"/>
      <c r="J115" s="2"/>
      <c r="K115" s="2"/>
    </row>
    <row r="116" spans="1:17">
      <c r="A116" s="1" t="s">
        <v>89</v>
      </c>
      <c r="B116" s="2">
        <f t="shared" ref="B116:E116" si="58">(B106+B114)</f>
        <v>59686.65</v>
      </c>
      <c r="C116" s="2">
        <f t="shared" si="58"/>
        <v>72565.5</v>
      </c>
      <c r="D116" s="2">
        <f t="shared" si="58"/>
        <v>64366.2</v>
      </c>
      <c r="E116" s="2">
        <f t="shared" si="58"/>
        <v>196618.34999999998</v>
      </c>
      <c r="G116" s="1" t="s">
        <v>89</v>
      </c>
      <c r="H116" s="2">
        <f t="shared" ref="H116:K116" si="59">(H106+H114)</f>
        <v>38981</v>
      </c>
      <c r="I116" s="2">
        <f t="shared" si="59"/>
        <v>46430.000000000007</v>
      </c>
      <c r="J116" s="2">
        <f t="shared" si="59"/>
        <v>42638.700000000004</v>
      </c>
      <c r="K116" s="2">
        <f t="shared" si="59"/>
        <v>128049.69999999998</v>
      </c>
      <c r="M116" s="1" t="s">
        <v>89</v>
      </c>
      <c r="N116" s="2">
        <f>B116+H116</f>
        <v>98667.65</v>
      </c>
      <c r="O116" s="2">
        <f>C116+I116</f>
        <v>118995.5</v>
      </c>
      <c r="P116" s="2">
        <f>D116+J116</f>
        <v>107004.9</v>
      </c>
      <c r="Q116" s="2">
        <f>SUM(N116:P116)</f>
        <v>324668.05</v>
      </c>
    </row>
    <row r="117" spans="1:17">
      <c r="B117" s="2"/>
      <c r="C117" s="2"/>
      <c r="D117" s="2"/>
      <c r="E117" s="2"/>
      <c r="H117" s="2"/>
      <c r="I117" s="2"/>
      <c r="J117" s="2"/>
      <c r="K117" s="2"/>
    </row>
    <row r="118" spans="1:17">
      <c r="A118" s="1" t="s">
        <v>90</v>
      </c>
      <c r="B118" s="2">
        <f t="shared" ref="B118:E118" si="60">(B92-B116)</f>
        <v>-59703.3</v>
      </c>
      <c r="C118" s="2">
        <f t="shared" si="60"/>
        <v>-72587.399999999994</v>
      </c>
      <c r="D118" s="2">
        <f t="shared" si="60"/>
        <v>-64375.649999999994</v>
      </c>
      <c r="E118" s="2">
        <f t="shared" si="60"/>
        <v>-196666.34999999998</v>
      </c>
      <c r="G118" s="1" t="s">
        <v>90</v>
      </c>
      <c r="H118" s="2">
        <f t="shared" ref="H118:K118" si="61">(H92-H116)</f>
        <v>-38983.199999999997</v>
      </c>
      <c r="I118" s="2">
        <f t="shared" si="61"/>
        <v>-46441.100000000006</v>
      </c>
      <c r="J118" s="2">
        <f t="shared" si="61"/>
        <v>-42653.3</v>
      </c>
      <c r="K118" s="2">
        <f t="shared" si="61"/>
        <v>-128077.59999999998</v>
      </c>
      <c r="M118" s="1" t="s">
        <v>90</v>
      </c>
      <c r="N118" s="2">
        <f>(N92-N116)</f>
        <v>-98686.5</v>
      </c>
      <c r="O118" s="2">
        <f t="shared" ref="O118:Q118" si="62">(O92-O116)</f>
        <v>-119028.5</v>
      </c>
      <c r="P118" s="2">
        <f t="shared" si="62"/>
        <v>-107028.95</v>
      </c>
      <c r="Q118" s="2">
        <f t="shared" si="62"/>
        <v>-324743.95</v>
      </c>
    </row>
    <row r="119" spans="1:17">
      <c r="M119" s="1"/>
      <c r="N119" s="2"/>
      <c r="O119" s="2"/>
      <c r="P119" s="2"/>
      <c r="Q119" s="2"/>
    </row>
    <row r="121" spans="1:17">
      <c r="B121" s="1" t="s">
        <v>61</v>
      </c>
      <c r="H121" s="1" t="s">
        <v>62</v>
      </c>
      <c r="N121" s="1" t="s">
        <v>63</v>
      </c>
    </row>
    <row r="122" spans="1:17">
      <c r="C122" s="1" t="s">
        <v>95</v>
      </c>
      <c r="I122" s="1" t="s">
        <v>95</v>
      </c>
      <c r="O122" s="1" t="s">
        <v>95</v>
      </c>
    </row>
    <row r="123" spans="1:17">
      <c r="I123" s="1"/>
    </row>
    <row r="124" spans="1:17">
      <c r="B124" s="1" t="s">
        <v>51</v>
      </c>
      <c r="C124" s="1" t="s">
        <v>52</v>
      </c>
      <c r="D124" s="1" t="s">
        <v>53</v>
      </c>
      <c r="E124" s="6" t="s">
        <v>96</v>
      </c>
      <c r="H124" s="1" t="s">
        <v>51</v>
      </c>
      <c r="I124" s="1" t="s">
        <v>52</v>
      </c>
      <c r="J124" s="1" t="s">
        <v>53</v>
      </c>
      <c r="K124" s="1" t="s">
        <v>96</v>
      </c>
      <c r="N124" s="1" t="s">
        <v>51</v>
      </c>
      <c r="O124" s="1" t="s">
        <v>52</v>
      </c>
      <c r="P124" s="1" t="s">
        <v>53</v>
      </c>
      <c r="Q124" s="1" t="s">
        <v>96</v>
      </c>
    </row>
    <row r="125" spans="1:17">
      <c r="B125" s="1"/>
      <c r="C125" s="1"/>
      <c r="D125" s="1"/>
      <c r="E125" s="1"/>
    </row>
    <row r="126" spans="1:17">
      <c r="A126" s="1" t="s">
        <v>65</v>
      </c>
      <c r="B126" s="2">
        <v>0</v>
      </c>
      <c r="C126" s="2">
        <v>0</v>
      </c>
      <c r="D126" s="2">
        <v>0</v>
      </c>
      <c r="E126" s="2">
        <f>SUM(B126+C126+D126)</f>
        <v>0</v>
      </c>
      <c r="G126" s="1" t="s">
        <v>65</v>
      </c>
      <c r="H126" s="2">
        <v>0</v>
      </c>
      <c r="I126" s="2">
        <v>0</v>
      </c>
      <c r="J126" s="2">
        <v>0</v>
      </c>
      <c r="K126" s="2">
        <f>SUM(H126:J126)</f>
        <v>0</v>
      </c>
      <c r="M126" s="1" t="s">
        <v>65</v>
      </c>
      <c r="N126" s="2">
        <f>B126+H126</f>
        <v>0</v>
      </c>
      <c r="O126" s="2">
        <f>C126+I126</f>
        <v>0</v>
      </c>
      <c r="P126" s="2">
        <f>D126+J126</f>
        <v>0</v>
      </c>
      <c r="Q126" s="2">
        <f>SUM(N126:P126)</f>
        <v>0</v>
      </c>
    </row>
    <row r="127" spans="1:17">
      <c r="B127" s="2"/>
      <c r="C127" s="2"/>
      <c r="D127" s="2"/>
      <c r="E127" s="2"/>
      <c r="H127" s="2"/>
      <c r="I127" s="2"/>
      <c r="J127" s="2"/>
      <c r="K127" s="2"/>
    </row>
    <row r="128" spans="1:17">
      <c r="A128" s="1" t="s">
        <v>66</v>
      </c>
      <c r="B128" s="2"/>
      <c r="C128" s="2"/>
      <c r="D128" s="2"/>
      <c r="E128" s="2"/>
      <c r="G128" s="1" t="s">
        <v>66</v>
      </c>
      <c r="H128" s="2"/>
      <c r="I128" s="2"/>
      <c r="J128" s="2"/>
      <c r="K128" s="2"/>
      <c r="M128" s="1" t="s">
        <v>66</v>
      </c>
    </row>
    <row r="129" spans="1:17">
      <c r="A129" t="s">
        <v>67</v>
      </c>
      <c r="B129" s="2">
        <f>(22*0.15)</f>
        <v>3.3</v>
      </c>
      <c r="C129" s="2">
        <f>(111*0.15)</f>
        <v>16.649999999999999</v>
      </c>
      <c r="D129" s="2">
        <f>(146*0.15)</f>
        <v>21.9</v>
      </c>
      <c r="E129" s="2">
        <f>SUM(B129:D129)</f>
        <v>41.849999999999994</v>
      </c>
      <c r="G129" t="s">
        <v>67</v>
      </c>
      <c r="H129" s="2">
        <f>(1150*0.1)</f>
        <v>115</v>
      </c>
      <c r="I129" s="2">
        <f>(63*0.1)</f>
        <v>6.3000000000000007</v>
      </c>
      <c r="J129" s="2">
        <f>(22*0.1)</f>
        <v>2.2000000000000002</v>
      </c>
      <c r="K129" s="2">
        <f>SUM(H129:J129)</f>
        <v>123.5</v>
      </c>
      <c r="M129" t="s">
        <v>67</v>
      </c>
      <c r="N129" s="2">
        <f t="shared" ref="N129:P130" si="63">B129+H129</f>
        <v>118.3</v>
      </c>
      <c r="O129" s="2">
        <f t="shared" si="63"/>
        <v>22.95</v>
      </c>
      <c r="P129" s="2">
        <f t="shared" si="63"/>
        <v>24.099999999999998</v>
      </c>
      <c r="Q129" s="2">
        <f>SUM(N129:P129)</f>
        <v>165.35</v>
      </c>
    </row>
    <row r="130" spans="1:17">
      <c r="A130" t="s">
        <v>68</v>
      </c>
      <c r="B130" s="2">
        <f t="shared" ref="B130:E130" si="64">SUM(B129:B129)</f>
        <v>3.3</v>
      </c>
      <c r="C130" s="2">
        <f t="shared" si="64"/>
        <v>16.649999999999999</v>
      </c>
      <c r="D130" s="2">
        <f t="shared" si="64"/>
        <v>21.9</v>
      </c>
      <c r="E130" s="2">
        <f t="shared" si="64"/>
        <v>41.849999999999994</v>
      </c>
      <c r="G130" t="s">
        <v>68</v>
      </c>
      <c r="H130" s="2">
        <f t="shared" ref="H130:K130" si="65">SUM(H129:H129)</f>
        <v>115</v>
      </c>
      <c r="I130" s="2">
        <f t="shared" si="65"/>
        <v>6.3000000000000007</v>
      </c>
      <c r="J130" s="2">
        <f t="shared" si="65"/>
        <v>2.2000000000000002</v>
      </c>
      <c r="K130" s="2">
        <f t="shared" si="65"/>
        <v>123.5</v>
      </c>
      <c r="M130" t="s">
        <v>68</v>
      </c>
      <c r="N130" s="2">
        <f t="shared" si="63"/>
        <v>118.3</v>
      </c>
      <c r="O130" s="2">
        <f t="shared" si="63"/>
        <v>22.95</v>
      </c>
      <c r="P130" s="2">
        <f t="shared" si="63"/>
        <v>24.099999999999998</v>
      </c>
      <c r="Q130" s="2">
        <f>SUM(N130:P130)</f>
        <v>165.35</v>
      </c>
    </row>
    <row r="131" spans="1:17">
      <c r="B131" s="2"/>
      <c r="C131" s="2"/>
      <c r="D131" s="2"/>
      <c r="E131" s="2"/>
      <c r="H131" s="2"/>
      <c r="I131" s="2"/>
      <c r="J131" s="2"/>
      <c r="K131" s="2"/>
    </row>
    <row r="132" spans="1:17">
      <c r="A132" s="1" t="s">
        <v>69</v>
      </c>
      <c r="B132" s="2">
        <f t="shared" ref="B132:E132" si="66">(B126-B130)</f>
        <v>-3.3</v>
      </c>
      <c r="C132" s="2">
        <f t="shared" si="66"/>
        <v>-16.649999999999999</v>
      </c>
      <c r="D132" s="2">
        <f t="shared" si="66"/>
        <v>-21.9</v>
      </c>
      <c r="E132" s="2">
        <f t="shared" si="66"/>
        <v>-41.849999999999994</v>
      </c>
      <c r="G132" s="1" t="s">
        <v>69</v>
      </c>
      <c r="H132" s="2">
        <f t="shared" ref="H132:K132" si="67">(H126-H130)</f>
        <v>-115</v>
      </c>
      <c r="I132" s="2">
        <f t="shared" si="67"/>
        <v>-6.3000000000000007</v>
      </c>
      <c r="J132" s="2">
        <f t="shared" si="67"/>
        <v>-2.2000000000000002</v>
      </c>
      <c r="K132" s="2">
        <f t="shared" si="67"/>
        <v>-123.5</v>
      </c>
      <c r="M132" s="1" t="s">
        <v>69</v>
      </c>
      <c r="N132" s="2">
        <f>B132+H132</f>
        <v>-118.3</v>
      </c>
      <c r="O132" s="2">
        <f>C132+I132</f>
        <v>-22.95</v>
      </c>
      <c r="P132" s="2">
        <f>D132+J132</f>
        <v>-24.099999999999998</v>
      </c>
      <c r="Q132" s="2">
        <f>SUM(N132:P132)</f>
        <v>-165.35</v>
      </c>
    </row>
    <row r="133" spans="1:17">
      <c r="B133" s="2"/>
      <c r="C133" s="2"/>
      <c r="D133" s="2"/>
      <c r="E133" s="2"/>
      <c r="H133" s="2"/>
      <c r="I133" s="2"/>
      <c r="J133" s="2"/>
      <c r="K133" s="2"/>
    </row>
    <row r="134" spans="1:17">
      <c r="A134" s="1" t="s">
        <v>70</v>
      </c>
      <c r="B134" s="2"/>
      <c r="C134" s="2"/>
      <c r="D134" s="2"/>
      <c r="E134" s="2"/>
      <c r="G134" s="1" t="s">
        <v>70</v>
      </c>
      <c r="H134" s="2"/>
      <c r="I134" s="2"/>
      <c r="J134" s="2"/>
      <c r="K134" s="2"/>
      <c r="M134" s="1" t="s">
        <v>70</v>
      </c>
    </row>
    <row r="135" spans="1:17">
      <c r="A135" t="s">
        <v>71</v>
      </c>
      <c r="B135" s="2">
        <f>(77207*0.15)</f>
        <v>11581.05</v>
      </c>
      <c r="C135" s="2">
        <f>(83343*0.15)</f>
        <v>12501.449999999999</v>
      </c>
      <c r="D135" s="2">
        <f>(80171*0.15)</f>
        <v>12025.65</v>
      </c>
      <c r="E135" s="2">
        <f t="shared" ref="E135:E146" si="68">SUM(B135:D135)</f>
        <v>36108.15</v>
      </c>
      <c r="G135" t="s">
        <v>71</v>
      </c>
      <c r="H135" s="2">
        <f>(84378*0.1)</f>
        <v>8437.8000000000011</v>
      </c>
      <c r="I135" s="2">
        <f>(82892*0.1)</f>
        <v>8289.2000000000007</v>
      </c>
      <c r="J135" s="2">
        <f>(77207*0.1)</f>
        <v>7720.7000000000007</v>
      </c>
      <c r="K135" s="2">
        <f t="shared" ref="K135:K146" si="69">SUM(H135:J135)</f>
        <v>24447.7</v>
      </c>
      <c r="M135" t="s">
        <v>71</v>
      </c>
      <c r="N135" s="2">
        <f>B135+H135</f>
        <v>20018.849999999999</v>
      </c>
      <c r="O135" s="2">
        <f>C135+I135</f>
        <v>20790.650000000001</v>
      </c>
      <c r="P135" s="2">
        <f>D135+J135</f>
        <v>19746.349999999999</v>
      </c>
      <c r="Q135" s="2">
        <f>SUM(N135:P135)</f>
        <v>60555.85</v>
      </c>
    </row>
    <row r="136" spans="1:17">
      <c r="A136" t="s">
        <v>72</v>
      </c>
      <c r="B136" s="2">
        <f>(47615*0.15)</f>
        <v>7142.25</v>
      </c>
      <c r="C136" s="2">
        <f>(53893*0.15)</f>
        <v>8083.95</v>
      </c>
      <c r="D136" s="2">
        <f>(61440*0.15)</f>
        <v>9216</v>
      </c>
      <c r="E136" s="2">
        <f t="shared" si="68"/>
        <v>24442.2</v>
      </c>
      <c r="G136" t="s">
        <v>72</v>
      </c>
      <c r="H136" s="2">
        <f>(47615*0.1)</f>
        <v>4761.5</v>
      </c>
      <c r="I136" s="2">
        <f>(53893*0.1)</f>
        <v>5389.3</v>
      </c>
      <c r="J136" s="2">
        <f>(61440*0.1)</f>
        <v>6144</v>
      </c>
      <c r="K136" s="2">
        <f t="shared" si="69"/>
        <v>16294.8</v>
      </c>
      <c r="M136" t="s">
        <v>72</v>
      </c>
      <c r="N136" s="2">
        <f t="shared" ref="N136:P146" si="70">B136+H136</f>
        <v>11903.75</v>
      </c>
      <c r="O136" s="2">
        <f t="shared" si="70"/>
        <v>13473.25</v>
      </c>
      <c r="P136" s="2">
        <f t="shared" si="70"/>
        <v>15360</v>
      </c>
      <c r="Q136" s="2">
        <f t="shared" ref="Q136:Q146" si="71">SUM(N136:P136)</f>
        <v>40737</v>
      </c>
    </row>
    <row r="137" spans="1:17">
      <c r="A137" t="s">
        <v>73</v>
      </c>
      <c r="B137" s="2">
        <v>0</v>
      </c>
      <c r="C137" s="2">
        <v>0</v>
      </c>
      <c r="D137" s="2">
        <v>0</v>
      </c>
      <c r="E137" s="2">
        <f t="shared" si="68"/>
        <v>0</v>
      </c>
      <c r="G137" t="s">
        <v>73</v>
      </c>
      <c r="H137" s="2">
        <f t="shared" ref="H137:J142" si="72">(0*0.1)</f>
        <v>0</v>
      </c>
      <c r="I137" s="2">
        <f t="shared" si="72"/>
        <v>0</v>
      </c>
      <c r="J137" s="2">
        <f t="shared" si="72"/>
        <v>0</v>
      </c>
      <c r="K137" s="2">
        <f t="shared" si="69"/>
        <v>0</v>
      </c>
      <c r="M137" t="s">
        <v>73</v>
      </c>
      <c r="N137" s="2">
        <f t="shared" si="70"/>
        <v>0</v>
      </c>
      <c r="O137" s="2">
        <f t="shared" si="70"/>
        <v>0</v>
      </c>
      <c r="P137" s="2">
        <f t="shared" si="70"/>
        <v>0</v>
      </c>
      <c r="Q137" s="2">
        <f t="shared" si="71"/>
        <v>0</v>
      </c>
    </row>
    <row r="138" spans="1:17">
      <c r="A138" t="s">
        <v>74</v>
      </c>
      <c r="B138" s="2">
        <f>(6416*0.15)</f>
        <v>962.4</v>
      </c>
      <c r="C138" s="2">
        <f>(6416*0.15)</f>
        <v>962.4</v>
      </c>
      <c r="D138" s="2">
        <f>(6380*0.15)</f>
        <v>957</v>
      </c>
      <c r="E138" s="2">
        <f t="shared" si="68"/>
        <v>2881.8</v>
      </c>
      <c r="G138" t="s">
        <v>74</v>
      </c>
      <c r="H138" s="2">
        <f>(6416*0.1)</f>
        <v>641.6</v>
      </c>
      <c r="I138" s="2">
        <f>(6416*0.1)</f>
        <v>641.6</v>
      </c>
      <c r="J138" s="2">
        <f>(6380*0.1)</f>
        <v>638</v>
      </c>
      <c r="K138" s="2">
        <f t="shared" si="69"/>
        <v>1921.2</v>
      </c>
      <c r="M138" t="s">
        <v>74</v>
      </c>
      <c r="N138" s="2">
        <f t="shared" si="70"/>
        <v>1604</v>
      </c>
      <c r="O138" s="2">
        <f t="shared" si="70"/>
        <v>1604</v>
      </c>
      <c r="P138" s="2">
        <f t="shared" si="70"/>
        <v>1595</v>
      </c>
      <c r="Q138" s="2">
        <f t="shared" si="71"/>
        <v>4803</v>
      </c>
    </row>
    <row r="139" spans="1:17">
      <c r="A139" t="s">
        <v>75</v>
      </c>
      <c r="B139" s="2">
        <v>0</v>
      </c>
      <c r="C139" s="2">
        <v>0</v>
      </c>
      <c r="D139" s="2">
        <v>0</v>
      </c>
      <c r="E139" s="2">
        <f t="shared" si="68"/>
        <v>0</v>
      </c>
      <c r="G139" t="s">
        <v>75</v>
      </c>
      <c r="H139" s="2">
        <f t="shared" si="72"/>
        <v>0</v>
      </c>
      <c r="I139" s="2">
        <f t="shared" si="72"/>
        <v>0</v>
      </c>
      <c r="J139" s="2">
        <f t="shared" si="72"/>
        <v>0</v>
      </c>
      <c r="K139" s="2">
        <f t="shared" si="69"/>
        <v>0</v>
      </c>
      <c r="M139" t="s">
        <v>75</v>
      </c>
      <c r="N139" s="2">
        <f t="shared" si="70"/>
        <v>0</v>
      </c>
      <c r="O139" s="2">
        <f t="shared" si="70"/>
        <v>0</v>
      </c>
      <c r="P139" s="2">
        <f t="shared" si="70"/>
        <v>0</v>
      </c>
      <c r="Q139" s="2">
        <f t="shared" si="71"/>
        <v>0</v>
      </c>
    </row>
    <row r="140" spans="1:17">
      <c r="A140" t="s">
        <v>76</v>
      </c>
      <c r="B140" s="2">
        <f>(7673*0.15)</f>
        <v>1150.95</v>
      </c>
      <c r="C140" s="2">
        <f>(11971*0.15)</f>
        <v>1795.6499999999999</v>
      </c>
      <c r="D140" s="2">
        <f>(20958*0.15)</f>
        <v>3143.7</v>
      </c>
      <c r="E140" s="2">
        <f t="shared" si="68"/>
        <v>6090.2999999999993</v>
      </c>
      <c r="G140" t="s">
        <v>76</v>
      </c>
      <c r="H140" s="2">
        <f>(7673*0.1)</f>
        <v>767.30000000000007</v>
      </c>
      <c r="I140" s="2">
        <f>(11971*0.1)</f>
        <v>1197.1000000000001</v>
      </c>
      <c r="J140" s="2">
        <f>(20958*0.1)</f>
        <v>2095.8000000000002</v>
      </c>
      <c r="K140" s="2">
        <f t="shared" si="69"/>
        <v>4060.2000000000003</v>
      </c>
      <c r="M140" t="s">
        <v>76</v>
      </c>
      <c r="N140" s="2">
        <f t="shared" si="70"/>
        <v>1918.25</v>
      </c>
      <c r="O140" s="2">
        <f t="shared" si="70"/>
        <v>2992.75</v>
      </c>
      <c r="P140" s="2">
        <f t="shared" si="70"/>
        <v>5239.5</v>
      </c>
      <c r="Q140" s="2">
        <f t="shared" si="71"/>
        <v>10150.5</v>
      </c>
    </row>
    <row r="141" spans="1:17">
      <c r="A141" t="s">
        <v>77</v>
      </c>
      <c r="B141" s="2">
        <f t="shared" ref="B141:D141" si="73">(45337*0.15)</f>
        <v>6800.55</v>
      </c>
      <c r="C141" s="2">
        <f t="shared" si="73"/>
        <v>6800.55</v>
      </c>
      <c r="D141" s="2">
        <f t="shared" si="73"/>
        <v>6800.55</v>
      </c>
      <c r="E141" s="2">
        <f t="shared" si="68"/>
        <v>20401.650000000001</v>
      </c>
      <c r="G141" t="s">
        <v>77</v>
      </c>
      <c r="H141" s="2">
        <f t="shared" ref="H141:J141" si="74">(45337*0.1)</f>
        <v>4533.7</v>
      </c>
      <c r="I141" s="2">
        <f t="shared" si="74"/>
        <v>4533.7</v>
      </c>
      <c r="J141" s="2">
        <f t="shared" si="74"/>
        <v>4533.7</v>
      </c>
      <c r="K141" s="2">
        <f t="shared" si="69"/>
        <v>13601.099999999999</v>
      </c>
      <c r="M141" t="s">
        <v>77</v>
      </c>
      <c r="N141" s="2">
        <f t="shared" si="70"/>
        <v>11334.25</v>
      </c>
      <c r="O141" s="2">
        <f t="shared" si="70"/>
        <v>11334.25</v>
      </c>
      <c r="P141" s="2">
        <f t="shared" si="70"/>
        <v>11334.25</v>
      </c>
      <c r="Q141" s="2">
        <f t="shared" si="71"/>
        <v>34002.75</v>
      </c>
    </row>
    <row r="142" spans="1:17">
      <c r="A142" t="s">
        <v>78</v>
      </c>
      <c r="B142" s="2">
        <v>0</v>
      </c>
      <c r="C142" s="2">
        <v>0</v>
      </c>
      <c r="D142" s="2">
        <v>0</v>
      </c>
      <c r="E142" s="2">
        <f t="shared" si="68"/>
        <v>0</v>
      </c>
      <c r="G142" t="s">
        <v>78</v>
      </c>
      <c r="H142" s="2">
        <f t="shared" si="72"/>
        <v>0</v>
      </c>
      <c r="I142" s="2">
        <f t="shared" si="72"/>
        <v>0</v>
      </c>
      <c r="J142" s="2">
        <f t="shared" si="72"/>
        <v>0</v>
      </c>
      <c r="K142" s="2">
        <f t="shared" si="69"/>
        <v>0</v>
      </c>
      <c r="M142" t="s">
        <v>78</v>
      </c>
      <c r="N142" s="2">
        <f t="shared" si="70"/>
        <v>0</v>
      </c>
      <c r="O142" s="2">
        <f t="shared" si="70"/>
        <v>0</v>
      </c>
      <c r="P142" s="2">
        <f t="shared" si="70"/>
        <v>0</v>
      </c>
      <c r="Q142" s="2">
        <f t="shared" si="71"/>
        <v>0</v>
      </c>
    </row>
    <row r="143" spans="1:17">
      <c r="A143" t="s">
        <v>79</v>
      </c>
      <c r="B143" s="2">
        <f>(52*0.15)</f>
        <v>7.8</v>
      </c>
      <c r="C143" s="2">
        <f>(791*0.15)</f>
        <v>118.64999999999999</v>
      </c>
      <c r="D143" s="2">
        <f>(484*0.15)</f>
        <v>72.599999999999994</v>
      </c>
      <c r="E143" s="2">
        <f t="shared" si="68"/>
        <v>199.04999999999998</v>
      </c>
      <c r="G143" t="s">
        <v>79</v>
      </c>
      <c r="H143" s="2">
        <f>(52*0.1)</f>
        <v>5.2</v>
      </c>
      <c r="I143" s="2">
        <f>(791*0.1)</f>
        <v>79.100000000000009</v>
      </c>
      <c r="J143" s="2">
        <f>(484*0.1)</f>
        <v>48.400000000000006</v>
      </c>
      <c r="K143" s="2">
        <f t="shared" si="69"/>
        <v>132.70000000000002</v>
      </c>
      <c r="M143" t="s">
        <v>79</v>
      </c>
      <c r="N143" s="2">
        <f t="shared" si="70"/>
        <v>13</v>
      </c>
      <c r="O143" s="2">
        <f t="shared" si="70"/>
        <v>197.75</v>
      </c>
      <c r="P143" s="2">
        <f t="shared" si="70"/>
        <v>121</v>
      </c>
      <c r="Q143" s="2">
        <f t="shared" si="71"/>
        <v>331.75</v>
      </c>
    </row>
    <row r="144" spans="1:17">
      <c r="A144" t="s">
        <v>80</v>
      </c>
      <c r="B144" s="2">
        <f>(4749*0.15)</f>
        <v>712.35</v>
      </c>
      <c r="C144" s="2">
        <f>(4749*0.15)</f>
        <v>712.35</v>
      </c>
      <c r="D144" s="2">
        <f>(4749*0.15)</f>
        <v>712.35</v>
      </c>
      <c r="E144" s="2">
        <f t="shared" si="68"/>
        <v>2137.0500000000002</v>
      </c>
      <c r="G144" t="s">
        <v>80</v>
      </c>
      <c r="H144" s="2">
        <f>(4749*0.1)</f>
        <v>474.90000000000003</v>
      </c>
      <c r="I144" s="2">
        <f>(4749*0.1)</f>
        <v>474.90000000000003</v>
      </c>
      <c r="J144" s="2">
        <f>(4749*0.1)</f>
        <v>474.90000000000003</v>
      </c>
      <c r="K144" s="2">
        <f t="shared" si="69"/>
        <v>1424.7</v>
      </c>
      <c r="M144" t="s">
        <v>80</v>
      </c>
      <c r="N144" s="2">
        <f t="shared" si="70"/>
        <v>1187.25</v>
      </c>
      <c r="O144" s="2">
        <f t="shared" si="70"/>
        <v>1187.25</v>
      </c>
      <c r="P144" s="2">
        <f t="shared" si="70"/>
        <v>1187.25</v>
      </c>
      <c r="Q144" s="2">
        <f t="shared" si="71"/>
        <v>3561.75</v>
      </c>
    </row>
    <row r="145" spans="1:17">
      <c r="A145" t="s">
        <v>81</v>
      </c>
      <c r="B145" s="2">
        <f>(2460*0.15)</f>
        <v>369</v>
      </c>
      <c r="C145" s="2">
        <f>(2337*0.15)</f>
        <v>350.55</v>
      </c>
      <c r="D145" s="2">
        <f>(1163*0.15)</f>
        <v>174.45</v>
      </c>
      <c r="E145" s="2">
        <f t="shared" si="68"/>
        <v>894</v>
      </c>
      <c r="G145" t="s">
        <v>81</v>
      </c>
      <c r="H145" s="2">
        <f>(2460*0.1)</f>
        <v>246</v>
      </c>
      <c r="I145" s="2">
        <f>(2337*0.1)</f>
        <v>233.70000000000002</v>
      </c>
      <c r="J145" s="2">
        <f>(1163*0.1)</f>
        <v>116.30000000000001</v>
      </c>
      <c r="K145" s="2">
        <f t="shared" si="69"/>
        <v>596</v>
      </c>
      <c r="M145" t="s">
        <v>81</v>
      </c>
      <c r="N145" s="2">
        <f t="shared" si="70"/>
        <v>615</v>
      </c>
      <c r="O145" s="2">
        <f t="shared" si="70"/>
        <v>584.25</v>
      </c>
      <c r="P145" s="2">
        <f t="shared" si="70"/>
        <v>290.75</v>
      </c>
      <c r="Q145" s="2">
        <f t="shared" si="71"/>
        <v>1490</v>
      </c>
    </row>
    <row r="146" spans="1:17">
      <c r="A146" s="1" t="s">
        <v>82</v>
      </c>
      <c r="B146" s="2">
        <f t="shared" ref="B146:D146" si="75">SUM(B135:B145)</f>
        <v>28726.35</v>
      </c>
      <c r="C146" s="2">
        <f t="shared" si="75"/>
        <v>31325.55</v>
      </c>
      <c r="D146" s="2">
        <f t="shared" si="75"/>
        <v>33102.299999999996</v>
      </c>
      <c r="E146" s="2">
        <f t="shared" si="68"/>
        <v>93154.199999999983</v>
      </c>
      <c r="G146" s="1" t="s">
        <v>82</v>
      </c>
      <c r="H146" s="2">
        <f t="shared" ref="H146:J146" si="76">SUM(H135:H145)</f>
        <v>19868.000000000004</v>
      </c>
      <c r="I146" s="2">
        <f t="shared" si="76"/>
        <v>20838.600000000002</v>
      </c>
      <c r="J146" s="2">
        <f t="shared" si="76"/>
        <v>21771.800000000003</v>
      </c>
      <c r="K146" s="2">
        <f t="shared" si="69"/>
        <v>62478.400000000009</v>
      </c>
      <c r="M146" s="1" t="s">
        <v>82</v>
      </c>
      <c r="N146" s="2">
        <f t="shared" si="70"/>
        <v>48594.350000000006</v>
      </c>
      <c r="O146" s="2">
        <f t="shared" si="70"/>
        <v>52164.15</v>
      </c>
      <c r="P146" s="2">
        <f t="shared" si="70"/>
        <v>54874.1</v>
      </c>
      <c r="Q146" s="2">
        <f t="shared" si="71"/>
        <v>155632.6</v>
      </c>
    </row>
    <row r="147" spans="1:17">
      <c r="B147" s="2"/>
      <c r="C147" s="2"/>
      <c r="D147" s="2"/>
      <c r="E147" s="2"/>
      <c r="H147" s="2"/>
      <c r="I147" s="2"/>
      <c r="J147" s="2"/>
      <c r="K147" s="2"/>
    </row>
    <row r="148" spans="1:17">
      <c r="A148" s="1" t="s">
        <v>83</v>
      </c>
      <c r="B148" s="2">
        <f t="shared" ref="B148:E148" si="77">(B132-B146)</f>
        <v>-28729.649999999998</v>
      </c>
      <c r="C148" s="2">
        <f t="shared" si="77"/>
        <v>-31342.2</v>
      </c>
      <c r="D148" s="2">
        <f t="shared" si="77"/>
        <v>-33124.199999999997</v>
      </c>
      <c r="E148" s="2">
        <f t="shared" si="77"/>
        <v>-93196.049999999988</v>
      </c>
      <c r="G148" s="1" t="s">
        <v>83</v>
      </c>
      <c r="H148" s="2">
        <f t="shared" ref="H148:K148" si="78">(H132-H146)</f>
        <v>-19983.000000000004</v>
      </c>
      <c r="I148" s="2">
        <f t="shared" si="78"/>
        <v>-20844.900000000001</v>
      </c>
      <c r="J148" s="2">
        <f t="shared" si="78"/>
        <v>-21774.000000000004</v>
      </c>
      <c r="K148" s="2">
        <f t="shared" si="78"/>
        <v>-62601.900000000009</v>
      </c>
      <c r="M148" s="1" t="s">
        <v>83</v>
      </c>
      <c r="N148" s="2">
        <f>(N132-N146)</f>
        <v>-48712.650000000009</v>
      </c>
      <c r="O148" s="2">
        <f>(O132-N146)</f>
        <v>-48617.3</v>
      </c>
      <c r="P148" s="2">
        <f>(P132-P146)</f>
        <v>-54898.2</v>
      </c>
      <c r="Q148" s="2">
        <f>(Q132-Q146)</f>
        <v>-155797.95000000001</v>
      </c>
    </row>
    <row r="149" spans="1:17">
      <c r="B149" s="2"/>
      <c r="C149" s="2"/>
      <c r="D149" s="2"/>
      <c r="E149" s="2"/>
      <c r="H149" s="2"/>
      <c r="I149" s="2"/>
      <c r="J149" s="2"/>
      <c r="K149" s="2"/>
    </row>
    <row r="150" spans="1:17">
      <c r="A150" s="1" t="s">
        <v>84</v>
      </c>
      <c r="B150" s="2"/>
      <c r="C150" s="2"/>
      <c r="D150" s="2"/>
      <c r="E150" s="2"/>
      <c r="G150" s="1" t="s">
        <v>84</v>
      </c>
      <c r="H150" s="2"/>
      <c r="I150" s="2"/>
      <c r="J150" s="2"/>
      <c r="K150" s="2"/>
      <c r="M150" s="1" t="s">
        <v>84</v>
      </c>
    </row>
    <row r="151" spans="1:17">
      <c r="A151" t="s">
        <v>85</v>
      </c>
      <c r="B151" s="2">
        <f>(9500*0.15)</f>
        <v>1425</v>
      </c>
      <c r="C151" s="2">
        <f>(10426*0.15)</f>
        <v>1563.8999999999999</v>
      </c>
      <c r="D151" s="2">
        <f>(10085*0.15)</f>
        <v>1512.75</v>
      </c>
      <c r="E151" s="2">
        <f>SUM(B151:D151)</f>
        <v>4501.6499999999996</v>
      </c>
      <c r="G151" t="s">
        <v>85</v>
      </c>
      <c r="H151" s="2">
        <f>(9500*0.1)</f>
        <v>950</v>
      </c>
      <c r="I151" s="2">
        <f>(10426*0.1)</f>
        <v>1042.6000000000001</v>
      </c>
      <c r="J151" s="2">
        <f>(10085*0.1)</f>
        <v>1008.5</v>
      </c>
      <c r="K151" s="2">
        <f>SUM(H151:J151)</f>
        <v>3001.1000000000004</v>
      </c>
      <c r="M151" t="s">
        <v>85</v>
      </c>
      <c r="N151" s="2">
        <f>B151+H151</f>
        <v>2375</v>
      </c>
      <c r="O151" s="2">
        <f>C151+I151</f>
        <v>2606.5</v>
      </c>
      <c r="P151" s="2">
        <f>D151+J151</f>
        <v>2521.25</v>
      </c>
      <c r="Q151" s="2">
        <f>SUM(N151:P151)</f>
        <v>7502.75</v>
      </c>
    </row>
    <row r="152" spans="1:17">
      <c r="A152" t="s">
        <v>86</v>
      </c>
      <c r="B152" s="2">
        <f>(4632*0.15)</f>
        <v>694.8</v>
      </c>
      <c r="C152" s="2">
        <f>(765*0.15)</f>
        <v>114.75</v>
      </c>
      <c r="D152" s="2">
        <f>(1480*0.15)</f>
        <v>222</v>
      </c>
      <c r="E152" s="2">
        <f>SUM(B152:D152)</f>
        <v>1031.55</v>
      </c>
      <c r="G152" t="s">
        <v>86</v>
      </c>
      <c r="H152" s="2">
        <f>(4632*0.1)</f>
        <v>463.20000000000005</v>
      </c>
      <c r="I152" s="2">
        <f>(765*0.1)</f>
        <v>76.5</v>
      </c>
      <c r="J152" s="2">
        <f>(1480*0.1)</f>
        <v>148</v>
      </c>
      <c r="K152" s="2">
        <f>SUM(H152:J152)</f>
        <v>687.7</v>
      </c>
      <c r="M152" t="s">
        <v>86</v>
      </c>
      <c r="N152" s="2">
        <f t="shared" ref="N152:P154" si="79">B152+H152</f>
        <v>1158</v>
      </c>
      <c r="O152" s="2">
        <f t="shared" si="79"/>
        <v>191.25</v>
      </c>
      <c r="P152" s="2">
        <f t="shared" si="79"/>
        <v>370</v>
      </c>
      <c r="Q152" s="2">
        <f t="shared" ref="Q152:Q154" si="80">SUM(N152:P152)</f>
        <v>1719.25</v>
      </c>
    </row>
    <row r="153" spans="1:17">
      <c r="A153" t="s">
        <v>87</v>
      </c>
      <c r="B153" s="2">
        <f>(170807*0.15)</f>
        <v>25621.05</v>
      </c>
      <c r="C153" s="2">
        <f>(177883*0.15)</f>
        <v>26682.45</v>
      </c>
      <c r="D153" s="2">
        <f>(251523*0.15)</f>
        <v>37728.449999999997</v>
      </c>
      <c r="E153" s="2">
        <f>SUM(B153:D153)</f>
        <v>90031.95</v>
      </c>
      <c r="G153" t="s">
        <v>87</v>
      </c>
      <c r="H153" s="2">
        <f>(170807*0.1)</f>
        <v>17080.7</v>
      </c>
      <c r="I153" s="2">
        <f>(177883*0.1)</f>
        <v>17788.3</v>
      </c>
      <c r="J153" s="2">
        <f>(251523*0.1)</f>
        <v>25152.300000000003</v>
      </c>
      <c r="K153" s="2">
        <f>SUM(H153:J153)</f>
        <v>60021.3</v>
      </c>
      <c r="M153" t="s">
        <v>87</v>
      </c>
      <c r="N153" s="2">
        <f t="shared" si="79"/>
        <v>42701.75</v>
      </c>
      <c r="O153" s="2">
        <f t="shared" si="79"/>
        <v>44470.75</v>
      </c>
      <c r="P153" s="2">
        <f t="shared" si="79"/>
        <v>62880.75</v>
      </c>
      <c r="Q153" s="2">
        <f t="shared" si="80"/>
        <v>150053.25</v>
      </c>
    </row>
    <row r="154" spans="1:17">
      <c r="A154" s="1" t="s">
        <v>88</v>
      </c>
      <c r="B154" s="2">
        <f>SUM(B151:B153)</f>
        <v>27740.85</v>
      </c>
      <c r="C154" s="2">
        <f>SUM(C151:C153)</f>
        <v>28361.100000000002</v>
      </c>
      <c r="D154" s="2">
        <f>SUM(D151:D153)</f>
        <v>39463.199999999997</v>
      </c>
      <c r="E154" s="2">
        <f>SUM(B154:D154)</f>
        <v>95565.15</v>
      </c>
      <c r="G154" s="1" t="s">
        <v>88</v>
      </c>
      <c r="H154" s="2">
        <f>SUM(H151:H153)</f>
        <v>18493.900000000001</v>
      </c>
      <c r="I154" s="2">
        <f>SUM(I151:I153)</f>
        <v>18907.399999999998</v>
      </c>
      <c r="J154" s="2">
        <f>SUM(J151:J153)</f>
        <v>26308.800000000003</v>
      </c>
      <c r="K154" s="2">
        <f>SUM(H154:J154)</f>
        <v>63710.100000000006</v>
      </c>
      <c r="M154" s="1" t="s">
        <v>88</v>
      </c>
      <c r="N154" s="2">
        <f t="shared" si="79"/>
        <v>46234.75</v>
      </c>
      <c r="O154" s="2">
        <f t="shared" si="79"/>
        <v>47268.5</v>
      </c>
      <c r="P154" s="2">
        <f t="shared" si="79"/>
        <v>65772</v>
      </c>
      <c r="Q154" s="2">
        <f t="shared" si="80"/>
        <v>159275.25</v>
      </c>
    </row>
    <row r="155" spans="1:17">
      <c r="B155" s="2"/>
      <c r="C155" s="2"/>
      <c r="D155" s="2"/>
      <c r="E155" s="2"/>
      <c r="H155" s="2"/>
      <c r="I155" s="2"/>
      <c r="J155" s="2"/>
      <c r="K155" s="2"/>
    </row>
    <row r="156" spans="1:17">
      <c r="A156" s="1" t="s">
        <v>89</v>
      </c>
      <c r="B156" s="2">
        <f t="shared" ref="B156:E156" si="81">(B146+B154)</f>
        <v>56467.199999999997</v>
      </c>
      <c r="C156" s="2">
        <f t="shared" si="81"/>
        <v>59686.65</v>
      </c>
      <c r="D156" s="2">
        <f t="shared" si="81"/>
        <v>72565.5</v>
      </c>
      <c r="E156" s="2">
        <f t="shared" si="81"/>
        <v>188719.34999999998</v>
      </c>
      <c r="G156" s="1" t="s">
        <v>89</v>
      </c>
      <c r="H156" s="2">
        <f t="shared" ref="H156:K156" si="82">(H146+H154)</f>
        <v>38361.900000000009</v>
      </c>
      <c r="I156" s="2">
        <f t="shared" si="82"/>
        <v>39746</v>
      </c>
      <c r="J156" s="2">
        <f t="shared" si="82"/>
        <v>48080.600000000006</v>
      </c>
      <c r="K156" s="2">
        <f t="shared" si="82"/>
        <v>126188.50000000001</v>
      </c>
      <c r="M156" s="1" t="s">
        <v>89</v>
      </c>
      <c r="N156" s="2">
        <f>B156+H156</f>
        <v>94829.1</v>
      </c>
      <c r="O156" s="2">
        <f>C156+I156</f>
        <v>99432.65</v>
      </c>
      <c r="P156" s="2">
        <f>D156+J156</f>
        <v>120646.1</v>
      </c>
      <c r="Q156" s="2">
        <f>SUM(N156:P156)</f>
        <v>314907.84999999998</v>
      </c>
    </row>
    <row r="157" spans="1:17">
      <c r="B157" s="2"/>
      <c r="C157" s="2"/>
      <c r="D157" s="2"/>
      <c r="E157" s="2"/>
      <c r="H157" s="2"/>
      <c r="I157" s="2"/>
      <c r="J157" s="2"/>
      <c r="K157" s="2"/>
    </row>
    <row r="158" spans="1:17">
      <c r="A158" s="1" t="s">
        <v>90</v>
      </c>
      <c r="B158" s="2">
        <f t="shared" ref="B158:E158" si="83">(B132-B156)</f>
        <v>-56470.5</v>
      </c>
      <c r="C158" s="2">
        <f t="shared" si="83"/>
        <v>-59703.3</v>
      </c>
      <c r="D158" s="2">
        <f t="shared" si="83"/>
        <v>-72587.399999999994</v>
      </c>
      <c r="E158" s="2">
        <f t="shared" si="83"/>
        <v>-188761.19999999998</v>
      </c>
      <c r="G158" s="1" t="s">
        <v>90</v>
      </c>
      <c r="H158" s="2">
        <f t="shared" ref="H158:K158" si="84">(H132-H156)</f>
        <v>-38476.900000000009</v>
      </c>
      <c r="I158" s="2">
        <f t="shared" si="84"/>
        <v>-39752.300000000003</v>
      </c>
      <c r="J158" s="2">
        <f t="shared" si="84"/>
        <v>-48082.8</v>
      </c>
      <c r="K158" s="2">
        <f t="shared" si="84"/>
        <v>-126312.00000000001</v>
      </c>
      <c r="M158" s="1" t="s">
        <v>90</v>
      </c>
      <c r="N158" s="2">
        <f>(N132-N156)</f>
        <v>-94947.400000000009</v>
      </c>
      <c r="O158" s="2">
        <f t="shared" ref="O158:Q158" si="85">(O132-O156)</f>
        <v>-99455.599999999991</v>
      </c>
      <c r="P158" s="2">
        <f t="shared" si="85"/>
        <v>-120670.20000000001</v>
      </c>
      <c r="Q158" s="2">
        <f t="shared" si="85"/>
        <v>-315073.19999999995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New User</cp:lastModifiedBy>
  <cp:lastPrinted>2012-04-16T16:27:05Z</cp:lastPrinted>
  <dcterms:created xsi:type="dcterms:W3CDTF">2012-04-16T16:18:05Z</dcterms:created>
  <dcterms:modified xsi:type="dcterms:W3CDTF">2012-04-23T00:41:24Z</dcterms:modified>
</cp:coreProperties>
</file>