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N9" i="1" l="1"/>
  <c r="K9" i="1"/>
  <c r="O23" i="1"/>
  <c r="P23" i="1"/>
  <c r="O24" i="1"/>
  <c r="P24" i="1"/>
  <c r="O25" i="1"/>
  <c r="P25" i="1"/>
  <c r="O26" i="1"/>
  <c r="P26" i="1"/>
  <c r="O5" i="1"/>
  <c r="O15" i="1" s="1"/>
  <c r="P5" i="1"/>
  <c r="P15" i="1" s="1"/>
  <c r="O6" i="1"/>
  <c r="O16" i="1" s="1"/>
  <c r="P6" i="1"/>
  <c r="P16" i="1" s="1"/>
  <c r="O7" i="1"/>
  <c r="O17" i="1" s="1"/>
  <c r="P7" i="1"/>
  <c r="P17" i="1" s="1"/>
  <c r="O8" i="1"/>
  <c r="P8" i="1"/>
  <c r="N8" i="1" l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H9" i="1"/>
  <c r="E9" i="1"/>
  <c r="B9" i="1"/>
  <c r="D15" i="1" l="1"/>
  <c r="F15" i="1"/>
  <c r="H15" i="1"/>
  <c r="J15" i="1"/>
  <c r="L15" i="1"/>
  <c r="N15" i="1"/>
  <c r="B15" i="1"/>
  <c r="M17" i="1" l="1"/>
  <c r="K17" i="1"/>
  <c r="I17" i="1"/>
  <c r="G17" i="1"/>
  <c r="E17" i="1"/>
  <c r="C17" i="1"/>
  <c r="M16" i="1"/>
  <c r="K16" i="1"/>
  <c r="I16" i="1"/>
  <c r="G16" i="1"/>
  <c r="E16" i="1"/>
  <c r="C16" i="1"/>
  <c r="M15" i="1"/>
  <c r="K15" i="1"/>
  <c r="I15" i="1"/>
  <c r="G15" i="1"/>
  <c r="E15" i="1"/>
  <c r="C15" i="1"/>
  <c r="N17" i="1"/>
  <c r="L17" i="1"/>
  <c r="J17" i="1"/>
  <c r="H17" i="1"/>
  <c r="F17" i="1"/>
  <c r="D17" i="1"/>
  <c r="B17" i="1"/>
  <c r="N16" i="1"/>
  <c r="L16" i="1"/>
  <c r="J16" i="1"/>
  <c r="H16" i="1"/>
  <c r="F16" i="1"/>
  <c r="D16" i="1"/>
  <c r="B16" i="1"/>
  <c r="E23" i="1"/>
  <c r="F23" i="1"/>
  <c r="G23" i="1"/>
  <c r="H23" i="1"/>
  <c r="I23" i="1"/>
  <c r="J23" i="1"/>
  <c r="K23" i="1"/>
  <c r="L23" i="1"/>
  <c r="M23" i="1"/>
  <c r="N23" i="1"/>
  <c r="E24" i="1"/>
  <c r="F24" i="1"/>
  <c r="G24" i="1"/>
  <c r="H24" i="1"/>
  <c r="I24" i="1"/>
  <c r="J24" i="1"/>
  <c r="K24" i="1"/>
  <c r="L24" i="1"/>
  <c r="M24" i="1"/>
  <c r="N24" i="1"/>
  <c r="E25" i="1"/>
  <c r="F25" i="1"/>
  <c r="G25" i="1"/>
  <c r="H25" i="1"/>
  <c r="I25" i="1"/>
  <c r="J25" i="1"/>
  <c r="K25" i="1"/>
  <c r="L25" i="1"/>
  <c r="M25" i="1"/>
  <c r="N25" i="1"/>
  <c r="E26" i="1"/>
  <c r="F26" i="1"/>
  <c r="G26" i="1"/>
  <c r="H26" i="1"/>
  <c r="I26" i="1"/>
  <c r="J26" i="1"/>
  <c r="K26" i="1"/>
  <c r="L26" i="1"/>
  <c r="M26" i="1"/>
  <c r="N26" i="1"/>
  <c r="C26" i="1"/>
  <c r="D26" i="1"/>
  <c r="B26" i="1"/>
  <c r="B24" i="1"/>
  <c r="C24" i="1"/>
  <c r="D24" i="1"/>
  <c r="B25" i="1"/>
  <c r="C25" i="1"/>
  <c r="D25" i="1"/>
  <c r="C23" i="1"/>
  <c r="D23" i="1"/>
  <c r="B23" i="1"/>
</calcChain>
</file>

<file path=xl/sharedStrings.xml><?xml version="1.0" encoding="utf-8"?>
<sst xmlns="http://schemas.openxmlformats.org/spreadsheetml/2006/main" count="85" uniqueCount="34">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</sst>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0" fillId="0" borderId="0" xfId="0"/>
    <xf numFmtId="0" fontId="16" fillId="0" borderId="26" xfId="45" applyFont="1" applyBorder="1" applyAlignment="1">
      <alignment horizontal="center" vertical="center"/>
    </xf>
    <xf numFmtId="9" fontId="24" fillId="0" borderId="22" xfId="2" applyFont="1" applyBorder="1" applyAlignment="1" applyProtection="1">
      <alignment horizontal="center" vertical="center"/>
    </xf>
    <xf numFmtId="0" fontId="23" fillId="33" borderId="31" xfId="45" applyFont="1" applyFill="1" applyBorder="1" applyAlignment="1">
      <alignment horizontal="center" vertical="center"/>
    </xf>
    <xf numFmtId="0" fontId="23" fillId="33" borderId="32" xfId="45" applyFont="1" applyFill="1" applyBorder="1" applyAlignment="1">
      <alignment horizontal="center" vertical="center"/>
    </xf>
    <xf numFmtId="0" fontId="23" fillId="33" borderId="33" xfId="45" applyFont="1" applyFill="1" applyBorder="1" applyAlignment="1">
      <alignment horizontal="center" vertical="center"/>
    </xf>
    <xf numFmtId="0" fontId="22" fillId="34" borderId="32" xfId="45" applyFont="1" applyFill="1" applyBorder="1" applyAlignment="1">
      <alignment horizontal="center" vertical="center"/>
    </xf>
    <xf numFmtId="0" fontId="22" fillId="34" borderId="33" xfId="45" applyFont="1" applyFill="1" applyBorder="1" applyAlignment="1">
      <alignment horizontal="center" vertical="center"/>
    </xf>
    <xf numFmtId="0" fontId="22" fillId="34" borderId="31" xfId="45" applyFont="1" applyFill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3" xfId="1" applyNumberFormat="1" applyFont="1" applyBorder="1" applyAlignment="1" applyProtection="1">
      <alignment horizontal="center" vertical="center"/>
    </xf>
    <xf numFmtId="164" fontId="26" fillId="0" borderId="34" xfId="1" applyNumberFormat="1" applyFont="1" applyBorder="1" applyAlignment="1" applyProtection="1">
      <alignment horizontal="center" vertical="center"/>
    </xf>
    <xf numFmtId="9" fontId="24" fillId="0" borderId="10" xfId="2" applyFont="1" applyBorder="1" applyAlignment="1" applyProtection="1">
      <alignment horizontal="center" vertical="center"/>
    </xf>
    <xf numFmtId="9" fontId="24" fillId="0" borderId="23" xfId="2" applyFont="1" applyBorder="1" applyAlignment="1" applyProtection="1">
      <alignment horizontal="center" vertical="center"/>
    </xf>
    <xf numFmtId="9" fontId="24" fillId="0" borderId="19" xfId="2" applyFont="1" applyBorder="1" applyAlignment="1" applyProtection="1">
      <alignment horizontal="center" vertical="center"/>
    </xf>
    <xf numFmtId="9" fontId="24" fillId="0" borderId="20" xfId="2" applyFont="1" applyBorder="1" applyAlignment="1" applyProtection="1">
      <alignment horizontal="center" vertical="center"/>
    </xf>
    <xf numFmtId="9" fontId="24" fillId="0" borderId="21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6" fillId="0" borderId="13" xfId="47" applyFont="1" applyBorder="1" applyAlignment="1" applyProtection="1"/>
    <xf numFmtId="9" fontId="24" fillId="0" borderId="18" xfId="2" applyFont="1" applyBorder="1" applyAlignment="1" applyProtection="1">
      <alignment horizontal="center" vertical="center"/>
    </xf>
    <xf numFmtId="9" fontId="24" fillId="0" borderId="17" xfId="2" applyFont="1" applyBorder="1" applyAlignment="1" applyProtection="1">
      <alignment horizontal="center" vertical="center"/>
    </xf>
    <xf numFmtId="0" fontId="26" fillId="0" borderId="36" xfId="47" applyFont="1" applyBorder="1" applyAlignment="1" applyProtection="1"/>
    <xf numFmtId="0" fontId="26" fillId="0" borderId="27" xfId="47" applyFont="1" applyBorder="1" applyAlignment="1" applyProtection="1"/>
    <xf numFmtId="0" fontId="26" fillId="0" borderId="35" xfId="47" applyFont="1" applyBorder="1" applyAlignment="1" applyProtection="1"/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57" applyFont="1"/>
    <xf numFmtId="0" fontId="28" fillId="0" borderId="26" xfId="47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4" fontId="24" fillId="0" borderId="41" xfId="1" applyNumberFormat="1" applyFont="1" applyBorder="1" applyAlignment="1" applyProtection="1">
      <alignment horizontal="center" vertical="center"/>
    </xf>
    <xf numFmtId="164" fontId="24" fillId="0" borderId="45" xfId="1" applyNumberFormat="1" applyFont="1" applyBorder="1" applyAlignment="1" applyProtection="1">
      <alignment horizontal="center" vertical="center"/>
    </xf>
    <xf numFmtId="164" fontId="24" fillId="0" borderId="46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32" xfId="1" applyNumberFormat="1" applyFont="1" applyBorder="1" applyAlignment="1" applyProtection="1">
      <alignment horizontal="center" vertical="center"/>
    </xf>
    <xf numFmtId="164" fontId="24" fillId="0" borderId="33" xfId="1" applyNumberFormat="1" applyFont="1" applyBorder="1" applyAlignment="1" applyProtection="1">
      <alignment horizontal="center" vertical="center"/>
    </xf>
    <xf numFmtId="164" fontId="24" fillId="0" borderId="49" xfId="1" applyNumberFormat="1" applyFont="1" applyBorder="1" applyAlignment="1" applyProtection="1">
      <alignment horizontal="center" vertical="center"/>
    </xf>
    <xf numFmtId="164" fontId="24" fillId="0" borderId="5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164" fontId="26" fillId="0" borderId="54" xfId="1" applyNumberFormat="1" applyFont="1" applyBorder="1" applyAlignment="1" applyProtection="1">
      <alignment horizontal="center" vertical="center"/>
    </xf>
    <xf numFmtId="9" fontId="24" fillId="0" borderId="16" xfId="2" applyFont="1" applyBorder="1" applyAlignment="1" applyProtection="1">
      <alignment horizontal="center" vertical="center"/>
    </xf>
    <xf numFmtId="9" fontId="24" fillId="0" borderId="46" xfId="2" applyFont="1" applyBorder="1" applyAlignment="1" applyProtection="1">
      <alignment horizontal="center" vertical="center"/>
    </xf>
    <xf numFmtId="9" fontId="24" fillId="0" borderId="41" xfId="2" applyFont="1" applyBorder="1" applyAlignment="1" applyProtection="1">
      <alignment horizontal="center" vertical="center"/>
    </xf>
    <xf numFmtId="9" fontId="24" fillId="0" borderId="48" xfId="2" applyFont="1" applyBorder="1" applyAlignment="1" applyProtection="1">
      <alignment horizontal="center" vertical="center"/>
    </xf>
    <xf numFmtId="9" fontId="24" fillId="0" borderId="45" xfId="2" applyFont="1" applyBorder="1" applyAlignment="1" applyProtection="1">
      <alignment horizontal="center" vertical="center"/>
    </xf>
    <xf numFmtId="9" fontId="24" fillId="0" borderId="40" xfId="2" applyFont="1" applyBorder="1" applyAlignment="1" applyProtection="1">
      <alignment horizontal="center" vertical="center"/>
    </xf>
    <xf numFmtId="9" fontId="24" fillId="0" borderId="47" xfId="2" applyFont="1" applyBorder="1" applyAlignment="1" applyProtection="1">
      <alignment horizontal="center" vertical="center"/>
    </xf>
    <xf numFmtId="9" fontId="24" fillId="0" borderId="31" xfId="2" applyFont="1" applyBorder="1" applyAlignment="1" applyProtection="1">
      <alignment horizontal="center" vertical="center"/>
    </xf>
    <xf numFmtId="9" fontId="24" fillId="0" borderId="32" xfId="2" applyFont="1" applyBorder="1" applyAlignment="1" applyProtection="1">
      <alignment horizontal="center" vertical="center"/>
    </xf>
    <xf numFmtId="9" fontId="24" fillId="0" borderId="33" xfId="2" applyFont="1" applyBorder="1" applyAlignment="1" applyProtection="1">
      <alignment horizontal="center" vertical="center"/>
    </xf>
    <xf numFmtId="9" fontId="26" fillId="0" borderId="51" xfId="2" applyFont="1" applyBorder="1" applyAlignment="1" applyProtection="1">
      <alignment horizontal="center" vertical="center"/>
    </xf>
    <xf numFmtId="9" fontId="26" fillId="0" borderId="52" xfId="2" applyFont="1" applyBorder="1" applyAlignment="1" applyProtection="1">
      <alignment horizontal="center" vertical="center"/>
    </xf>
    <xf numFmtId="9" fontId="26" fillId="0" borderId="34" xfId="2" applyFont="1" applyBorder="1" applyAlignment="1" applyProtection="1">
      <alignment horizontal="center" vertical="center"/>
    </xf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27" fillId="35" borderId="13" xfId="10" applyFont="1" applyFill="1" applyBorder="1" applyAlignment="1">
      <alignment horizontal="center" vertical="center" wrapText="1"/>
    </xf>
    <xf numFmtId="0" fontId="19" fillId="35" borderId="28" xfId="45" applyFont="1" applyFill="1" applyBorder="1" applyAlignment="1">
      <alignment horizontal="center"/>
    </xf>
    <xf numFmtId="0" fontId="19" fillId="35" borderId="29" xfId="45" applyFont="1" applyFill="1" applyBorder="1" applyAlignment="1">
      <alignment horizontal="center"/>
    </xf>
    <xf numFmtId="0" fontId="19" fillId="35" borderId="30" xfId="45" applyFont="1" applyFill="1" applyBorder="1" applyAlignment="1">
      <alignment horizontal="center"/>
    </xf>
    <xf numFmtId="0" fontId="19" fillId="35" borderId="25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24" xfId="45" applyFont="1" applyFill="1" applyBorder="1" applyAlignment="1">
      <alignment horizont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/>
    </xf>
    <xf numFmtId="0" fontId="22" fillId="34" borderId="18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22" fillId="35" borderId="13" xfId="10" applyFont="1" applyFill="1" applyBorder="1" applyAlignment="1">
      <alignment horizontal="center" vertical="center" wrapText="1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  <xf numFmtId="0" fontId="19" fillId="35" borderId="15" xfId="45" applyFont="1" applyFill="1" applyBorder="1" applyAlignment="1">
      <alignment horizontal="center"/>
    </xf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3" fontId="28" fillId="0" borderId="42" xfId="1" applyNumberFormat="1" applyFont="1" applyFill="1" applyBorder="1" applyAlignment="1" applyProtection="1">
      <alignment horizontal="center" vertical="center"/>
    </xf>
    <xf numFmtId="3" fontId="28" fillId="0" borderId="43" xfId="1" applyNumberFormat="1" applyFont="1" applyFill="1" applyBorder="1" applyAlignment="1" applyProtection="1">
      <alignment horizontal="center" vertical="center"/>
    </xf>
    <xf numFmtId="3" fontId="28" fillId="0" borderId="44" xfId="1" applyNumberFormat="1" applyFont="1" applyFill="1" applyBorder="1" applyAlignment="1" applyProtection="1">
      <alignment horizontal="center" vertical="center"/>
    </xf>
    <xf numFmtId="3" fontId="28" fillId="0" borderId="55" xfId="1" applyNumberFormat="1" applyFont="1" applyFill="1" applyBorder="1" applyAlignment="1" applyProtection="1">
      <alignment horizontal="center" vertical="center"/>
    </xf>
    <xf numFmtId="3" fontId="28" fillId="0" borderId="56" xfId="1" applyNumberFormat="1" applyFont="1" applyFill="1" applyBorder="1" applyAlignment="1" applyProtection="1">
      <alignment horizontal="center" vertical="center"/>
    </xf>
    <xf numFmtId="3" fontId="28" fillId="0" borderId="57" xfId="1" applyNumberFormat="1" applyFont="1" applyFill="1" applyBorder="1" applyAlignment="1" applyProtection="1">
      <alignment horizontal="center" vertic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SJC%20Service%20Area/Demographics/All%20Students/Unduplicated%20Headcount/edit/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SJC%20Service%20Area/Demographics/All%20Students/Ethnicity/edit.sjc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553</v>
          </cell>
          <cell r="C4">
            <v>2070</v>
          </cell>
          <cell r="D4">
            <v>2060</v>
          </cell>
          <cell r="E4">
            <v>663</v>
          </cell>
          <cell r="F4">
            <v>2224</v>
          </cell>
          <cell r="G4">
            <v>2533</v>
          </cell>
          <cell r="H4">
            <v>563</v>
          </cell>
          <cell r="I4">
            <v>2764</v>
          </cell>
          <cell r="J4">
            <v>2823</v>
          </cell>
          <cell r="K4">
            <v>393</v>
          </cell>
          <cell r="L4">
            <v>2441</v>
          </cell>
          <cell r="M4">
            <v>2440</v>
          </cell>
          <cell r="N4">
            <v>156</v>
          </cell>
          <cell r="O4">
            <v>2316</v>
          </cell>
          <cell r="P4">
            <v>2424</v>
          </cell>
        </row>
        <row r="5">
          <cell r="A5" t="str">
            <v>Female</v>
          </cell>
          <cell r="B5">
            <v>710</v>
          </cell>
          <cell r="C5">
            <v>3035</v>
          </cell>
          <cell r="D5">
            <v>2855</v>
          </cell>
          <cell r="E5">
            <v>924</v>
          </cell>
          <cell r="F5">
            <v>3248</v>
          </cell>
          <cell r="G5">
            <v>3537</v>
          </cell>
          <cell r="H5">
            <v>638</v>
          </cell>
          <cell r="I5">
            <v>3710</v>
          </cell>
          <cell r="J5">
            <v>3622</v>
          </cell>
          <cell r="K5">
            <v>382</v>
          </cell>
          <cell r="L5">
            <v>3216</v>
          </cell>
          <cell r="M5">
            <v>3066</v>
          </cell>
          <cell r="N5">
            <v>31</v>
          </cell>
          <cell r="O5">
            <v>3028</v>
          </cell>
          <cell r="P5">
            <v>3061</v>
          </cell>
        </row>
        <row r="6">
          <cell r="A6" t="str">
            <v>Undeclared</v>
          </cell>
          <cell r="B6">
            <v>13</v>
          </cell>
          <cell r="C6">
            <v>47</v>
          </cell>
          <cell r="D6">
            <v>67</v>
          </cell>
          <cell r="E6">
            <v>23</v>
          </cell>
          <cell r="F6">
            <v>113</v>
          </cell>
          <cell r="G6">
            <v>101</v>
          </cell>
          <cell r="H6">
            <v>14</v>
          </cell>
          <cell r="I6">
            <v>90</v>
          </cell>
          <cell r="J6">
            <v>81</v>
          </cell>
          <cell r="K6">
            <v>11</v>
          </cell>
          <cell r="L6">
            <v>69</v>
          </cell>
          <cell r="M6">
            <v>76</v>
          </cell>
          <cell r="N6">
            <v>1</v>
          </cell>
          <cell r="O6">
            <v>50</v>
          </cell>
          <cell r="P6">
            <v>59</v>
          </cell>
        </row>
        <row r="7">
          <cell r="A7" t="str">
            <v>Term Total</v>
          </cell>
          <cell r="B7">
            <v>1276</v>
          </cell>
          <cell r="C7">
            <v>5152</v>
          </cell>
          <cell r="D7">
            <v>4982</v>
          </cell>
          <cell r="E7">
            <v>1610</v>
          </cell>
          <cell r="F7">
            <v>5585</v>
          </cell>
          <cell r="G7">
            <v>6171</v>
          </cell>
          <cell r="H7">
            <v>1215</v>
          </cell>
          <cell r="I7">
            <v>6564</v>
          </cell>
          <cell r="J7">
            <v>6526</v>
          </cell>
          <cell r="K7">
            <v>786</v>
          </cell>
          <cell r="L7">
            <v>5726</v>
          </cell>
          <cell r="M7">
            <v>5582</v>
          </cell>
          <cell r="N7">
            <v>188</v>
          </cell>
          <cell r="O7">
            <v>5394</v>
          </cell>
          <cell r="P7">
            <v>5544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sjc.ethnicity"/>
    </sheetNames>
    <sheetDataSet>
      <sheetData sheetId="0">
        <row r="15">
          <cell r="B15">
            <v>7858</v>
          </cell>
          <cell r="E15">
            <v>9192</v>
          </cell>
          <cell r="H15">
            <v>9871</v>
          </cell>
          <cell r="K15">
            <v>8204</v>
          </cell>
          <cell r="N15"/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0.85029239766081877</v>
          </cell>
          <cell r="C4">
            <v>0.61632825719120132</v>
          </cell>
          <cell r="D4">
            <v>0.61806451612903224</v>
          </cell>
          <cell r="E4">
            <v>0.83996212121212122</v>
          </cell>
          <cell r="F4">
            <v>0.61401296829971186</v>
          </cell>
          <cell r="G4">
            <v>0.6316227924025325</v>
          </cell>
          <cell r="H4">
            <v>0.85297549591598598</v>
          </cell>
          <cell r="I4">
            <v>0.61283218323300548</v>
          </cell>
          <cell r="J4">
            <v>0.62788605697151423</v>
          </cell>
          <cell r="K4">
            <v>0.87179487179487181</v>
          </cell>
          <cell r="L4">
            <v>0.70160871821484172</v>
          </cell>
          <cell r="M4">
            <v>0.6625877271909304</v>
          </cell>
          <cell r="N4">
            <v>0.97854077253218885</v>
          </cell>
          <cell r="O4">
            <v>0.69817546583850931</v>
          </cell>
          <cell r="P4">
            <v>0.66861451460885957</v>
          </cell>
        </row>
        <row r="5">
          <cell r="A5" t="str">
            <v>Female</v>
          </cell>
          <cell r="B5">
            <v>0.78329571106094809</v>
          </cell>
          <cell r="C5">
            <v>0.64076644538322269</v>
          </cell>
          <cell r="D5">
            <v>0.63696851671535215</v>
          </cell>
          <cell r="E5">
            <v>0.79884105960264906</v>
          </cell>
          <cell r="F5">
            <v>0.64402287627284138</v>
          </cell>
          <cell r="G5">
            <v>0.64513193812556868</v>
          </cell>
          <cell r="H5">
            <v>0.79396984924623115</v>
          </cell>
          <cell r="I5">
            <v>0.66774116523400195</v>
          </cell>
          <cell r="J5">
            <v>0.65222681917741543</v>
          </cell>
          <cell r="K5">
            <v>0.81704781704781704</v>
          </cell>
          <cell r="L5">
            <v>0.7240022484541877</v>
          </cell>
          <cell r="M5">
            <v>0.68080625752105894</v>
          </cell>
          <cell r="N5">
            <v>1.0344827586206897</v>
          </cell>
          <cell r="O5">
            <v>0.71159533073929959</v>
          </cell>
          <cell r="P5">
            <v>0.67902717309713256</v>
          </cell>
        </row>
        <row r="6">
          <cell r="A6" t="str">
            <v>Undeclared</v>
          </cell>
          <cell r="B6">
            <v>0.94736842105263153</v>
          </cell>
          <cell r="C6">
            <v>0.60176991150442483</v>
          </cell>
          <cell r="D6">
            <v>0.60273972602739723</v>
          </cell>
          <cell r="E6">
            <v>0.8571428571428571</v>
          </cell>
          <cell r="F6">
            <v>0.63043478260869568</v>
          </cell>
          <cell r="G6">
            <v>0.7</v>
          </cell>
          <cell r="H6">
            <v>0.83333333333333337</v>
          </cell>
          <cell r="I6">
            <v>0.71782178217821779</v>
          </cell>
          <cell r="J6">
            <v>0.67326732673267331</v>
          </cell>
          <cell r="K6">
            <v>0.5714285714285714</v>
          </cell>
          <cell r="L6">
            <v>0.7975460122699386</v>
          </cell>
          <cell r="M6">
            <v>0.66666666666666663</v>
          </cell>
          <cell r="N6">
            <v>1</v>
          </cell>
          <cell r="O6">
            <v>0.76146788990825687</v>
          </cell>
          <cell r="P6">
            <v>0.85</v>
          </cell>
        </row>
        <row r="7">
          <cell r="A7" t="str">
            <v>Term Total</v>
          </cell>
          <cell r="B7">
            <v>0.81761363636363638</v>
          </cell>
          <cell r="C7">
            <v>0.63030778620629524</v>
          </cell>
          <cell r="D7">
            <v>0.6284906004745392</v>
          </cell>
          <cell r="E7">
            <v>0.81861678990865594</v>
          </cell>
          <cell r="F7">
            <v>0.63091482649842268</v>
          </cell>
          <cell r="G7">
            <v>0.64021543985637341</v>
          </cell>
          <cell r="H7">
            <v>0.82465589467384803</v>
          </cell>
          <cell r="I7">
            <v>0.64409643251673276</v>
          </cell>
          <cell r="J7">
            <v>0.64174950298210731</v>
          </cell>
          <cell r="K7">
            <v>0.84245917387127767</v>
          </cell>
          <cell r="L7">
            <v>0.71500765696784074</v>
          </cell>
          <cell r="M7">
            <v>0.67244170984455953</v>
          </cell>
          <cell r="N7">
            <v>0.98976109215017061</v>
          </cell>
          <cell r="O7">
            <v>0.70614410405613559</v>
          </cell>
          <cell r="P7">
            <v>0.67615422803243419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T10" sqref="T10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16" ht="15.75" x14ac:dyDescent="0.25">
      <c r="A1" s="77"/>
      <c r="B1" s="68" t="s">
        <v>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ht="16.5" thickBot="1" x14ac:dyDescent="0.3">
      <c r="A2" s="78"/>
      <c r="B2" s="80" t="s">
        <v>33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2"/>
    </row>
    <row r="3" spans="1:16" ht="15.75" thickBot="1" x14ac:dyDescent="0.3">
      <c r="A3" s="79"/>
      <c r="B3" s="71" t="s">
        <v>1</v>
      </c>
      <c r="C3" s="72"/>
      <c r="D3" s="73"/>
      <c r="E3" s="74" t="s">
        <v>2</v>
      </c>
      <c r="F3" s="75"/>
      <c r="G3" s="76"/>
      <c r="H3" s="71" t="s">
        <v>3</v>
      </c>
      <c r="I3" s="72"/>
      <c r="J3" s="73"/>
      <c r="K3" s="74" t="s">
        <v>4</v>
      </c>
      <c r="L3" s="75"/>
      <c r="M3" s="76"/>
      <c r="N3" s="71" t="s">
        <v>5</v>
      </c>
      <c r="O3" s="72"/>
      <c r="P3" s="73"/>
    </row>
    <row r="4" spans="1:16" ht="15.75" thickBot="1" x14ac:dyDescent="0.3">
      <c r="A4" s="2" t="s">
        <v>7</v>
      </c>
      <c r="B4" s="4" t="s">
        <v>8</v>
      </c>
      <c r="C4" s="5" t="s">
        <v>9</v>
      </c>
      <c r="D4" s="6" t="s">
        <v>10</v>
      </c>
      <c r="E4" s="9" t="s">
        <v>11</v>
      </c>
      <c r="F4" s="7" t="s">
        <v>12</v>
      </c>
      <c r="G4" s="8" t="s">
        <v>13</v>
      </c>
      <c r="H4" s="4" t="s">
        <v>14</v>
      </c>
      <c r="I4" s="5" t="s">
        <v>15</v>
      </c>
      <c r="J4" s="6" t="s">
        <v>16</v>
      </c>
      <c r="K4" s="9" t="s">
        <v>17</v>
      </c>
      <c r="L4" s="7" t="s">
        <v>18</v>
      </c>
      <c r="M4" s="8" t="s">
        <v>19</v>
      </c>
      <c r="N4" s="4" t="s">
        <v>20</v>
      </c>
      <c r="O4" s="5" t="s">
        <v>21</v>
      </c>
      <c r="P4" s="6" t="s">
        <v>22</v>
      </c>
    </row>
    <row r="5" spans="1:16" x14ac:dyDescent="0.25">
      <c r="A5" s="23" t="s">
        <v>23</v>
      </c>
      <c r="B5" s="34">
        <f>VLOOKUP($A5,'[1]credit ethnic graded seats'!$A:$P,HLOOKUP(B$4,'[1]credit ethnic graded seats'!$1:$2,2,FALSE),FALSE)</f>
        <v>553</v>
      </c>
      <c r="C5" s="34">
        <f>VLOOKUP($A5,'[1]credit ethnic graded seats'!$A:$P,HLOOKUP(C$4,'[1]credit ethnic graded seats'!$1:$2,2,FALSE),FALSE)</f>
        <v>2070</v>
      </c>
      <c r="D5" s="35">
        <f>VLOOKUP($A5,'[1]credit ethnic graded seats'!$A:$P,HLOOKUP(D$4,'[1]credit ethnic graded seats'!$1:$2,2,FALSE),FALSE)</f>
        <v>2060</v>
      </c>
      <c r="E5" s="38">
        <f>VLOOKUP($A5,'[1]credit ethnic graded seats'!$A:$P,HLOOKUP(E$4,'[1]credit ethnic graded seats'!$1:$2,2,FALSE),FALSE)</f>
        <v>663</v>
      </c>
      <c r="F5" s="34">
        <f>VLOOKUP($A5,'[1]credit ethnic graded seats'!$A:$P,HLOOKUP(F$4,'[1]credit ethnic graded seats'!$1:$2,2,FALSE),FALSE)</f>
        <v>2224</v>
      </c>
      <c r="G5" s="39">
        <f>VLOOKUP($A5,'[1]credit ethnic graded seats'!$A:$P,HLOOKUP(G$4,'[1]credit ethnic graded seats'!$1:$2,2,FALSE),FALSE)</f>
        <v>2533</v>
      </c>
      <c r="H5" s="10">
        <f>VLOOKUP($A5,'[1]credit ethnic graded seats'!$A:$P,HLOOKUP(H$4,'[1]credit ethnic graded seats'!$1:$2,2,FALSE),FALSE)</f>
        <v>563</v>
      </c>
      <c r="I5" s="34">
        <f>VLOOKUP($A5,'[1]credit ethnic graded seats'!$A:$P,HLOOKUP(I$4,'[1]credit ethnic graded seats'!$1:$2,2,FALSE),FALSE)</f>
        <v>2764</v>
      </c>
      <c r="J5" s="35">
        <f>VLOOKUP($A5,'[1]credit ethnic graded seats'!$A:$P,HLOOKUP(J$4,'[1]credit ethnic graded seats'!$1:$2,2,FALSE),FALSE)</f>
        <v>2823</v>
      </c>
      <c r="K5" s="38">
        <f>VLOOKUP($A5,'[1]credit ethnic graded seats'!$A:$P,HLOOKUP(K$4,'[1]credit ethnic graded seats'!$1:$2,2,FALSE),FALSE)</f>
        <v>393</v>
      </c>
      <c r="L5" s="34">
        <f>VLOOKUP($A5,'[1]credit ethnic graded seats'!$A:$P,HLOOKUP(L$4,'[1]credit ethnic graded seats'!$1:$2,2,FALSE),FALSE)</f>
        <v>2441</v>
      </c>
      <c r="M5" s="39">
        <f>VLOOKUP($A5,'[1]credit ethnic graded seats'!$A:$P,HLOOKUP(M$4,'[1]credit ethnic graded seats'!$1:$2,2,FALSE),FALSE)</f>
        <v>2440</v>
      </c>
      <c r="N5" s="10">
        <f>VLOOKUP($A5,'[1]credit ethnic graded seats'!$A:$P,HLOOKUP(N$4,'[1]credit ethnic graded seats'!$1:$2,2,FALSE),FALSE)</f>
        <v>156</v>
      </c>
      <c r="O5" s="10">
        <f>VLOOKUP($A5,'[1]credit ethnic graded seats'!$A:$P,HLOOKUP(O$4,'[1]credit ethnic graded seats'!$1:$2,2,FALSE),FALSE)</f>
        <v>2316</v>
      </c>
      <c r="P5" s="10">
        <f>VLOOKUP($A5,'[1]credit ethnic graded seats'!$A:$P,HLOOKUP(P$4,'[1]credit ethnic graded seats'!$1:$2,2,FALSE),FALSE)</f>
        <v>2424</v>
      </c>
    </row>
    <row r="6" spans="1:16" x14ac:dyDescent="0.25">
      <c r="A6" s="24" t="s">
        <v>24</v>
      </c>
      <c r="B6" s="36">
        <f>VLOOKUP($A6,'[1]credit ethnic graded seats'!$A:$P,HLOOKUP(B$4,'[1]credit ethnic graded seats'!$1:$2,2,FALSE),FALSE)</f>
        <v>710</v>
      </c>
      <c r="C6" s="32">
        <f>VLOOKUP($A6,'[1]credit ethnic graded seats'!$A:$P,HLOOKUP(C$4,'[1]credit ethnic graded seats'!$1:$2,2,FALSE),FALSE)</f>
        <v>3035</v>
      </c>
      <c r="D6" s="11">
        <f>VLOOKUP($A6,'[1]credit ethnic graded seats'!$A:$P,HLOOKUP(D$4,'[1]credit ethnic graded seats'!$1:$2,2,FALSE),FALSE)</f>
        <v>2855</v>
      </c>
      <c r="E6" s="33">
        <f>VLOOKUP($A6,'[1]credit ethnic graded seats'!$A:$P,HLOOKUP(E$4,'[1]credit ethnic graded seats'!$1:$2,2,FALSE),FALSE)</f>
        <v>924</v>
      </c>
      <c r="F6" s="32">
        <f>VLOOKUP($A6,'[1]credit ethnic graded seats'!$A:$P,HLOOKUP(F$4,'[1]credit ethnic graded seats'!$1:$2,2,FALSE),FALSE)</f>
        <v>3248</v>
      </c>
      <c r="G6" s="37">
        <f>VLOOKUP($A6,'[1]credit ethnic graded seats'!$A:$P,HLOOKUP(G$4,'[1]credit ethnic graded seats'!$1:$2,2,FALSE),FALSE)</f>
        <v>3537</v>
      </c>
      <c r="H6" s="36">
        <f>VLOOKUP($A6,'[1]credit ethnic graded seats'!$A:$P,HLOOKUP(H$4,'[1]credit ethnic graded seats'!$1:$2,2,FALSE),FALSE)</f>
        <v>638</v>
      </c>
      <c r="I6" s="32">
        <f>VLOOKUP($A6,'[1]credit ethnic graded seats'!$A:$P,HLOOKUP(I$4,'[1]credit ethnic graded seats'!$1:$2,2,FALSE),FALSE)</f>
        <v>3710</v>
      </c>
      <c r="J6" s="11">
        <f>VLOOKUP($A6,'[1]credit ethnic graded seats'!$A:$P,HLOOKUP(J$4,'[1]credit ethnic graded seats'!$1:$2,2,FALSE),FALSE)</f>
        <v>3622</v>
      </c>
      <c r="K6" s="33">
        <f>VLOOKUP($A6,'[1]credit ethnic graded seats'!$A:$P,HLOOKUP(K$4,'[1]credit ethnic graded seats'!$1:$2,2,FALSE),FALSE)</f>
        <v>382</v>
      </c>
      <c r="L6" s="32">
        <f>VLOOKUP($A6,'[1]credit ethnic graded seats'!$A:$P,HLOOKUP(L$4,'[1]credit ethnic graded seats'!$1:$2,2,FALSE),FALSE)</f>
        <v>3216</v>
      </c>
      <c r="M6" s="37">
        <f>VLOOKUP($A6,'[1]credit ethnic graded seats'!$A:$P,HLOOKUP(M$4,'[1]credit ethnic graded seats'!$1:$2,2,FALSE),FALSE)</f>
        <v>3066</v>
      </c>
      <c r="N6" s="36">
        <f>VLOOKUP($A6,'[1]credit ethnic graded seats'!$A:$P,HLOOKUP(N$4,'[1]credit ethnic graded seats'!$1:$2,2,FALSE),FALSE)</f>
        <v>31</v>
      </c>
      <c r="O6" s="36">
        <f>VLOOKUP($A6,'[1]credit ethnic graded seats'!$A:$P,HLOOKUP(O$4,'[1]credit ethnic graded seats'!$1:$2,2,FALSE),FALSE)</f>
        <v>3028</v>
      </c>
      <c r="P6" s="36">
        <f>VLOOKUP($A6,'[1]credit ethnic graded seats'!$A:$P,HLOOKUP(P$4,'[1]credit ethnic graded seats'!$1:$2,2,FALSE),FALSE)</f>
        <v>3061</v>
      </c>
    </row>
    <row r="7" spans="1:16" ht="15.75" thickBot="1" x14ac:dyDescent="0.3">
      <c r="A7" s="25" t="s">
        <v>25</v>
      </c>
      <c r="B7" s="40">
        <f>VLOOKUP($A7,'[1]credit ethnic graded seats'!$A:$P,HLOOKUP(B$4,'[1]credit ethnic graded seats'!$1:$2,2,FALSE),FALSE)</f>
        <v>13</v>
      </c>
      <c r="C7" s="41">
        <f>VLOOKUP($A7,'[1]credit ethnic graded seats'!$A:$P,HLOOKUP(C$4,'[1]credit ethnic graded seats'!$1:$2,2,FALSE),FALSE)</f>
        <v>47</v>
      </c>
      <c r="D7" s="42">
        <f>VLOOKUP($A7,'[1]credit ethnic graded seats'!$A:$P,HLOOKUP(D$4,'[1]credit ethnic graded seats'!$1:$2,2,FALSE),FALSE)</f>
        <v>67</v>
      </c>
      <c r="E7" s="43">
        <f>VLOOKUP($A7,'[1]credit ethnic graded seats'!$A:$P,HLOOKUP(E$4,'[1]credit ethnic graded seats'!$1:$2,2,FALSE),FALSE)</f>
        <v>23</v>
      </c>
      <c r="F7" s="41">
        <f>VLOOKUP($A7,'[1]credit ethnic graded seats'!$A:$P,HLOOKUP(F$4,'[1]credit ethnic graded seats'!$1:$2,2,FALSE),FALSE)</f>
        <v>113</v>
      </c>
      <c r="G7" s="44">
        <f>VLOOKUP($A7,'[1]credit ethnic graded seats'!$A:$P,HLOOKUP(G$4,'[1]credit ethnic graded seats'!$1:$2,2,FALSE),FALSE)</f>
        <v>101</v>
      </c>
      <c r="H7" s="40">
        <f>VLOOKUP($A7,'[1]credit ethnic graded seats'!$A:$P,HLOOKUP(H$4,'[1]credit ethnic graded seats'!$1:$2,2,FALSE),FALSE)</f>
        <v>14</v>
      </c>
      <c r="I7" s="41">
        <f>VLOOKUP($A7,'[1]credit ethnic graded seats'!$A:$P,HLOOKUP(I$4,'[1]credit ethnic graded seats'!$1:$2,2,FALSE),FALSE)</f>
        <v>90</v>
      </c>
      <c r="J7" s="42">
        <f>VLOOKUP($A7,'[1]credit ethnic graded seats'!$A:$P,HLOOKUP(J$4,'[1]credit ethnic graded seats'!$1:$2,2,FALSE),FALSE)</f>
        <v>81</v>
      </c>
      <c r="K7" s="43">
        <f>VLOOKUP($A7,'[1]credit ethnic graded seats'!$A:$P,HLOOKUP(K$4,'[1]credit ethnic graded seats'!$1:$2,2,FALSE),FALSE)</f>
        <v>11</v>
      </c>
      <c r="L7" s="41">
        <f>VLOOKUP($A7,'[1]credit ethnic graded seats'!$A:$P,HLOOKUP(L$4,'[1]credit ethnic graded seats'!$1:$2,2,FALSE),FALSE)</f>
        <v>69</v>
      </c>
      <c r="M7" s="44">
        <f>VLOOKUP($A7,'[1]credit ethnic graded seats'!$A:$P,HLOOKUP(M$4,'[1]credit ethnic graded seats'!$1:$2,2,FALSE),FALSE)</f>
        <v>76</v>
      </c>
      <c r="N7" s="40">
        <f>VLOOKUP($A7,'[1]credit ethnic graded seats'!$A:$P,HLOOKUP(N$4,'[1]credit ethnic graded seats'!$1:$2,2,FALSE),FALSE)</f>
        <v>1</v>
      </c>
      <c r="O7" s="40">
        <f>VLOOKUP($A7,'[1]credit ethnic graded seats'!$A:$P,HLOOKUP(O$4,'[1]credit ethnic graded seats'!$1:$2,2,FALSE),FALSE)</f>
        <v>50</v>
      </c>
      <c r="P7" s="40">
        <f>VLOOKUP($A7,'[1]credit ethnic graded seats'!$A:$P,HLOOKUP(P$4,'[1]credit ethnic graded seats'!$1:$2,2,FALSE),FALSE)</f>
        <v>59</v>
      </c>
    </row>
    <row r="8" spans="1:16" ht="15.75" thickBot="1" x14ac:dyDescent="0.3">
      <c r="A8" s="20" t="s">
        <v>26</v>
      </c>
      <c r="B8" s="45">
        <f>VLOOKUP($A8,'[1]credit ethnic graded seats'!$A:$P,HLOOKUP(B$4,'[1]credit ethnic graded seats'!$1:$2,2,FALSE),FALSE)</f>
        <v>1276</v>
      </c>
      <c r="C8" s="46">
        <f>VLOOKUP($A8,'[1]credit ethnic graded seats'!$A:$P,HLOOKUP(C$4,'[1]credit ethnic graded seats'!$1:$2,2,FALSE),FALSE)</f>
        <v>5152</v>
      </c>
      <c r="D8" s="12">
        <f>VLOOKUP($A8,'[1]credit ethnic graded seats'!$A:$P,HLOOKUP(D$4,'[1]credit ethnic graded seats'!$1:$2,2,FALSE),FALSE)</f>
        <v>4982</v>
      </c>
      <c r="E8" s="47">
        <f>VLOOKUP($A8,'[1]credit ethnic graded seats'!$A:$P,HLOOKUP(E$4,'[1]credit ethnic graded seats'!$1:$2,2,FALSE),FALSE)</f>
        <v>1610</v>
      </c>
      <c r="F8" s="46">
        <f>VLOOKUP($A8,'[1]credit ethnic graded seats'!$A:$P,HLOOKUP(F$4,'[1]credit ethnic graded seats'!$1:$2,2,FALSE),FALSE)</f>
        <v>5585</v>
      </c>
      <c r="G8" s="48">
        <f>VLOOKUP($A8,'[1]credit ethnic graded seats'!$A:$P,HLOOKUP(G$4,'[1]credit ethnic graded seats'!$1:$2,2,FALSE),FALSE)</f>
        <v>6171</v>
      </c>
      <c r="H8" s="45">
        <f>VLOOKUP($A8,'[1]credit ethnic graded seats'!$A:$P,HLOOKUP(H$4,'[1]credit ethnic graded seats'!$1:$2,2,FALSE),FALSE)</f>
        <v>1215</v>
      </c>
      <c r="I8" s="46">
        <f>VLOOKUP($A8,'[1]credit ethnic graded seats'!$A:$P,HLOOKUP(I$4,'[1]credit ethnic graded seats'!$1:$2,2,FALSE),FALSE)</f>
        <v>6564</v>
      </c>
      <c r="J8" s="12">
        <f>VLOOKUP($A8,'[1]credit ethnic graded seats'!$A:$P,HLOOKUP(J$4,'[1]credit ethnic graded seats'!$1:$2,2,FALSE),FALSE)</f>
        <v>6526</v>
      </c>
      <c r="K8" s="47">
        <f>VLOOKUP($A8,'[1]credit ethnic graded seats'!$A:$P,HLOOKUP(K$4,'[1]credit ethnic graded seats'!$1:$2,2,FALSE),FALSE)</f>
        <v>786</v>
      </c>
      <c r="L8" s="46">
        <f>VLOOKUP($A8,'[1]credit ethnic graded seats'!$A:$P,HLOOKUP(L$4,'[1]credit ethnic graded seats'!$1:$2,2,FALSE),FALSE)</f>
        <v>5726</v>
      </c>
      <c r="M8" s="48">
        <f>VLOOKUP($A8,'[1]credit ethnic graded seats'!$A:$P,HLOOKUP(M$4,'[1]credit ethnic graded seats'!$1:$2,2,FALSE),FALSE)</f>
        <v>5582</v>
      </c>
      <c r="N8" s="45">
        <f>VLOOKUP($A8,'[1]credit ethnic graded seats'!$A:$P,HLOOKUP(N$4,'[1]credit ethnic graded seats'!$1:$2,2,FALSE),FALSE)</f>
        <v>188</v>
      </c>
      <c r="O8" s="45">
        <f>VLOOKUP($A8,'[1]credit ethnic graded seats'!$A:$P,HLOOKUP(O$4,'[1]credit ethnic graded seats'!$1:$2,2,FALSE),FALSE)</f>
        <v>5394</v>
      </c>
      <c r="P8" s="45">
        <f>VLOOKUP($A8,'[1]credit ethnic graded seats'!$A:$P,HLOOKUP(P$4,'[1]credit ethnic graded seats'!$1:$2,2,FALSE),FALSE)</f>
        <v>5544</v>
      </c>
    </row>
    <row r="9" spans="1:16" s="1" customFormat="1" ht="16.5" thickTop="1" thickBot="1" x14ac:dyDescent="0.3">
      <c r="A9" s="31" t="s">
        <v>6</v>
      </c>
      <c r="B9" s="86">
        <f>[2]Totals!B$15</f>
        <v>7858</v>
      </c>
      <c r="C9" s="87"/>
      <c r="D9" s="88"/>
      <c r="E9" s="86">
        <f>[2]Totals!E$15</f>
        <v>9192</v>
      </c>
      <c r="F9" s="87"/>
      <c r="G9" s="88"/>
      <c r="H9" s="86">
        <f>[2]Totals!H$15</f>
        <v>9871</v>
      </c>
      <c r="I9" s="87"/>
      <c r="J9" s="88"/>
      <c r="K9" s="89">
        <f>[2]Totals!K$15</f>
        <v>8204</v>
      </c>
      <c r="L9" s="90"/>
      <c r="M9" s="91"/>
      <c r="N9" s="89">
        <f>[2]Totals!N$15</f>
        <v>0</v>
      </c>
      <c r="O9" s="90"/>
      <c r="P9" s="91"/>
    </row>
    <row r="10" spans="1:1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x14ac:dyDescent="0.25">
      <c r="A11" s="62" t="s">
        <v>27</v>
      </c>
      <c r="B11" s="65" t="s">
        <v>28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</row>
    <row r="12" spans="1:16" ht="16.5" thickBot="1" x14ac:dyDescent="0.3">
      <c r="A12" s="63"/>
      <c r="B12" s="68" t="s">
        <v>33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70"/>
    </row>
    <row r="13" spans="1:16" ht="15.75" thickBot="1" x14ac:dyDescent="0.3">
      <c r="A13" s="64"/>
      <c r="B13" s="71" t="s">
        <v>1</v>
      </c>
      <c r="C13" s="72"/>
      <c r="D13" s="73"/>
      <c r="E13" s="74" t="s">
        <v>2</v>
      </c>
      <c r="F13" s="75"/>
      <c r="G13" s="76"/>
      <c r="H13" s="71" t="s">
        <v>3</v>
      </c>
      <c r="I13" s="72"/>
      <c r="J13" s="73"/>
      <c r="K13" s="74" t="s">
        <v>4</v>
      </c>
      <c r="L13" s="75"/>
      <c r="M13" s="76"/>
      <c r="N13" s="71" t="s">
        <v>5</v>
      </c>
      <c r="O13" s="72"/>
      <c r="P13" s="73"/>
    </row>
    <row r="14" spans="1:16" ht="15.75" thickBot="1" x14ac:dyDescent="0.3">
      <c r="A14" s="2" t="s">
        <v>7</v>
      </c>
      <c r="B14" s="4" t="s">
        <v>8</v>
      </c>
      <c r="C14" s="5" t="s">
        <v>9</v>
      </c>
      <c r="D14" s="6" t="s">
        <v>10</v>
      </c>
      <c r="E14" s="9" t="s">
        <v>11</v>
      </c>
      <c r="F14" s="7" t="s">
        <v>12</v>
      </c>
      <c r="G14" s="8" t="s">
        <v>13</v>
      </c>
      <c r="H14" s="4" t="s">
        <v>14</v>
      </c>
      <c r="I14" s="5" t="s">
        <v>15</v>
      </c>
      <c r="J14" s="6" t="s">
        <v>16</v>
      </c>
      <c r="K14" s="9" t="s">
        <v>17</v>
      </c>
      <c r="L14" s="7" t="s">
        <v>18</v>
      </c>
      <c r="M14" s="8" t="s">
        <v>19</v>
      </c>
      <c r="N14" s="4" t="s">
        <v>20</v>
      </c>
      <c r="O14" s="5" t="s">
        <v>21</v>
      </c>
      <c r="P14" s="6" t="s">
        <v>22</v>
      </c>
    </row>
    <row r="15" spans="1:16" x14ac:dyDescent="0.25">
      <c r="A15" s="23" t="s">
        <v>23</v>
      </c>
      <c r="B15" s="21">
        <f>B5/B$8</f>
        <v>0.43338557993730409</v>
      </c>
      <c r="C15" s="49">
        <f t="shared" ref="C15:N15" si="0">C5/C$8</f>
        <v>0.4017857142857143</v>
      </c>
      <c r="D15" s="50">
        <f t="shared" si="0"/>
        <v>0.4134885588117222</v>
      </c>
      <c r="E15" s="21">
        <f t="shared" si="0"/>
        <v>0.41180124223602482</v>
      </c>
      <c r="F15" s="49">
        <f t="shared" si="0"/>
        <v>0.39820948970456582</v>
      </c>
      <c r="G15" s="49">
        <f t="shared" si="0"/>
        <v>0.41046831955922863</v>
      </c>
      <c r="H15" s="49">
        <f t="shared" si="0"/>
        <v>0.4633744855967078</v>
      </c>
      <c r="I15" s="49">
        <f t="shared" si="0"/>
        <v>0.42108470444850699</v>
      </c>
      <c r="J15" s="22">
        <f t="shared" si="0"/>
        <v>0.43257738277658597</v>
      </c>
      <c r="K15" s="53">
        <f t="shared" si="0"/>
        <v>0.5</v>
      </c>
      <c r="L15" s="49">
        <f t="shared" si="0"/>
        <v>0.42630108278030038</v>
      </c>
      <c r="M15" s="50">
        <f t="shared" si="0"/>
        <v>0.43711931207452526</v>
      </c>
      <c r="N15" s="21">
        <f t="shared" si="0"/>
        <v>0.82978723404255317</v>
      </c>
      <c r="O15" s="21">
        <f t="shared" ref="O15:P15" si="1">O5/O$8</f>
        <v>0.42936596218020023</v>
      </c>
      <c r="P15" s="21">
        <f t="shared" si="1"/>
        <v>0.43722943722943725</v>
      </c>
    </row>
    <row r="16" spans="1:16" x14ac:dyDescent="0.25">
      <c r="A16" s="24" t="s">
        <v>24</v>
      </c>
      <c r="B16" s="3">
        <f t="shared" ref="B16:N17" si="2">B6/B$8</f>
        <v>0.55642633228840122</v>
      </c>
      <c r="C16" s="13">
        <f t="shared" si="2"/>
        <v>0.58909161490683226</v>
      </c>
      <c r="D16" s="51">
        <f t="shared" si="2"/>
        <v>0.57306302689682853</v>
      </c>
      <c r="E16" s="3">
        <f t="shared" si="2"/>
        <v>0.57391304347826089</v>
      </c>
      <c r="F16" s="13">
        <f t="shared" si="2"/>
        <v>0.58155774395702775</v>
      </c>
      <c r="G16" s="13">
        <f t="shared" si="2"/>
        <v>0.57316480311132723</v>
      </c>
      <c r="H16" s="13">
        <f t="shared" si="2"/>
        <v>0.52510288065843624</v>
      </c>
      <c r="I16" s="13">
        <f t="shared" si="2"/>
        <v>0.56520414381474715</v>
      </c>
      <c r="J16" s="14">
        <f t="shared" si="2"/>
        <v>0.55501072632546733</v>
      </c>
      <c r="K16" s="54">
        <f t="shared" si="2"/>
        <v>0.48600508905852419</v>
      </c>
      <c r="L16" s="13">
        <f t="shared" si="2"/>
        <v>0.56164862032832696</v>
      </c>
      <c r="M16" s="51">
        <f t="shared" si="2"/>
        <v>0.54926549623790755</v>
      </c>
      <c r="N16" s="3">
        <f t="shared" si="2"/>
        <v>0.16489361702127658</v>
      </c>
      <c r="O16" s="3">
        <f t="shared" ref="O16:P16" si="3">O6/O$8</f>
        <v>0.56136447905079723</v>
      </c>
      <c r="P16" s="3">
        <f t="shared" si="3"/>
        <v>0.55212842712842713</v>
      </c>
    </row>
    <row r="17" spans="1:16" ht="15.75" thickBot="1" x14ac:dyDescent="0.3">
      <c r="A17" s="25" t="s">
        <v>25</v>
      </c>
      <c r="B17" s="15">
        <f t="shared" si="2"/>
        <v>1.018808777429467E-2</v>
      </c>
      <c r="C17" s="16">
        <f t="shared" si="2"/>
        <v>9.122670807453416E-3</v>
      </c>
      <c r="D17" s="52">
        <f t="shared" si="2"/>
        <v>1.3448414291449218E-2</v>
      </c>
      <c r="E17" s="15">
        <f t="shared" si="2"/>
        <v>1.4285714285714285E-2</v>
      </c>
      <c r="F17" s="16">
        <f t="shared" si="2"/>
        <v>2.0232766338406444E-2</v>
      </c>
      <c r="G17" s="16">
        <f t="shared" si="2"/>
        <v>1.6366877329444175E-2</v>
      </c>
      <c r="H17" s="16">
        <f t="shared" si="2"/>
        <v>1.1522633744855968E-2</v>
      </c>
      <c r="I17" s="16">
        <f t="shared" si="2"/>
        <v>1.3711151736745886E-2</v>
      </c>
      <c r="J17" s="17">
        <f t="shared" si="2"/>
        <v>1.2411890897946675E-2</v>
      </c>
      <c r="K17" s="55">
        <f t="shared" si="2"/>
        <v>1.3994910941475827E-2</v>
      </c>
      <c r="L17" s="16">
        <f t="shared" si="2"/>
        <v>1.2050296891372686E-2</v>
      </c>
      <c r="M17" s="52">
        <f t="shared" si="2"/>
        <v>1.3615191687567181E-2</v>
      </c>
      <c r="N17" s="15">
        <f t="shared" si="2"/>
        <v>5.3191489361702126E-3</v>
      </c>
      <c r="O17" s="15">
        <f t="shared" ref="O17:P17" si="4">O7/O$8</f>
        <v>9.2695587690025949E-3</v>
      </c>
      <c r="P17" s="15">
        <f t="shared" si="4"/>
        <v>1.0642135642135642E-2</v>
      </c>
    </row>
    <row r="18" spans="1:1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62" t="s">
        <v>29</v>
      </c>
      <c r="B19" s="65" t="s">
        <v>29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7"/>
    </row>
    <row r="20" spans="1:16" ht="16.5" thickBot="1" x14ac:dyDescent="0.3">
      <c r="A20" s="63"/>
      <c r="B20" s="68" t="s">
        <v>33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70"/>
    </row>
    <row r="21" spans="1:16" ht="15.75" thickBot="1" x14ac:dyDescent="0.3">
      <c r="A21" s="64"/>
      <c r="B21" s="83" t="s">
        <v>1</v>
      </c>
      <c r="C21" s="84"/>
      <c r="D21" s="85"/>
      <c r="E21" s="74" t="s">
        <v>2</v>
      </c>
      <c r="F21" s="75"/>
      <c r="G21" s="76"/>
      <c r="H21" s="71" t="s">
        <v>3</v>
      </c>
      <c r="I21" s="72"/>
      <c r="J21" s="73"/>
      <c r="K21" s="74" t="s">
        <v>4</v>
      </c>
      <c r="L21" s="75"/>
      <c r="M21" s="76"/>
      <c r="N21" s="71" t="s">
        <v>5</v>
      </c>
      <c r="O21" s="72"/>
      <c r="P21" s="73"/>
    </row>
    <row r="22" spans="1:16" ht="15.75" thickBot="1" x14ac:dyDescent="0.3">
      <c r="A22" s="2" t="s">
        <v>7</v>
      </c>
      <c r="B22" s="26" t="s">
        <v>8</v>
      </c>
      <c r="C22" s="27" t="s">
        <v>9</v>
      </c>
      <c r="D22" s="28" t="s">
        <v>10</v>
      </c>
      <c r="E22" s="26" t="s">
        <v>11</v>
      </c>
      <c r="F22" s="27" t="s">
        <v>12</v>
      </c>
      <c r="G22" s="28" t="s">
        <v>13</v>
      </c>
      <c r="H22" s="26" t="s">
        <v>14</v>
      </c>
      <c r="I22" s="27" t="s">
        <v>15</v>
      </c>
      <c r="J22" s="28" t="s">
        <v>16</v>
      </c>
      <c r="K22" s="26" t="s">
        <v>17</v>
      </c>
      <c r="L22" s="27" t="s">
        <v>18</v>
      </c>
      <c r="M22" s="28" t="s">
        <v>19</v>
      </c>
      <c r="N22" s="26" t="s">
        <v>20</v>
      </c>
      <c r="O22" s="27" t="s">
        <v>21</v>
      </c>
      <c r="P22" s="28" t="s">
        <v>22</v>
      </c>
    </row>
    <row r="23" spans="1:16" x14ac:dyDescent="0.25">
      <c r="A23" s="23" t="s">
        <v>23</v>
      </c>
      <c r="B23" s="3">
        <f>VLOOKUP($A23,'[3]success rates'!$A:P,HLOOKUP(B$22,'[3]success rates'!$1:$2,2,FALSE),FALSE)</f>
        <v>0.85029239766081877</v>
      </c>
      <c r="C23" s="13">
        <f>VLOOKUP($A23,'[3]success rates'!$A:Q,HLOOKUP(C$22,'[3]success rates'!$1:$2,2,FALSE),FALSE)</f>
        <v>0.61632825719120132</v>
      </c>
      <c r="D23" s="14">
        <f>VLOOKUP($A23,'[3]success rates'!$A:R,HLOOKUP(D$22,'[3]success rates'!$1:$2,2,FALSE),FALSE)</f>
        <v>0.61806451612903224</v>
      </c>
      <c r="E23" s="3">
        <f>VLOOKUP($A23,'[3]success rates'!$A:S,HLOOKUP(E$22,'[3]success rates'!$1:$2,2,FALSE),FALSE)</f>
        <v>0.83996212121212122</v>
      </c>
      <c r="F23" s="13">
        <f>VLOOKUP($A23,'[3]success rates'!$A:T,HLOOKUP(F$22,'[3]success rates'!$1:$2,2,FALSE),FALSE)</f>
        <v>0.61401296829971186</v>
      </c>
      <c r="G23" s="14">
        <f>VLOOKUP($A23,'[3]success rates'!$A:U,HLOOKUP(G$22,'[3]success rates'!$1:$2,2,FALSE),FALSE)</f>
        <v>0.6316227924025325</v>
      </c>
      <c r="H23" s="3">
        <f>VLOOKUP($A23,'[3]success rates'!$A:V,HLOOKUP(H$22,'[3]success rates'!$1:$2,2,FALSE),FALSE)</f>
        <v>0.85297549591598598</v>
      </c>
      <c r="I23" s="13">
        <f>VLOOKUP($A23,'[3]success rates'!$A:W,HLOOKUP(I$22,'[3]success rates'!$1:$2,2,FALSE),FALSE)</f>
        <v>0.61283218323300548</v>
      </c>
      <c r="J23" s="14">
        <f>VLOOKUP($A23,'[3]success rates'!$A:X,HLOOKUP(J$22,'[3]success rates'!$1:$2,2,FALSE),FALSE)</f>
        <v>0.62788605697151423</v>
      </c>
      <c r="K23" s="3">
        <f>VLOOKUP($A23,'[3]success rates'!$A:Y,HLOOKUP(K$22,'[3]success rates'!$1:$2,2,FALSE),FALSE)</f>
        <v>0.87179487179487181</v>
      </c>
      <c r="L23" s="13">
        <f>VLOOKUP($A23,'[3]success rates'!$A:Z,HLOOKUP(L$22,'[3]success rates'!$1:$2,2,FALSE),FALSE)</f>
        <v>0.70160871821484172</v>
      </c>
      <c r="M23" s="14">
        <f>VLOOKUP($A23,'[3]success rates'!$A:AA,HLOOKUP(M$22,'[3]success rates'!$1:$2,2,FALSE),FALSE)</f>
        <v>0.6625877271909304</v>
      </c>
      <c r="N23" s="3">
        <f>VLOOKUP($A23,'[3]success rates'!$A:AB,HLOOKUP(N$22,'[3]success rates'!$1:$2,2,FALSE),FALSE)</f>
        <v>0.97854077253218885</v>
      </c>
      <c r="O23" s="3">
        <f>VLOOKUP($A23,'[3]success rates'!$A:AC,HLOOKUP(O$22,'[3]success rates'!$1:$2,2,FALSE),FALSE)</f>
        <v>0.69817546583850931</v>
      </c>
      <c r="P23" s="3">
        <f>VLOOKUP($A23,'[3]success rates'!$A:AD,HLOOKUP(P$22,'[3]success rates'!$1:$2,2,FALSE),FALSE)</f>
        <v>0.66861451460885957</v>
      </c>
    </row>
    <row r="24" spans="1:16" x14ac:dyDescent="0.25">
      <c r="A24" s="24" t="s">
        <v>24</v>
      </c>
      <c r="B24" s="3">
        <f>VLOOKUP($A24,'[3]success rates'!$A:P,HLOOKUP(B$22,'[3]success rates'!$1:$2,2,FALSE),FALSE)</f>
        <v>0.78329571106094809</v>
      </c>
      <c r="C24" s="13">
        <f>VLOOKUP($A24,'[3]success rates'!$A:Q,HLOOKUP(C$22,'[3]success rates'!$1:$2,2,FALSE),FALSE)</f>
        <v>0.64076644538322269</v>
      </c>
      <c r="D24" s="14">
        <f>VLOOKUP($A24,'[3]success rates'!$A:R,HLOOKUP(D$22,'[3]success rates'!$1:$2,2,FALSE),FALSE)</f>
        <v>0.63696851671535215</v>
      </c>
      <c r="E24" s="3">
        <f>VLOOKUP($A24,'[3]success rates'!$A:S,HLOOKUP(E$22,'[3]success rates'!$1:$2,2,FALSE),FALSE)</f>
        <v>0.79884105960264906</v>
      </c>
      <c r="F24" s="13">
        <f>VLOOKUP($A24,'[3]success rates'!$A:T,HLOOKUP(F$22,'[3]success rates'!$1:$2,2,FALSE),FALSE)</f>
        <v>0.64402287627284138</v>
      </c>
      <c r="G24" s="14">
        <f>VLOOKUP($A24,'[3]success rates'!$A:U,HLOOKUP(G$22,'[3]success rates'!$1:$2,2,FALSE),FALSE)</f>
        <v>0.64513193812556868</v>
      </c>
      <c r="H24" s="3">
        <f>VLOOKUP($A24,'[3]success rates'!$A:V,HLOOKUP(H$22,'[3]success rates'!$1:$2,2,FALSE),FALSE)</f>
        <v>0.79396984924623115</v>
      </c>
      <c r="I24" s="13">
        <f>VLOOKUP($A24,'[3]success rates'!$A:W,HLOOKUP(I$22,'[3]success rates'!$1:$2,2,FALSE),FALSE)</f>
        <v>0.66774116523400195</v>
      </c>
      <c r="J24" s="14">
        <f>VLOOKUP($A24,'[3]success rates'!$A:X,HLOOKUP(J$22,'[3]success rates'!$1:$2,2,FALSE),FALSE)</f>
        <v>0.65222681917741543</v>
      </c>
      <c r="K24" s="3">
        <f>VLOOKUP($A24,'[3]success rates'!$A:Y,HLOOKUP(K$22,'[3]success rates'!$1:$2,2,FALSE),FALSE)</f>
        <v>0.81704781704781704</v>
      </c>
      <c r="L24" s="13">
        <f>VLOOKUP($A24,'[3]success rates'!$A:Z,HLOOKUP(L$22,'[3]success rates'!$1:$2,2,FALSE),FALSE)</f>
        <v>0.7240022484541877</v>
      </c>
      <c r="M24" s="14">
        <f>VLOOKUP($A24,'[3]success rates'!$A:AA,HLOOKUP(M$22,'[3]success rates'!$1:$2,2,FALSE),FALSE)</f>
        <v>0.68080625752105894</v>
      </c>
      <c r="N24" s="3">
        <f>VLOOKUP($A24,'[3]success rates'!$A:AB,HLOOKUP(N$22,'[3]success rates'!$1:$2,2,FALSE),FALSE)</f>
        <v>1.0344827586206897</v>
      </c>
      <c r="O24" s="3">
        <f>VLOOKUP($A24,'[3]success rates'!$A:AC,HLOOKUP(O$22,'[3]success rates'!$1:$2,2,FALSE),FALSE)</f>
        <v>0.71159533073929959</v>
      </c>
      <c r="P24" s="3">
        <f>VLOOKUP($A24,'[3]success rates'!$A:AD,HLOOKUP(P$22,'[3]success rates'!$1:$2,2,FALSE),FALSE)</f>
        <v>0.67902717309713256</v>
      </c>
    </row>
    <row r="25" spans="1:16" ht="15.75" thickBot="1" x14ac:dyDescent="0.3">
      <c r="A25" s="25" t="s">
        <v>25</v>
      </c>
      <c r="B25" s="56">
        <f>VLOOKUP($A25,'[3]success rates'!$A:P,HLOOKUP(B$22,'[3]success rates'!$1:$2,2,FALSE),FALSE)</f>
        <v>0.94736842105263153</v>
      </c>
      <c r="C25" s="57">
        <f>VLOOKUP($A25,'[3]success rates'!$A:Q,HLOOKUP(C$22,'[3]success rates'!$1:$2,2,FALSE),FALSE)</f>
        <v>0.60176991150442483</v>
      </c>
      <c r="D25" s="58">
        <f>VLOOKUP($A25,'[3]success rates'!$A:R,HLOOKUP(D$22,'[3]success rates'!$1:$2,2,FALSE),FALSE)</f>
        <v>0.60273972602739723</v>
      </c>
      <c r="E25" s="56">
        <f>VLOOKUP($A25,'[3]success rates'!$A:S,HLOOKUP(E$22,'[3]success rates'!$1:$2,2,FALSE),FALSE)</f>
        <v>0.8571428571428571</v>
      </c>
      <c r="F25" s="57">
        <f>VLOOKUP($A25,'[3]success rates'!$A:T,HLOOKUP(F$22,'[3]success rates'!$1:$2,2,FALSE),FALSE)</f>
        <v>0.63043478260869568</v>
      </c>
      <c r="G25" s="58">
        <f>VLOOKUP($A25,'[3]success rates'!$A:U,HLOOKUP(G$22,'[3]success rates'!$1:$2,2,FALSE),FALSE)</f>
        <v>0.7</v>
      </c>
      <c r="H25" s="56">
        <f>VLOOKUP($A25,'[3]success rates'!$A:V,HLOOKUP(H$22,'[3]success rates'!$1:$2,2,FALSE),FALSE)</f>
        <v>0.83333333333333337</v>
      </c>
      <c r="I25" s="57">
        <f>VLOOKUP($A25,'[3]success rates'!$A:W,HLOOKUP(I$22,'[3]success rates'!$1:$2,2,FALSE),FALSE)</f>
        <v>0.71782178217821779</v>
      </c>
      <c r="J25" s="58">
        <f>VLOOKUP($A25,'[3]success rates'!$A:X,HLOOKUP(J$22,'[3]success rates'!$1:$2,2,FALSE),FALSE)</f>
        <v>0.67326732673267331</v>
      </c>
      <c r="K25" s="56">
        <f>VLOOKUP($A25,'[3]success rates'!$A:Y,HLOOKUP(K$22,'[3]success rates'!$1:$2,2,FALSE),FALSE)</f>
        <v>0.5714285714285714</v>
      </c>
      <c r="L25" s="57">
        <f>VLOOKUP($A25,'[3]success rates'!$A:Z,HLOOKUP(L$22,'[3]success rates'!$1:$2,2,FALSE),FALSE)</f>
        <v>0.7975460122699386</v>
      </c>
      <c r="M25" s="58">
        <f>VLOOKUP($A25,'[3]success rates'!$A:AA,HLOOKUP(M$22,'[3]success rates'!$1:$2,2,FALSE),FALSE)</f>
        <v>0.66666666666666663</v>
      </c>
      <c r="N25" s="56">
        <f>VLOOKUP($A25,'[3]success rates'!$A:AB,HLOOKUP(N$22,'[3]success rates'!$1:$2,2,FALSE),FALSE)</f>
        <v>1</v>
      </c>
      <c r="O25" s="56">
        <f>VLOOKUP($A25,'[3]success rates'!$A:AC,HLOOKUP(O$22,'[3]success rates'!$1:$2,2,FALSE),FALSE)</f>
        <v>0.76146788990825687</v>
      </c>
      <c r="P25" s="56">
        <f>VLOOKUP($A25,'[3]success rates'!$A:AD,HLOOKUP(P$22,'[3]success rates'!$1:$2,2,FALSE),FALSE)</f>
        <v>0.85</v>
      </c>
    </row>
    <row r="26" spans="1:16" s="1" customFormat="1" ht="15.75" thickBot="1" x14ac:dyDescent="0.3">
      <c r="A26" s="25" t="s">
        <v>30</v>
      </c>
      <c r="B26" s="59">
        <f>VLOOKUP('[3]success rates'!$A$7,'[3]success rates'!$A:$P,HLOOKUP(B$22,'[3]success rates'!$1:$2,2,FALSE),FALSE)</f>
        <v>0.81761363636363638</v>
      </c>
      <c r="C26" s="60">
        <f>VLOOKUP('[3]success rates'!$A$7,'[3]success rates'!$A:$P,HLOOKUP(C$22,'[3]success rates'!$1:$2,2,FALSE),FALSE)</f>
        <v>0.63030778620629524</v>
      </c>
      <c r="D26" s="61">
        <f>VLOOKUP('[3]success rates'!$A$7,'[3]success rates'!$A:$P,HLOOKUP(D$22,'[3]success rates'!$1:$2,2,FALSE),FALSE)</f>
        <v>0.6284906004745392</v>
      </c>
      <c r="E26" s="59">
        <f>VLOOKUP('[3]success rates'!$A$7,'[3]success rates'!$A:$P,HLOOKUP(E$22,'[3]success rates'!$1:$2,2,FALSE),FALSE)</f>
        <v>0.81861678990865594</v>
      </c>
      <c r="F26" s="60">
        <f>VLOOKUP('[3]success rates'!$A$7,'[3]success rates'!$A:$P,HLOOKUP(F$22,'[3]success rates'!$1:$2,2,FALSE),FALSE)</f>
        <v>0.63091482649842268</v>
      </c>
      <c r="G26" s="61">
        <f>VLOOKUP('[3]success rates'!$A$7,'[3]success rates'!$A:$P,HLOOKUP(G$22,'[3]success rates'!$1:$2,2,FALSE),FALSE)</f>
        <v>0.64021543985637341</v>
      </c>
      <c r="H26" s="59">
        <f>VLOOKUP('[3]success rates'!$A$7,'[3]success rates'!$A:$P,HLOOKUP(H$22,'[3]success rates'!$1:$2,2,FALSE),FALSE)</f>
        <v>0.82465589467384803</v>
      </c>
      <c r="I26" s="60">
        <f>VLOOKUP('[3]success rates'!$A$7,'[3]success rates'!$A:$P,HLOOKUP(I$22,'[3]success rates'!$1:$2,2,FALSE),FALSE)</f>
        <v>0.64409643251673276</v>
      </c>
      <c r="J26" s="61">
        <f>VLOOKUP('[3]success rates'!$A$7,'[3]success rates'!$A:$P,HLOOKUP(J$22,'[3]success rates'!$1:$2,2,FALSE),FALSE)</f>
        <v>0.64174950298210731</v>
      </c>
      <c r="K26" s="59">
        <f>VLOOKUP('[3]success rates'!$A$7,'[3]success rates'!$A:$P,HLOOKUP(K$22,'[3]success rates'!$1:$2,2,FALSE),FALSE)</f>
        <v>0.84245917387127767</v>
      </c>
      <c r="L26" s="60">
        <f>VLOOKUP('[3]success rates'!$A$7,'[3]success rates'!$A:$P,HLOOKUP(L$22,'[3]success rates'!$1:$2,2,FALSE),FALSE)</f>
        <v>0.71500765696784074</v>
      </c>
      <c r="M26" s="61">
        <f>VLOOKUP('[3]success rates'!$A$7,'[3]success rates'!$A:$P,HLOOKUP(M$22,'[3]success rates'!$1:$2,2,FALSE),FALSE)</f>
        <v>0.67244170984455953</v>
      </c>
      <c r="N26" s="59">
        <f>VLOOKUP('[3]success rates'!$A$7,'[3]success rates'!$A:$P,HLOOKUP(N$22,'[3]success rates'!$1:$2,2,FALSE),FALSE)</f>
        <v>0.98976109215017061</v>
      </c>
      <c r="O26" s="59">
        <f>VLOOKUP('[3]success rates'!$A$7,'[3]success rates'!$A:$P,HLOOKUP(O$22,'[3]success rates'!$1:$2,2,FALSE),FALSE)</f>
        <v>0.70614410405613559</v>
      </c>
      <c r="P26" s="59">
        <f>VLOOKUP('[3]success rates'!$A$7,'[3]success rates'!$A:$P,HLOOKUP(P$22,'[3]success rates'!$1:$2,2,FALSE),FALSE)</f>
        <v>0.67615422803243419</v>
      </c>
    </row>
    <row r="27" spans="1:16" x14ac:dyDescent="0.25">
      <c r="A27" s="29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30" t="s">
        <v>32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"/>
    </row>
    <row r="29" spans="1:16" x14ac:dyDescent="0.25">
      <c r="A29" s="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"/>
    </row>
  </sheetData>
  <mergeCells count="29">
    <mergeCell ref="B9:D9"/>
    <mergeCell ref="E9:G9"/>
    <mergeCell ref="H9:J9"/>
    <mergeCell ref="K9:M9"/>
    <mergeCell ref="N9:P9"/>
    <mergeCell ref="A19:A21"/>
    <mergeCell ref="B19:P19"/>
    <mergeCell ref="B20:P20"/>
    <mergeCell ref="B21:D21"/>
    <mergeCell ref="E21:G21"/>
    <mergeCell ref="H21:J21"/>
    <mergeCell ref="K21:M21"/>
    <mergeCell ref="N21:P21"/>
    <mergeCell ref="A1:A3"/>
    <mergeCell ref="B1:P1"/>
    <mergeCell ref="B2:P2"/>
    <mergeCell ref="B3:D3"/>
    <mergeCell ref="E3:G3"/>
    <mergeCell ref="H3:J3"/>
    <mergeCell ref="K3:M3"/>
    <mergeCell ref="N3:P3"/>
    <mergeCell ref="A11:A13"/>
    <mergeCell ref="B11:P11"/>
    <mergeCell ref="B12:P12"/>
    <mergeCell ref="B13:D13"/>
    <mergeCell ref="E13:G13"/>
    <mergeCell ref="H13:J13"/>
    <mergeCell ref="K13:M13"/>
    <mergeCell ref="N13:P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BF6AE9-9D98-44B1-8516-62E22755EA83}"/>
</file>

<file path=customXml/itemProps2.xml><?xml version="1.0" encoding="utf-8"?>
<ds:datastoreItem xmlns:ds="http://schemas.openxmlformats.org/officeDocument/2006/customXml" ds:itemID="{93FD9396-20BC-4858-A0B2-863A1A8242E9}"/>
</file>

<file path=customXml/itemProps3.xml><?xml version="1.0" encoding="utf-8"?>
<ds:datastoreItem xmlns:ds="http://schemas.openxmlformats.org/officeDocument/2006/customXml" ds:itemID="{2A06EF75-25D0-436F-8E17-959DBF8328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2012-08-14T15:54:14Z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