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Default Extension="jpeg" ContentType="image/jpeg"/>
  <Override PartName="/xl/theme/theme1.xml" ContentType="application/vnd.openxmlformats-officedocument.theme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160" yWindow="180" windowWidth="21600" windowHeight="136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B5" i="1"/>
  <c r="B10"/>
  <c r="B9"/>
  <c r="B8"/>
</calcChain>
</file>

<file path=xl/sharedStrings.xml><?xml version="1.0" encoding="utf-8"?>
<sst xmlns="http://schemas.openxmlformats.org/spreadsheetml/2006/main" count="17" uniqueCount="17">
  <si>
    <t>K value table</t>
    <phoneticPr fontId="1" type="noConversion"/>
  </si>
  <si>
    <t>Mass (kg)</t>
    <phoneticPr fontId="1" type="noConversion"/>
  </si>
  <si>
    <t>Force calculator</t>
    <phoneticPr fontId="1" type="noConversion"/>
  </si>
  <si>
    <t>K value</t>
    <phoneticPr fontId="1" type="noConversion"/>
  </si>
  <si>
    <t>Fall factor</t>
    <phoneticPr fontId="1" type="noConversion"/>
  </si>
  <si>
    <t>K value</t>
    <phoneticPr fontId="1" type="noConversion"/>
  </si>
  <si>
    <t>Force on climber (kN)</t>
    <phoneticPr fontId="1" type="noConversion"/>
  </si>
  <si>
    <t>Force on protection (kN)</t>
    <phoneticPr fontId="1" type="noConversion"/>
  </si>
  <si>
    <t>Force on belayer (kN)</t>
    <phoneticPr fontId="1" type="noConversion"/>
  </si>
  <si>
    <t>Equations</t>
    <phoneticPr fontId="1" type="noConversion"/>
  </si>
  <si>
    <t>Distance fallen (m)</t>
    <phoneticPr fontId="1" type="noConversion"/>
  </si>
  <si>
    <t>Length of rope deployed (m)</t>
    <phoneticPr fontId="1" type="noConversion"/>
  </si>
  <si>
    <t>Rope impact force (kN)</t>
    <phoneticPr fontId="1" type="noConversion"/>
  </si>
  <si>
    <t>Fall factor = distance fallen/length of rope deployed</t>
    <phoneticPr fontId="1" type="noConversion"/>
  </si>
  <si>
    <t>Force on protection = 1.6 force on climber</t>
    <phoneticPr fontId="1" type="noConversion"/>
  </si>
  <si>
    <t>Force on belayer = 0.6 force on climber</t>
    <phoneticPr fontId="1" type="noConversion"/>
  </si>
  <si>
    <r>
      <t>Force on climber = mg + [(mg)2 + 2Kmg(h/l)]</t>
    </r>
    <r>
      <rPr>
        <vertAlign val="superscript"/>
        <sz val="14"/>
        <rFont val="Times New Roman"/>
      </rPr>
      <t>1/2</t>
    </r>
    <phoneticPr fontId="1" type="noConversion"/>
  </si>
</sst>
</file>

<file path=xl/styles.xml><?xml version="1.0" encoding="utf-8"?>
<styleSheet xmlns="http://schemas.openxmlformats.org/spreadsheetml/2006/main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"/>
    <numFmt numFmtId="165" formatCode="0"/>
    <numFmt numFmtId="166" formatCode="0.00"/>
    <numFmt numFmtId="167" formatCode="0"/>
  </numFmts>
  <fonts count="6">
    <font>
      <sz val="10"/>
      <name val="Verdana"/>
    </font>
    <font>
      <sz val="8"/>
      <name val="Verdana"/>
    </font>
    <font>
      <b/>
      <sz val="14"/>
      <name val="Times New Roman"/>
    </font>
    <font>
      <sz val="14"/>
      <name val="Times New Roman"/>
    </font>
    <font>
      <sz val="16"/>
      <name val="Times New Roman"/>
    </font>
    <font>
      <vertAlign val="superscript"/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left" vertical="center"/>
    </xf>
    <xf numFmtId="164" fontId="3" fillId="4" borderId="3" xfId="0" applyNumberFormat="1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16"/>
  <sheetViews>
    <sheetView tabSelected="1" view="pageLayout" workbookViewId="0">
      <selection activeCell="D11" sqref="D11"/>
    </sheetView>
  </sheetViews>
  <sheetFormatPr baseColWidth="10" defaultColWidth="20.5703125" defaultRowHeight="32" customHeight="1"/>
  <cols>
    <col min="1" max="2" width="25.7109375" style="1" customWidth="1"/>
    <col min="3" max="3" width="10.28515625" style="1" customWidth="1"/>
    <col min="4" max="16384" width="20.5703125" style="1"/>
  </cols>
  <sheetData>
    <row r="1" spans="1:5" ht="32" customHeight="1">
      <c r="A1" s="7" t="s">
        <v>2</v>
      </c>
      <c r="B1" s="7"/>
      <c r="D1" s="4" t="s">
        <v>0</v>
      </c>
      <c r="E1" s="4"/>
    </row>
    <row r="2" spans="1:5" ht="32" customHeight="1">
      <c r="A2" s="8" t="s">
        <v>1</v>
      </c>
      <c r="B2" s="9">
        <v>100</v>
      </c>
      <c r="D2" s="5" t="s">
        <v>12</v>
      </c>
      <c r="E2" s="5" t="s">
        <v>3</v>
      </c>
    </row>
    <row r="3" spans="1:5" ht="32" customHeight="1">
      <c r="A3" s="8" t="s">
        <v>10</v>
      </c>
      <c r="B3" s="9">
        <v>1</v>
      </c>
      <c r="D3" s="5">
        <v>7</v>
      </c>
      <c r="E3" s="6">
        <v>13700</v>
      </c>
    </row>
    <row r="4" spans="1:5" ht="32" customHeight="1">
      <c r="A4" s="8" t="s">
        <v>11</v>
      </c>
      <c r="B4" s="9">
        <v>5</v>
      </c>
      <c r="D4" s="5">
        <v>7.5</v>
      </c>
      <c r="E4" s="6">
        <v>16000</v>
      </c>
    </row>
    <row r="5" spans="1:5" ht="32" customHeight="1">
      <c r="A5" s="8" t="s">
        <v>4</v>
      </c>
      <c r="B5" s="16">
        <f>B3/B4</f>
        <v>0.2</v>
      </c>
      <c r="D5" s="5">
        <v>8</v>
      </c>
      <c r="E5" s="6">
        <v>18500</v>
      </c>
    </row>
    <row r="6" spans="1:5" ht="32" customHeight="1">
      <c r="A6" s="8" t="s">
        <v>5</v>
      </c>
      <c r="B6" s="9">
        <v>18500</v>
      </c>
      <c r="D6" s="5">
        <v>8.5</v>
      </c>
      <c r="E6" s="6">
        <v>21200</v>
      </c>
    </row>
    <row r="7" spans="1:5" ht="32" customHeight="1">
      <c r="A7" s="8"/>
      <c r="B7" s="10"/>
      <c r="D7" s="5">
        <v>9</v>
      </c>
      <c r="E7" s="6">
        <v>24100</v>
      </c>
    </row>
    <row r="8" spans="1:5" ht="32" customHeight="1">
      <c r="A8" s="8" t="s">
        <v>6</v>
      </c>
      <c r="B8" s="10">
        <f>((B2*9.81)+(SQRT((B2*9.81)^2+(2*B6*B2*9.81*B5))))/1000</f>
        <v>3.8483613305616018</v>
      </c>
      <c r="D8" s="5">
        <v>9.5</v>
      </c>
      <c r="E8" s="6">
        <v>27100</v>
      </c>
    </row>
    <row r="9" spans="1:5" ht="32" customHeight="1">
      <c r="A9" s="8" t="s">
        <v>7</v>
      </c>
      <c r="B9" s="10">
        <f>(((B2*9.81)+(SQRT((B2*9.81)^2+(2*B6*B2*9.81*B5))))/1000)*1.6</f>
        <v>6.1573781288985634</v>
      </c>
      <c r="D9" s="5">
        <v>10</v>
      </c>
      <c r="E9" s="6">
        <v>30300</v>
      </c>
    </row>
    <row r="10" spans="1:5" ht="32" customHeight="1">
      <c r="A10" s="8" t="s">
        <v>8</v>
      </c>
      <c r="B10" s="10">
        <f>(((B2*9.81)+(SQRT((B2*9.81)^2+(2*B6*B2*9.81*B5))))/1000)*0.6</f>
        <v>2.3090167983369612</v>
      </c>
    </row>
    <row r="12" spans="1:5" ht="32" customHeight="1">
      <c r="A12" s="11" t="s">
        <v>9</v>
      </c>
      <c r="B12" s="11"/>
    </row>
    <row r="13" spans="1:5" ht="32" customHeight="1">
      <c r="A13" s="12" t="s">
        <v>13</v>
      </c>
      <c r="B13" s="13"/>
    </row>
    <row r="14" spans="1:5" ht="32" customHeight="1">
      <c r="A14" s="12" t="s">
        <v>16</v>
      </c>
      <c r="B14" s="13"/>
      <c r="C14" s="2"/>
      <c r="D14" s="2"/>
      <c r="E14" s="2"/>
    </row>
    <row r="15" spans="1:5" ht="32" customHeight="1">
      <c r="A15" s="14" t="s">
        <v>14</v>
      </c>
      <c r="B15" s="15"/>
      <c r="C15" s="3"/>
      <c r="D15" s="3"/>
      <c r="E15" s="3"/>
    </row>
    <row r="16" spans="1:5" ht="32" customHeight="1">
      <c r="A16" s="14" t="s">
        <v>15</v>
      </c>
      <c r="B16" s="15"/>
      <c r="C16" s="3"/>
      <c r="D16" s="3"/>
      <c r="E16" s="3"/>
    </row>
  </sheetData>
  <mergeCells count="7">
    <mergeCell ref="A12:B12"/>
    <mergeCell ref="A15:B15"/>
    <mergeCell ref="A16:B16"/>
    <mergeCell ref="A13:B13"/>
    <mergeCell ref="A14:B14"/>
    <mergeCell ref="A1:B1"/>
    <mergeCell ref="D1:E1"/>
  </mergeCells>
  <phoneticPr fontId="1" type="noConversion"/>
  <printOptions horizontalCentered="1" verticalCentered="1"/>
  <pageMargins left="0.5" right="0.5" top="0.5" bottom="0.5" header="0" footer="0"/>
  <pageSetup paperSize="0"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Schull</dc:creator>
  <cp:lastModifiedBy>Bruno Schull</cp:lastModifiedBy>
  <dcterms:created xsi:type="dcterms:W3CDTF">2011-01-28T10:47:41Z</dcterms:created>
  <dcterms:modified xsi:type="dcterms:W3CDTF">2011-03-05T09:52:17Z</dcterms:modified>
</cp:coreProperties>
</file>