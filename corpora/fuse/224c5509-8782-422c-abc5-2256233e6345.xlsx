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1.4" sheetId="1" r:id="rId1"/>
  </sheets>
  <externalReferences>
    <externalReference r:id="rId2"/>
    <externalReference r:id="rId3"/>
  </externalReferences>
  <definedNames>
    <definedName name="_xlnm.Print_Area" localSheetId="0">'Table 1.4'!$A$3:$L$55</definedName>
  </definedNames>
  <calcPr calcId="145621"/>
</workbook>
</file>

<file path=xl/calcChain.xml><?xml version="1.0" encoding="utf-8"?>
<calcChain xmlns="http://schemas.openxmlformats.org/spreadsheetml/2006/main">
  <c r="I55" i="1" l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E50" i="1"/>
  <c r="C50" i="1"/>
  <c r="F34" i="1"/>
  <c r="D34" i="1"/>
  <c r="B34" i="1"/>
  <c r="F50" i="1"/>
  <c r="D50" i="1"/>
  <c r="B50" i="1"/>
  <c r="E34" i="1"/>
  <c r="C34" i="1"/>
</calcChain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<sst xmlns="http://schemas.openxmlformats.org/spreadsheetml/2006/main" count="40" uniqueCount="27">
  <si>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</si>
  <si>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</si>
  <si>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</si>
  <si>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2008–09</t>
  </si>
  <si>
    <t>2009–10</t>
  </si>
  <si>
    <t>2010–11</t>
  </si>
  <si>
    <t>2011–12</t>
  </si>
  <si>
    <t>2012–13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</si>
  <si>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</si>
  <si>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</si>
  <si>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</si>
  <si>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</si>
  <si>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</si>
  <si>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</si>
  <si>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</si>
  <si>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</si>
  <si>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</si>
  <si>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</si>
  <si>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</si>
  <si>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</si>
  <si>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</si>
  <si>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</si>
  <si>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</si>
  <si>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</si>
  <si>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</si>
  <si>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</si>
  <si>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Labour force</t>
    </r>
    <r>
      <rPr>
        <sz val="8"/>
        <color indexed="30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</si>
</sst>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#\ ##0.0"/>
    <numFmt numFmtId="165" formatCode="0.000000000000000"/>
    <numFmt numFmtId="166" formatCode="d\ mmmm\ yyyy"/>
    <numFmt numFmtId="167" formatCode="_(&quot;$&quot;* #,##0.00_);_(&quot;$&quot;* \(#,##0.00\);_(&quot;$&quot;* &quot;-&quot;??_);_(@_)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75552"/>
        <c:axId val="125577088"/>
      </c:barChart>
      <c:catAx>
        <c:axId val="12557555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577088"/>
        <c:crosses val="autoZero"/>
        <c:auto val="0"/>
        <c:lblAlgn val="ctr"/>
        <c:lblOffset val="100"/>
        <c:tickMarkSkip val="1"/>
        <c:noMultiLvlLbl val="0"/>
      </c:catAx>
      <c:valAx>
        <c:axId val="125577088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5755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1.4'!$A$199:$A$259</c:f>
              <c:strCache>
                <c:ptCount val="61"/>
                <c:pt idx="0">
                  <c:v>Jun-08</c:v>
                </c:pt>
                <c:pt idx="1">
                  <c:v>Jul-08</c:v>
                </c:pt>
                <c:pt idx="2">
                  <c:v>Aug-08</c:v>
                </c:pt>
                <c:pt idx="3">
                  <c:v>Sep-08</c:v>
                </c:pt>
                <c:pt idx="4">
                  <c:v>Oct-08</c:v>
                </c:pt>
                <c:pt idx="5">
                  <c:v>Nov-08</c:v>
                </c:pt>
                <c:pt idx="6">
                  <c:v>Dec-08</c:v>
                </c:pt>
                <c:pt idx="7">
                  <c:v>Jan-09</c:v>
                </c:pt>
                <c:pt idx="8">
                  <c:v>Feb-09</c:v>
                </c:pt>
                <c:pt idx="9">
                  <c:v>Mar-09</c:v>
                </c:pt>
                <c:pt idx="10">
                  <c:v>Apr-09</c:v>
                </c:pt>
                <c:pt idx="11">
                  <c:v>May-09</c:v>
                </c:pt>
                <c:pt idx="12">
                  <c:v>Jun-09</c:v>
                </c:pt>
                <c:pt idx="13">
                  <c:v>Jul-09</c:v>
                </c:pt>
                <c:pt idx="14">
                  <c:v>Aug-09</c:v>
                </c:pt>
                <c:pt idx="15">
                  <c:v>Sep-09</c:v>
                </c:pt>
                <c:pt idx="16">
                  <c:v>Oct-09</c:v>
                </c:pt>
                <c:pt idx="17">
                  <c:v>Nov-09</c:v>
                </c:pt>
                <c:pt idx="18">
                  <c:v>Dec-09</c:v>
                </c:pt>
                <c:pt idx="19">
                  <c:v>Jan-10</c:v>
                </c:pt>
                <c:pt idx="20">
                  <c:v>Feb-10</c:v>
                </c:pt>
                <c:pt idx="21">
                  <c:v>Mar-10</c:v>
                </c:pt>
                <c:pt idx="22">
                  <c:v>Apr-10</c:v>
                </c:pt>
                <c:pt idx="23">
                  <c:v>May-10</c:v>
                </c:pt>
                <c:pt idx="24">
                  <c:v>Jun 10</c:v>
                </c:pt>
                <c:pt idx="25">
                  <c:v>Jul-10</c:v>
                </c:pt>
                <c:pt idx="26">
                  <c:v>Aug-10</c:v>
                </c:pt>
                <c:pt idx="27">
                  <c:v>Sep-10</c:v>
                </c:pt>
                <c:pt idx="28">
                  <c:v>Oct-10</c:v>
                </c:pt>
                <c:pt idx="29">
                  <c:v>Nov-10</c:v>
                </c:pt>
                <c:pt idx="30">
                  <c:v>Dec-10</c:v>
                </c:pt>
                <c:pt idx="31">
                  <c:v>Jan-11</c:v>
                </c:pt>
                <c:pt idx="32">
                  <c:v>Feb-11</c:v>
                </c:pt>
                <c:pt idx="33">
                  <c:v>Mar-11</c:v>
                </c:pt>
                <c:pt idx="34">
                  <c:v>Apr-11</c:v>
                </c:pt>
                <c:pt idx="35">
                  <c:v>May-11</c:v>
                </c:pt>
                <c:pt idx="36">
                  <c:v>Jun 11</c:v>
                </c:pt>
                <c:pt idx="37">
                  <c:v>Jul 11</c:v>
                </c:pt>
                <c:pt idx="38">
                  <c:v>Aug 11</c:v>
                </c:pt>
                <c:pt idx="39">
                  <c:v>Sep 11</c:v>
                </c:pt>
                <c:pt idx="40">
                  <c:v>Oct 11</c:v>
                </c:pt>
                <c:pt idx="41">
                  <c:v>Nov 11</c:v>
                </c:pt>
                <c:pt idx="42">
                  <c:v>Dec 11</c:v>
                </c:pt>
                <c:pt idx="43">
                  <c:v>Jan 12</c:v>
                </c:pt>
                <c:pt idx="44">
                  <c:v>Feb 12</c:v>
                </c:pt>
                <c:pt idx="45">
                  <c:v>Mar 12</c:v>
                </c:pt>
                <c:pt idx="46">
                  <c:v>Apr 12</c:v>
                </c:pt>
                <c:pt idx="47">
                  <c:v>May 12</c:v>
                </c:pt>
                <c:pt idx="48">
                  <c:v>Jun 12</c:v>
                </c:pt>
                <c:pt idx="49">
                  <c:v>Jul 12</c:v>
                </c:pt>
                <c:pt idx="50">
                  <c:v>Aug 12</c:v>
                </c:pt>
                <c:pt idx="51">
                  <c:v>Sep 12</c:v>
                </c:pt>
                <c:pt idx="52">
                  <c:v>Oct 12</c:v>
                </c:pt>
                <c:pt idx="53">
                  <c:v>Nov 12</c:v>
                </c:pt>
                <c:pt idx="54">
                  <c:v>Dec 12</c:v>
                </c:pt>
                <c:pt idx="55">
                  <c:v>Jan 13</c:v>
                </c:pt>
                <c:pt idx="56">
                  <c:v>Feb 13</c:v>
                </c:pt>
                <c:pt idx="57">
                  <c:v>Mar 13</c:v>
                </c:pt>
                <c:pt idx="58">
                  <c:v>Apr 13</c:v>
                </c:pt>
                <c:pt idx="59">
                  <c:v>May 13</c:v>
                </c:pt>
                <c:pt idx="60">
                  <c:v>Jun 13</c:v>
                </c:pt>
              </c:strCache>
            </c:strRef>
          </c:cat>
          <c:val>
            <c:numRef>
              <c:f>'[1]Data 1.4'!$J$199:$J$259</c:f>
              <c:numCache>
                <c:formatCode>##0.0</c:formatCode>
                <c:ptCount val="61"/>
                <c:pt idx="0">
                  <c:v>14.028278035235822</c:v>
                </c:pt>
                <c:pt idx="1">
                  <c:v>13.530903946942097</c:v>
                </c:pt>
                <c:pt idx="2">
                  <c:v>14.62641126736289</c:v>
                </c:pt>
                <c:pt idx="3">
                  <c:v>15.761822699471162</c:v>
                </c:pt>
                <c:pt idx="4">
                  <c:v>15.232693712302467</c:v>
                </c:pt>
                <c:pt idx="5">
                  <c:v>14.010523553748003</c:v>
                </c:pt>
                <c:pt idx="6">
                  <c:v>13.369962785367228</c:v>
                </c:pt>
                <c:pt idx="7">
                  <c:v>13.187715714169993</c:v>
                </c:pt>
                <c:pt idx="8">
                  <c:v>13.438525194481141</c:v>
                </c:pt>
                <c:pt idx="9">
                  <c:v>13.015527765459305</c:v>
                </c:pt>
                <c:pt idx="10">
                  <c:v>12.383530191527809</c:v>
                </c:pt>
                <c:pt idx="11">
                  <c:v>13.252768420245514</c:v>
                </c:pt>
                <c:pt idx="12">
                  <c:v>15.95804163660336</c:v>
                </c:pt>
                <c:pt idx="13">
                  <c:v>15.360320772875212</c:v>
                </c:pt>
                <c:pt idx="14">
                  <c:v>15.160142575694092</c:v>
                </c:pt>
                <c:pt idx="15">
                  <c:v>14.940274080156168</c:v>
                </c:pt>
                <c:pt idx="16">
                  <c:v>15.483471205557386</c:v>
                </c:pt>
                <c:pt idx="17">
                  <c:v>16.642433866448439</c:v>
                </c:pt>
                <c:pt idx="18">
                  <c:v>17.83834695934674</c:v>
                </c:pt>
                <c:pt idx="19">
                  <c:v>17.599265567412527</c:v>
                </c:pt>
                <c:pt idx="20">
                  <c:v>17.728546991078581</c:v>
                </c:pt>
                <c:pt idx="21">
                  <c:v>16.967819606643062</c:v>
                </c:pt>
                <c:pt idx="22">
                  <c:v>17.713072035696587</c:v>
                </c:pt>
                <c:pt idx="23">
                  <c:v>18.468097181932947</c:v>
                </c:pt>
                <c:pt idx="24">
                  <c:v>18.776861830071518</c:v>
                </c:pt>
                <c:pt idx="25">
                  <c:v>17.877595937305394</c:v>
                </c:pt>
                <c:pt idx="26">
                  <c:v>18.224369512180136</c:v>
                </c:pt>
                <c:pt idx="27">
                  <c:v>19.574661412894553</c:v>
                </c:pt>
                <c:pt idx="28">
                  <c:v>20.577369407066996</c:v>
                </c:pt>
                <c:pt idx="29">
                  <c:v>19.272660560086301</c:v>
                </c:pt>
                <c:pt idx="30">
                  <c:v>19.382445803716212</c:v>
                </c:pt>
                <c:pt idx="31">
                  <c:v>18.073353052913994</c:v>
                </c:pt>
                <c:pt idx="32">
                  <c:v>19.197059322454674</c:v>
                </c:pt>
                <c:pt idx="33">
                  <c:v>20.253231207873288</c:v>
                </c:pt>
                <c:pt idx="34">
                  <c:v>19.051849394066689</c:v>
                </c:pt>
                <c:pt idx="35">
                  <c:v>20.648449115368738</c:v>
                </c:pt>
                <c:pt idx="36">
                  <c:v>19.338603467025123</c:v>
                </c:pt>
                <c:pt idx="37">
                  <c:v>18.699544596551871</c:v>
                </c:pt>
                <c:pt idx="38">
                  <c:v>20.35504111591985</c:v>
                </c:pt>
                <c:pt idx="39">
                  <c:v>17.657483020040921</c:v>
                </c:pt>
                <c:pt idx="40">
                  <c:v>18.704199330367715</c:v>
                </c:pt>
                <c:pt idx="41">
                  <c:v>17.535843196693264</c:v>
                </c:pt>
                <c:pt idx="42">
                  <c:v>17.739638390145849</c:v>
                </c:pt>
                <c:pt idx="43">
                  <c:v>20.855011081903719</c:v>
                </c:pt>
                <c:pt idx="44">
                  <c:v>18.540967469137428</c:v>
                </c:pt>
                <c:pt idx="45">
                  <c:v>18.763242501483251</c:v>
                </c:pt>
                <c:pt idx="46">
                  <c:v>19.605176142656742</c:v>
                </c:pt>
                <c:pt idx="47">
                  <c:v>18.348422741338158</c:v>
                </c:pt>
                <c:pt idx="48">
                  <c:v>18.328008259561532</c:v>
                </c:pt>
                <c:pt idx="49">
                  <c:v>18.369769350378917</c:v>
                </c:pt>
                <c:pt idx="50">
                  <c:v>20.098448468194224</c:v>
                </c:pt>
                <c:pt idx="51">
                  <c:v>18.549617588904034</c:v>
                </c:pt>
                <c:pt idx="52">
                  <c:v>18.098042947466286</c:v>
                </c:pt>
                <c:pt idx="53">
                  <c:v>20.694233241747241</c:v>
                </c:pt>
                <c:pt idx="54">
                  <c:v>18.39830258802267</c:v>
                </c:pt>
                <c:pt idx="55">
                  <c:v>18.329091586809387</c:v>
                </c:pt>
                <c:pt idx="56">
                  <c:v>17.927867404865104</c:v>
                </c:pt>
                <c:pt idx="57">
                  <c:v>17.877950887749908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92544"/>
        <c:axId val="114494080"/>
      </c:lineChart>
      <c:catAx>
        <c:axId val="11449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4940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14494080"/>
        <c:scaling>
          <c:orientation val="minMax"/>
          <c:max val="22"/>
          <c:min val="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49254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</xdr:row>
          <xdr:rowOff>38100</xdr:rowOff>
        </xdr:from>
        <xdr:to>
          <xdr:col>10</xdr:col>
          <xdr:colOff>533400</xdr:colOff>
          <xdr:row>47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9">
          <cell r="A199">
            <v>39600</v>
          </cell>
          <cell r="J199">
            <v>14.028278035235822</v>
          </cell>
        </row>
        <row r="200">
          <cell r="A200">
            <v>39630</v>
          </cell>
          <cell r="H200">
            <v>65.891391100000007</v>
          </cell>
          <cell r="J200">
            <v>13.530903946942097</v>
          </cell>
        </row>
        <row r="201">
          <cell r="A201">
            <v>39661</v>
          </cell>
          <cell r="H201">
            <v>67.877529600000003</v>
          </cell>
          <cell r="J201">
            <v>14.62641126736289</v>
          </cell>
        </row>
        <row r="202">
          <cell r="A202">
            <v>39692</v>
          </cell>
          <cell r="H202">
            <v>77.896395900000002</v>
          </cell>
          <cell r="J202">
            <v>15.761822699471162</v>
          </cell>
        </row>
        <row r="203">
          <cell r="A203">
            <v>39722</v>
          </cell>
          <cell r="H203">
            <v>75.243530300000003</v>
          </cell>
          <cell r="J203">
            <v>15.232693712302467</v>
          </cell>
        </row>
        <row r="204">
          <cell r="A204">
            <v>39753</v>
          </cell>
          <cell r="H204">
            <v>71.831488199999995</v>
          </cell>
          <cell r="J204">
            <v>14.010523553748003</v>
          </cell>
        </row>
        <row r="205">
          <cell r="A205">
            <v>39783</v>
          </cell>
          <cell r="H205">
            <v>70.399862799999994</v>
          </cell>
          <cell r="J205">
            <v>13.369962785367228</v>
          </cell>
        </row>
        <row r="206">
          <cell r="A206">
            <v>39814</v>
          </cell>
          <cell r="H206">
            <v>74.923110899999998</v>
          </cell>
          <cell r="J206">
            <v>13.187715714169993</v>
          </cell>
        </row>
        <row r="207">
          <cell r="A207">
            <v>39845</v>
          </cell>
          <cell r="H207">
            <v>82.987018300000003</v>
          </cell>
          <cell r="J207">
            <v>13.438525194481141</v>
          </cell>
        </row>
        <row r="208">
          <cell r="A208">
            <v>39873</v>
          </cell>
          <cell r="H208">
            <v>86.666750500000006</v>
          </cell>
          <cell r="J208">
            <v>13.015527765459305</v>
          </cell>
        </row>
        <row r="209">
          <cell r="A209">
            <v>39904</v>
          </cell>
          <cell r="H209">
            <v>79.040417000000005</v>
          </cell>
          <cell r="J209">
            <v>12.383530191527809</v>
          </cell>
        </row>
        <row r="210">
          <cell r="A210">
            <v>39934</v>
          </cell>
          <cell r="H210">
            <v>89.050330200000005</v>
          </cell>
          <cell r="J210">
            <v>13.252768420245514</v>
          </cell>
        </row>
        <row r="211">
          <cell r="A211">
            <v>39965</v>
          </cell>
          <cell r="H211">
            <v>108.98513850000001</v>
          </cell>
          <cell r="J211">
            <v>15.95804163660336</v>
          </cell>
        </row>
        <row r="212">
          <cell r="A212">
            <v>39995</v>
          </cell>
          <cell r="H212">
            <v>102.6983575</v>
          </cell>
          <cell r="J212">
            <v>15.360320772875212</v>
          </cell>
        </row>
        <row r="213">
          <cell r="A213">
            <v>40026</v>
          </cell>
          <cell r="H213">
            <v>101.397209</v>
          </cell>
          <cell r="J213">
            <v>15.160142575694092</v>
          </cell>
        </row>
        <row r="214">
          <cell r="A214">
            <v>40057</v>
          </cell>
          <cell r="H214">
            <v>99.323953900000006</v>
          </cell>
          <cell r="J214">
            <v>14.940274080156168</v>
          </cell>
        </row>
        <row r="215">
          <cell r="A215">
            <v>40087</v>
          </cell>
          <cell r="H215">
            <v>101.5762216</v>
          </cell>
          <cell r="J215">
            <v>15.483471205557386</v>
          </cell>
        </row>
        <row r="216">
          <cell r="A216">
            <v>40118</v>
          </cell>
          <cell r="H216">
            <v>108.05722489999999</v>
          </cell>
          <cell r="J216">
            <v>16.642433866448439</v>
          </cell>
        </row>
        <row r="217">
          <cell r="A217">
            <v>40148</v>
          </cell>
          <cell r="H217">
            <v>114.9289225</v>
          </cell>
          <cell r="J217">
            <v>17.83834695934674</v>
          </cell>
        </row>
        <row r="218">
          <cell r="A218">
            <v>40179</v>
          </cell>
          <cell r="H218">
            <v>108.9737662</v>
          </cell>
          <cell r="J218">
            <v>17.599265567412527</v>
          </cell>
        </row>
        <row r="219">
          <cell r="A219">
            <v>40210</v>
          </cell>
          <cell r="H219">
            <v>110.0800977</v>
          </cell>
          <cell r="J219">
            <v>17.728546991078581</v>
          </cell>
        </row>
        <row r="220">
          <cell r="A220">
            <v>40238</v>
          </cell>
          <cell r="H220">
            <v>107.14481499999999</v>
          </cell>
          <cell r="J220">
            <v>16.967819606643062</v>
          </cell>
        </row>
        <row r="221">
          <cell r="A221">
            <v>40269</v>
          </cell>
          <cell r="H221">
            <v>113.8321272</v>
          </cell>
          <cell r="J221">
            <v>17.713072035696587</v>
          </cell>
        </row>
        <row r="222">
          <cell r="A222">
            <v>40299</v>
          </cell>
          <cell r="H222">
            <v>112.31905380000001</v>
          </cell>
          <cell r="J222">
            <v>18.468097181932947</v>
          </cell>
        </row>
        <row r="223">
          <cell r="A223" t="str">
            <v>Jun 10</v>
          </cell>
          <cell r="H223">
            <v>115.01069699999999</v>
          </cell>
          <cell r="J223">
            <v>18.776861830071518</v>
          </cell>
        </row>
        <row r="224">
          <cell r="A224">
            <v>40360</v>
          </cell>
          <cell r="H224">
            <v>112.70457330000001</v>
          </cell>
          <cell r="J224">
            <v>17.877595937305394</v>
          </cell>
        </row>
        <row r="225">
          <cell r="A225">
            <v>40391</v>
          </cell>
          <cell r="H225">
            <v>109.1215625</v>
          </cell>
          <cell r="J225">
            <v>18.224369512180136</v>
          </cell>
        </row>
        <row r="226">
          <cell r="A226">
            <v>40422</v>
          </cell>
          <cell r="H226">
            <v>118.0077446</v>
          </cell>
          <cell r="J226">
            <v>19.574661412894553</v>
          </cell>
        </row>
        <row r="227">
          <cell r="A227">
            <v>40452</v>
          </cell>
          <cell r="H227">
            <v>129.23812229999999</v>
          </cell>
          <cell r="J227">
            <v>20.577369407066996</v>
          </cell>
        </row>
        <row r="228">
          <cell r="A228">
            <v>40483</v>
          </cell>
          <cell r="H228">
            <v>118.338554</v>
          </cell>
          <cell r="J228">
            <v>19.272660560086301</v>
          </cell>
        </row>
        <row r="229">
          <cell r="A229">
            <v>40513</v>
          </cell>
          <cell r="H229">
            <v>113.3269741</v>
          </cell>
          <cell r="J229">
            <v>19.382445803716212</v>
          </cell>
        </row>
        <row r="230">
          <cell r="A230">
            <v>40544</v>
          </cell>
          <cell r="H230">
            <v>109.3482436</v>
          </cell>
          <cell r="J230">
            <v>18.073353052913994</v>
          </cell>
        </row>
        <row r="231">
          <cell r="A231">
            <v>40575</v>
          </cell>
          <cell r="H231">
            <v>114.58567859999999</v>
          </cell>
          <cell r="J231">
            <v>19.197059322454674</v>
          </cell>
        </row>
        <row r="232">
          <cell r="A232">
            <v>40603</v>
          </cell>
          <cell r="H232">
            <v>119.6591167</v>
          </cell>
          <cell r="J232">
            <v>20.253231207873288</v>
          </cell>
        </row>
        <row r="233">
          <cell r="A233">
            <v>40634</v>
          </cell>
          <cell r="H233">
            <v>112.49537789999999</v>
          </cell>
          <cell r="J233">
            <v>19.051849394066689</v>
          </cell>
        </row>
        <row r="234">
          <cell r="A234">
            <v>40664</v>
          </cell>
          <cell r="H234">
            <v>122.8939949</v>
          </cell>
          <cell r="J234">
            <v>20.648449115368738</v>
          </cell>
        </row>
        <row r="235">
          <cell r="A235" t="str">
            <v>Jun 11</v>
          </cell>
          <cell r="H235">
            <v>116.0067975</v>
          </cell>
          <cell r="J235">
            <v>19.338603467025123</v>
          </cell>
        </row>
        <row r="236">
          <cell r="A236">
            <v>40725</v>
          </cell>
          <cell r="H236">
            <v>115.38053960000001</v>
          </cell>
          <cell r="J236">
            <v>18.699544596551871</v>
          </cell>
        </row>
        <row r="237">
          <cell r="A237">
            <v>40756</v>
          </cell>
          <cell r="H237">
            <v>128.88504130000001</v>
          </cell>
          <cell r="J237">
            <v>20.35504111591985</v>
          </cell>
        </row>
        <row r="238">
          <cell r="A238">
            <v>40787</v>
          </cell>
          <cell r="H238">
            <v>111.0199892</v>
          </cell>
          <cell r="J238">
            <v>17.657483020040921</v>
          </cell>
        </row>
        <row r="239">
          <cell r="A239">
            <v>40817</v>
          </cell>
          <cell r="H239">
            <v>116.0620893</v>
          </cell>
          <cell r="J239">
            <v>18.704199330367715</v>
          </cell>
        </row>
        <row r="240">
          <cell r="A240">
            <v>40848</v>
          </cell>
          <cell r="H240">
            <v>110.7960492</v>
          </cell>
          <cell r="J240">
            <v>17.535843196693264</v>
          </cell>
        </row>
        <row r="241">
          <cell r="A241">
            <v>40878</v>
          </cell>
          <cell r="H241">
            <v>110.7380024</v>
          </cell>
          <cell r="J241">
            <v>17.739638390145849</v>
          </cell>
        </row>
        <row r="242">
          <cell r="A242">
            <v>40909</v>
          </cell>
          <cell r="H242">
            <v>128.21056899999999</v>
          </cell>
          <cell r="J242">
            <v>20.855011081903719</v>
          </cell>
        </row>
        <row r="243">
          <cell r="A243">
            <v>40940</v>
          </cell>
          <cell r="H243">
            <v>116.5546028</v>
          </cell>
          <cell r="J243">
            <v>18.540967469137428</v>
          </cell>
        </row>
        <row r="244">
          <cell r="A244">
            <v>40969</v>
          </cell>
          <cell r="H244">
            <v>117.4502071</v>
          </cell>
          <cell r="J244">
            <v>18.763242501483251</v>
          </cell>
        </row>
        <row r="245">
          <cell r="A245">
            <v>41000</v>
          </cell>
          <cell r="H245">
            <v>118.22922269999999</v>
          </cell>
          <cell r="J245">
            <v>19.605176142656742</v>
          </cell>
        </row>
        <row r="246">
          <cell r="A246">
            <v>41030</v>
          </cell>
          <cell r="H246">
            <v>114.9608358</v>
          </cell>
          <cell r="J246">
            <v>18.348422741338158</v>
          </cell>
        </row>
        <row r="247">
          <cell r="A247" t="str">
            <v>Jun 12</v>
          </cell>
          <cell r="H247">
            <v>117.45614140000001</v>
          </cell>
          <cell r="J247">
            <v>18.328008259561532</v>
          </cell>
        </row>
        <row r="248">
          <cell r="A248">
            <v>41091</v>
          </cell>
          <cell r="H248">
            <v>116.898566</v>
          </cell>
          <cell r="J248">
            <v>18.369769350378917</v>
          </cell>
        </row>
        <row r="249">
          <cell r="A249">
            <v>41122</v>
          </cell>
          <cell r="H249">
            <v>125.4732813</v>
          </cell>
          <cell r="J249">
            <v>20.098448468194224</v>
          </cell>
        </row>
        <row r="250">
          <cell r="A250">
            <v>41153</v>
          </cell>
          <cell r="H250">
            <v>123.773687</v>
          </cell>
          <cell r="J250">
            <v>18.549617588904034</v>
          </cell>
        </row>
        <row r="251">
          <cell r="A251">
            <v>41183</v>
          </cell>
          <cell r="H251">
            <v>118.7794258</v>
          </cell>
          <cell r="J251">
            <v>18.098042947466286</v>
          </cell>
        </row>
        <row r="252">
          <cell r="A252">
            <v>41214</v>
          </cell>
          <cell r="H252">
            <v>132.76938519999999</v>
          </cell>
          <cell r="J252">
            <v>20.694233241747241</v>
          </cell>
        </row>
        <row r="253">
          <cell r="A253">
            <v>41244</v>
          </cell>
          <cell r="H253">
            <v>121.7034511</v>
          </cell>
          <cell r="J253">
            <v>18.39830258802267</v>
          </cell>
        </row>
        <row r="254">
          <cell r="A254">
            <v>41275</v>
          </cell>
          <cell r="H254">
            <v>121.5717669</v>
          </cell>
          <cell r="J254">
            <v>18.329091586809387</v>
          </cell>
        </row>
        <row r="255">
          <cell r="A255">
            <v>41306</v>
          </cell>
          <cell r="H255">
            <v>118.504921</v>
          </cell>
          <cell r="J255">
            <v>17.927867404865104</v>
          </cell>
        </row>
        <row r="256">
          <cell r="A256">
            <v>41334</v>
          </cell>
          <cell r="H256">
            <v>122.8084425</v>
          </cell>
          <cell r="J256">
            <v>17.877950887749908</v>
          </cell>
        </row>
        <row r="257">
          <cell r="A257">
            <v>41365</v>
          </cell>
          <cell r="H257" t="str">
            <v xml:space="preserve"> </v>
          </cell>
          <cell r="J257" t="e">
            <v>#N/A</v>
          </cell>
        </row>
        <row r="258">
          <cell r="A258">
            <v>41395</v>
          </cell>
          <cell r="H258" t="str">
            <v xml:space="preserve"> </v>
          </cell>
          <cell r="J258" t="e">
            <v>#N/A</v>
          </cell>
        </row>
        <row r="259">
          <cell r="A259">
            <v>41426</v>
          </cell>
          <cell r="H259" t="str">
            <v xml:space="preserve"> </v>
          </cell>
          <cell r="J259" t="e">
            <v>#N/A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4a Table - Number"/>
      <sheetName val="1.4b Table - Percentage"/>
      <sheetName val="Chart2"/>
      <sheetName val="1.4 Data"/>
    </sheetNames>
    <sheetDataSet>
      <sheetData sheetId="0">
        <row r="41">
          <cell r="B41">
            <v>41410</v>
          </cell>
        </row>
      </sheetData>
      <sheetData sheetId="1"/>
      <sheetData sheetId="2" refreshError="1"/>
      <sheetData sheetId="3">
        <row r="82">
          <cell r="B82">
            <v>277.79026440000001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5"/>
  <sheetViews>
    <sheetView tabSelected="1" topLeftCell="A2" workbookViewId="0">
      <selection activeCell="R18" sqref="R18"/>
    </sheetView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f>'[1]Data 1.4'!H200</f>
        <v>65.891391100000007</v>
      </c>
      <c r="C21" s="14">
        <f>'[1]Data 1.4'!H212</f>
        <v>102.6983575</v>
      </c>
      <c r="D21" s="14">
        <f>'[1]Data 1.4'!H224</f>
        <v>112.70457330000001</v>
      </c>
      <c r="E21" s="14">
        <f>'[1]Data 1.4'!H236</f>
        <v>115.38053960000001</v>
      </c>
      <c r="F21" s="14">
        <f>IF('[1]Data 1.4'!H248=0," ",'[1]Data 1.4'!H248)</f>
        <v>116.898566</v>
      </c>
      <c r="H21" s="6"/>
    </row>
    <row r="22" spans="1:13" ht="12.95" customHeight="1" x14ac:dyDescent="0.25">
      <c r="A22" s="13" t="s">
        <v>10</v>
      </c>
      <c r="B22" s="14">
        <f>'[1]Data 1.4'!H201</f>
        <v>67.877529600000003</v>
      </c>
      <c r="C22" s="14">
        <f>'[1]Data 1.4'!H213</f>
        <v>101.397209</v>
      </c>
      <c r="D22" s="14">
        <f>'[1]Data 1.4'!H225</f>
        <v>109.1215625</v>
      </c>
      <c r="E22" s="14">
        <f>'[1]Data 1.4'!H237</f>
        <v>128.88504130000001</v>
      </c>
      <c r="F22" s="14">
        <f>IF('[1]Data 1.4'!H249=0," ",'[1]Data 1.4'!H249)</f>
        <v>125.4732813</v>
      </c>
      <c r="H22" s="6"/>
      <c r="M22" s="15"/>
    </row>
    <row r="23" spans="1:13" ht="12.95" customHeight="1" x14ac:dyDescent="0.25">
      <c r="A23" s="13" t="s">
        <v>11</v>
      </c>
      <c r="B23" s="14">
        <f>'[1]Data 1.4'!H202</f>
        <v>77.896395900000002</v>
      </c>
      <c r="C23" s="14">
        <f>'[1]Data 1.4'!H214</f>
        <v>99.323953900000006</v>
      </c>
      <c r="D23" s="14">
        <f>'[1]Data 1.4'!H226</f>
        <v>118.0077446</v>
      </c>
      <c r="E23" s="14">
        <f>'[1]Data 1.4'!H238</f>
        <v>111.0199892</v>
      </c>
      <c r="F23" s="14">
        <f>IF('[1]Data 1.4'!H250=0," ",'[1]Data 1.4'!H250)</f>
        <v>123.773687</v>
      </c>
      <c r="H23" s="6"/>
    </row>
    <row r="24" spans="1:13" ht="12.95" customHeight="1" x14ac:dyDescent="0.25">
      <c r="A24" s="13" t="s">
        <v>12</v>
      </c>
      <c r="B24" s="14">
        <f>'[1]Data 1.4'!H203</f>
        <v>75.243530300000003</v>
      </c>
      <c r="C24" s="14">
        <f>'[1]Data 1.4'!H215</f>
        <v>101.5762216</v>
      </c>
      <c r="D24" s="14">
        <f>'[1]Data 1.4'!H227</f>
        <v>129.23812229999999</v>
      </c>
      <c r="E24" s="14">
        <f>'[1]Data 1.4'!H239</f>
        <v>116.0620893</v>
      </c>
      <c r="F24" s="14">
        <f>IF('[1]Data 1.4'!H251=0," ",'[1]Data 1.4'!H251)</f>
        <v>118.7794258</v>
      </c>
      <c r="H24" s="6"/>
    </row>
    <row r="25" spans="1:13" ht="12.95" customHeight="1" x14ac:dyDescent="0.25">
      <c r="A25" s="13" t="s">
        <v>13</v>
      </c>
      <c r="B25" s="14">
        <f>'[1]Data 1.4'!H204</f>
        <v>71.831488199999995</v>
      </c>
      <c r="C25" s="14">
        <f>'[1]Data 1.4'!H216</f>
        <v>108.05722489999999</v>
      </c>
      <c r="D25" s="14">
        <f>'[1]Data 1.4'!H228</f>
        <v>118.338554</v>
      </c>
      <c r="E25" s="14">
        <f>'[1]Data 1.4'!H240</f>
        <v>110.7960492</v>
      </c>
      <c r="F25" s="14">
        <f>IF('[1]Data 1.4'!H252=0," ",'[1]Data 1.4'!H252)</f>
        <v>132.76938519999999</v>
      </c>
      <c r="H25" s="6"/>
    </row>
    <row r="26" spans="1:13" ht="12.95" customHeight="1" x14ac:dyDescent="0.25">
      <c r="A26" s="13" t="s">
        <v>14</v>
      </c>
      <c r="B26" s="14">
        <f>'[1]Data 1.4'!H205</f>
        <v>70.399862799999994</v>
      </c>
      <c r="C26" s="14">
        <f>'[1]Data 1.4'!H217</f>
        <v>114.9289225</v>
      </c>
      <c r="D26" s="14">
        <f>'[1]Data 1.4'!H229</f>
        <v>113.3269741</v>
      </c>
      <c r="E26" s="14">
        <f>'[1]Data 1.4'!H241</f>
        <v>110.7380024</v>
      </c>
      <c r="F26" s="14">
        <f>IF('[1]Data 1.4'!H253=0," ",'[1]Data 1.4'!H253)</f>
        <v>121.7034511</v>
      </c>
      <c r="H26" s="6"/>
    </row>
    <row r="27" spans="1:13" ht="12.95" customHeight="1" x14ac:dyDescent="0.25">
      <c r="A27" s="13" t="s">
        <v>15</v>
      </c>
      <c r="B27" s="14">
        <f>'[1]Data 1.4'!H206</f>
        <v>74.923110899999998</v>
      </c>
      <c r="C27" s="14">
        <f>'[1]Data 1.4'!H218</f>
        <v>108.9737662</v>
      </c>
      <c r="D27" s="14">
        <f>'[1]Data 1.4'!H230</f>
        <v>109.3482436</v>
      </c>
      <c r="E27" s="14">
        <f>'[1]Data 1.4'!H242</f>
        <v>128.21056899999999</v>
      </c>
      <c r="F27" s="14">
        <f>IF('[1]Data 1.4'!H254=0," ",'[1]Data 1.4'!H254)</f>
        <v>121.5717669</v>
      </c>
      <c r="H27" s="6"/>
    </row>
    <row r="28" spans="1:13" ht="12.95" customHeight="1" x14ac:dyDescent="0.25">
      <c r="A28" s="13" t="s">
        <v>16</v>
      </c>
      <c r="B28" s="14">
        <f>'[1]Data 1.4'!H207</f>
        <v>82.987018300000003</v>
      </c>
      <c r="C28" s="14">
        <f>'[1]Data 1.4'!H219</f>
        <v>110.0800977</v>
      </c>
      <c r="D28" s="14">
        <f>'[1]Data 1.4'!H231</f>
        <v>114.58567859999999</v>
      </c>
      <c r="E28" s="14">
        <f>'[1]Data 1.4'!H243</f>
        <v>116.5546028</v>
      </c>
      <c r="F28" s="14">
        <f>IF('[1]Data 1.4'!H255=0," ",'[1]Data 1.4'!H255)</f>
        <v>118.504921</v>
      </c>
      <c r="H28" s="6"/>
    </row>
    <row r="29" spans="1:13" ht="12.95" customHeight="1" x14ac:dyDescent="0.25">
      <c r="A29" s="13" t="s">
        <v>17</v>
      </c>
      <c r="B29" s="14">
        <f>'[1]Data 1.4'!H208</f>
        <v>86.666750500000006</v>
      </c>
      <c r="C29" s="14">
        <f>'[1]Data 1.4'!H220</f>
        <v>107.14481499999999</v>
      </c>
      <c r="D29" s="14">
        <f>'[1]Data 1.4'!H232</f>
        <v>119.6591167</v>
      </c>
      <c r="E29" s="14">
        <f>'[1]Data 1.4'!H244</f>
        <v>117.4502071</v>
      </c>
      <c r="F29" s="14">
        <f>IF('[1]Data 1.4'!H256=0," ",'[1]Data 1.4'!H256)</f>
        <v>122.8084425</v>
      </c>
      <c r="H29" s="6"/>
    </row>
    <row r="30" spans="1:13" ht="12.95" customHeight="1" x14ac:dyDescent="0.25">
      <c r="A30" s="13" t="s">
        <v>18</v>
      </c>
      <c r="B30" s="14">
        <f>'[1]Data 1.4'!H209</f>
        <v>79.040417000000005</v>
      </c>
      <c r="C30" s="14">
        <f>'[1]Data 1.4'!H221</f>
        <v>113.8321272</v>
      </c>
      <c r="D30" s="14">
        <f>'[1]Data 1.4'!H233</f>
        <v>112.49537789999999</v>
      </c>
      <c r="E30" s="14">
        <f>'[1]Data 1.4'!H245</f>
        <v>118.22922269999999</v>
      </c>
      <c r="F30" s="14" t="str">
        <f>IF('[1]Data 1.4'!H257=0," ",'[1]Data 1.4'!H257)</f>
        <v xml:space="preserve"> </v>
      </c>
      <c r="H30" s="6"/>
    </row>
    <row r="31" spans="1:13" ht="12.95" customHeight="1" x14ac:dyDescent="0.25">
      <c r="A31" s="13" t="s">
        <v>19</v>
      </c>
      <c r="B31" s="14">
        <f>'[1]Data 1.4'!H210</f>
        <v>89.050330200000005</v>
      </c>
      <c r="C31" s="14">
        <f>'[1]Data 1.4'!H222</f>
        <v>112.31905380000001</v>
      </c>
      <c r="D31" s="14">
        <f>'[1]Data 1.4'!H234</f>
        <v>122.8939949</v>
      </c>
      <c r="E31" s="14">
        <f>IF('[1]Data 1.4'!H246=0," ",'[1]Data 1.4'!H246)</f>
        <v>114.9608358</v>
      </c>
      <c r="F31" s="14" t="str">
        <f>IF('[1]Data 1.4'!H258=0," ",'[1]Data 1.4'!H258)</f>
        <v xml:space="preserve"> </v>
      </c>
      <c r="H31" s="6"/>
    </row>
    <row r="32" spans="1:13" ht="12.95" customHeight="1" x14ac:dyDescent="0.25">
      <c r="A32" s="13" t="s">
        <v>20</v>
      </c>
      <c r="B32" s="14">
        <f>'[1]Data 1.4'!H211</f>
        <v>108.98513850000001</v>
      </c>
      <c r="C32" s="14">
        <f>'[1]Data 1.4'!H223</f>
        <v>115.01069699999999</v>
      </c>
      <c r="D32" s="14">
        <f>'[1]Data 1.4'!H235</f>
        <v>116.0067975</v>
      </c>
      <c r="E32" s="14">
        <f>IF('[1]Data 1.4'!H247=0," ",'[1]Data 1.4'!H247)</f>
        <v>117.45614140000001</v>
      </c>
      <c r="F32" s="14" t="str">
        <f>IF('[1]Data 1.4'!H259=0," ",'[1]Data 1.4'!H259)</f>
        <v xml:space="preserve"> 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 t="e">
        <f t="shared" ref="B34:D34" ca="1" si="0">INDIRECT(ADDRESS(247+(COLUMN()-5)*12,7,1,TRUE,"Data 1.4"))</f>
        <v>#REF!</v>
      </c>
      <c r="C34" s="16" t="e">
        <f t="shared" ca="1" si="0"/>
        <v>#REF!</v>
      </c>
      <c r="D34" s="16" t="e">
        <f t="shared" ca="1" si="0"/>
        <v>#REF!</v>
      </c>
      <c r="E34" s="16" t="e">
        <f ca="1">INDIRECT(ADDRESS(247+(COLUMN()-5)*12,7,1,TRUE,"Data 1.4"))</f>
        <v>#REF!</v>
      </c>
      <c r="F34" s="14" t="e">
        <f ca="1">INDIRECT(ADDRESS(247+(COLUMN()-5)*12,7,1,TRUE,"Data 1.4"))</f>
        <v>#REF!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f>'[1]Data 1.4'!J200</f>
        <v>13.530903946942097</v>
      </c>
      <c r="C37" s="14">
        <f>'[1]Data 1.4'!J212</f>
        <v>15.360320772875212</v>
      </c>
      <c r="D37" s="14">
        <f>'[1]Data 1.4'!J224</f>
        <v>17.877595937305394</v>
      </c>
      <c r="E37" s="14">
        <f>'[1]Data 1.4'!J236</f>
        <v>18.699544596551871</v>
      </c>
      <c r="F37" s="14">
        <f>IF(ISERROR('[1]Data 1.4'!J248)," ",'[1]Data 1.4'!J248)</f>
        <v>18.369769350378917</v>
      </c>
      <c r="H37" s="6"/>
    </row>
    <row r="38" spans="1:8" ht="12.95" customHeight="1" x14ac:dyDescent="0.25">
      <c r="A38" s="13" t="s">
        <v>10</v>
      </c>
      <c r="B38" s="14">
        <f>'[1]Data 1.4'!J201</f>
        <v>14.62641126736289</v>
      </c>
      <c r="C38" s="14">
        <f>'[1]Data 1.4'!J213</f>
        <v>15.160142575694092</v>
      </c>
      <c r="D38" s="14">
        <f>'[1]Data 1.4'!J225</f>
        <v>18.224369512180136</v>
      </c>
      <c r="E38" s="14">
        <f>'[1]Data 1.4'!J237</f>
        <v>20.35504111591985</v>
      </c>
      <c r="F38" s="14">
        <f>IF(ISERROR('[1]Data 1.4'!J249)," ",'[1]Data 1.4'!J249)</f>
        <v>20.098448468194224</v>
      </c>
      <c r="H38" s="6"/>
    </row>
    <row r="39" spans="1:8" ht="12.95" customHeight="1" x14ac:dyDescent="0.25">
      <c r="A39" s="13" t="s">
        <v>11</v>
      </c>
      <c r="B39" s="14">
        <f>'[1]Data 1.4'!J202</f>
        <v>15.761822699471162</v>
      </c>
      <c r="C39" s="14">
        <f>'[1]Data 1.4'!J214</f>
        <v>14.940274080156168</v>
      </c>
      <c r="D39" s="14">
        <f>'[1]Data 1.4'!J226</f>
        <v>19.574661412894553</v>
      </c>
      <c r="E39" s="14">
        <f>'[1]Data 1.4'!J238</f>
        <v>17.657483020040921</v>
      </c>
      <c r="F39" s="14">
        <f>IF(ISERROR('[1]Data 1.4'!J250)," ",'[1]Data 1.4'!J250)</f>
        <v>18.549617588904034</v>
      </c>
      <c r="H39" s="6"/>
    </row>
    <row r="40" spans="1:8" ht="12.95" customHeight="1" x14ac:dyDescent="0.25">
      <c r="A40" s="13" t="s">
        <v>12</v>
      </c>
      <c r="B40" s="14">
        <f>'[1]Data 1.4'!J203</f>
        <v>15.232693712302467</v>
      </c>
      <c r="C40" s="14">
        <f>'[1]Data 1.4'!J215</f>
        <v>15.483471205557386</v>
      </c>
      <c r="D40" s="14">
        <f>'[1]Data 1.4'!J227</f>
        <v>20.577369407066996</v>
      </c>
      <c r="E40" s="14">
        <f>'[1]Data 1.4'!J239</f>
        <v>18.704199330367715</v>
      </c>
      <c r="F40" s="14">
        <f>IF(ISERROR('[1]Data 1.4'!J251)," ",'[1]Data 1.4'!J251)</f>
        <v>18.098042947466286</v>
      </c>
      <c r="H40" s="6"/>
    </row>
    <row r="41" spans="1:8" ht="12.95" customHeight="1" x14ac:dyDescent="0.25">
      <c r="A41" s="13" t="s">
        <v>13</v>
      </c>
      <c r="B41" s="14">
        <f>'[1]Data 1.4'!J204</f>
        <v>14.010523553748003</v>
      </c>
      <c r="C41" s="14">
        <f>'[1]Data 1.4'!J216</f>
        <v>16.642433866448439</v>
      </c>
      <c r="D41" s="14">
        <f>'[1]Data 1.4'!J228</f>
        <v>19.272660560086301</v>
      </c>
      <c r="E41" s="14">
        <f>'[1]Data 1.4'!J240</f>
        <v>17.535843196693264</v>
      </c>
      <c r="F41" s="14">
        <f>IF(ISERROR('[1]Data 1.4'!J252)," ",'[1]Data 1.4'!J252)</f>
        <v>20.694233241747241</v>
      </c>
      <c r="H41" s="6"/>
    </row>
    <row r="42" spans="1:8" ht="12.95" customHeight="1" x14ac:dyDescent="0.25">
      <c r="A42" s="13" t="s">
        <v>14</v>
      </c>
      <c r="B42" s="14">
        <f>'[1]Data 1.4'!J205</f>
        <v>13.369962785367228</v>
      </c>
      <c r="C42" s="14">
        <f>'[1]Data 1.4'!J217</f>
        <v>17.83834695934674</v>
      </c>
      <c r="D42" s="14">
        <f>'[1]Data 1.4'!J229</f>
        <v>19.382445803716212</v>
      </c>
      <c r="E42" s="14">
        <f>IF('[1]Data 1.4'!J241=0," ",'[1]Data 1.4'!J241)</f>
        <v>17.739638390145849</v>
      </c>
      <c r="F42" s="14">
        <f>IF(ISERROR('[1]Data 1.4'!J253)," ",'[1]Data 1.4'!J253)</f>
        <v>18.39830258802267</v>
      </c>
      <c r="H42" s="6"/>
    </row>
    <row r="43" spans="1:8" ht="12.95" customHeight="1" x14ac:dyDescent="0.25">
      <c r="A43" s="13" t="s">
        <v>15</v>
      </c>
      <c r="B43" s="14">
        <f>'[1]Data 1.4'!J206</f>
        <v>13.187715714169993</v>
      </c>
      <c r="C43" s="14">
        <f>'[1]Data 1.4'!J218</f>
        <v>17.599265567412527</v>
      </c>
      <c r="D43" s="14">
        <f>'[1]Data 1.4'!J230</f>
        <v>18.073353052913994</v>
      </c>
      <c r="E43" s="14">
        <f>IF('[1]Data 1.4'!J242=0," ",'[1]Data 1.4'!J242)</f>
        <v>20.855011081903719</v>
      </c>
      <c r="F43" s="14">
        <f>IF(ISERROR('[1]Data 1.4'!J254)," ",'[1]Data 1.4'!J254)</f>
        <v>18.329091586809387</v>
      </c>
      <c r="H43" s="6"/>
    </row>
    <row r="44" spans="1:8" ht="12.95" customHeight="1" x14ac:dyDescent="0.25">
      <c r="A44" s="13" t="s">
        <v>16</v>
      </c>
      <c r="B44" s="14">
        <f>'[1]Data 1.4'!J207</f>
        <v>13.438525194481141</v>
      </c>
      <c r="C44" s="14">
        <f>'[1]Data 1.4'!J219</f>
        <v>17.728546991078581</v>
      </c>
      <c r="D44" s="14">
        <f>'[1]Data 1.4'!J231</f>
        <v>19.197059322454674</v>
      </c>
      <c r="E44" s="14">
        <f>IF('[1]Data 1.4'!J243=0," ",'[1]Data 1.4'!J243)</f>
        <v>18.540967469137428</v>
      </c>
      <c r="F44" s="14">
        <f>IF(ISERROR('[1]Data 1.4'!J255)," ",'[1]Data 1.4'!J255)</f>
        <v>17.927867404865104</v>
      </c>
      <c r="H44" s="6"/>
    </row>
    <row r="45" spans="1:8" ht="12.95" customHeight="1" x14ac:dyDescent="0.25">
      <c r="A45" s="13" t="s">
        <v>17</v>
      </c>
      <c r="B45" s="14">
        <f>'[1]Data 1.4'!J208</f>
        <v>13.015527765459305</v>
      </c>
      <c r="C45" s="14">
        <f>'[1]Data 1.4'!J220</f>
        <v>16.967819606643062</v>
      </c>
      <c r="D45" s="14">
        <f>'[1]Data 1.4'!J232</f>
        <v>20.253231207873288</v>
      </c>
      <c r="E45" s="14">
        <f>IF('[1]Data 1.4'!J244=0," ",'[1]Data 1.4'!J244)</f>
        <v>18.763242501483251</v>
      </c>
      <c r="F45" s="14">
        <f>IF(ISERROR('[1]Data 1.4'!J256)," ",'[1]Data 1.4'!J256)</f>
        <v>17.877950887749908</v>
      </c>
      <c r="H45" s="6"/>
    </row>
    <row r="46" spans="1:8" ht="12.95" customHeight="1" x14ac:dyDescent="0.25">
      <c r="A46" s="13" t="s">
        <v>18</v>
      </c>
      <c r="B46" s="14">
        <f>'[1]Data 1.4'!J209</f>
        <v>12.383530191527809</v>
      </c>
      <c r="C46" s="14">
        <f>'[1]Data 1.4'!J221</f>
        <v>17.713072035696587</v>
      </c>
      <c r="D46" s="14">
        <f>'[1]Data 1.4'!J233</f>
        <v>19.051849394066689</v>
      </c>
      <c r="E46" s="14">
        <f>IF('[1]Data 1.4'!J245=0," ",'[1]Data 1.4'!J245)</f>
        <v>19.605176142656742</v>
      </c>
      <c r="F46" s="14" t="str">
        <f>IF(ISERROR('[1]Data 1.4'!J257)," ",'[1]Data 1.4'!J257)</f>
        <v xml:space="preserve"> </v>
      </c>
      <c r="H46" s="6"/>
    </row>
    <row r="47" spans="1:8" ht="12.95" customHeight="1" x14ac:dyDescent="0.25">
      <c r="A47" s="13" t="s">
        <v>19</v>
      </c>
      <c r="B47" s="14">
        <f>'[1]Data 1.4'!J210</f>
        <v>13.252768420245514</v>
      </c>
      <c r="C47" s="14">
        <f>'[1]Data 1.4'!J222</f>
        <v>18.468097181932947</v>
      </c>
      <c r="D47" s="14">
        <f>'[1]Data 1.4'!J234</f>
        <v>20.648449115368738</v>
      </c>
      <c r="E47" s="14">
        <f>IF('[1]Data 1.4'!J246=0," ",'[1]Data 1.4'!J246)</f>
        <v>18.348422741338158</v>
      </c>
      <c r="F47" s="14" t="str">
        <f>IF(ISERROR('[1]Data 1.4'!J258)," ",'[1]Data 1.4'!J258)</f>
        <v xml:space="preserve"> </v>
      </c>
      <c r="H47" s="6"/>
    </row>
    <row r="48" spans="1:8" ht="12.95" customHeight="1" x14ac:dyDescent="0.25">
      <c r="A48" s="13" t="s">
        <v>20</v>
      </c>
      <c r="B48" s="14">
        <f>'[1]Data 1.4'!J211</f>
        <v>15.95804163660336</v>
      </c>
      <c r="C48" s="14">
        <f>'[1]Data 1.4'!J223</f>
        <v>18.776861830071518</v>
      </c>
      <c r="D48" s="14">
        <f>'[1]Data 1.4'!J235</f>
        <v>19.338603467025123</v>
      </c>
      <c r="E48" s="14">
        <f>IF('[1]Data 1.4'!J247=0," ",'[1]Data 1.4'!J247)</f>
        <v>18.328008259561532</v>
      </c>
      <c r="F48" s="14" t="str">
        <f>IF(ISERROR('[1]Data 1.4'!J259)," ",'[1]Data 1.4'!J259)</f>
        <v xml:space="preserve"> </v>
      </c>
      <c r="H48" s="6"/>
    </row>
    <row r="49" spans="1:10" ht="11.1" customHeight="1" x14ac:dyDescent="0.25">
      <c r="A49" s="13"/>
      <c r="F49" s="14"/>
      <c r="H49" s="6"/>
    </row>
    <row r="50" spans="1:10" ht="12.95" customHeight="1" x14ac:dyDescent="0.25">
      <c r="A50" s="13" t="s">
        <v>21</v>
      </c>
      <c r="B50" s="16" t="e">
        <f ca="1">INDIRECT(ADDRESS(247+(COLUMN()-5)*12,6,1,TRUE,"Data 1.4"))</f>
        <v>#REF!</v>
      </c>
      <c r="C50" s="16" t="e">
        <f t="shared" ref="C50:D50" ca="1" si="1">INDIRECT(ADDRESS(247+(COLUMN()-5)*12,6,1,TRUE,"Data 1.4"))</f>
        <v>#REF!</v>
      </c>
      <c r="D50" s="16" t="e">
        <f t="shared" ca="1" si="1"/>
        <v>#REF!</v>
      </c>
      <c r="E50" s="16" t="e">
        <f ca="1">INDIRECT(ADDRESS(247+(COLUMN()-5)*12,6,1,TRUE,"Data 1.4"))</f>
        <v>#REF!</v>
      </c>
      <c r="F50" s="14" t="e">
        <f ca="1">INDIRECT(ADDRESS(247+(COLUMN()-5)*12,6,1,TRUE,"Data 1.4"))</f>
        <v>#REF!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f>'[2]1.4a Table - Number'!$B$41</f>
        <v>41410</v>
      </c>
      <c r="J55" s="25"/>
    </row>
  </sheetData>
  <mergeCells count="1">
    <mergeCell ref="I55:J55"/>
  </mergeCells>
  <hyperlinks>
    <hyperlink ref="A1" r:id="rId1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4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85725</xdr:colOff>
                <xdr:row>4</xdr:row>
                <xdr:rowOff>38100</xdr:rowOff>
              </from>
              <to>
                <xdr:col>10</xdr:col>
                <xdr:colOff>533400</xdr:colOff>
                <xdr:row>47</xdr:row>
                <xdr:rowOff>123825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2013-05-02T22:52:02Z</dcterms:created>
  <dcterms:modified xsi:type="dcterms:W3CDTF">2013-05-02T22:52:12Z</dcterms:modified>
</cp:coreProperties>
</file>