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30" yWindow="0" windowWidth="28770" windowHeight="10725" tabRatio="937"/>
  </bookViews>
  <sheets>
    <sheet name="Start Here" sheetId="5" r:id="rId1"/>
    <sheet name="Entity Checklist" sheetId="3" r:id="rId2"/>
    <sheet name="Financial Position" sheetId="4" r:id="rId3"/>
    <sheet name="2nd Entity Financial Position" sheetId="6" r:id="rId4"/>
    <sheet name="Parcel Application" sheetId="1" r:id="rId5"/>
    <sheet name="Ranking Factors" sheetId="2" r:id="rId6"/>
    <sheet name="Appraiser and Surveyor Info" sheetId="8" r:id="rId7"/>
  </sheets>
  <definedNames>
    <definedName name="Boards" localSheetId="3">#REF!</definedName>
    <definedName name="Boards" localSheetId="6">#REF!</definedName>
    <definedName name="Boards">#REF!</definedName>
    <definedName name="_xlnm.Print_Area" localSheetId="6">'Appraiser and Surveyor Info'!$A$1:$K$28</definedName>
    <definedName name="_xlnm.Print_Area" localSheetId="1">'Entity Checklist'!$A$1:$D$59</definedName>
    <definedName name="_xlnm.Print_Area" localSheetId="5">'Ranking Factors'!$A$1:$D$57</definedName>
    <definedName name="_xlnm.Print_Area" localSheetId="0">'Start Here'!$A$1:$G$47</definedName>
  </definedNames>
  <calcPr calcId="145621"/>
</workbook>
</file>

<file path=xl/calcChain.xml><?xml version="1.0" encoding="utf-8"?>
<calcChain xmlns="http://schemas.openxmlformats.org/spreadsheetml/2006/main">
  <c r="C46" i="2" l="1"/>
  <c r="C44" i="2"/>
  <c r="D36" i="2"/>
  <c r="D35" i="2"/>
  <c r="D34" i="2"/>
  <c r="D32" i="2"/>
  <c r="D31" i="2"/>
  <c r="C28" i="2"/>
  <c r="C20" i="2"/>
  <c r="F53" i="1" l="1"/>
  <c r="K60" i="1" l="1"/>
  <c r="B55" i="1"/>
  <c r="C55" i="1" s="1"/>
  <c r="G25" i="8"/>
  <c r="G24" i="8"/>
  <c r="G23" i="8"/>
  <c r="G22" i="8"/>
  <c r="G21" i="8"/>
  <c r="G20" i="8"/>
  <c r="G27" i="8" s="1"/>
  <c r="I18" i="8"/>
  <c r="I17" i="8"/>
  <c r="I16" i="8"/>
  <c r="I15" i="8"/>
  <c r="G11" i="8"/>
  <c r="G10" i="8"/>
  <c r="G9" i="8"/>
  <c r="G8" i="8"/>
  <c r="G7" i="8"/>
  <c r="G5" i="8"/>
  <c r="G14" i="8"/>
  <c r="B14" i="8"/>
  <c r="G13" i="8"/>
  <c r="B13" i="8"/>
  <c r="G37" i="1"/>
  <c r="G36" i="1"/>
  <c r="K57" i="1" s="1"/>
  <c r="G35" i="1"/>
  <c r="B13" i="2" s="1"/>
  <c r="B7" i="6"/>
  <c r="B6" i="6"/>
  <c r="C27" i="6"/>
  <c r="F27" i="6"/>
  <c r="F25" i="6"/>
  <c r="C25" i="6"/>
  <c r="G30" i="6"/>
  <c r="E19" i="6"/>
  <c r="E12" i="6"/>
  <c r="B8" i="6"/>
  <c r="A8" i="6"/>
  <c r="G12" i="1"/>
  <c r="G4" i="8" s="1"/>
  <c r="C38" i="3"/>
  <c r="C36" i="3"/>
  <c r="A36" i="3"/>
  <c r="A38" i="3"/>
  <c r="G130" i="2"/>
  <c r="G129" i="2"/>
  <c r="G131" i="2"/>
  <c r="G128" i="2"/>
  <c r="C131" i="2"/>
  <c r="C130" i="2"/>
  <c r="C129" i="2"/>
  <c r="C128" i="2"/>
  <c r="J45" i="1"/>
  <c r="D43" i="2" s="1"/>
  <c r="D26" i="2"/>
  <c r="D25" i="2"/>
  <c r="D24" i="2"/>
  <c r="G30" i="4"/>
  <c r="G16" i="1"/>
  <c r="G15" i="1"/>
  <c r="G22" i="1"/>
  <c r="G21" i="1"/>
  <c r="B22" i="1"/>
  <c r="B21" i="1"/>
  <c r="F27" i="4"/>
  <c r="F25" i="4"/>
  <c r="C27" i="4"/>
  <c r="C25" i="4"/>
  <c r="B8" i="4"/>
  <c r="B7" i="4"/>
  <c r="B6" i="4"/>
  <c r="B7" i="2"/>
  <c r="A7" i="2"/>
  <c r="B5" i="2"/>
  <c r="A5" i="2"/>
  <c r="G7" i="1"/>
  <c r="G5" i="1"/>
  <c r="G11" i="1" s="1"/>
  <c r="G3" i="8" s="1"/>
  <c r="A7" i="1"/>
  <c r="A5" i="1"/>
  <c r="G14" i="1" s="1"/>
  <c r="G6" i="8" s="1"/>
  <c r="C7" i="3"/>
  <c r="A7" i="3"/>
  <c r="C5" i="3"/>
  <c r="A5" i="3"/>
  <c r="A8" i="4"/>
  <c r="E19" i="4"/>
  <c r="E12" i="4"/>
  <c r="J55" i="1"/>
  <c r="E37" i="2" l="1"/>
  <c r="E33" i="2"/>
  <c r="E36" i="2"/>
  <c r="E32" i="2"/>
  <c r="E39" i="2"/>
  <c r="E35" i="2"/>
  <c r="E31" i="2"/>
  <c r="E38" i="2"/>
  <c r="E34" i="2"/>
  <c r="H118" i="2"/>
  <c r="K56" i="1"/>
  <c r="E21" i="6"/>
  <c r="F55" i="1"/>
  <c r="F54" i="1" s="1"/>
  <c r="D55" i="1"/>
  <c r="E55" i="1" s="1"/>
  <c r="J46" i="1"/>
  <c r="B11" i="2" s="1"/>
  <c r="C11" i="2" s="1"/>
  <c r="G26" i="8"/>
  <c r="G28" i="8"/>
  <c r="J105" i="2"/>
  <c r="J104" i="2"/>
  <c r="J107" i="2"/>
  <c r="J109" i="2"/>
  <c r="J111" i="2"/>
  <c r="J113" i="2"/>
  <c r="J115" i="2"/>
  <c r="J117" i="2"/>
  <c r="J119" i="2"/>
  <c r="J121" i="2"/>
  <c r="J103" i="2"/>
  <c r="J106" i="2"/>
  <c r="J108" i="2"/>
  <c r="J110" i="2"/>
  <c r="J112" i="2"/>
  <c r="J114" i="2"/>
  <c r="J116" i="2"/>
  <c r="J118" i="2"/>
  <c r="J120" i="2"/>
  <c r="I107" i="2"/>
  <c r="I104" i="2"/>
  <c r="I106" i="2"/>
  <c r="I109" i="2"/>
  <c r="I111" i="2"/>
  <c r="I113" i="2"/>
  <c r="I115" i="2"/>
  <c r="I117" i="2"/>
  <c r="I119" i="2"/>
  <c r="I121" i="2"/>
  <c r="I103" i="2"/>
  <c r="I105" i="2"/>
  <c r="I108" i="2"/>
  <c r="I110" i="2"/>
  <c r="I112" i="2"/>
  <c r="I114" i="2"/>
  <c r="I116" i="2"/>
  <c r="I118" i="2"/>
  <c r="I120" i="2"/>
  <c r="F12" i="2"/>
  <c r="D13" i="2" s="1"/>
  <c r="E12" i="2" s="1"/>
  <c r="D42" i="2"/>
  <c r="K111" i="2"/>
  <c r="K104" i="2"/>
  <c r="K106" i="2"/>
  <c r="K108" i="2"/>
  <c r="K110" i="2"/>
  <c r="K113" i="2"/>
  <c r="K115" i="2"/>
  <c r="K117" i="2"/>
  <c r="K119" i="2"/>
  <c r="K121" i="2"/>
  <c r="K103" i="2"/>
  <c r="K105" i="2"/>
  <c r="K107" i="2"/>
  <c r="K109" i="2"/>
  <c r="K112" i="2"/>
  <c r="K114" i="2"/>
  <c r="K116" i="2"/>
  <c r="K118" i="2"/>
  <c r="K120" i="2"/>
  <c r="H109" i="2"/>
  <c r="H121" i="2"/>
  <c r="H111" i="2"/>
  <c r="H103" i="2"/>
  <c r="H119" i="2"/>
  <c r="H104" i="2"/>
  <c r="H106" i="2"/>
  <c r="H108" i="2"/>
  <c r="H110" i="2"/>
  <c r="H113" i="2"/>
  <c r="H115" i="2"/>
  <c r="H117" i="2"/>
  <c r="H120" i="2"/>
  <c r="H105" i="2"/>
  <c r="H107" i="2"/>
  <c r="H112" i="2"/>
  <c r="H114" i="2"/>
  <c r="H116" i="2"/>
  <c r="E21" i="4"/>
  <c r="D39" i="2" l="1"/>
  <c r="C13" i="2"/>
  <c r="D12" i="2" s="1"/>
  <c r="E11" i="2"/>
  <c r="D11" i="2"/>
  <c r="J122" i="2"/>
  <c r="K122" i="2"/>
  <c r="H122" i="2"/>
  <c r="B15" i="2" s="1"/>
  <c r="I122" i="2"/>
  <c r="B17" i="2" s="1"/>
  <c r="F41" i="2" l="1"/>
  <c r="D10" i="2"/>
  <c r="D15" i="2"/>
  <c r="H128" i="2"/>
  <c r="I128" i="2" s="1"/>
  <c r="H131" i="2"/>
  <c r="I131" i="2" s="1"/>
  <c r="H130" i="2"/>
  <c r="I130" i="2" s="1"/>
  <c r="H129" i="2"/>
  <c r="I129" i="2" s="1"/>
  <c r="D130" i="2"/>
  <c r="E130" i="2" s="1"/>
  <c r="D128" i="2"/>
  <c r="E128" i="2" s="1"/>
  <c r="D131" i="2"/>
  <c r="E131" i="2" s="1"/>
  <c r="D129" i="2"/>
  <c r="E129" i="2" s="1"/>
  <c r="D17" i="2"/>
  <c r="C17" i="2"/>
  <c r="G41" i="2" l="1"/>
  <c r="D40" i="2" s="1"/>
  <c r="D44" i="2" s="1"/>
  <c r="C15" i="2"/>
  <c r="I132" i="2"/>
  <c r="D19" i="2" s="1"/>
  <c r="E132" i="2"/>
  <c r="D18" i="2" s="1"/>
  <c r="D16" i="2"/>
  <c r="E14" i="2" l="1"/>
  <c r="F14" i="2" s="1"/>
  <c r="D14" i="2" s="1"/>
  <c r="D20" i="2" s="1"/>
  <c r="D28" i="2" s="1"/>
  <c r="D46" i="2" s="1"/>
</calcChain>
</file>

<file path=xl/sharedStrings.xml><?xml version="1.0" encoding="utf-8"?>
<sst xmlns="http://schemas.openxmlformats.org/spreadsheetml/2006/main" count="486" uniqueCount="334">
  <si>
    <t>Farm and Ranch Land Protection Program (FRPP)</t>
  </si>
  <si>
    <t>Landowner - Parcel Application</t>
  </si>
  <si>
    <t>Participant Name</t>
  </si>
  <si>
    <t>Date:</t>
  </si>
  <si>
    <t>This application is to be submitted with the WV-300-25 (Rev. 11/2011)</t>
  </si>
  <si>
    <t>Entity or Entities Associated with the Parcel:</t>
  </si>
  <si>
    <t>If a partnership or corporation, names of all partners or shareholders.  Power of attorney or authorized agent if needed. (please attach)</t>
  </si>
  <si>
    <t>Size of the parcel in acres offered for easement.</t>
  </si>
  <si>
    <t>Acres of the prime, unique, or Statewide and locally important soil in the proposed NRCS area. (Attach soils map and table)</t>
  </si>
  <si>
    <t>Analysis of proposed NRCS easement area:   Cropland, pastureland, hayland, rangeland, wetland forest, non-wetland forest, non-forested wetlands, and incidental land.</t>
  </si>
  <si>
    <t>Existence of cave(s) (as defined by the National Speleological Society), sinkholes and/or Karst topography.</t>
  </si>
  <si>
    <t>Offer amount per acre</t>
  </si>
  <si>
    <t>Total offer amount for easement</t>
  </si>
  <si>
    <t>Agree to use the Model Deed of Conservation Easement</t>
  </si>
  <si>
    <t>Landowner Signature</t>
  </si>
  <si>
    <r>
      <t xml:space="preserve">NOTE: </t>
    </r>
    <r>
      <rPr>
        <sz val="12"/>
        <color theme="1"/>
        <rFont val="Times New Roman"/>
        <family val="1"/>
      </rPr>
      <t>The purpose of this application is to supply information required under the USDA-NRCS Federal Farm and Ranchland Protection Program that is necessary for your local farmland protection board to apply on your behalf. You may not apply directly to the USDA-NRCS. This application must be returned to your local county farmland protection board. The USDA-NRCS will complete the hazardous waste review on the property prior to funding approval.</t>
    </r>
  </si>
  <si>
    <t>Entity</t>
  </si>
  <si>
    <t>County</t>
  </si>
  <si>
    <t>Mailing Address of landowner(s):</t>
  </si>
  <si>
    <t>Deed Book(s)</t>
  </si>
  <si>
    <t>Page Number(s)</t>
  </si>
  <si>
    <t>Tax Map</t>
  </si>
  <si>
    <t>Parcel Number</t>
  </si>
  <si>
    <t>Acres</t>
  </si>
  <si>
    <t>Unique:</t>
  </si>
  <si>
    <t>Prime:</t>
  </si>
  <si>
    <t>Statewide:</t>
  </si>
  <si>
    <t>Locally Important:</t>
  </si>
  <si>
    <t>Total:</t>
  </si>
  <si>
    <t>Percent of Proposed NRCS area</t>
  </si>
  <si>
    <t>**Check copies of the soils reports</t>
  </si>
  <si>
    <t>Cropland:</t>
  </si>
  <si>
    <t>Pastureland:</t>
  </si>
  <si>
    <t>Hayland:</t>
  </si>
  <si>
    <t>Forested Wetland:</t>
  </si>
  <si>
    <t>Forested (Non-Wetland):</t>
  </si>
  <si>
    <t>Wetland (Non-Forested):</t>
  </si>
  <si>
    <t>Incidental land:</t>
  </si>
  <si>
    <t>NRCS easement area</t>
  </si>
  <si>
    <t>Total Acres</t>
  </si>
  <si>
    <t>**Total acres should match question #6</t>
  </si>
  <si>
    <t>Check all that apply</t>
  </si>
  <si>
    <t>Yes</t>
  </si>
  <si>
    <t>No</t>
  </si>
  <si>
    <t>Severed mineral rights.</t>
  </si>
  <si>
    <t xml:space="preserve">   Will this be subordinated?</t>
  </si>
  <si>
    <t>Developmental gas lease.</t>
  </si>
  <si>
    <t>Non-developmental gas lease.</t>
  </si>
  <si>
    <t>Model Deed of Conservation Easement</t>
  </si>
  <si>
    <t>Date</t>
  </si>
  <si>
    <t>Ranking Factors</t>
  </si>
  <si>
    <t>Participant Name:</t>
  </si>
  <si>
    <t>Entity:</t>
  </si>
  <si>
    <t>County:</t>
  </si>
  <si>
    <t xml:space="preserve">National Factors </t>
  </si>
  <si>
    <t>Ranking Factor and Scaling</t>
  </si>
  <si>
    <t xml:space="preserve">Maximum </t>
  </si>
  <si>
    <t>Points</t>
  </si>
  <si>
    <r>
      <t>1.</t>
    </r>
    <r>
      <rPr>
        <sz val="7"/>
        <color theme="1"/>
        <rFont val="Times New Roman"/>
        <family val="1"/>
      </rPr>
      <t xml:space="preserve">      </t>
    </r>
    <r>
      <rPr>
        <sz val="11"/>
        <color theme="1"/>
        <rFont val="Times New Roman"/>
        <family val="1"/>
      </rPr>
      <t>Percent of prime, unique, and important farmland in the parcel to be protected (0 points for 50 percent or less, 2 points for every percent above 50 percent)</t>
    </r>
  </si>
  <si>
    <t>(Eligibility Criteria)</t>
  </si>
  <si>
    <r>
      <t>2.</t>
    </r>
    <r>
      <rPr>
        <sz val="7"/>
        <color theme="1"/>
        <rFont val="Times New Roman"/>
        <family val="1"/>
      </rPr>
      <t xml:space="preserve">      </t>
    </r>
    <r>
      <rPr>
        <sz val="11"/>
        <color theme="1"/>
        <rFont val="Times New Roman"/>
        <family val="1"/>
      </rPr>
      <t>Percent of cropland, pastureland, grassland in the parcel to be protected  (0 points for 33 percent or less, 1.5 points for every percent above 33 percent)</t>
    </r>
  </si>
  <si>
    <t>3.      Ratio of the total acres of land in the parcel to be protected to average farm size in the county according to the most recent USDA Census of Agriculture (www.agcensus.usda.gov)  (0 points for a ratio of 0.5 or less; 20 points for a ratio of 0.5 and 1.0; 20 points plus 1 point per acre for a ratio of 1.0 or greater)</t>
  </si>
  <si>
    <t>4.      Decrease in the percentage of acreage of farm and ranch land in the county in which the parcel is located between the last two USDA Censuses of Agriculture (www.agcensus.usda.gov) (0 points for decrease of 0 percent or less, 1 point for every percent of decrease up to 9.9 percent.  0 points for decrease of more than 10 percent)</t>
  </si>
  <si>
    <t>5.      Percent population growth in the county as documented by the United States Census (www.census.gov)  (0 points for growth rate less than state growth rate, 5 points for growth rate 1 to 1.66 times state growth rate, 10 points for growth rate 1.67 to 2.33 times state growth rate, 15 points for growth rate 2.34 to 3 times state growth rate, 0 points for growth rate greater than 3 times state growth rate)</t>
  </si>
  <si>
    <t>6.      Population density (population per square mile) as documented by the most recent United States Census (www.census.gov)  (0 points for population density less than state population density, 10 points for population density of 1 to 2 times state population density, 15 points for population density of 2 to 3 times state population density, 5 points for population density of more than 3 times state population density)</t>
  </si>
  <si>
    <t>Sub-total Points for National Ranking Factors</t>
  </si>
  <si>
    <t>Other National Criteria with no Mandate</t>
  </si>
  <si>
    <r>
      <t>8.</t>
    </r>
    <r>
      <rPr>
        <sz val="7"/>
        <color theme="1"/>
        <rFont val="Times New Roman"/>
        <family val="1"/>
      </rPr>
      <t xml:space="preserve">      </t>
    </r>
    <r>
      <rPr>
        <sz val="11"/>
        <color theme="1"/>
        <rFont val="Times New Roman"/>
        <family val="1"/>
      </rPr>
      <t>Proximity of the parcel to other agricultural operations and infrastructure  (0 points for less than 250 acres of protected land within one mile of the boundaries of the parcel, 0 points for 250-500 acres of protected land within  one mile of the boundaries of the parcel, 0 points for 500 acres or more of protected land within  one mile of the boundaries of the parcel)</t>
    </r>
  </si>
  <si>
    <t>Sub-total Points for all National Ranking Factors</t>
  </si>
  <si>
    <t>State Ranking Factors</t>
  </si>
  <si>
    <t>Multifunctional Benefits</t>
  </si>
  <si>
    <t xml:space="preserve"> </t>
  </si>
  <si>
    <t>Environmental Diversity</t>
  </si>
  <si>
    <t>Parcel Factors</t>
  </si>
  <si>
    <t>Sub-Total Points for State Ranking Factors</t>
  </si>
  <si>
    <t>Total Points for National and State Ranking Factors</t>
  </si>
  <si>
    <t>NRCS Office Use Only</t>
  </si>
  <si>
    <t>NRCS Employee Name:  _______________________________________ Date:_______________</t>
  </si>
  <si>
    <t>NRCS Employee Name:  _______________________________________  Date:______________</t>
  </si>
  <si>
    <t>Contact Name:</t>
  </si>
  <si>
    <t>Phone No:</t>
  </si>
  <si>
    <t>Please submit all information in a three ring binder using this checklist as the table of contents</t>
  </si>
  <si>
    <t>Primary Entity Information (The Entity that will be Accepting the Federal Contribution)</t>
  </si>
  <si>
    <r>
      <t>1.</t>
    </r>
    <r>
      <rPr>
        <sz val="7"/>
        <color theme="1"/>
        <rFont val="Times New Roman"/>
        <family val="1"/>
      </rPr>
      <t xml:space="preserve">      </t>
    </r>
    <r>
      <rPr>
        <sz val="11"/>
        <color theme="1"/>
        <rFont val="Times New Roman"/>
        <family val="1"/>
      </rPr>
      <t>Evidence of an established entity (state or local government statute or ordinance or non-governmental organization mission statement attached).</t>
    </r>
  </si>
  <si>
    <r>
      <t xml:space="preserve">Enclose </t>
    </r>
    <r>
      <rPr>
        <b/>
        <sz val="11"/>
        <color theme="1"/>
        <rFont val="Times New Roman"/>
        <family val="1"/>
      </rPr>
      <t>Exhibit A</t>
    </r>
    <r>
      <rPr>
        <sz val="11"/>
        <color theme="1"/>
        <rFont val="Times New Roman"/>
        <family val="1"/>
      </rPr>
      <t>:</t>
    </r>
  </si>
  <si>
    <r>
      <t>2.</t>
    </r>
    <r>
      <rPr>
        <sz val="7"/>
        <color theme="1"/>
        <rFont val="Times New Roman"/>
        <family val="1"/>
      </rPr>
      <t xml:space="preserve">   </t>
    </r>
    <r>
      <rPr>
        <sz val="11"/>
        <color theme="1"/>
        <rFont val="Times New Roman"/>
        <family val="1"/>
      </rPr>
      <t>Evidence of a commitment to long-term conservation of agricultural or ranch lands through the use of voluntary conservation easements that protect farm lands from conversion to nonagricultural uses (list of easements acquired and held by the cooperating entity).</t>
    </r>
  </si>
  <si>
    <r>
      <t xml:space="preserve">Enclose </t>
    </r>
    <r>
      <rPr>
        <b/>
        <sz val="11"/>
        <color theme="1"/>
        <rFont val="Times New Roman"/>
        <family val="1"/>
      </rPr>
      <t>Exhibit B</t>
    </r>
    <r>
      <rPr>
        <sz val="11"/>
        <color theme="1"/>
        <rFont val="Times New Roman"/>
        <family val="1"/>
      </rPr>
      <t>:</t>
    </r>
  </si>
  <si>
    <r>
      <t>3.</t>
    </r>
    <r>
      <rPr>
        <sz val="7"/>
        <color theme="1"/>
        <rFont val="Times New Roman"/>
        <family val="1"/>
      </rPr>
      <t xml:space="preserve">   </t>
    </r>
    <r>
      <rPr>
        <sz val="11"/>
        <color theme="1"/>
        <rFont val="Times New Roman"/>
        <family val="1"/>
      </rPr>
      <t>Provide evidence of the entity’s policies related to title searches, title insurance and appraisal standards.</t>
    </r>
  </si>
  <si>
    <r>
      <t xml:space="preserve">Enclose </t>
    </r>
    <r>
      <rPr>
        <b/>
        <sz val="11"/>
        <color theme="1"/>
        <rFont val="Times New Roman"/>
        <family val="1"/>
      </rPr>
      <t>Exhibit C</t>
    </r>
    <r>
      <rPr>
        <sz val="11"/>
        <color theme="1"/>
        <rFont val="Times New Roman"/>
        <family val="1"/>
      </rPr>
      <t>:</t>
    </r>
  </si>
  <si>
    <r>
      <t>4.</t>
    </r>
    <r>
      <rPr>
        <sz val="7"/>
        <color theme="1"/>
        <rFont val="Times New Roman"/>
        <family val="1"/>
      </rPr>
      <t xml:space="preserve">      </t>
    </r>
    <r>
      <rPr>
        <sz val="11"/>
        <color theme="1"/>
        <rFont val="Times New Roman"/>
        <family val="1"/>
      </rPr>
      <t>Evidence of staff capability dedicated to easement monitoring and stewardship.</t>
    </r>
  </si>
  <si>
    <r>
      <t xml:space="preserve">Enclose </t>
    </r>
    <r>
      <rPr>
        <b/>
        <sz val="11"/>
        <color theme="1"/>
        <rFont val="Times New Roman"/>
        <family val="1"/>
      </rPr>
      <t>Exhibit D:</t>
    </r>
  </si>
  <si>
    <r>
      <t xml:space="preserve">Enclose </t>
    </r>
    <r>
      <rPr>
        <b/>
        <sz val="11"/>
        <color theme="1"/>
        <rFont val="Times New Roman"/>
        <family val="1"/>
      </rPr>
      <t>Exhibit E</t>
    </r>
    <r>
      <rPr>
        <sz val="11"/>
        <color theme="1"/>
        <rFont val="Times New Roman"/>
        <family val="1"/>
      </rPr>
      <t>:</t>
    </r>
  </si>
  <si>
    <r>
      <t>6.</t>
    </r>
    <r>
      <rPr>
        <sz val="7"/>
        <color theme="1"/>
        <rFont val="Times New Roman"/>
        <family val="1"/>
      </rPr>
      <t xml:space="preserve">      </t>
    </r>
    <r>
      <rPr>
        <sz val="11"/>
        <color theme="1"/>
        <rFont val="Times New Roman"/>
        <family val="1"/>
      </rPr>
      <t>Landowner Parcel information.</t>
    </r>
  </si>
  <si>
    <r>
      <t xml:space="preserve">Enclose </t>
    </r>
    <r>
      <rPr>
        <b/>
        <sz val="11"/>
        <color theme="1"/>
        <rFont val="Times New Roman"/>
        <family val="1"/>
      </rPr>
      <t>Exhibit F</t>
    </r>
    <r>
      <rPr>
        <sz val="11"/>
        <color theme="1"/>
        <rFont val="Times New Roman"/>
        <family val="1"/>
      </rPr>
      <t xml:space="preserve">- </t>
    </r>
  </si>
  <si>
    <r>
      <t>7.</t>
    </r>
    <r>
      <rPr>
        <sz val="7"/>
        <color theme="1"/>
        <rFont val="Times New Roman"/>
        <family val="1"/>
      </rPr>
      <t xml:space="preserve">      </t>
    </r>
    <r>
      <rPr>
        <sz val="11"/>
        <color theme="1"/>
        <rFont val="Times New Roman"/>
        <family val="1"/>
      </rPr>
      <t>Property Location is necessary for hazardous materials review and other application documentation.</t>
    </r>
  </si>
  <si>
    <r>
      <t xml:space="preserve">Enclose </t>
    </r>
    <r>
      <rPr>
        <b/>
        <sz val="11"/>
        <color theme="1"/>
        <rFont val="Times New Roman"/>
        <family val="1"/>
      </rPr>
      <t>Exhibit</t>
    </r>
    <r>
      <rPr>
        <sz val="11"/>
        <color theme="1"/>
        <rFont val="Times New Roman"/>
        <family val="1"/>
      </rPr>
      <t xml:space="preserve"> </t>
    </r>
    <r>
      <rPr>
        <b/>
        <sz val="11"/>
        <color theme="1"/>
        <rFont val="Times New Roman"/>
        <family val="1"/>
      </rPr>
      <t>G-</t>
    </r>
    <r>
      <rPr>
        <sz val="11"/>
        <color theme="1"/>
        <rFont val="Times New Roman"/>
        <family val="1"/>
      </rPr>
      <t xml:space="preserve"> </t>
    </r>
  </si>
  <si>
    <r>
      <t>8.</t>
    </r>
    <r>
      <rPr>
        <sz val="7"/>
        <color theme="1"/>
        <rFont val="Times New Roman"/>
        <family val="1"/>
      </rPr>
      <t xml:space="preserve">      </t>
    </r>
    <r>
      <rPr>
        <sz val="11"/>
        <color theme="1"/>
        <rFont val="Times New Roman"/>
        <family val="1"/>
      </rPr>
      <t>Attach county location map of all protected parcels and indicate the location of this parcel. Indicate on the map any protected properties within a mile of the offered parcel.</t>
    </r>
  </si>
  <si>
    <r>
      <t xml:space="preserve">Enclose </t>
    </r>
    <r>
      <rPr>
        <b/>
        <sz val="11"/>
        <color theme="1"/>
        <rFont val="Times New Roman"/>
        <family val="1"/>
      </rPr>
      <t>Exhibit H</t>
    </r>
    <r>
      <rPr>
        <sz val="11"/>
        <color theme="1"/>
        <rFont val="Times New Roman"/>
        <family val="1"/>
      </rPr>
      <t>:</t>
    </r>
  </si>
  <si>
    <r>
      <t>9.</t>
    </r>
    <r>
      <rPr>
        <sz val="7"/>
        <color theme="1"/>
        <rFont val="Times New Roman"/>
        <family val="1"/>
      </rPr>
      <t xml:space="preserve">      </t>
    </r>
    <r>
      <rPr>
        <sz val="11"/>
        <color theme="1"/>
        <rFont val="Times New Roman"/>
        <family val="1"/>
      </rPr>
      <t>Agree to use the Model Deed of Conservation Easement</t>
    </r>
  </si>
  <si>
    <t>Entity Signature</t>
  </si>
  <si>
    <t>Secondary Entity Information –Including NGO's (non-profit organizations such as land trusts) or governmental organizations</t>
  </si>
  <si>
    <r>
      <t>A.</t>
    </r>
    <r>
      <rPr>
        <sz val="7"/>
        <color theme="1"/>
        <rFont val="Times New Roman"/>
        <family val="1"/>
      </rPr>
      <t xml:space="preserve">     </t>
    </r>
    <r>
      <rPr>
        <sz val="11"/>
        <color theme="1"/>
        <rFont val="Times New Roman"/>
        <family val="1"/>
      </rPr>
      <t>Evidence of an established entity (state or local government statute or ordinance or non-governmental organization mission statement attached).</t>
    </r>
  </si>
  <si>
    <r>
      <t>B.</t>
    </r>
    <r>
      <rPr>
        <sz val="7"/>
        <color theme="1"/>
        <rFont val="Times New Roman"/>
        <family val="1"/>
      </rPr>
      <t xml:space="preserve">   </t>
    </r>
    <r>
      <rPr>
        <sz val="11"/>
        <color theme="1"/>
        <rFont val="Times New Roman"/>
        <family val="1"/>
      </rPr>
      <t>Evidence of a commitment to long-term conservation of agricultural or ranch lands through the use of voluntary conservation easements that protect farm lands from conversion to nonagricultural uses (list of easements acquired and held by the cooperating entity).</t>
    </r>
  </si>
  <si>
    <r>
      <t>C.</t>
    </r>
    <r>
      <rPr>
        <sz val="7"/>
        <color theme="1"/>
        <rFont val="Times New Roman"/>
        <family val="1"/>
      </rPr>
      <t xml:space="preserve">   </t>
    </r>
    <r>
      <rPr>
        <sz val="11"/>
        <color theme="1"/>
        <rFont val="Times New Roman"/>
        <family val="1"/>
      </rPr>
      <t>Provide evidence of the entity’s policies related to title searches, title insurance and appraisal standards.</t>
    </r>
  </si>
  <si>
    <r>
      <t>D.</t>
    </r>
    <r>
      <rPr>
        <sz val="7"/>
        <color theme="1"/>
        <rFont val="Times New Roman"/>
        <family val="1"/>
      </rPr>
      <t xml:space="preserve">     </t>
    </r>
    <r>
      <rPr>
        <sz val="11"/>
        <color theme="1"/>
        <rFont val="Times New Roman"/>
        <family val="1"/>
      </rPr>
      <t>Evidence of staff capability dedicated to easement monitoring and stewardship.</t>
    </r>
  </si>
  <si>
    <r>
      <t>F.</t>
    </r>
    <r>
      <rPr>
        <sz val="7"/>
        <color theme="1"/>
        <rFont val="Times New Roman"/>
        <family val="1"/>
      </rPr>
      <t xml:space="preserve">      </t>
    </r>
    <r>
      <rPr>
        <sz val="11"/>
        <color theme="1"/>
        <rFont val="Times New Roman"/>
        <family val="1"/>
      </rPr>
      <t>Attach county location map of all protected parcels and indicate the location of this parcel. Indicate on the map any protected properties within a mile of the offered parcel.</t>
    </r>
  </si>
  <si>
    <r>
      <t>G.</t>
    </r>
    <r>
      <rPr>
        <sz val="7"/>
        <color theme="1"/>
        <rFont val="Times New Roman"/>
        <family val="1"/>
      </rPr>
      <t xml:space="preserve">     </t>
    </r>
    <r>
      <rPr>
        <sz val="11"/>
        <color theme="1"/>
        <rFont val="Times New Roman"/>
        <family val="1"/>
      </rPr>
      <t>Agree to use the Model Deed of Conservation Easement</t>
    </r>
  </si>
  <si>
    <t>Entity Application Checklist</t>
  </si>
  <si>
    <t>Grant County Farmland Protection Board</t>
  </si>
  <si>
    <r>
      <t xml:space="preserve">Physical Address of the parcel: </t>
    </r>
    <r>
      <rPr>
        <sz val="10"/>
        <color theme="1"/>
        <rFont val="Times New Roman"/>
        <family val="1"/>
      </rPr>
      <t>(required for Phase I)</t>
    </r>
  </si>
  <si>
    <t>Legal Description of the parcel.  (Attach copy of deed, deeds or will)</t>
  </si>
  <si>
    <t>Farm &amp; Ranch Land Protection Program (FRPP)</t>
  </si>
  <si>
    <t>Financial Position</t>
  </si>
  <si>
    <t>Cash and Investments</t>
  </si>
  <si>
    <t>Easement Commitments</t>
  </si>
  <si>
    <t>Uncommitted funds currently available</t>
  </si>
  <si>
    <t>Estimated Operations next 12 Months:</t>
  </si>
  <si>
    <t>Transfer Tax Revenues</t>
  </si>
  <si>
    <t>Administrative &amp; Overhead</t>
  </si>
  <si>
    <t>Other Easement Commitments Planned</t>
  </si>
  <si>
    <t>Net available</t>
  </si>
  <si>
    <t>Available for USDA Match</t>
  </si>
  <si>
    <t>Print Name:</t>
  </si>
  <si>
    <t>Phone:</t>
  </si>
  <si>
    <t>Signature:</t>
  </si>
  <si>
    <t>Title:</t>
  </si>
  <si>
    <t>E-Mail:</t>
  </si>
  <si>
    <t>Welcome to the West Virginia Farm and Ranch Land Protection Program (FRPP) Application Matrix</t>
  </si>
  <si>
    <t>Please enter the below basic information to start the application.</t>
  </si>
  <si>
    <t>Information from this page will auto-complete information in the following tabs.</t>
  </si>
  <si>
    <t>Each tab is set for quick printing as needed.</t>
  </si>
  <si>
    <t>Entity Name:</t>
  </si>
  <si>
    <t>County Name:</t>
  </si>
  <si>
    <t>Contact Phone:</t>
  </si>
  <si>
    <t>Date of Application:</t>
  </si>
  <si>
    <t>Please complete these at the local FSA service center for Farm Bill Program eligibility.</t>
  </si>
  <si>
    <t>Contact Title:</t>
  </si>
  <si>
    <t>Contact Email:</t>
  </si>
  <si>
    <t>Chairman Name:</t>
  </si>
  <si>
    <t>Chairman Email:</t>
  </si>
  <si>
    <t>Mailing Address:</t>
  </si>
  <si>
    <t>123 My Street</t>
  </si>
  <si>
    <t>Physical Address:</t>
  </si>
  <si>
    <t>(If different)</t>
  </si>
  <si>
    <t>Parcel Contact Information</t>
  </si>
  <si>
    <t>Farm and Ranchland Protection Program- Landowner - Parcel Application</t>
  </si>
  <si>
    <r>
      <rPr>
        <sz val="7"/>
        <rFont val="Times New Roman"/>
        <family val="1"/>
      </rPr>
      <t xml:space="preserve"> </t>
    </r>
    <r>
      <rPr>
        <sz val="11"/>
        <rFont val="Times New Roman"/>
        <family val="1"/>
      </rPr>
      <t>Most recent county parcel application</t>
    </r>
  </si>
  <si>
    <t>2nd Participant:</t>
  </si>
  <si>
    <t>3rd Participant:</t>
  </si>
  <si>
    <t>Program documentation.</t>
  </si>
  <si>
    <t>A list of closed conservation easements in the county or area</t>
  </si>
  <si>
    <t>Date of most recent monitoring of each easement.</t>
  </si>
  <si>
    <t>Entity which monitored each easement</t>
  </si>
  <si>
    <t xml:space="preserve">Policy for obtaining appraisals from a certified general appraiser using the UASFLA (Yellow Book) standard </t>
  </si>
  <si>
    <t>Policy for title searches and title insurance obtained for all easements.</t>
  </si>
  <si>
    <t>Full-time staff</t>
  </si>
  <si>
    <t>Part-time staff</t>
  </si>
  <si>
    <t>Contract staff and/or land trusts monitoring the easement</t>
  </si>
  <si>
    <t>Volunteers assigned to monitor easements for your entity.</t>
  </si>
  <si>
    <t>Shape files</t>
  </si>
  <si>
    <t>On all tabs, only complete the yellow highlighted areas.</t>
  </si>
  <si>
    <t>Summers County Farmland Protection Board</t>
  </si>
  <si>
    <t>Berkeley County Farmland Protection Board</t>
  </si>
  <si>
    <t>Fayette County Farmland Protection Board</t>
  </si>
  <si>
    <t>Greenbrier County Farmland Protection Board</t>
  </si>
  <si>
    <t>Hampshire County Farmland Protection Board</t>
  </si>
  <si>
    <t>Hardy County Farmland Protection Board</t>
  </si>
  <si>
    <t>Jefferson County Farmland Protection Board</t>
  </si>
  <si>
    <t>Lincoln County Farmland Protection Board</t>
  </si>
  <si>
    <t>Marshall County Farmland Protection Board</t>
  </si>
  <si>
    <t>Mineral County Farmland Protection Board</t>
  </si>
  <si>
    <t>Monroe County Farmland Protection Board</t>
  </si>
  <si>
    <t>Morgan County Farmland Protection Board</t>
  </si>
  <si>
    <t>Nicholas County Farmland Protection Board</t>
  </si>
  <si>
    <t>Pendleton County Farmland Protection Board</t>
  </si>
  <si>
    <t>Pocahontas County Farmland Protection Board</t>
  </si>
  <si>
    <t>Preston County Farmland Protection Board</t>
  </si>
  <si>
    <t>Roane County Farmland Protection Board</t>
  </si>
  <si>
    <t>Berkeley</t>
  </si>
  <si>
    <t>Fayette</t>
  </si>
  <si>
    <t>Grant</t>
  </si>
  <si>
    <t>Greenbrier</t>
  </si>
  <si>
    <t>Hampshire</t>
  </si>
  <si>
    <t>Hardy</t>
  </si>
  <si>
    <t>Jefferson</t>
  </si>
  <si>
    <t>Lincoln</t>
  </si>
  <si>
    <t>Marshall</t>
  </si>
  <si>
    <t>Mineral</t>
  </si>
  <si>
    <t>Monroe</t>
  </si>
  <si>
    <t>Morgan</t>
  </si>
  <si>
    <t>Nicholas</t>
  </si>
  <si>
    <t>Pendleton</t>
  </si>
  <si>
    <t>Pocahontas</t>
  </si>
  <si>
    <t>Preston</t>
  </si>
  <si>
    <t>Roane</t>
  </si>
  <si>
    <t>Summers</t>
  </si>
  <si>
    <r>
      <t>5.</t>
    </r>
    <r>
      <rPr>
        <sz val="7"/>
        <color theme="1"/>
        <rFont val="Times New Roman"/>
        <family val="1"/>
      </rPr>
      <t xml:space="preserve">   </t>
    </r>
    <r>
      <rPr>
        <sz val="11"/>
        <color theme="1"/>
        <rFont val="Times New Roman"/>
        <family val="1"/>
      </rPr>
      <t>Evidence of the availability of funds equal to at least 50 percent of the estimated fair market value of the conservation easement (including landowner donation)(State or local government appropriation or statement from non-government organization that funds are available attached).</t>
    </r>
  </si>
  <si>
    <r>
      <t>E.</t>
    </r>
    <r>
      <rPr>
        <sz val="7"/>
        <color theme="1"/>
        <rFont val="Times New Roman"/>
        <family val="1"/>
      </rPr>
      <t xml:space="preserve">   </t>
    </r>
    <r>
      <rPr>
        <sz val="11"/>
        <color theme="1"/>
        <rFont val="Times New Roman"/>
        <family val="1"/>
      </rPr>
      <t>Evidence of the availability of funds equal to at least 50 percent of the estimated fair market value of the conservation easement (including landowner donation)(State or local government appropriation or statement from non-government organization that funds are available attached).</t>
    </r>
  </si>
  <si>
    <t>Use RFP approved by Authority and Assoc</t>
  </si>
  <si>
    <t>Contact Address:</t>
  </si>
  <si>
    <t>Chairman Phone:</t>
  </si>
  <si>
    <t>Chairman Address:</t>
  </si>
  <si>
    <t>County Name</t>
  </si>
  <si>
    <t>Average Size 2002</t>
  </si>
  <si>
    <t>Q3</t>
  </si>
  <si>
    <t>Q4</t>
  </si>
  <si>
    <t>Q5</t>
  </si>
  <si>
    <t>Growth</t>
  </si>
  <si>
    <t>Per Sq</t>
  </si>
  <si>
    <t>Q6</t>
  </si>
  <si>
    <t>Upshur County Farmland Protection Board</t>
  </si>
  <si>
    <t>Upshur</t>
  </si>
  <si>
    <t>Q5 Calcs</t>
  </si>
  <si>
    <t>Q6 Calcs</t>
  </si>
  <si>
    <t>Example</t>
  </si>
  <si>
    <t>Somewhere, WV  2XXXX</t>
  </si>
  <si>
    <t>Entity documentation (state or local government statute or ordinance or non-governmental organization mission statement attached)</t>
  </si>
  <si>
    <t>2nd Entity Name:</t>
  </si>
  <si>
    <t>Financial Position (Tab WV-300-24) completed and signed.</t>
  </si>
  <si>
    <t>Financial Position (Tab 2nd Entity WV-300-24) completed and signed.</t>
  </si>
  <si>
    <t>Residential Dwelling (Exhibit B)</t>
  </si>
  <si>
    <t>Retained Development (Exhibit D)</t>
  </si>
  <si>
    <t>Donated Area</t>
  </si>
  <si>
    <t>Not funded by NRCS contribution</t>
  </si>
  <si>
    <t>Exception Area</t>
  </si>
  <si>
    <t>Area offered to NRCS</t>
  </si>
  <si>
    <t>Total Area of Easement</t>
  </si>
  <si>
    <t>Total Farm Size</t>
  </si>
  <si>
    <t>Notes</t>
  </si>
  <si>
    <t>2 ac max per &amp; subject to easement</t>
  </si>
  <si>
    <r>
      <t>Archaeological</t>
    </r>
    <r>
      <rPr>
        <sz val="12"/>
        <color theme="1"/>
        <rFont val="Times New Roman"/>
        <family val="1"/>
      </rPr>
      <t xml:space="preserve"> resources proposed to be protected; a brief description of the site’s significance and documentation of the site’s listing on the Federal or State register.</t>
    </r>
  </si>
  <si>
    <r>
      <t>1.</t>
    </r>
    <r>
      <rPr>
        <sz val="7"/>
        <color theme="1"/>
        <rFont val="Calibri"/>
        <family val="2"/>
        <scheme val="minor"/>
      </rPr>
      <t xml:space="preserve">      </t>
    </r>
    <r>
      <rPr>
        <sz val="11"/>
        <color theme="1"/>
        <rFont val="Calibri"/>
        <family val="2"/>
        <scheme val="minor"/>
      </rPr>
      <t>Archaeological</t>
    </r>
  </si>
  <si>
    <r>
      <t>2.</t>
    </r>
    <r>
      <rPr>
        <sz val="7"/>
        <color theme="1"/>
        <rFont val="Calibri"/>
        <family val="2"/>
        <scheme val="minor"/>
      </rPr>
      <t xml:space="preserve">      </t>
    </r>
    <r>
      <rPr>
        <sz val="11"/>
        <color theme="1"/>
        <rFont val="Calibri"/>
        <family val="2"/>
        <scheme val="minor"/>
      </rPr>
      <t>Historic</t>
    </r>
  </si>
  <si>
    <r>
      <t>1.</t>
    </r>
    <r>
      <rPr>
        <sz val="7"/>
        <color theme="1"/>
        <rFont val="Calibri"/>
        <family val="2"/>
        <scheme val="minor"/>
      </rPr>
      <t xml:space="preserve">      </t>
    </r>
    <r>
      <rPr>
        <sz val="11"/>
        <color theme="1"/>
        <rFont val="Calibri"/>
        <family val="2"/>
        <scheme val="minor"/>
      </rPr>
      <t>Endangered and/or threatened species</t>
    </r>
  </si>
  <si>
    <r>
      <t>2.</t>
    </r>
    <r>
      <rPr>
        <sz val="7"/>
        <color theme="1"/>
        <rFont val="Calibri"/>
        <family val="2"/>
        <scheme val="minor"/>
      </rPr>
      <t xml:space="preserve">      </t>
    </r>
    <r>
      <rPr>
        <sz val="11"/>
        <color theme="1"/>
        <rFont val="Calibri"/>
        <family val="2"/>
        <scheme val="minor"/>
      </rPr>
      <t xml:space="preserve">Major Streams and/or Natural Springs </t>
    </r>
  </si>
  <si>
    <r>
      <t>3.</t>
    </r>
    <r>
      <rPr>
        <sz val="7"/>
        <color theme="1"/>
        <rFont val="Calibri"/>
        <family val="2"/>
        <scheme val="minor"/>
      </rPr>
      <t xml:space="preserve">      </t>
    </r>
    <r>
      <rPr>
        <sz val="11"/>
        <color theme="1"/>
        <rFont val="Calibri"/>
        <family val="2"/>
        <scheme val="minor"/>
      </rPr>
      <t>Caves and sink-holes</t>
    </r>
  </si>
  <si>
    <r>
      <t xml:space="preserve">                 (1</t>
    </r>
    <r>
      <rPr>
        <sz val="7"/>
        <color theme="1"/>
        <rFont val="Calibri"/>
        <family val="2"/>
        <scheme val="minor"/>
      </rPr>
      <t xml:space="preserve">      </t>
    </r>
    <r>
      <rPr>
        <sz val="11"/>
        <color theme="1"/>
        <rFont val="Calibri"/>
        <family val="2"/>
        <scheme val="minor"/>
      </rPr>
      <t>point for each acre greater than average farm size)</t>
    </r>
  </si>
  <si>
    <t>Acres 02</t>
  </si>
  <si>
    <t>Acres 07</t>
  </si>
  <si>
    <r>
      <t>7.</t>
    </r>
    <r>
      <rPr>
        <sz val="7"/>
        <color theme="1"/>
        <rFont val="Times New Roman"/>
        <family val="1"/>
      </rPr>
      <t xml:space="preserve">      </t>
    </r>
    <r>
      <rPr>
        <sz val="11"/>
        <color theme="1"/>
        <rFont val="Times New Roman"/>
        <family val="1"/>
      </rPr>
      <t>Proximity of the parcel to other protected land, including military installations  (0 points for no protected land within one mile of the boundaries of the parcel, 20 points for each protected parcel within one mile of the boundaries of the parcel) List protected land.  (If none, leave blank)</t>
    </r>
  </si>
  <si>
    <t>Attach documentation of Federal or State historical  resources. Name(s) of sites, if none leave blank.</t>
  </si>
  <si>
    <t>Attach documentation of archeological resources. Name(s) of sites, if none leave blank.</t>
  </si>
  <si>
    <t>Attach documentation of the cave(s) and indicate if named as well as sinkholes and/or Karst topography.  If none leave blank.</t>
  </si>
  <si>
    <t xml:space="preserve">Will be subdivided prior to closing - not funded. </t>
  </si>
  <si>
    <t xml:space="preserve">Name(s) of the landowners of the parcel as stated in the deed: (All names on the deed must become Farm Bill Eligible) </t>
  </si>
  <si>
    <r>
      <rPr>
        <u/>
        <sz val="12"/>
        <color theme="1"/>
        <rFont val="Times New Roman"/>
        <family val="1"/>
      </rPr>
      <t>Historical</t>
    </r>
    <r>
      <rPr>
        <sz val="12"/>
        <color theme="1"/>
        <rFont val="Times New Roman"/>
        <family val="1"/>
      </rPr>
      <t xml:space="preserve"> resources proposed to be protected; a brief description of the site’s significance and documentation of the site’s listing on the Federal or State register. </t>
    </r>
  </si>
  <si>
    <t>State Register</t>
  </si>
  <si>
    <t>All other names here.</t>
  </si>
  <si>
    <t>All names on the Deed</t>
  </si>
  <si>
    <t>must be listed.</t>
  </si>
  <si>
    <t>Locally Funded Only Area</t>
  </si>
  <si>
    <t>Easement (Including Exhibit B &amp; D)</t>
  </si>
  <si>
    <t>NRCS Easement</t>
  </si>
  <si>
    <t>Geologic Assessment Report</t>
  </si>
  <si>
    <t>Ownership of mineral rights for the proposed NRCS easement area, as well as any developmental or non-developmental gas leases, and intent to subordinate. (Attach copy of all leases and geologic assessment report).</t>
  </si>
  <si>
    <t xml:space="preserve">Existence of  year-round streams and/or springs.  </t>
  </si>
  <si>
    <t>Attach documentation of year-round stream(s) and/or spring(s) on the parcel. Name(s) of streams or springs, if none leave blank.</t>
  </si>
  <si>
    <t>West Virginia Agricultural Land Protection Authority</t>
  </si>
  <si>
    <t>WV</t>
  </si>
  <si>
    <t>Executor</t>
  </si>
  <si>
    <t>Contact if different then name on deed</t>
  </si>
  <si>
    <t>Google Map Link:</t>
  </si>
  <si>
    <t>Documentation on existence of rare, threatened and endangered species (plants or animals) from U. S. Fish and Wildlife or WV DNR.</t>
  </si>
  <si>
    <t>Rare, Threatened and Endangered Species List</t>
  </si>
  <si>
    <t>Attach documentation of rare, threatened and endangered species. Name(s) of species, if none leave blank.</t>
  </si>
  <si>
    <t>Appraiser and Surveyor Summary Information</t>
  </si>
  <si>
    <t>Not subject to the easement</t>
  </si>
  <si>
    <t>Timber Management Plan Required:</t>
  </si>
  <si>
    <t>40 acres</t>
  </si>
  <si>
    <t>20 per</t>
  </si>
  <si>
    <t>Forest Eligibility</t>
  </si>
  <si>
    <t>Participant Phone:</t>
  </si>
  <si>
    <t>Requested additional for future building(sq ft)</t>
  </si>
  <si>
    <t>Impervious surface to proposed NRCS easement area and any additional requested.</t>
  </si>
  <si>
    <t>Max square footage allowed (2% of easement)</t>
  </si>
  <si>
    <t>Estimated current square footage</t>
  </si>
  <si>
    <t>Estimated total sq ft for easement</t>
  </si>
  <si>
    <t>Barley</t>
  </si>
  <si>
    <t>Aquaculture</t>
  </si>
  <si>
    <t>Berries</t>
  </si>
  <si>
    <t>Beef</t>
  </si>
  <si>
    <t>Coffee</t>
  </si>
  <si>
    <t>Bees</t>
  </si>
  <si>
    <t>Corn</t>
  </si>
  <si>
    <t>Bison</t>
  </si>
  <si>
    <t>Cotton</t>
  </si>
  <si>
    <t>Dairy</t>
  </si>
  <si>
    <t>Forage/Hay</t>
  </si>
  <si>
    <t>Deer</t>
  </si>
  <si>
    <t>Fruits</t>
  </si>
  <si>
    <t>Elk</t>
  </si>
  <si>
    <t>Ginseng</t>
  </si>
  <si>
    <t>Goats</t>
  </si>
  <si>
    <t>Grapes</t>
  </si>
  <si>
    <t>Horses</t>
  </si>
  <si>
    <t>Grass Seed</t>
  </si>
  <si>
    <t>Llamas</t>
  </si>
  <si>
    <t>No Crops</t>
  </si>
  <si>
    <t>Mules</t>
  </si>
  <si>
    <t>Nuts</t>
  </si>
  <si>
    <t>No Livestock</t>
  </si>
  <si>
    <t>Oats</t>
  </si>
  <si>
    <t>Other Livestock</t>
  </si>
  <si>
    <t>Oil Seeds</t>
  </si>
  <si>
    <t>Poultry</t>
  </si>
  <si>
    <t>Ornamental Plants</t>
  </si>
  <si>
    <t>Rabbits</t>
  </si>
  <si>
    <t>Other Crop</t>
  </si>
  <si>
    <t>Sheep</t>
  </si>
  <si>
    <t>Peanuts</t>
  </si>
  <si>
    <t>Swine</t>
  </si>
  <si>
    <t>Potatoes</t>
  </si>
  <si>
    <t>Rice</t>
  </si>
  <si>
    <t>Sod</t>
  </si>
  <si>
    <t>Sorghum</t>
  </si>
  <si>
    <t>Soybeans</t>
  </si>
  <si>
    <t>Sugar Beets</t>
  </si>
  <si>
    <t>Sugar Maple</t>
  </si>
  <si>
    <t>Sugarcane</t>
  </si>
  <si>
    <t>Tobacco</t>
  </si>
  <si>
    <t>Trees</t>
  </si>
  <si>
    <t>Vegetables</t>
  </si>
  <si>
    <t>Wheat</t>
  </si>
  <si>
    <t>Choose the most common crop type on the application</t>
  </si>
  <si>
    <t>Choose the most common livestock type on the application</t>
  </si>
  <si>
    <t xml:space="preserve">FSA and NRCS Forms, including: Conservation Program Application (NRCS-CPA-1200); Payment Eligibility Form (Form CCC-526); Highly Erodible Land (Form AD-1026); Freedom of Information Forms; and AGI Certification (Form specific for year) </t>
  </si>
  <si>
    <t>Update AGI each year enrolled in program.</t>
  </si>
  <si>
    <r>
      <t xml:space="preserve">           1.</t>
    </r>
    <r>
      <rPr>
        <sz val="7"/>
        <color theme="1"/>
        <rFont val="Calibri"/>
        <family val="2"/>
        <scheme val="minor"/>
      </rPr>
      <t xml:space="preserve">      </t>
    </r>
    <r>
      <rPr>
        <sz val="11"/>
        <color theme="1"/>
        <rFont val="Calibri"/>
        <family val="2"/>
        <scheme val="minor"/>
      </rPr>
      <t>Priority of farm in county ranking (total number of points available for all applications by an entity in annual offering is 100)</t>
    </r>
  </si>
  <si>
    <t xml:space="preserve">           2.   Chesapeake Bay Area</t>
  </si>
  <si>
    <r>
      <t xml:space="preserve">           3.</t>
    </r>
    <r>
      <rPr>
        <sz val="7"/>
        <color theme="1"/>
        <rFont val="Calibri"/>
        <family val="2"/>
        <scheme val="minor"/>
      </rPr>
      <t xml:space="preserve">      </t>
    </r>
    <r>
      <rPr>
        <sz val="11"/>
        <color theme="1"/>
        <rFont val="Calibri"/>
        <family val="2"/>
        <scheme val="minor"/>
      </rPr>
      <t>Size relative to average farm size for the county</t>
    </r>
  </si>
  <si>
    <r>
      <t xml:space="preserve">           4.</t>
    </r>
    <r>
      <rPr>
        <sz val="7"/>
        <color theme="1"/>
        <rFont val="Calibri"/>
        <family val="2"/>
        <scheme val="minor"/>
      </rPr>
      <t xml:space="preserve">      </t>
    </r>
    <r>
      <rPr>
        <sz val="11"/>
        <color theme="1"/>
        <rFont val="Calibri"/>
        <family val="2"/>
        <scheme val="minor"/>
      </rPr>
      <t xml:space="preserve">Total farm offered for easement </t>
    </r>
  </si>
  <si>
    <r>
      <t xml:space="preserve">           5.</t>
    </r>
    <r>
      <rPr>
        <sz val="7"/>
        <color theme="1"/>
        <rFont val="Calibri"/>
        <family val="2"/>
        <scheme val="minor"/>
      </rPr>
      <t xml:space="preserve">      </t>
    </r>
    <r>
      <rPr>
        <sz val="11"/>
        <color theme="1"/>
        <rFont val="Calibri"/>
        <family val="2"/>
        <scheme val="minor"/>
      </rPr>
      <t>Prime, unique and important soils (1 point per acre)</t>
    </r>
  </si>
  <si>
    <t>Attach legible color aerial photo, tax map and soil map with table identifying the prime/unique/statewide/locally important soils.</t>
  </si>
  <si>
    <r>
      <t xml:space="preserve">Maps of the parcel showing the proposed </t>
    </r>
    <r>
      <rPr>
        <b/>
        <u/>
        <sz val="12"/>
        <color theme="1"/>
        <rFont val="Times New Roman"/>
        <family val="1"/>
      </rPr>
      <t>NRCS easement area</t>
    </r>
    <r>
      <rPr>
        <b/>
        <sz val="12"/>
        <color theme="1"/>
        <rFont val="Times New Roman"/>
        <family val="1"/>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</si>
</sst>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409]mmmm\ d\,\ yyyy;@"/>
    <numFmt numFmtId="165" formatCode="[&lt;=9999999]###\-####;\(###\)\ ###\-####"/>
  </numFmts>
  <fonts count="23" x14ac:knownFonts="1">
    <font>
      <sz val="11"/>
      <color theme="1"/>
      <name val="Calibri"/>
      <family val="2"/>
      <scheme val="minor"/>
    </font>
    <font>
      <sz val="12"/>
      <color theme="1"/>
      <name val="Times New Roman"/>
      <family val="1"/>
    </font>
    <font>
      <b/>
      <sz val="12"/>
      <color theme="1"/>
      <name val="Times New Roman"/>
      <family val="1"/>
    </font>
    <font>
      <u/>
      <sz val="12"/>
      <color theme="1"/>
      <name val="Times New Roman"/>
      <family val="1"/>
    </font>
    <font>
      <sz val="10"/>
      <color theme="1"/>
      <name val="Times New Roman"/>
      <family val="1"/>
    </font>
    <font>
      <sz val="11"/>
      <color theme="1"/>
      <name val="Times New Roman"/>
      <family val="1"/>
    </font>
    <font>
      <u/>
      <sz val="11"/>
      <color theme="10"/>
      <name val="Calibri"/>
      <family val="2"/>
    </font>
    <font>
      <b/>
      <sz val="11"/>
      <color theme="1"/>
      <name val="Arial"/>
      <family val="2"/>
    </font>
    <font>
      <b/>
      <sz val="11"/>
      <color theme="1"/>
      <name val="Times New Roman"/>
      <family val="1"/>
    </font>
    <font>
      <sz val="7"/>
      <color theme="1"/>
      <name val="Times New Roman"/>
      <family val="1"/>
    </font>
    <font>
      <sz val="11"/>
      <name val="Times New Roman"/>
      <family val="1"/>
    </font>
    <font>
      <sz val="7"/>
      <name val="Times New Roman"/>
      <family val="1"/>
    </font>
    <font>
      <sz val="11"/>
      <color theme="0" tint="-0.14999847407452621"/>
      <name val="Calibri"/>
      <family val="2"/>
      <scheme val="minor"/>
    </font>
    <font>
      <sz val="11"/>
      <color theme="0" tint="-0.14999847407452621"/>
      <name val="Times New Roman"/>
      <family val="1"/>
    </font>
    <font>
      <sz val="11"/>
      <color theme="0"/>
      <name val="Calibri"/>
      <family val="2"/>
      <scheme val="minor"/>
    </font>
    <font>
      <sz val="1"/>
      <name val="Calibri"/>
      <family val="2"/>
      <scheme val="minor"/>
    </font>
    <font>
      <sz val="1"/>
      <color theme="1"/>
      <name val="Times New Roman"/>
      <family val="1"/>
    </font>
    <font>
      <sz val="11"/>
      <color theme="0"/>
      <name val="Times New Roman"/>
      <family val="1"/>
    </font>
    <font>
      <sz val="7"/>
      <color theme="1"/>
      <name val="Calibri"/>
      <family val="2"/>
      <scheme val="minor"/>
    </font>
    <font>
      <sz val="11"/>
      <name val="Calibri"/>
      <family val="2"/>
      <scheme val="minor"/>
    </font>
    <font>
      <u/>
      <sz val="12"/>
      <color theme="10"/>
      <name val="Times New Roman"/>
      <family val="1"/>
    </font>
    <font>
      <sz val="12"/>
      <color theme="0"/>
      <name val="Times New Roman"/>
      <family val="1"/>
    </font>
    <font>
      <b/>
      <u/>
      <sz val="12"/>
      <color theme="1"/>
      <name val="Times New Roman"/>
      <family val="1"/>
    </font>
  </fonts>
  <fills count="6">
    <fill>
      <patternFill patternType="none"/>
    </fill>
    <fill>
      <patternFill patternType="gray125"/>
    </fill>
    <fill>
      <patternFill patternType="solid">
        <fgColor theme="0" tint="-0.14999847407452621"/>
        <bgColor indexed="64"/>
      </patternFill>
    </fill>
    <fill>
      <patternFill patternType="solid">
        <fgColor rgb="FFD9D9D9"/>
        <bgColor indexed="64"/>
      </patternFill>
    </fill>
    <fill>
      <patternFill patternType="solid">
        <fgColor rgb="FFFFFF00"/>
        <bgColor indexed="64"/>
      </patternFill>
    </fill>
    <fill>
      <patternFill patternType="solid">
        <fgColor theme="0"/>
        <bgColor indexed="64"/>
      </patternFill>
    </fill>
  </fills>
  <borders count="68">
    <border>
      <left/>
      <right/>
      <top/>
      <bottom/>
      <diagonal/>
    </border>
    <border>
      <left/>
      <right style="thin">
        <color auto="1"/>
      </right>
      <top/>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indexed="64"/>
      </left>
      <right/>
      <top style="medium">
        <color rgb="FF000000"/>
      </top>
      <bottom/>
      <diagonal/>
    </border>
    <border>
      <left/>
      <right style="medium">
        <color indexed="64"/>
      </right>
      <top style="medium">
        <color rgb="FF000000"/>
      </top>
      <bottom/>
      <diagonal/>
    </border>
    <border>
      <left style="medium">
        <color rgb="FF000000"/>
      </left>
      <right/>
      <top/>
      <bottom style="medium">
        <color indexed="64"/>
      </bottom>
      <diagonal/>
    </border>
    <border>
      <left style="medium">
        <color rgb="FF000000"/>
      </left>
      <right/>
      <top style="medium">
        <color indexed="64"/>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rgb="FF000000"/>
      </right>
      <top/>
      <bottom style="medium">
        <color indexed="64"/>
      </bottom>
      <diagonal/>
    </border>
    <border>
      <left/>
      <right style="medium">
        <color rgb="FF000000"/>
      </right>
      <top style="medium">
        <color indexed="64"/>
      </top>
      <bottom/>
      <diagonal/>
    </border>
    <border>
      <left style="medium">
        <color auto="1"/>
      </left>
      <right style="thin">
        <color auto="1"/>
      </right>
      <top style="thin">
        <color auto="1"/>
      </top>
      <bottom style="thin">
        <color auto="1"/>
      </bottom>
      <diagonal/>
    </border>
    <border>
      <left style="thin">
        <color auto="1"/>
      </left>
      <right style="medium">
        <color indexed="64"/>
      </right>
      <top style="thin">
        <color auto="1"/>
      </top>
      <bottom/>
      <diagonal/>
    </border>
    <border>
      <left style="thin">
        <color auto="1"/>
      </left>
      <right style="medium">
        <color indexed="64"/>
      </right>
      <top/>
      <bottom style="thin">
        <color auto="1"/>
      </bottom>
      <diagonal/>
    </border>
    <border>
      <left style="medium">
        <color indexed="64"/>
      </left>
      <right/>
      <top style="thin">
        <color indexed="64"/>
      </top>
      <bottom/>
      <diagonal/>
    </border>
    <border>
      <left style="medium">
        <color indexed="64"/>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s>
  <cellStyleXfs count="2">
    <xf numFmtId="0" fontId="0" fillId="0" borderId="0"/>
    <xf numFmtId="0" fontId="6" fillId="0" borderId="0" applyNumberFormat="0" applyFill="0" applyBorder="0" applyAlignment="0" applyProtection="0">
      <alignment vertical="top"/>
      <protection locked="0"/>
    </xf>
  </cellStyleXfs>
  <cellXfs count="392">
    <xf numFmtId="0" fontId="0" fillId="0" borderId="0" xfId="0"/>
    <xf numFmtId="0" fontId="1" fillId="0" borderId="0" xfId="0" applyFont="1"/>
    <xf numFmtId="0" fontId="1" fillId="0" borderId="0" xfId="0" applyFont="1" applyAlignment="1">
      <alignment horizontal="center"/>
    </xf>
    <xf numFmtId="0" fontId="1" fillId="0" borderId="1" xfId="0" applyFont="1" applyBorder="1"/>
    <xf numFmtId="0" fontId="1" fillId="0" borderId="0" xfId="0" applyFont="1" applyBorder="1"/>
    <xf numFmtId="0" fontId="1" fillId="0" borderId="4" xfId="0" applyFont="1" applyBorder="1"/>
    <xf numFmtId="0" fontId="1" fillId="0" borderId="2" xfId="0" applyFont="1" applyBorder="1"/>
    <xf numFmtId="0" fontId="1" fillId="0" borderId="7" xfId="0" applyFont="1" applyBorder="1"/>
    <xf numFmtId="0" fontId="1" fillId="0" borderId="5" xfId="0" applyFont="1" applyBorder="1"/>
    <xf numFmtId="0" fontId="1" fillId="0" borderId="6" xfId="0" applyFont="1" applyBorder="1"/>
    <xf numFmtId="0" fontId="1" fillId="0" borderId="4" xfId="0" applyFont="1" applyBorder="1" applyAlignment="1">
      <alignment vertical="top"/>
    </xf>
    <xf numFmtId="0" fontId="1" fillId="0" borderId="10" xfId="0" applyFont="1" applyBorder="1" applyAlignment="1">
      <alignment vertical="top"/>
    </xf>
    <xf numFmtId="0" fontId="4" fillId="0" borderId="3" xfId="0" applyFont="1" applyBorder="1"/>
    <xf numFmtId="0" fontId="4" fillId="0" borderId="10" xfId="0" applyFont="1" applyBorder="1"/>
    <xf numFmtId="0" fontId="4" fillId="2" borderId="3" xfId="0" applyFont="1" applyFill="1" applyBorder="1" applyAlignment="1">
      <alignment horizontal="center"/>
    </xf>
    <xf numFmtId="0" fontId="1" fillId="0" borderId="8" xfId="0" applyFont="1" applyBorder="1"/>
    <xf numFmtId="0" fontId="1" fillId="0" borderId="10" xfId="0" applyFont="1" applyBorder="1"/>
    <xf numFmtId="0" fontId="1" fillId="0" borderId="0" xfId="0" applyFont="1" applyBorder="1" applyAlignment="1">
      <alignment horizontal="left"/>
    </xf>
    <xf numFmtId="0" fontId="2" fillId="0" borderId="21" xfId="0" applyFont="1" applyBorder="1" applyAlignment="1">
      <alignment horizontal="center" vertical="top" wrapText="1"/>
    </xf>
    <xf numFmtId="0" fontId="5" fillId="0" borderId="23" xfId="0" applyFont="1" applyBorder="1" applyAlignment="1">
      <alignment horizontal="center" vertical="top" wrapText="1"/>
    </xf>
    <xf numFmtId="0" fontId="5" fillId="0" borderId="21" xfId="0" applyFont="1" applyBorder="1" applyAlignment="1">
      <alignment horizontal="center" vertical="top" wrapText="1"/>
    </xf>
    <xf numFmtId="0" fontId="8" fillId="0" borderId="21" xfId="0" applyFont="1" applyBorder="1" applyAlignment="1">
      <alignment horizontal="center" vertical="top" wrapText="1"/>
    </xf>
    <xf numFmtId="0" fontId="7" fillId="0" borderId="15" xfId="0" applyFont="1" applyBorder="1" applyAlignment="1">
      <alignment vertical="top" wrapText="1"/>
    </xf>
    <xf numFmtId="0" fontId="7" fillId="0" borderId="18" xfId="0" applyFont="1" applyBorder="1" applyAlignment="1">
      <alignment vertical="top" wrapText="1"/>
    </xf>
    <xf numFmtId="0" fontId="7" fillId="0" borderId="26" xfId="0" applyFont="1" applyBorder="1" applyAlignment="1">
      <alignment vertical="top" wrapText="1"/>
    </xf>
    <xf numFmtId="0" fontId="8" fillId="0" borderId="24" xfId="0" applyFont="1" applyBorder="1" applyAlignment="1">
      <alignment vertical="top" wrapText="1"/>
    </xf>
    <xf numFmtId="0" fontId="8" fillId="0" borderId="17" xfId="0" applyFont="1" applyBorder="1" applyAlignment="1">
      <alignment horizontal="center" vertical="top" wrapText="1"/>
    </xf>
    <xf numFmtId="0" fontId="5" fillId="0" borderId="25" xfId="0" applyFont="1" applyBorder="1" applyAlignment="1">
      <alignment vertical="top" wrapText="1"/>
    </xf>
    <xf numFmtId="0" fontId="5" fillId="0" borderId="25" xfId="0" applyFont="1" applyBorder="1" applyAlignment="1">
      <alignment horizontal="left" vertical="top" wrapText="1" indent="5"/>
    </xf>
    <xf numFmtId="0" fontId="5" fillId="0" borderId="24" xfId="0" applyFont="1" applyBorder="1" applyAlignment="1">
      <alignment horizontal="left" vertical="top" wrapText="1" indent="5"/>
    </xf>
    <xf numFmtId="0" fontId="5" fillId="0" borderId="19" xfId="0" applyFont="1" applyBorder="1" applyAlignment="1">
      <alignment vertical="top" wrapText="1"/>
    </xf>
    <xf numFmtId="0" fontId="0" fillId="0" borderId="0" xfId="0" applyBorder="1"/>
    <xf numFmtId="0" fontId="8" fillId="0" borderId="18" xfId="0" applyFont="1" applyBorder="1" applyAlignment="1">
      <alignment vertical="top" wrapText="1"/>
    </xf>
    <xf numFmtId="0" fontId="8" fillId="0" borderId="18" xfId="0" applyFont="1" applyBorder="1" applyAlignment="1">
      <alignment horizontal="center" vertical="top" wrapText="1"/>
    </xf>
    <xf numFmtId="0" fontId="7" fillId="0" borderId="19" xfId="0" applyFont="1" applyBorder="1" applyAlignment="1">
      <alignment horizontal="center" vertical="top" wrapText="1"/>
    </xf>
    <xf numFmtId="0" fontId="5" fillId="0" borderId="18" xfId="0" applyFont="1" applyBorder="1" applyAlignment="1">
      <alignment horizontal="center" vertical="top" wrapText="1"/>
    </xf>
    <xf numFmtId="0" fontId="5" fillId="2" borderId="21" xfId="0" applyFont="1" applyFill="1" applyBorder="1" applyAlignment="1">
      <alignment horizontal="center" vertical="top" wrapText="1"/>
    </xf>
    <xf numFmtId="0" fontId="5" fillId="2" borderId="32" xfId="0" applyFont="1" applyFill="1" applyBorder="1" applyAlignment="1">
      <alignment horizontal="center" vertical="top" wrapText="1"/>
    </xf>
    <xf numFmtId="1" fontId="8" fillId="2" borderId="21" xfId="0" applyNumberFormat="1" applyFont="1" applyFill="1" applyBorder="1" applyAlignment="1">
      <alignment horizontal="center" vertical="top" wrapText="1"/>
    </xf>
    <xf numFmtId="0" fontId="5" fillId="0" borderId="45" xfId="0" applyFont="1" applyBorder="1" applyAlignment="1">
      <alignment vertical="top" wrapText="1"/>
    </xf>
    <xf numFmtId="0" fontId="5" fillId="0" borderId="46" xfId="0" applyFont="1" applyBorder="1" applyAlignment="1">
      <alignment vertical="top" wrapText="1"/>
    </xf>
    <xf numFmtId="0" fontId="1" fillId="0" borderId="3" xfId="0" applyFont="1" applyBorder="1" applyAlignment="1">
      <alignment horizontal="center"/>
    </xf>
    <xf numFmtId="0" fontId="1" fillId="0" borderId="0" xfId="0" applyFont="1" applyBorder="1" applyAlignment="1"/>
    <xf numFmtId="0" fontId="8" fillId="2" borderId="21" xfId="0" applyFont="1" applyFill="1" applyBorder="1" applyAlignment="1">
      <alignment horizontal="center" vertical="top" wrapText="1"/>
    </xf>
    <xf numFmtId="0" fontId="5" fillId="2" borderId="23" xfId="0" applyFont="1" applyFill="1" applyBorder="1" applyAlignment="1">
      <alignment horizontal="center" vertical="top" wrapText="1"/>
    </xf>
    <xf numFmtId="0" fontId="8" fillId="2" borderId="17" xfId="0" applyFont="1" applyFill="1" applyBorder="1" applyAlignment="1">
      <alignment horizontal="center" vertical="top" wrapText="1"/>
    </xf>
    <xf numFmtId="1" fontId="8" fillId="2" borderId="32" xfId="0" applyNumberFormat="1" applyFont="1" applyFill="1" applyBorder="1" applyAlignment="1">
      <alignment horizontal="center" vertical="top"/>
    </xf>
    <xf numFmtId="44" fontId="0" fillId="0" borderId="0" xfId="0" applyNumberFormat="1"/>
    <xf numFmtId="44" fontId="0" fillId="2" borderId="0" xfId="0" applyNumberFormat="1" applyFill="1"/>
    <xf numFmtId="0" fontId="0" fillId="0" borderId="4" xfId="0" applyBorder="1"/>
    <xf numFmtId="0" fontId="0" fillId="0" borderId="5" xfId="0" applyBorder="1"/>
    <xf numFmtId="0" fontId="0" fillId="0" borderId="2" xfId="0" applyBorder="1"/>
    <xf numFmtId="0" fontId="0" fillId="0" borderId="7" xfId="0" applyBorder="1"/>
    <xf numFmtId="0" fontId="0" fillId="0" borderId="8" xfId="0" applyBorder="1"/>
    <xf numFmtId="0" fontId="0" fillId="0" borderId="9" xfId="0" applyBorder="1"/>
    <xf numFmtId="0" fontId="0" fillId="0" borderId="5" xfId="0" applyBorder="1" applyAlignment="1">
      <alignment horizontal="left"/>
    </xf>
    <xf numFmtId="0" fontId="0" fillId="0" borderId="0" xfId="0" applyBorder="1" applyAlignment="1">
      <alignment horizontal="left"/>
    </xf>
    <xf numFmtId="0" fontId="0" fillId="0" borderId="1" xfId="0" applyBorder="1" applyAlignment="1">
      <alignment horizontal="left"/>
    </xf>
    <xf numFmtId="0" fontId="0" fillId="0" borderId="10" xfId="0" applyBorder="1"/>
    <xf numFmtId="0" fontId="0" fillId="0" borderId="6" xfId="0" applyBorder="1"/>
    <xf numFmtId="164" fontId="7" fillId="2" borderId="16" xfId="0" applyNumberFormat="1" applyFont="1" applyFill="1" applyBorder="1" applyAlignment="1">
      <alignment horizontal="left" vertical="top" wrapText="1"/>
    </xf>
    <xf numFmtId="9" fontId="8" fillId="2" borderId="21" xfId="0" applyNumberFormat="1" applyFont="1" applyFill="1" applyBorder="1" applyAlignment="1">
      <alignment horizontal="center" vertical="top" wrapText="1"/>
    </xf>
    <xf numFmtId="0" fontId="0" fillId="0" borderId="10" xfId="0" applyBorder="1" applyAlignment="1"/>
    <xf numFmtId="0" fontId="5" fillId="0" borderId="0" xfId="0" applyFont="1"/>
    <xf numFmtId="0" fontId="8" fillId="0" borderId="26" xfId="0" applyFont="1" applyBorder="1" applyAlignment="1">
      <alignment vertical="top" wrapText="1"/>
    </xf>
    <xf numFmtId="0" fontId="8" fillId="0" borderId="19" xfId="0" applyFont="1" applyBorder="1" applyAlignment="1">
      <alignment vertical="top" wrapText="1"/>
    </xf>
    <xf numFmtId="0" fontId="0" fillId="4" borderId="0" xfId="0" applyFill="1"/>
    <xf numFmtId="0" fontId="12" fillId="2" borderId="16" xfId="0" applyFont="1" applyFill="1" applyBorder="1" applyAlignment="1">
      <alignment horizontal="center" vertical="center"/>
    </xf>
    <xf numFmtId="1" fontId="5" fillId="2" borderId="23" xfId="0" applyNumberFormat="1" applyFont="1" applyFill="1" applyBorder="1" applyAlignment="1">
      <alignment horizontal="center" vertical="top" wrapText="1"/>
    </xf>
    <xf numFmtId="1" fontId="13" fillId="2" borderId="16" xfId="0" applyNumberFormat="1" applyFont="1" applyFill="1" applyBorder="1" applyAlignment="1">
      <alignment horizontal="center" vertical="top" wrapText="1"/>
    </xf>
    <xf numFmtId="1" fontId="13" fillId="2" borderId="21" xfId="0" applyNumberFormat="1" applyFont="1" applyFill="1" applyBorder="1" applyAlignment="1">
      <alignment horizontal="center" vertical="top" wrapText="1"/>
    </xf>
    <xf numFmtId="0" fontId="5" fillId="2" borderId="17" xfId="0" applyFont="1" applyFill="1" applyBorder="1" applyAlignment="1">
      <alignment horizontal="center" vertical="top" wrapText="1"/>
    </xf>
    <xf numFmtId="0" fontId="8" fillId="2" borderId="32" xfId="0" applyFont="1" applyFill="1" applyBorder="1" applyAlignment="1">
      <alignment horizontal="center" vertical="top" wrapText="1"/>
    </xf>
    <xf numFmtId="1" fontId="8" fillId="2" borderId="17" xfId="0" applyNumberFormat="1" applyFont="1" applyFill="1" applyBorder="1" applyAlignment="1">
      <alignment horizontal="center" vertical="top" wrapText="1"/>
    </xf>
    <xf numFmtId="0" fontId="5" fillId="2" borderId="57" xfId="0" applyFont="1" applyFill="1" applyBorder="1" applyAlignment="1">
      <alignment horizontal="center" vertical="top" wrapText="1"/>
    </xf>
    <xf numFmtId="0" fontId="5" fillId="2" borderId="58" xfId="0" applyFont="1" applyFill="1" applyBorder="1" applyAlignment="1">
      <alignment horizontal="center" vertical="top" wrapText="1"/>
    </xf>
    <xf numFmtId="0" fontId="8" fillId="0" borderId="47" xfId="0" applyFont="1" applyBorder="1" applyAlignment="1">
      <alignment vertical="top" wrapText="1"/>
    </xf>
    <xf numFmtId="0" fontId="8" fillId="0" borderId="46" xfId="0" applyFont="1" applyBorder="1" applyAlignment="1">
      <alignment vertical="top" wrapText="1"/>
    </xf>
    <xf numFmtId="0" fontId="8" fillId="0" borderId="45" xfId="0" applyFont="1" applyBorder="1" applyAlignment="1">
      <alignment vertical="top" wrapText="1"/>
    </xf>
    <xf numFmtId="0" fontId="8" fillId="0" borderId="48" xfId="0" applyFont="1" applyBorder="1" applyAlignment="1">
      <alignment vertical="top" wrapText="1"/>
    </xf>
    <xf numFmtId="0" fontId="8" fillId="0" borderId="60" xfId="0" applyFont="1" applyBorder="1" applyAlignment="1">
      <alignment vertical="top" wrapText="1"/>
    </xf>
    <xf numFmtId="0" fontId="8" fillId="0" borderId="50" xfId="0" applyFont="1" applyBorder="1" applyAlignment="1">
      <alignment vertical="top" wrapText="1"/>
    </xf>
    <xf numFmtId="0" fontId="1" fillId="0" borderId="0" xfId="0" applyFont="1" applyBorder="1" applyAlignment="1">
      <alignment vertical="top" wrapText="1"/>
    </xf>
    <xf numFmtId="0" fontId="7" fillId="2" borderId="16" xfId="0" applyFont="1" applyFill="1" applyBorder="1" applyAlignment="1">
      <alignment horizontal="left" vertical="top" wrapText="1"/>
    </xf>
    <xf numFmtId="0" fontId="1" fillId="2" borderId="10" xfId="0" applyFont="1" applyFill="1" applyBorder="1"/>
    <xf numFmtId="0" fontId="1" fillId="2" borderId="11" xfId="0" applyFont="1" applyFill="1" applyBorder="1"/>
    <xf numFmtId="0" fontId="4" fillId="2" borderId="11" xfId="0" applyFont="1" applyFill="1" applyBorder="1" applyAlignment="1">
      <alignment horizontal="center"/>
    </xf>
    <xf numFmtId="0" fontId="1" fillId="2" borderId="12" xfId="0" applyFont="1" applyFill="1" applyBorder="1"/>
    <xf numFmtId="0" fontId="1" fillId="0" borderId="8" xfId="0" applyFont="1" applyBorder="1" applyAlignment="1">
      <alignment vertical="top" wrapText="1"/>
    </xf>
    <xf numFmtId="0" fontId="4" fillId="0" borderId="10" xfId="0" applyFont="1" applyBorder="1" applyAlignment="1"/>
    <xf numFmtId="0" fontId="4" fillId="2" borderId="33" xfId="0" applyFont="1" applyFill="1" applyBorder="1"/>
    <xf numFmtId="0" fontId="0" fillId="4" borderId="8" xfId="0" applyFill="1" applyBorder="1" applyProtection="1">
      <protection locked="0"/>
    </xf>
    <xf numFmtId="0" fontId="0" fillId="4" borderId="11" xfId="0" applyFill="1" applyBorder="1" applyProtection="1">
      <protection locked="0"/>
    </xf>
    <xf numFmtId="0" fontId="6" fillId="4" borderId="11" xfId="1" applyFill="1" applyBorder="1" applyAlignment="1" applyProtection="1">
      <protection locked="0"/>
    </xf>
    <xf numFmtId="165" fontId="0" fillId="4" borderId="11" xfId="0" applyNumberFormat="1" applyFill="1" applyBorder="1" applyAlignment="1" applyProtection="1">
      <alignment horizontal="left"/>
      <protection locked="0"/>
    </xf>
    <xf numFmtId="0" fontId="0" fillId="0" borderId="0" xfId="0" applyProtection="1">
      <protection locked="0"/>
    </xf>
    <xf numFmtId="0" fontId="0" fillId="0" borderId="0" xfId="0" applyFill="1" applyBorder="1" applyProtection="1">
      <protection locked="0"/>
    </xf>
    <xf numFmtId="164" fontId="0" fillId="4" borderId="8" xfId="0" applyNumberFormat="1" applyFill="1" applyBorder="1" applyAlignment="1" applyProtection="1">
      <alignment horizontal="left"/>
      <protection locked="0"/>
    </xf>
    <xf numFmtId="164" fontId="0" fillId="0" borderId="0" xfId="0" applyNumberFormat="1" applyFill="1" applyBorder="1" applyAlignment="1" applyProtection="1">
      <alignment horizontal="left"/>
      <protection locked="0"/>
    </xf>
    <xf numFmtId="0" fontId="0" fillId="4" borderId="0" xfId="0" applyFill="1" applyProtection="1">
      <protection locked="0"/>
    </xf>
    <xf numFmtId="44" fontId="0" fillId="4" borderId="0" xfId="0" applyNumberFormat="1" applyFill="1" applyProtection="1">
      <protection locked="0"/>
    </xf>
    <xf numFmtId="0" fontId="4" fillId="4" borderId="3" xfId="0" applyFont="1" applyFill="1" applyBorder="1" applyAlignment="1" applyProtection="1">
      <alignment horizontal="center"/>
      <protection locked="0"/>
    </xf>
    <xf numFmtId="0" fontId="1" fillId="4" borderId="3" xfId="0" applyFont="1" applyFill="1" applyBorder="1" applyAlignment="1" applyProtection="1">
      <alignment horizontal="center"/>
      <protection locked="0"/>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0" xfId="0" applyFont="1" applyAlignment="1">
      <alignment horizontal="center"/>
    </xf>
    <xf numFmtId="0" fontId="8" fillId="0" borderId="27" xfId="0" applyFont="1" applyBorder="1" applyAlignment="1">
      <alignment vertical="top" wrapText="1"/>
    </xf>
    <xf numFmtId="0" fontId="16" fillId="0" borderId="12" xfId="0" applyFont="1" applyBorder="1" applyAlignment="1">
      <alignment horizontal="right"/>
    </xf>
    <xf numFmtId="4" fontId="4" fillId="2" borderId="3" xfId="0" applyNumberFormat="1" applyFont="1" applyFill="1" applyBorder="1" applyAlignment="1" applyProtection="1">
      <alignment horizontal="center"/>
    </xf>
    <xf numFmtId="0" fontId="15" fillId="0" borderId="3" xfId="0" applyFont="1" applyBorder="1" applyAlignment="1" applyProtection="1">
      <alignment horizontal="right"/>
    </xf>
    <xf numFmtId="0" fontId="0" fillId="0" borderId="0" xfId="0" applyFont="1"/>
    <xf numFmtId="0" fontId="0" fillId="2" borderId="32" xfId="0" applyFont="1" applyFill="1" applyBorder="1" applyAlignment="1">
      <alignment horizontal="center"/>
    </xf>
    <xf numFmtId="0" fontId="0" fillId="2" borderId="57" xfId="0" applyFont="1" applyFill="1" applyBorder="1" applyAlignment="1">
      <alignment horizontal="center"/>
    </xf>
    <xf numFmtId="0" fontId="0" fillId="2" borderId="16" xfId="0" applyFont="1" applyFill="1" applyBorder="1" applyAlignment="1">
      <alignment horizontal="center"/>
    </xf>
    <xf numFmtId="0" fontId="0" fillId="2" borderId="58" xfId="0" applyFont="1" applyFill="1" applyBorder="1" applyAlignment="1">
      <alignment horizontal="center"/>
    </xf>
    <xf numFmtId="0" fontId="0" fillId="4" borderId="57" xfId="0" applyFont="1" applyFill="1" applyBorder="1" applyAlignment="1" applyProtection="1">
      <alignment horizontal="center" vertical="top"/>
      <protection locked="0"/>
    </xf>
    <xf numFmtId="0" fontId="0" fillId="2" borderId="22" xfId="0" applyFont="1" applyFill="1" applyBorder="1" applyAlignment="1">
      <alignment horizontal="center" vertical="top"/>
    </xf>
    <xf numFmtId="0" fontId="0" fillId="0" borderId="0" xfId="0" applyFont="1" applyBorder="1"/>
    <xf numFmtId="0" fontId="0" fillId="0" borderId="0" xfId="0" applyFont="1" applyAlignment="1">
      <alignment horizontal="center"/>
    </xf>
    <xf numFmtId="0" fontId="0" fillId="0" borderId="19" xfId="0" applyFont="1" applyBorder="1" applyAlignment="1">
      <alignment horizontal="center"/>
    </xf>
    <xf numFmtId="0" fontId="0" fillId="0" borderId="23" xfId="0" applyFont="1" applyBorder="1" applyAlignment="1">
      <alignment horizontal="center"/>
    </xf>
    <xf numFmtId="0" fontId="0" fillId="0" borderId="21" xfId="0" applyFont="1" applyBorder="1" applyAlignment="1">
      <alignment horizontal="center"/>
    </xf>
    <xf numFmtId="0" fontId="0" fillId="0" borderId="3" xfId="0" applyFont="1" applyBorder="1"/>
    <xf numFmtId="0" fontId="0" fillId="0" borderId="3" xfId="0" applyFont="1" applyBorder="1" applyAlignment="1">
      <alignment horizontal="center"/>
    </xf>
    <xf numFmtId="0" fontId="0" fillId="0" borderId="3" xfId="0" applyFont="1" applyFill="1" applyBorder="1" applyAlignment="1">
      <alignment horizontal="center"/>
    </xf>
    <xf numFmtId="1" fontId="0" fillId="0" borderId="0" xfId="0" applyNumberFormat="1" applyFont="1" applyAlignment="1">
      <alignment horizontal="center"/>
    </xf>
    <xf numFmtId="0" fontId="5" fillId="2" borderId="15" xfId="0" applyFont="1" applyFill="1" applyBorder="1" applyAlignment="1">
      <alignment horizontal="center" vertical="top" wrapText="1"/>
    </xf>
    <xf numFmtId="0" fontId="0" fillId="0" borderId="3" xfId="0" applyBorder="1" applyAlignment="1">
      <alignment horizontal="center"/>
    </xf>
    <xf numFmtId="1" fontId="0" fillId="2" borderId="16" xfId="0" applyNumberFormat="1" applyFont="1" applyFill="1" applyBorder="1" applyAlignment="1">
      <alignment horizontal="center"/>
    </xf>
    <xf numFmtId="0" fontId="14" fillId="0" borderId="0" xfId="0" applyFont="1"/>
    <xf numFmtId="0" fontId="19" fillId="0" borderId="0" xfId="0" applyFont="1"/>
    <xf numFmtId="0" fontId="17" fillId="0" borderId="25" xfId="0" applyFont="1" applyFill="1" applyBorder="1" applyAlignment="1">
      <alignment horizontal="center" vertical="top" wrapText="1"/>
    </xf>
    <xf numFmtId="0" fontId="17" fillId="0" borderId="0" xfId="0" applyFont="1" applyFill="1" applyBorder="1" applyAlignment="1">
      <alignment horizontal="center" vertical="top" wrapText="1"/>
    </xf>
    <xf numFmtId="0" fontId="10" fillId="0" borderId="24" xfId="0" applyFont="1" applyBorder="1" applyAlignment="1">
      <alignment wrapText="1"/>
    </xf>
    <xf numFmtId="0" fontId="17" fillId="0" borderId="21" xfId="0" applyFont="1" applyFill="1" applyBorder="1" applyAlignment="1">
      <alignment horizontal="center" wrapText="1"/>
    </xf>
    <xf numFmtId="0" fontId="5" fillId="0" borderId="24" xfId="0" applyFont="1" applyBorder="1" applyAlignment="1">
      <alignment wrapText="1"/>
    </xf>
    <xf numFmtId="1" fontId="17" fillId="0" borderId="21" xfId="0" applyNumberFormat="1" applyFont="1" applyFill="1" applyBorder="1" applyAlignment="1">
      <alignment horizontal="center" wrapText="1"/>
    </xf>
    <xf numFmtId="0" fontId="1" fillId="0" borderId="0" xfId="0" applyFont="1" applyBorder="1" applyAlignment="1">
      <alignment vertical="top" wrapText="1"/>
    </xf>
    <xf numFmtId="0" fontId="6" fillId="0" borderId="0" xfId="1" applyAlignment="1" applyProtection="1"/>
    <xf numFmtId="0" fontId="1" fillId="0" borderId="0" xfId="0" applyFont="1" applyBorder="1" applyAlignment="1">
      <alignment vertical="top" wrapText="1"/>
    </xf>
    <xf numFmtId="0" fontId="1" fillId="0" borderId="0" xfId="0" applyFont="1" applyBorder="1" applyAlignment="1">
      <alignment vertical="top" wrapText="1"/>
    </xf>
    <xf numFmtId="0" fontId="0" fillId="4" borderId="0" xfId="0" applyFill="1" applyBorder="1" applyProtection="1">
      <protection locked="0"/>
    </xf>
    <xf numFmtId="0" fontId="4" fillId="2" borderId="3" xfId="0" applyFont="1" applyFill="1" applyBorder="1" applyAlignment="1" applyProtection="1">
      <alignment horizontal="center"/>
    </xf>
    <xf numFmtId="0" fontId="4" fillId="0" borderId="10" xfId="0" applyFont="1" applyBorder="1" applyAlignment="1">
      <alignment vertical="top"/>
    </xf>
    <xf numFmtId="0" fontId="4" fillId="4" borderId="3" xfId="0" applyFont="1" applyFill="1" applyBorder="1" applyAlignment="1" applyProtection="1">
      <alignment horizontal="center" vertical="center"/>
      <protection locked="0"/>
    </xf>
    <xf numFmtId="0" fontId="10" fillId="2" borderId="15" xfId="0" applyFont="1" applyFill="1" applyBorder="1" applyAlignment="1">
      <alignment horizontal="center" vertical="top" wrapText="1"/>
    </xf>
    <xf numFmtId="1" fontId="17" fillId="5" borderId="25" xfId="0" applyNumberFormat="1" applyFont="1" applyFill="1" applyBorder="1" applyAlignment="1">
      <alignment horizontal="center" vertical="top" wrapText="1"/>
    </xf>
    <xf numFmtId="1" fontId="17" fillId="5" borderId="0" xfId="0" applyNumberFormat="1" applyFont="1" applyFill="1" applyBorder="1" applyAlignment="1">
      <alignment horizontal="center" vertical="top" wrapText="1"/>
    </xf>
    <xf numFmtId="2" fontId="5" fillId="2" borderId="15" xfId="0" applyNumberFormat="1" applyFont="1" applyFill="1" applyBorder="1" applyAlignment="1">
      <alignment horizontal="center" vertical="top" wrapText="1"/>
    </xf>
    <xf numFmtId="2" fontId="10" fillId="2" borderId="15" xfId="0" applyNumberFormat="1" applyFont="1" applyFill="1" applyBorder="1" applyAlignment="1">
      <alignment horizontal="center" vertical="top" wrapText="1"/>
    </xf>
    <xf numFmtId="0" fontId="1" fillId="0" borderId="0" xfId="0" applyFont="1" applyBorder="1" applyAlignment="1">
      <alignment vertical="top" wrapText="1"/>
    </xf>
    <xf numFmtId="0" fontId="1" fillId="0" borderId="1" xfId="0" applyFont="1" applyBorder="1" applyAlignment="1">
      <alignment vertical="top" wrapText="1"/>
    </xf>
    <xf numFmtId="0" fontId="21" fillId="0" borderId="0" xfId="0" applyFont="1" applyBorder="1" applyAlignment="1">
      <alignment horizontal="center" vertical="top" wrapText="1"/>
    </xf>
    <xf numFmtId="0" fontId="21" fillId="0" borderId="0" xfId="0" applyFont="1" applyAlignment="1">
      <alignment horizontal="center"/>
    </xf>
    <xf numFmtId="0" fontId="21" fillId="0" borderId="1" xfId="0" applyFont="1" applyBorder="1" applyAlignment="1">
      <alignment horizontal="center" vertical="top" wrapText="1"/>
    </xf>
    <xf numFmtId="0" fontId="21" fillId="0" borderId="8" xfId="0" applyFont="1" applyBorder="1" applyAlignment="1">
      <alignment horizontal="center" vertical="top" wrapText="1"/>
    </xf>
    <xf numFmtId="0" fontId="21" fillId="0" borderId="9" xfId="0" applyFont="1" applyBorder="1" applyAlignment="1">
      <alignment horizontal="center" vertical="top" wrapText="1"/>
    </xf>
    <xf numFmtId="3" fontId="4" fillId="4" borderId="3" xfId="0" applyNumberFormat="1" applyFont="1" applyFill="1" applyBorder="1" applyAlignment="1" applyProtection="1">
      <alignment horizontal="center"/>
      <protection locked="0"/>
    </xf>
    <xf numFmtId="0" fontId="5" fillId="0" borderId="25" xfId="0" applyFont="1" applyBorder="1" applyAlignment="1">
      <alignment horizontal="left" vertical="top" wrapText="1"/>
    </xf>
    <xf numFmtId="0" fontId="5" fillId="0" borderId="23" xfId="0" applyFont="1" applyBorder="1" applyAlignment="1">
      <alignment horizontal="left" vertical="top" wrapText="1"/>
    </xf>
    <xf numFmtId="0" fontId="14" fillId="0" borderId="0" xfId="0" applyFont="1" applyAlignment="1">
      <alignment horizontal="center" vertical="center"/>
    </xf>
    <xf numFmtId="0" fontId="14" fillId="0" borderId="0" xfId="0" applyFont="1" applyAlignment="1">
      <alignment horizontal="center"/>
    </xf>
    <xf numFmtId="0" fontId="14" fillId="0" borderId="3" xfId="0" applyFont="1" applyBorder="1" applyAlignment="1">
      <alignment horizontal="center"/>
    </xf>
    <xf numFmtId="0" fontId="0" fillId="2" borderId="58" xfId="0" applyFont="1" applyFill="1" applyBorder="1" applyAlignment="1" applyProtection="1">
      <alignment horizontal="center" vertical="top"/>
    </xf>
    <xf numFmtId="0" fontId="14" fillId="0" borderId="0" xfId="0" applyFont="1" applyFill="1" applyBorder="1" applyAlignment="1">
      <alignment horizontal="center" vertical="top"/>
    </xf>
    <xf numFmtId="0" fontId="0" fillId="0" borderId="0" xfId="0" applyAlignment="1">
      <alignment horizontal="left"/>
    </xf>
    <xf numFmtId="0" fontId="0" fillId="4" borderId="8" xfId="0" applyFill="1" applyBorder="1" applyAlignment="1" applyProtection="1">
      <alignment horizontal="center"/>
      <protection locked="0"/>
    </xf>
    <xf numFmtId="0" fontId="0" fillId="4" borderId="11" xfId="0" applyFill="1" applyBorder="1" applyAlignment="1" applyProtection="1">
      <alignment horizontal="center"/>
      <protection locked="0"/>
    </xf>
    <xf numFmtId="0" fontId="5" fillId="0" borderId="45" xfId="0" applyFont="1" applyBorder="1" applyAlignment="1">
      <alignment horizontal="left" vertical="top" wrapText="1"/>
    </xf>
    <xf numFmtId="0" fontId="5" fillId="0" borderId="46" xfId="0" applyFont="1" applyBorder="1" applyAlignment="1">
      <alignment horizontal="left" vertical="top" wrapText="1"/>
    </xf>
    <xf numFmtId="0" fontId="5" fillId="0" borderId="30" xfId="0" applyFont="1" applyBorder="1" applyAlignment="1">
      <alignment horizontal="left" vertical="top" wrapText="1"/>
    </xf>
    <xf numFmtId="0" fontId="5" fillId="0" borderId="37" xfId="0" applyFont="1" applyBorder="1" applyAlignment="1">
      <alignment horizontal="left" vertical="top" wrapText="1"/>
    </xf>
    <xf numFmtId="0" fontId="5" fillId="0" borderId="29" xfId="0" applyFont="1" applyFill="1" applyBorder="1" applyAlignment="1">
      <alignment horizontal="left" vertical="top" wrapText="1"/>
    </xf>
    <xf numFmtId="0" fontId="5" fillId="0" borderId="38" xfId="0" applyFont="1" applyFill="1" applyBorder="1" applyAlignment="1">
      <alignment horizontal="left" vertical="top" wrapText="1"/>
    </xf>
    <xf numFmtId="0" fontId="0" fillId="0" borderId="30" xfId="0" applyBorder="1" applyAlignment="1">
      <alignment horizontal="left" vertical="top" wrapText="1"/>
    </xf>
    <xf numFmtId="0" fontId="0" fillId="0" borderId="37" xfId="0" applyBorder="1" applyAlignment="1">
      <alignment horizontal="left" vertical="top" wrapText="1"/>
    </xf>
    <xf numFmtId="0" fontId="5" fillId="0" borderId="42" xfId="0" applyFont="1" applyBorder="1" applyAlignment="1">
      <alignment horizontal="left" vertical="top" wrapText="1"/>
    </xf>
    <xf numFmtId="0" fontId="5" fillId="0" borderId="44" xfId="0" applyFont="1" applyBorder="1" applyAlignment="1">
      <alignment horizontal="left" vertical="top" wrapText="1"/>
    </xf>
    <xf numFmtId="0" fontId="8" fillId="2" borderId="24" xfId="0" applyFont="1" applyFill="1" applyBorder="1" applyAlignment="1">
      <alignment horizontal="left" vertical="top" wrapText="1"/>
    </xf>
    <xf numFmtId="0" fontId="8" fillId="2" borderId="21" xfId="0" applyFont="1" applyFill="1" applyBorder="1" applyAlignment="1">
      <alignment horizontal="left" vertical="top" wrapText="1"/>
    </xf>
    <xf numFmtId="0" fontId="5" fillId="0" borderId="29" xfId="0" applyFont="1" applyBorder="1" applyAlignment="1">
      <alignment horizontal="left" vertical="top" wrapText="1"/>
    </xf>
    <xf numFmtId="0" fontId="5" fillId="0" borderId="38" xfId="0" applyFont="1" applyBorder="1" applyAlignment="1">
      <alignment horizontal="left" vertical="top" wrapText="1"/>
    </xf>
    <xf numFmtId="0" fontId="5" fillId="0" borderId="29" xfId="0" applyFont="1" applyBorder="1" applyAlignment="1">
      <alignment vertical="top" wrapText="1"/>
    </xf>
    <xf numFmtId="0" fontId="5" fillId="0" borderId="38" xfId="0" applyFont="1" applyBorder="1" applyAlignment="1">
      <alignment vertical="top" wrapText="1"/>
    </xf>
    <xf numFmtId="0" fontId="10" fillId="0" borderId="30" xfId="0" applyFont="1" applyBorder="1" applyAlignment="1">
      <alignment horizontal="left" vertical="top" wrapText="1"/>
    </xf>
    <xf numFmtId="0" fontId="10" fillId="0" borderId="37" xfId="0" applyFont="1" applyBorder="1" applyAlignment="1">
      <alignment horizontal="left" vertical="top" wrapText="1"/>
    </xf>
    <xf numFmtId="0" fontId="5" fillId="0" borderId="30" xfId="0" applyFont="1" applyBorder="1"/>
    <xf numFmtId="0" fontId="5" fillId="0" borderId="37" xfId="0" applyFont="1" applyBorder="1"/>
    <xf numFmtId="0" fontId="5" fillId="0" borderId="30" xfId="0" applyFont="1" applyBorder="1" applyAlignment="1">
      <alignment vertical="top" wrapText="1"/>
    </xf>
    <xf numFmtId="0" fontId="5" fillId="0" borderId="37" xfId="0" applyFont="1" applyBorder="1" applyAlignment="1">
      <alignment vertical="top" wrapText="1"/>
    </xf>
    <xf numFmtId="0" fontId="8" fillId="0" borderId="26" xfId="0" applyFont="1" applyBorder="1" applyAlignment="1">
      <alignment horizontal="left" vertical="top" wrapText="1"/>
    </xf>
    <xf numFmtId="0" fontId="8" fillId="0" borderId="19" xfId="0" applyFont="1" applyBorder="1" applyAlignment="1">
      <alignment horizontal="left" vertical="top" wrapText="1"/>
    </xf>
    <xf numFmtId="0" fontId="5" fillId="0" borderId="30" xfId="0" applyFont="1" applyFill="1" applyBorder="1" applyAlignment="1">
      <alignment horizontal="left" vertical="top" wrapText="1"/>
    </xf>
    <xf numFmtId="0" fontId="5" fillId="0" borderId="37" xfId="0" applyFont="1" applyFill="1" applyBorder="1" applyAlignment="1">
      <alignment horizontal="left" vertical="top" wrapText="1"/>
    </xf>
    <xf numFmtId="0" fontId="8" fillId="2" borderId="59" xfId="0" applyFont="1" applyFill="1" applyBorder="1" applyAlignment="1">
      <alignment horizontal="left" vertical="top" wrapText="1"/>
    </xf>
    <xf numFmtId="0" fontId="8" fillId="2" borderId="49" xfId="0" applyFont="1" applyFill="1" applyBorder="1" applyAlignment="1">
      <alignment horizontal="left" vertical="top" wrapText="1"/>
    </xf>
    <xf numFmtId="164" fontId="8" fillId="2" borderId="24" xfId="0" applyNumberFormat="1" applyFont="1" applyFill="1" applyBorder="1" applyAlignment="1">
      <alignment horizontal="left" vertical="top" wrapText="1"/>
    </xf>
    <xf numFmtId="164" fontId="8" fillId="2" borderId="59" xfId="0" applyNumberFormat="1" applyFont="1" applyFill="1" applyBorder="1" applyAlignment="1">
      <alignment horizontal="left" vertical="top" wrapText="1"/>
    </xf>
    <xf numFmtId="165" fontId="8" fillId="2" borderId="49" xfId="0" applyNumberFormat="1" applyFont="1" applyFill="1" applyBorder="1" applyAlignment="1">
      <alignment horizontal="left" vertical="top" wrapText="1"/>
    </xf>
    <xf numFmtId="165" fontId="8" fillId="2" borderId="21" xfId="0" applyNumberFormat="1" applyFont="1" applyFill="1" applyBorder="1" applyAlignment="1">
      <alignment horizontal="left" vertical="top" wrapText="1"/>
    </xf>
    <xf numFmtId="0" fontId="8" fillId="0" borderId="39" xfId="0" applyFont="1" applyBorder="1" applyAlignment="1">
      <alignment horizontal="center" vertical="top" wrapText="1"/>
    </xf>
    <xf numFmtId="0" fontId="8" fillId="0" borderId="40" xfId="0" applyFont="1" applyBorder="1" applyAlignment="1">
      <alignment horizontal="center" vertical="top" wrapText="1"/>
    </xf>
    <xf numFmtId="0" fontId="8" fillId="0" borderId="41" xfId="0" applyFont="1" applyBorder="1" applyAlignment="1">
      <alignment horizontal="center" vertical="top" wrapText="1"/>
    </xf>
    <xf numFmtId="0" fontId="8" fillId="0" borderId="42" xfId="0" applyFont="1" applyBorder="1" applyAlignment="1">
      <alignment horizontal="center" vertical="top" wrapText="1"/>
    </xf>
    <xf numFmtId="0" fontId="8" fillId="0" borderId="43" xfId="0" applyFont="1" applyBorder="1" applyAlignment="1">
      <alignment horizontal="center" vertical="top" wrapText="1"/>
    </xf>
    <xf numFmtId="0" fontId="8" fillId="0" borderId="44" xfId="0" applyFont="1" applyBorder="1" applyAlignment="1">
      <alignment horizontal="center" vertical="top" wrapText="1"/>
    </xf>
    <xf numFmtId="0" fontId="8" fillId="3" borderId="42" xfId="0" applyFont="1" applyFill="1" applyBorder="1" applyAlignment="1">
      <alignment horizontal="center" vertical="top" wrapText="1"/>
    </xf>
    <xf numFmtId="0" fontId="8" fillId="3" borderId="43" xfId="0" applyFont="1" applyFill="1" applyBorder="1" applyAlignment="1">
      <alignment horizontal="center" vertical="top" wrapText="1"/>
    </xf>
    <xf numFmtId="0" fontId="8" fillId="3" borderId="44" xfId="0" applyFont="1" applyFill="1" applyBorder="1" applyAlignment="1">
      <alignment horizontal="center" vertical="top" wrapText="1"/>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164" fontId="8" fillId="2" borderId="21" xfId="0" applyNumberFormat="1" applyFont="1" applyFill="1" applyBorder="1" applyAlignment="1">
      <alignment horizontal="left" vertical="top" wrapText="1"/>
    </xf>
    <xf numFmtId="165" fontId="8" fillId="2" borderId="24" xfId="0" applyNumberFormat="1" applyFont="1" applyFill="1" applyBorder="1" applyAlignment="1">
      <alignment horizontal="left" vertical="top" wrapText="1"/>
    </xf>
    <xf numFmtId="0" fontId="0" fillId="0" borderId="51" xfId="0" applyBorder="1" applyAlignment="1">
      <alignment horizontal="center"/>
    </xf>
    <xf numFmtId="0" fontId="0" fillId="0" borderId="52" xfId="0" applyBorder="1" applyAlignment="1">
      <alignment horizontal="center"/>
    </xf>
    <xf numFmtId="0" fontId="0" fillId="0" borderId="53" xfId="0" applyBorder="1" applyAlignment="1">
      <alignment horizontal="center"/>
    </xf>
    <xf numFmtId="0" fontId="0" fillId="2" borderId="8" xfId="0" applyFill="1" applyBorder="1" applyAlignment="1">
      <alignment horizontal="left"/>
    </xf>
    <xf numFmtId="0" fontId="0" fillId="2" borderId="9" xfId="0" applyFill="1" applyBorder="1" applyAlignment="1">
      <alignment horizontal="left"/>
    </xf>
    <xf numFmtId="165" fontId="0" fillId="2" borderId="8" xfId="0" applyNumberFormat="1" applyFill="1" applyBorder="1" applyAlignment="1">
      <alignment horizontal="left"/>
    </xf>
    <xf numFmtId="164" fontId="0" fillId="2" borderId="8" xfId="0" applyNumberFormat="1" applyFill="1" applyBorder="1" applyAlignment="1">
      <alignment horizontal="left"/>
    </xf>
    <xf numFmtId="164" fontId="0" fillId="2" borderId="9" xfId="0" applyNumberFormat="1" applyFill="1" applyBorder="1" applyAlignment="1">
      <alignment horizontal="left"/>
    </xf>
    <xf numFmtId="0" fontId="0" fillId="0" borderId="8" xfId="0" applyBorder="1" applyAlignment="1">
      <alignment horizontal="center"/>
    </xf>
    <xf numFmtId="0" fontId="0" fillId="0" borderId="54" xfId="0" applyBorder="1" applyAlignment="1">
      <alignment horizontal="center"/>
    </xf>
    <xf numFmtId="0" fontId="0" fillId="0" borderId="55" xfId="0" applyBorder="1" applyAlignment="1">
      <alignment horizontal="center"/>
    </xf>
    <xf numFmtId="0" fontId="0" fillId="0" borderId="56" xfId="0" applyBorder="1" applyAlignment="1">
      <alignment horizontal="center"/>
    </xf>
    <xf numFmtId="0" fontId="0" fillId="0" borderId="12" xfId="0" applyBorder="1" applyAlignment="1">
      <alignment horizontal="left"/>
    </xf>
    <xf numFmtId="0" fontId="0" fillId="0" borderId="3" xfId="0" applyBorder="1" applyAlignment="1">
      <alignment horizontal="left"/>
    </xf>
    <xf numFmtId="164" fontId="0" fillId="0" borderId="11" xfId="0" applyNumberFormat="1" applyBorder="1" applyAlignment="1">
      <alignment horizontal="left"/>
    </xf>
    <xf numFmtId="164" fontId="0" fillId="0" borderId="12" xfId="0" applyNumberFormat="1" applyBorder="1" applyAlignment="1">
      <alignment horizontal="left"/>
    </xf>
    <xf numFmtId="0" fontId="4" fillId="4" borderId="13" xfId="0" applyFont="1" applyFill="1" applyBorder="1" applyAlignment="1" applyProtection="1">
      <alignment horizontal="center" vertical="center"/>
      <protection locked="0"/>
    </xf>
    <xf numFmtId="0" fontId="4" fillId="4" borderId="14" xfId="0" applyFont="1" applyFill="1" applyBorder="1" applyAlignment="1" applyProtection="1">
      <alignment horizontal="center" vertical="center"/>
      <protection locked="0"/>
    </xf>
    <xf numFmtId="0" fontId="4" fillId="0" borderId="62" xfId="0" applyFont="1" applyBorder="1" applyAlignment="1">
      <alignment horizontal="left" vertical="top"/>
    </xf>
    <xf numFmtId="0" fontId="4" fillId="0" borderId="63" xfId="0" applyFont="1" applyBorder="1" applyAlignment="1">
      <alignment horizontal="left" vertical="top"/>
    </xf>
    <xf numFmtId="0" fontId="4" fillId="0" borderId="65" xfId="0" applyFont="1" applyBorder="1" applyAlignment="1">
      <alignment horizontal="left"/>
    </xf>
    <xf numFmtId="0" fontId="4" fillId="0" borderId="8" xfId="0" applyFont="1" applyBorder="1" applyAlignment="1">
      <alignment horizontal="left"/>
    </xf>
    <xf numFmtId="0" fontId="4" fillId="0" borderId="9" xfId="0" applyFont="1" applyBorder="1" applyAlignment="1">
      <alignment horizontal="left"/>
    </xf>
    <xf numFmtId="0" fontId="4" fillId="0" borderId="64" xfId="0" applyFont="1" applyBorder="1" applyAlignment="1">
      <alignment horizontal="left"/>
    </xf>
    <xf numFmtId="0" fontId="4" fillId="0" borderId="5" xfId="0" applyFont="1" applyBorder="1" applyAlignment="1">
      <alignment horizontal="left"/>
    </xf>
    <xf numFmtId="0" fontId="4" fillId="0" borderId="6" xfId="0" applyFont="1" applyBorder="1" applyAlignment="1">
      <alignment horizontal="left"/>
    </xf>
    <xf numFmtId="0" fontId="1" fillId="0" borderId="4" xfId="0" applyFont="1" applyBorder="1" applyAlignment="1">
      <alignment horizontal="left" vertical="top"/>
    </xf>
    <xf numFmtId="0" fontId="1" fillId="0" borderId="2" xfId="0" applyFont="1" applyBorder="1" applyAlignment="1">
      <alignment horizontal="left" vertical="top"/>
    </xf>
    <xf numFmtId="0" fontId="1" fillId="0" borderId="7" xfId="0" applyFont="1" applyBorder="1" applyAlignment="1">
      <alignment horizontal="left" vertical="top"/>
    </xf>
    <xf numFmtId="0" fontId="1" fillId="0" borderId="0"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2" fillId="0" borderId="3" xfId="0" applyFont="1" applyBorder="1" applyAlignment="1">
      <alignment horizontal="center"/>
    </xf>
    <xf numFmtId="0" fontId="1" fillId="0" borderId="13" xfId="0" applyFont="1" applyBorder="1" applyAlignment="1">
      <alignment horizontal="left"/>
    </xf>
    <xf numFmtId="0" fontId="1" fillId="0" borderId="14"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vertical="top"/>
    </xf>
    <xf numFmtId="0" fontId="1" fillId="0" borderId="2" xfId="0" applyFont="1" applyBorder="1" applyAlignment="1">
      <alignment vertical="top"/>
    </xf>
    <xf numFmtId="0" fontId="1" fillId="0" borderId="7" xfId="0" applyFont="1" applyBorder="1" applyAlignment="1">
      <alignment vertical="top"/>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0" xfId="0" applyFont="1" applyBorder="1" applyAlignment="1">
      <alignment vertical="top" wrapText="1"/>
    </xf>
    <xf numFmtId="0" fontId="3" fillId="0" borderId="1"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1" fillId="0" borderId="10" xfId="0" applyFont="1" applyBorder="1" applyAlignment="1">
      <alignment horizontal="left" vertical="top"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1" fillId="4" borderId="7" xfId="0" applyFont="1" applyFill="1" applyBorder="1" applyAlignment="1" applyProtection="1">
      <alignment horizontal="left"/>
      <protection locked="0"/>
    </xf>
    <xf numFmtId="0" fontId="1" fillId="4" borderId="8" xfId="0" applyFont="1" applyFill="1" applyBorder="1" applyAlignment="1" applyProtection="1">
      <alignment horizontal="left"/>
      <protection locked="0"/>
    </xf>
    <xf numFmtId="0" fontId="1" fillId="4" borderId="9" xfId="0" applyFont="1" applyFill="1" applyBorder="1" applyAlignment="1" applyProtection="1">
      <alignment horizontal="left"/>
      <protection locked="0"/>
    </xf>
    <xf numFmtId="0" fontId="4" fillId="0" borderId="3" xfId="0" applyFont="1" applyBorder="1" applyAlignment="1">
      <alignment horizontal="left"/>
    </xf>
    <xf numFmtId="0" fontId="1" fillId="4" borderId="10" xfId="0" applyFont="1" applyFill="1" applyBorder="1" applyAlignment="1" applyProtection="1">
      <alignment horizontal="left"/>
      <protection locked="0"/>
    </xf>
    <xf numFmtId="0" fontId="1" fillId="4" borderId="11" xfId="0" applyFont="1" applyFill="1" applyBorder="1" applyAlignment="1" applyProtection="1">
      <alignment horizontal="left"/>
      <protection locked="0"/>
    </xf>
    <xf numFmtId="0" fontId="1" fillId="4" borderId="12" xfId="0" applyFont="1" applyFill="1" applyBorder="1" applyAlignment="1" applyProtection="1">
      <alignment horizontal="left"/>
      <protection locked="0"/>
    </xf>
    <xf numFmtId="0" fontId="4" fillId="0" borderId="10" xfId="0" applyFont="1" applyBorder="1" applyAlignment="1">
      <alignment horizontal="left"/>
    </xf>
    <xf numFmtId="0" fontId="4" fillId="0" borderId="11" xfId="0" applyFont="1" applyBorder="1" applyAlignment="1">
      <alignment horizontal="left"/>
    </xf>
    <xf numFmtId="0" fontId="4" fillId="0" borderId="12" xfId="0" applyFont="1" applyBorder="1" applyAlignment="1">
      <alignment horizontal="left"/>
    </xf>
    <xf numFmtId="0" fontId="4" fillId="0" borderId="33" xfId="0" applyFont="1" applyFill="1" applyBorder="1" applyAlignment="1">
      <alignment horizontal="center"/>
    </xf>
    <xf numFmtId="0" fontId="4" fillId="0" borderId="11" xfId="0" applyFont="1" applyFill="1" applyBorder="1" applyAlignment="1">
      <alignment horizontal="center"/>
    </xf>
    <xf numFmtId="0" fontId="4" fillId="0" borderId="12" xfId="0" applyFont="1" applyFill="1" applyBorder="1" applyAlignment="1">
      <alignment horizontal="center"/>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44" fontId="1" fillId="4" borderId="10" xfId="0" applyNumberFormat="1" applyFont="1" applyFill="1" applyBorder="1" applyAlignment="1" applyProtection="1">
      <alignment horizontal="center"/>
      <protection locked="0"/>
    </xf>
    <xf numFmtId="44" fontId="1" fillId="4" borderId="11" xfId="0" applyNumberFormat="1" applyFont="1" applyFill="1" applyBorder="1" applyAlignment="1" applyProtection="1">
      <alignment horizontal="center"/>
      <protection locked="0"/>
    </xf>
    <xf numFmtId="44" fontId="1" fillId="4" borderId="12" xfId="0" applyNumberFormat="1" applyFont="1" applyFill="1" applyBorder="1" applyAlignment="1" applyProtection="1">
      <alignment horizontal="center"/>
      <protection locked="0"/>
    </xf>
    <xf numFmtId="0" fontId="1" fillId="0" borderId="11" xfId="0" applyFont="1" applyBorder="1" applyAlignment="1">
      <alignment horizontal="left"/>
    </xf>
    <xf numFmtId="0" fontId="1" fillId="0" borderId="12" xfId="0" applyFont="1" applyBorder="1" applyAlignment="1">
      <alignment horizontal="left"/>
    </xf>
    <xf numFmtId="0" fontId="1" fillId="4" borderId="10" xfId="0" applyFont="1" applyFill="1" applyBorder="1" applyAlignment="1" applyProtection="1">
      <alignment horizontal="left" vertical="top" wrapText="1"/>
      <protection locked="0"/>
    </xf>
    <xf numFmtId="0" fontId="1" fillId="4" borderId="11" xfId="0" applyFont="1" applyFill="1" applyBorder="1" applyAlignment="1" applyProtection="1">
      <alignment horizontal="left" vertical="top" wrapText="1"/>
      <protection locked="0"/>
    </xf>
    <xf numFmtId="0" fontId="1" fillId="4" borderId="12" xfId="0" applyFont="1" applyFill="1" applyBorder="1" applyAlignment="1" applyProtection="1">
      <alignment horizontal="left" vertical="top" wrapText="1"/>
      <protection locked="0"/>
    </xf>
    <xf numFmtId="0" fontId="1" fillId="0" borderId="4" xfId="0" applyFont="1" applyBorder="1" applyAlignment="1">
      <alignment horizontal="center" vertical="top"/>
    </xf>
    <xf numFmtId="0" fontId="1" fillId="0" borderId="2" xfId="0" applyFont="1" applyBorder="1" applyAlignment="1">
      <alignment horizontal="center" vertical="top"/>
    </xf>
    <xf numFmtId="0" fontId="1" fillId="0" borderId="7" xfId="0" applyFont="1" applyBorder="1" applyAlignment="1">
      <alignment horizontal="center" vertical="top"/>
    </xf>
    <xf numFmtId="0" fontId="6" fillId="0" borderId="8" xfId="1" applyBorder="1" applyAlignment="1" applyProtection="1">
      <alignment horizontal="left" vertical="top" wrapText="1"/>
      <protection locked="0"/>
    </xf>
    <xf numFmtId="0" fontId="6" fillId="0" borderId="9" xfId="1" applyBorder="1" applyAlignment="1" applyProtection="1">
      <alignment horizontal="left" vertical="top" wrapText="1"/>
      <protection locked="0"/>
    </xf>
    <xf numFmtId="0" fontId="20" fillId="0" borderId="8" xfId="1" applyFont="1" applyBorder="1" applyAlignment="1" applyProtection="1">
      <alignment horizontal="left"/>
      <protection locked="0"/>
    </xf>
    <xf numFmtId="0" fontId="20" fillId="0" borderId="9" xfId="1" applyFont="1" applyBorder="1" applyAlignment="1" applyProtection="1">
      <alignment horizontal="left"/>
      <protection locked="0"/>
    </xf>
    <xf numFmtId="0" fontId="6" fillId="0" borderId="10" xfId="1" applyBorder="1" applyAlignment="1" applyProtection="1">
      <alignment horizontal="left" vertical="top"/>
      <protection locked="0"/>
    </xf>
    <xf numFmtId="0" fontId="6" fillId="0" borderId="11" xfId="1" applyBorder="1" applyAlignment="1" applyProtection="1">
      <alignment horizontal="left" vertical="top"/>
      <protection locked="0"/>
    </xf>
    <xf numFmtId="0" fontId="6" fillId="0" borderId="12" xfId="1" applyBorder="1" applyAlignment="1" applyProtection="1">
      <alignment horizontal="left" vertical="top"/>
      <protection locked="0"/>
    </xf>
    <xf numFmtId="0" fontId="1" fillId="0" borderId="4" xfId="0" applyFont="1" applyBorder="1" applyAlignment="1">
      <alignment horizontal="left" vertical="top" wrapText="1"/>
    </xf>
    <xf numFmtId="0" fontId="1" fillId="0" borderId="2" xfId="0" applyFont="1" applyBorder="1" applyAlignment="1">
      <alignment horizontal="left" vertical="top" wrapText="1"/>
    </xf>
    <xf numFmtId="0" fontId="1" fillId="4" borderId="10" xfId="0" applyFont="1" applyFill="1" applyBorder="1" applyAlignment="1" applyProtection="1">
      <alignment horizontal="left" vertical="top"/>
      <protection locked="0"/>
    </xf>
    <xf numFmtId="0" fontId="1" fillId="4" borderId="11" xfId="0" applyFont="1" applyFill="1" applyBorder="1" applyAlignment="1" applyProtection="1">
      <alignment horizontal="left" vertical="top"/>
      <protection locked="0"/>
    </xf>
    <xf numFmtId="0" fontId="1" fillId="4" borderId="12" xfId="0" applyFont="1" applyFill="1" applyBorder="1" applyAlignment="1" applyProtection="1">
      <alignment horizontal="left" vertical="top"/>
      <protection locked="0"/>
    </xf>
    <xf numFmtId="0" fontId="4" fillId="0" borderId="61" xfId="0" applyFont="1" applyBorder="1" applyAlignment="1">
      <alignment horizontal="left"/>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4" fillId="0" borderId="33" xfId="0" applyFont="1" applyFill="1" applyBorder="1" applyAlignment="1">
      <alignment horizontal="left"/>
    </xf>
    <xf numFmtId="0" fontId="4" fillId="0" borderId="11" xfId="0" applyFont="1" applyFill="1" applyBorder="1" applyAlignment="1">
      <alignment horizontal="left"/>
    </xf>
    <xf numFmtId="0" fontId="4" fillId="0" borderId="12" xfId="0" applyFont="1" applyFill="1" applyBorder="1" applyAlignment="1">
      <alignment horizontal="left"/>
    </xf>
    <xf numFmtId="0" fontId="4" fillId="4" borderId="3" xfId="0" applyFont="1" applyFill="1" applyBorder="1" applyAlignment="1" applyProtection="1">
      <alignment horizontal="center"/>
      <protection locked="0"/>
    </xf>
    <xf numFmtId="0" fontId="1" fillId="0" borderId="0" xfId="0" applyFont="1" applyAlignment="1">
      <alignment horizontal="center"/>
    </xf>
    <xf numFmtId="0" fontId="1" fillId="2" borderId="10" xfId="0" applyFont="1" applyFill="1" applyBorder="1" applyAlignment="1">
      <alignment horizontal="left"/>
    </xf>
    <xf numFmtId="0" fontId="1" fillId="2" borderId="11" xfId="0" applyFont="1" applyFill="1" applyBorder="1" applyAlignment="1">
      <alignment horizontal="left"/>
    </xf>
    <xf numFmtId="0" fontId="1" fillId="2" borderId="12" xfId="0" applyFont="1" applyFill="1" applyBorder="1" applyAlignment="1">
      <alignment horizontal="left"/>
    </xf>
    <xf numFmtId="0" fontId="1" fillId="2" borderId="7" xfId="0" applyFont="1" applyFill="1" applyBorder="1" applyAlignment="1">
      <alignment horizontal="left"/>
    </xf>
    <xf numFmtId="0" fontId="1" fillId="2" borderId="8" xfId="0" applyFont="1" applyFill="1" applyBorder="1" applyAlignment="1">
      <alignment horizontal="left"/>
    </xf>
    <xf numFmtId="0" fontId="1" fillId="2" borderId="9" xfId="0" applyFont="1" applyFill="1" applyBorder="1" applyAlignment="1">
      <alignment horizontal="left"/>
    </xf>
    <xf numFmtId="164" fontId="1" fillId="2" borderId="7" xfId="0" applyNumberFormat="1" applyFont="1" applyFill="1" applyBorder="1" applyAlignment="1">
      <alignment horizontal="left"/>
    </xf>
    <xf numFmtId="164" fontId="1" fillId="2" borderId="8" xfId="0" applyNumberFormat="1" applyFont="1" applyFill="1" applyBorder="1" applyAlignment="1">
      <alignment horizontal="left"/>
    </xf>
    <xf numFmtId="164" fontId="1" fillId="2" borderId="9" xfId="0" applyNumberFormat="1" applyFont="1" applyFill="1" applyBorder="1" applyAlignment="1">
      <alignment horizontal="left"/>
    </xf>
    <xf numFmtId="49" fontId="1" fillId="2" borderId="10" xfId="0" applyNumberFormat="1" applyFont="1" applyFill="1" applyBorder="1" applyAlignment="1">
      <alignment horizontal="left"/>
    </xf>
    <xf numFmtId="49" fontId="1" fillId="2" borderId="11" xfId="0" applyNumberFormat="1" applyFont="1" applyFill="1" applyBorder="1" applyAlignment="1">
      <alignment horizontal="left"/>
    </xf>
    <xf numFmtId="49" fontId="1" fillId="2" borderId="12" xfId="0" applyNumberFormat="1" applyFont="1" applyFill="1" applyBorder="1" applyAlignment="1">
      <alignment horizontal="left"/>
    </xf>
    <xf numFmtId="0" fontId="1" fillId="0" borderId="5" xfId="0" applyFont="1" applyBorder="1" applyAlignment="1">
      <alignment horizontal="left"/>
    </xf>
    <xf numFmtId="0" fontId="1" fillId="0" borderId="6" xfId="0" applyFont="1" applyBorder="1" applyAlignment="1">
      <alignment horizontal="left"/>
    </xf>
    <xf numFmtId="0" fontId="1" fillId="2" borderId="0" xfId="0" applyFont="1" applyFill="1" applyBorder="1" applyAlignment="1">
      <alignment horizontal="left"/>
    </xf>
    <xf numFmtId="0" fontId="1" fillId="2" borderId="1" xfId="0" applyFont="1" applyFill="1" applyBorder="1" applyAlignment="1">
      <alignment horizontal="left"/>
    </xf>
    <xf numFmtId="0" fontId="1" fillId="2" borderId="2" xfId="0" applyFont="1" applyFill="1" applyBorder="1" applyAlignment="1">
      <alignment horizontal="left"/>
    </xf>
    <xf numFmtId="0" fontId="4" fillId="0" borderId="33" xfId="0" applyFont="1" applyBorder="1" applyAlignment="1">
      <alignment horizontal="left"/>
    </xf>
    <xf numFmtId="9" fontId="4" fillId="2" borderId="10" xfId="0" applyNumberFormat="1" applyFont="1" applyFill="1" applyBorder="1" applyAlignment="1">
      <alignment horizontal="center"/>
    </xf>
    <xf numFmtId="9" fontId="4" fillId="2" borderId="12" xfId="0" applyNumberFormat="1" applyFont="1" applyFill="1" applyBorder="1" applyAlignment="1">
      <alignment horizontal="center"/>
    </xf>
    <xf numFmtId="0" fontId="4" fillId="0" borderId="33"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1" fillId="0" borderId="29" xfId="0" applyFont="1" applyBorder="1" applyAlignment="1">
      <alignment vertical="top" wrapText="1"/>
    </xf>
    <xf numFmtId="0" fontId="1" fillId="0" borderId="0" xfId="0" applyFont="1" applyBorder="1" applyAlignment="1">
      <alignment vertical="top" wrapText="1"/>
    </xf>
    <xf numFmtId="0" fontId="1" fillId="0" borderId="30" xfId="0" applyFont="1" applyBorder="1" applyAlignment="1">
      <alignment vertical="top" wrapText="1"/>
    </xf>
    <xf numFmtId="0" fontId="1" fillId="0" borderId="31" xfId="0" applyFont="1" applyBorder="1" applyAlignment="1">
      <alignment vertical="top" wrapText="1"/>
    </xf>
    <xf numFmtId="0" fontId="1" fillId="0" borderId="29" xfId="0" applyFont="1" applyBorder="1" applyAlignment="1">
      <alignment horizontal="left" vertical="top" wrapText="1"/>
    </xf>
    <xf numFmtId="0" fontId="1" fillId="0" borderId="23" xfId="0" applyFont="1" applyBorder="1" applyAlignment="1">
      <alignment horizontal="left" vertical="top" wrapText="1"/>
    </xf>
    <xf numFmtId="0" fontId="5" fillId="4" borderId="33" xfId="0" applyFont="1" applyFill="1" applyBorder="1" applyAlignment="1" applyProtection="1">
      <alignment horizontal="left" vertical="top" wrapText="1"/>
      <protection locked="0"/>
    </xf>
    <xf numFmtId="0" fontId="5" fillId="4" borderId="34" xfId="0" applyFont="1" applyFill="1" applyBorder="1" applyAlignment="1" applyProtection="1">
      <alignment horizontal="left" vertical="top" wrapText="1"/>
      <protection locked="0"/>
    </xf>
    <xf numFmtId="0" fontId="5" fillId="4" borderId="35" xfId="0" applyFont="1" applyFill="1" applyBorder="1" applyAlignment="1" applyProtection="1">
      <alignment horizontal="left" vertical="top" wrapText="1"/>
      <protection locked="0"/>
    </xf>
    <xf numFmtId="0" fontId="5" fillId="4" borderId="36" xfId="0" applyFont="1" applyFill="1" applyBorder="1" applyAlignment="1" applyProtection="1">
      <alignment horizontal="left" vertical="top" wrapText="1"/>
      <protection locked="0"/>
    </xf>
    <xf numFmtId="0" fontId="8" fillId="3" borderId="27" xfId="0" applyFont="1" applyFill="1" applyBorder="1" applyAlignment="1">
      <alignment horizontal="center" vertical="top" wrapText="1"/>
    </xf>
    <xf numFmtId="0" fontId="8" fillId="3" borderId="28" xfId="0" applyFont="1" applyFill="1" applyBorder="1" applyAlignment="1">
      <alignment horizontal="center" vertical="top" wrapText="1"/>
    </xf>
    <xf numFmtId="0" fontId="8" fillId="3" borderId="17" xfId="0" applyFont="1" applyFill="1" applyBorder="1" applyAlignment="1">
      <alignment horizontal="center" vertical="top" wrapText="1"/>
    </xf>
    <xf numFmtId="0" fontId="5" fillId="0" borderId="25" xfId="0" applyFont="1" applyBorder="1" applyAlignment="1">
      <alignment horizontal="left" vertical="top" wrapText="1"/>
    </xf>
    <xf numFmtId="0" fontId="5" fillId="0" borderId="23" xfId="0" applyFont="1" applyBorder="1" applyAlignment="1">
      <alignment horizontal="left" vertical="top" wrapText="1"/>
    </xf>
    <xf numFmtId="0" fontId="5" fillId="0" borderId="24" xfId="0" applyFont="1" applyBorder="1" applyAlignment="1">
      <alignment horizontal="left" vertical="top" wrapText="1"/>
    </xf>
    <xf numFmtId="0" fontId="5" fillId="0" borderId="21" xfId="0" applyFont="1" applyBorder="1" applyAlignment="1">
      <alignment horizontal="left" vertical="top" wrapText="1"/>
    </xf>
    <xf numFmtId="0" fontId="2" fillId="0" borderId="28" xfId="0" applyFont="1" applyBorder="1" applyAlignment="1">
      <alignment horizontal="center" wrapText="1"/>
    </xf>
    <xf numFmtId="0" fontId="5" fillId="0" borderId="27" xfId="0" applyFont="1" applyBorder="1" applyAlignment="1">
      <alignment horizontal="left" vertical="top" wrapText="1"/>
    </xf>
    <xf numFmtId="0" fontId="5" fillId="0" borderId="17" xfId="0" applyFont="1" applyBorder="1" applyAlignment="1">
      <alignment horizontal="left" vertical="top" wrapText="1"/>
    </xf>
    <xf numFmtId="0" fontId="8" fillId="0" borderId="27" xfId="0" applyFont="1" applyBorder="1" applyAlignment="1">
      <alignment vertical="top" wrapText="1"/>
    </xf>
    <xf numFmtId="0" fontId="8" fillId="0" borderId="17" xfId="0" applyFont="1" applyBorder="1" applyAlignment="1">
      <alignment vertical="top" wrapText="1"/>
    </xf>
    <xf numFmtId="0" fontId="2" fillId="3" borderId="27" xfId="0" applyFont="1" applyFill="1" applyBorder="1" applyAlignment="1">
      <alignment horizontal="center" wrapText="1"/>
    </xf>
    <xf numFmtId="0" fontId="2" fillId="3" borderId="28" xfId="0" applyFont="1" applyFill="1" applyBorder="1" applyAlignment="1">
      <alignment horizontal="center" wrapText="1"/>
    </xf>
    <xf numFmtId="0" fontId="2" fillId="3" borderId="17" xfId="0" applyFont="1" applyFill="1" applyBorder="1" applyAlignment="1">
      <alignment horizontal="center" wrapText="1"/>
    </xf>
    <xf numFmtId="0" fontId="5" fillId="2" borderId="64" xfId="0" applyFont="1" applyFill="1" applyBorder="1" applyAlignment="1">
      <alignment horizontal="center" vertical="center" wrapText="1"/>
    </xf>
    <xf numFmtId="0" fontId="5" fillId="2" borderId="65" xfId="0" applyFont="1" applyFill="1" applyBorder="1" applyAlignment="1">
      <alignment horizontal="center" vertical="center" wrapText="1"/>
    </xf>
    <xf numFmtId="0" fontId="5" fillId="0" borderId="26" xfId="0" applyFont="1" applyBorder="1" applyAlignment="1">
      <alignment wrapText="1"/>
    </xf>
    <xf numFmtId="0" fontId="5" fillId="0" borderId="19" xfId="0" applyFont="1" applyBorder="1" applyAlignment="1">
      <alignment wrapText="1"/>
    </xf>
    <xf numFmtId="0" fontId="2" fillId="3" borderId="27" xfId="0" applyFont="1" applyFill="1" applyBorder="1" applyAlignment="1">
      <alignment horizontal="center" vertical="top" wrapText="1"/>
    </xf>
    <xf numFmtId="0" fontId="2" fillId="3" borderId="28" xfId="0" applyFont="1" applyFill="1" applyBorder="1" applyAlignment="1">
      <alignment horizontal="center" vertical="top" wrapText="1"/>
    </xf>
    <xf numFmtId="0" fontId="2" fillId="3" borderId="17" xfId="0" applyFont="1" applyFill="1" applyBorder="1" applyAlignment="1">
      <alignment horizontal="center" vertical="top" wrapText="1"/>
    </xf>
    <xf numFmtId="0" fontId="2" fillId="0" borderId="27" xfId="0" applyFont="1" applyBorder="1" applyAlignment="1">
      <alignment horizontal="center" vertical="top" wrapText="1"/>
    </xf>
    <xf numFmtId="0" fontId="2" fillId="0" borderId="17" xfId="0" applyFont="1" applyBorder="1" applyAlignment="1">
      <alignment horizontal="center" vertical="top" wrapText="1"/>
    </xf>
    <xf numFmtId="0" fontId="7" fillId="2" borderId="24" xfId="0" applyFont="1" applyFill="1" applyBorder="1" applyAlignment="1">
      <alignment horizontal="left" vertical="top" wrapText="1"/>
    </xf>
    <xf numFmtId="0" fontId="7" fillId="2" borderId="20" xfId="0" applyFont="1" applyFill="1" applyBorder="1" applyAlignment="1">
      <alignment horizontal="left" vertical="top" wrapText="1"/>
    </xf>
    <xf numFmtId="0" fontId="7" fillId="2" borderId="21" xfId="0" applyFont="1" applyFill="1" applyBorder="1" applyAlignment="1">
      <alignment horizontal="left" vertical="top" wrapText="1"/>
    </xf>
    <xf numFmtId="0" fontId="5" fillId="0" borderId="26" xfId="0" applyFont="1" applyBorder="1" applyAlignment="1">
      <alignment horizontal="left" vertical="top" wrapText="1"/>
    </xf>
    <xf numFmtId="0" fontId="5" fillId="0" borderId="19" xfId="0" applyFont="1" applyBorder="1" applyAlignment="1">
      <alignment horizontal="left" vertical="top" wrapText="1"/>
    </xf>
    <xf numFmtId="0" fontId="5" fillId="0" borderId="26" xfId="0" applyFont="1" applyBorder="1" applyAlignment="1">
      <alignment vertical="top" wrapText="1"/>
    </xf>
    <xf numFmtId="0" fontId="5" fillId="0" borderId="19" xfId="0" applyFont="1" applyBorder="1" applyAlignment="1">
      <alignment vertical="top" wrapText="1"/>
    </xf>
    <xf numFmtId="0" fontId="0" fillId="2" borderId="66" xfId="0" applyFont="1" applyFill="1" applyBorder="1" applyAlignment="1">
      <alignment horizontal="center" vertical="center"/>
    </xf>
    <xf numFmtId="0" fontId="0" fillId="2" borderId="67" xfId="0" applyFont="1" applyFill="1" applyBorder="1" applyAlignment="1">
      <alignment horizontal="center" vertical="center"/>
    </xf>
    <xf numFmtId="0" fontId="1" fillId="2" borderId="10" xfId="0" applyFont="1" applyFill="1" applyBorder="1" applyAlignment="1" applyProtection="1">
      <alignment horizontal="left"/>
    </xf>
    <xf numFmtId="0" fontId="1" fillId="2" borderId="11" xfId="0" applyFont="1" applyFill="1" applyBorder="1" applyAlignment="1" applyProtection="1">
      <alignment horizontal="left"/>
    </xf>
    <xf numFmtId="0" fontId="1" fillId="2" borderId="12" xfId="0" applyFont="1" applyFill="1" applyBorder="1" applyAlignment="1" applyProtection="1">
      <alignment horizontal="left"/>
    </xf>
    <xf numFmtId="49" fontId="1" fillId="2" borderId="10" xfId="0" applyNumberFormat="1" applyFont="1" applyFill="1" applyBorder="1" applyAlignment="1" applyProtection="1">
      <alignment horizontal="left"/>
    </xf>
    <xf numFmtId="49" fontId="1" fillId="2" borderId="11" xfId="0" applyNumberFormat="1" applyFont="1" applyFill="1" applyBorder="1" applyAlignment="1" applyProtection="1">
      <alignment horizontal="left"/>
    </xf>
    <xf numFmtId="49" fontId="1" fillId="2" borderId="12" xfId="0" applyNumberFormat="1" applyFont="1" applyFill="1" applyBorder="1" applyAlignment="1" applyProtection="1">
      <alignment horizontal="left"/>
    </xf>
    <xf numFmtId="0" fontId="4" fillId="2" borderId="3" xfId="0" applyFont="1" applyFill="1" applyBorder="1" applyAlignment="1" applyProtection="1">
      <alignment horizontal="center"/>
    </xf>
    <xf numFmtId="0" fontId="0" fillId="0" borderId="0" xfId="0" applyAlignment="1">
      <alignment horizontal="left" vertical="top" wrapText="1"/>
    </xf>
    <xf numFmtId="0" fontId="0" fillId="0" borderId="1" xfId="0" applyBorder="1" applyAlignment="1">
      <alignment horizontal="left" vertical="top" wrapText="1"/>
    </xf>
    <xf numFmtId="14" fontId="1" fillId="0" borderId="0" xfId="0" applyNumberFormat="1" applyFont="1"/>
  </cellXfs>
  <cellStyles count="2">
    <cellStyle name="Hyperlink" xfId="1" builtinId="8"/>
    <cellStyle name="Normal" xfId="0" builtinId="0"/>
  </cellStyles>
  <dxfs count="6">
    <dxf>
      <fill>
        <patternFill>
          <bgColor rgb="FF92D050"/>
        </patternFill>
      </fill>
    </dxf>
    <dxf>
      <fill>
        <patternFill>
          <bgColor rgb="FFFFC000"/>
        </patternFill>
      </fill>
    </dxf>
    <dxf>
      <font>
        <color theme="0"/>
      </font>
      <fill>
        <patternFill>
          <bgColor rgb="FFFF0000"/>
        </patternFill>
      </fill>
    </dxf>
    <dxf>
      <fill>
        <patternFill>
          <bgColor rgb="FF00B050"/>
        </patternFill>
      </fill>
    </dxf>
    <dxf>
      <font>
        <color rgb="FFFF0000"/>
      </font>
    </dxf>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www.wvdnr.gov/Wildlife/RareSpecList.shtm" TargetMode="External"/><Relationship Id="rId2" Type="http://schemas.openxmlformats.org/officeDocument/2006/relationships/hyperlink" Target="http://www.wvculture.org/shpo/nr/index.html" TargetMode="External"/><Relationship Id="rId1" Type="http://schemas.openxmlformats.org/officeDocument/2006/relationships/hyperlink" Target="http://www.wv.nrcs.usda.gov/programs/frpp/frpp_12/proginfo.html" TargetMode="External"/><Relationship Id="rId5" Type="http://schemas.openxmlformats.org/officeDocument/2006/relationships/printerSettings" Target="../printerSettings/printerSettings5.bin"/><Relationship Id="rId4" Type="http://schemas.openxmlformats.org/officeDocument/2006/relationships/hyperlink" Target="http://www.wv.nrcs.usda.gov/programs/frpp/frpp_13/proginfo.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Q108"/>
  <sheetViews>
    <sheetView tabSelected="1" zoomScaleNormal="100" workbookViewId="0">
      <selection activeCell="C8" sqref="C8"/>
    </sheetView>
  </sheetViews>
  <sheetFormatPr defaultRowHeight="15" x14ac:dyDescent="0.25"/>
  <cols>
    <col min="3" max="3" width="43" bestFit="1" customWidth="1"/>
  </cols>
  <sheetData>
    <row r="1" spans="1:7" x14ac:dyDescent="0.25">
      <c r="A1" t="s">
        <v>127</v>
      </c>
    </row>
    <row r="2" spans="1:7" x14ac:dyDescent="0.25">
      <c r="A2" t="s">
        <v>128</v>
      </c>
    </row>
    <row r="3" spans="1:7" x14ac:dyDescent="0.25">
      <c r="A3" t="s">
        <v>129</v>
      </c>
    </row>
    <row r="4" spans="1:7" x14ac:dyDescent="0.25">
      <c r="A4" t="s">
        <v>130</v>
      </c>
    </row>
    <row r="5" spans="1:7" x14ac:dyDescent="0.25">
      <c r="A5" s="66" t="s">
        <v>160</v>
      </c>
      <c r="B5" s="66"/>
      <c r="C5" s="66"/>
      <c r="D5" s="66"/>
      <c r="E5" s="66"/>
      <c r="F5" s="66"/>
      <c r="G5" s="66"/>
    </row>
    <row r="8" spans="1:7" x14ac:dyDescent="0.25">
      <c r="A8" t="s">
        <v>131</v>
      </c>
      <c r="C8" s="91"/>
    </row>
    <row r="9" spans="1:7" x14ac:dyDescent="0.25">
      <c r="A9" t="s">
        <v>132</v>
      </c>
      <c r="C9" s="92"/>
    </row>
    <row r="10" spans="1:7" x14ac:dyDescent="0.25">
      <c r="A10" t="s">
        <v>79</v>
      </c>
      <c r="C10" s="92"/>
    </row>
    <row r="11" spans="1:7" x14ac:dyDescent="0.25">
      <c r="A11" t="s">
        <v>136</v>
      </c>
      <c r="C11" s="92"/>
    </row>
    <row r="12" spans="1:7" x14ac:dyDescent="0.25">
      <c r="A12" t="s">
        <v>137</v>
      </c>
      <c r="C12" s="93"/>
    </row>
    <row r="13" spans="1:7" x14ac:dyDescent="0.25">
      <c r="A13" t="s">
        <v>133</v>
      </c>
      <c r="C13" s="94"/>
    </row>
    <row r="14" spans="1:7" x14ac:dyDescent="0.25">
      <c r="A14" t="s">
        <v>199</v>
      </c>
      <c r="C14" s="91"/>
      <c r="D14" t="s">
        <v>214</v>
      </c>
      <c r="E14" t="s">
        <v>141</v>
      </c>
    </row>
    <row r="15" spans="1:7" x14ac:dyDescent="0.25">
      <c r="C15" s="92"/>
      <c r="E15" t="s">
        <v>215</v>
      </c>
    </row>
    <row r="16" spans="1:7" x14ac:dyDescent="0.25">
      <c r="C16" s="95"/>
    </row>
    <row r="17" spans="1:5" x14ac:dyDescent="0.25">
      <c r="A17" t="s">
        <v>138</v>
      </c>
      <c r="C17" s="91"/>
    </row>
    <row r="18" spans="1:5" x14ac:dyDescent="0.25">
      <c r="A18" t="s">
        <v>139</v>
      </c>
      <c r="C18" s="92"/>
    </row>
    <row r="19" spans="1:5" x14ac:dyDescent="0.25">
      <c r="A19" t="s">
        <v>200</v>
      </c>
      <c r="C19" s="94"/>
    </row>
    <row r="20" spans="1:5" x14ac:dyDescent="0.25">
      <c r="A20" t="s">
        <v>201</v>
      </c>
      <c r="C20" s="91"/>
      <c r="D20" t="s">
        <v>214</v>
      </c>
      <c r="E20" t="s">
        <v>141</v>
      </c>
    </row>
    <row r="21" spans="1:5" x14ac:dyDescent="0.25">
      <c r="C21" s="92"/>
      <c r="E21" t="s">
        <v>215</v>
      </c>
    </row>
    <row r="22" spans="1:5" x14ac:dyDescent="0.25">
      <c r="C22" s="96"/>
    </row>
    <row r="23" spans="1:5" x14ac:dyDescent="0.25">
      <c r="A23" t="s">
        <v>134</v>
      </c>
      <c r="C23" s="97"/>
    </row>
    <row r="24" spans="1:5" x14ac:dyDescent="0.25">
      <c r="C24" s="98"/>
    </row>
    <row r="25" spans="1:5" ht="14.45" x14ac:dyDescent="0.35">
      <c r="A25" t="s">
        <v>217</v>
      </c>
      <c r="C25" s="99"/>
    </row>
    <row r="26" spans="1:5" ht="14.45" x14ac:dyDescent="0.35">
      <c r="A26" t="s">
        <v>132</v>
      </c>
      <c r="C26" s="92"/>
    </row>
    <row r="27" spans="1:5" ht="14.45" x14ac:dyDescent="0.35">
      <c r="A27" t="s">
        <v>79</v>
      </c>
      <c r="C27" s="92"/>
    </row>
    <row r="28" spans="1:5" ht="14.45" x14ac:dyDescent="0.35">
      <c r="A28" t="s">
        <v>136</v>
      </c>
      <c r="C28" s="92"/>
    </row>
    <row r="29" spans="1:5" ht="14.45" x14ac:dyDescent="0.35">
      <c r="A29" t="s">
        <v>137</v>
      </c>
      <c r="C29" s="93"/>
    </row>
    <row r="30" spans="1:5" ht="14.45" x14ac:dyDescent="0.35">
      <c r="A30" t="s">
        <v>133</v>
      </c>
      <c r="C30" s="94"/>
    </row>
    <row r="31" spans="1:5" ht="14.45" x14ac:dyDescent="0.35">
      <c r="A31" t="s">
        <v>199</v>
      </c>
      <c r="C31" s="91"/>
      <c r="D31" t="s">
        <v>214</v>
      </c>
      <c r="E31" t="s">
        <v>141</v>
      </c>
    </row>
    <row r="32" spans="1:5" ht="14.45" x14ac:dyDescent="0.35">
      <c r="C32" s="92"/>
      <c r="E32" t="s">
        <v>215</v>
      </c>
    </row>
    <row r="33" spans="1:17" ht="14.45" x14ac:dyDescent="0.35">
      <c r="C33" s="96"/>
    </row>
    <row r="34" spans="1:17" ht="14.45" x14ac:dyDescent="0.35">
      <c r="A34" t="s">
        <v>51</v>
      </c>
      <c r="C34" s="91"/>
      <c r="D34" t="s">
        <v>248</v>
      </c>
      <c r="I34" s="165" t="s">
        <v>323</v>
      </c>
      <c r="J34" s="165"/>
      <c r="K34" s="165"/>
      <c r="L34" s="165"/>
      <c r="M34" s="165"/>
      <c r="N34" s="165"/>
      <c r="O34" s="166"/>
      <c r="P34" s="166"/>
      <c r="Q34" s="166"/>
    </row>
    <row r="35" spans="1:17" ht="14.45" x14ac:dyDescent="0.35">
      <c r="A35" t="s">
        <v>147</v>
      </c>
      <c r="C35" s="91"/>
      <c r="E35" t="s">
        <v>249</v>
      </c>
      <c r="I35" s="165" t="s">
        <v>324</v>
      </c>
      <c r="J35" s="165"/>
      <c r="K35" s="165"/>
      <c r="L35" s="165"/>
      <c r="M35" s="165"/>
      <c r="N35" s="165"/>
      <c r="O35" s="167"/>
      <c r="P35" s="167"/>
      <c r="Q35" s="167"/>
    </row>
    <row r="36" spans="1:17" ht="14.45" x14ac:dyDescent="0.35">
      <c r="A36" t="s">
        <v>148</v>
      </c>
      <c r="C36" s="91"/>
      <c r="D36" t="s">
        <v>247</v>
      </c>
    </row>
    <row r="37" spans="1:17" ht="14.45" x14ac:dyDescent="0.35">
      <c r="A37" t="s">
        <v>259</v>
      </c>
      <c r="C37" s="141"/>
      <c r="D37" t="s">
        <v>260</v>
      </c>
    </row>
    <row r="38" spans="1:17" ht="14.45" x14ac:dyDescent="0.35">
      <c r="C38" s="96"/>
    </row>
    <row r="39" spans="1:17" ht="14.45" x14ac:dyDescent="0.35">
      <c r="A39" t="s">
        <v>271</v>
      </c>
      <c r="C39" s="94"/>
    </row>
    <row r="40" spans="1:17" ht="14.45" x14ac:dyDescent="0.35">
      <c r="A40" t="s">
        <v>140</v>
      </c>
      <c r="C40" s="91"/>
      <c r="D40" t="s">
        <v>214</v>
      </c>
      <c r="E40" t="s">
        <v>141</v>
      </c>
    </row>
    <row r="41" spans="1:17" ht="14.45" x14ac:dyDescent="0.35">
      <c r="C41" s="92"/>
      <c r="E41" t="s">
        <v>215</v>
      </c>
    </row>
    <row r="42" spans="1:17" ht="14.45" x14ac:dyDescent="0.35">
      <c r="A42" t="s">
        <v>142</v>
      </c>
      <c r="C42" s="92"/>
      <c r="D42" t="s">
        <v>214</v>
      </c>
      <c r="E42" t="s">
        <v>141</v>
      </c>
    </row>
    <row r="43" spans="1:17" ht="14.45" x14ac:dyDescent="0.35">
      <c r="A43" t="s">
        <v>143</v>
      </c>
      <c r="C43" s="92"/>
      <c r="E43" t="s">
        <v>215</v>
      </c>
    </row>
    <row r="44" spans="1:17" ht="14.45" x14ac:dyDescent="0.35">
      <c r="A44" t="s">
        <v>261</v>
      </c>
      <c r="C44" s="92"/>
    </row>
    <row r="80" spans="3:8" x14ac:dyDescent="0.25">
      <c r="C80" t="s">
        <v>257</v>
      </c>
      <c r="D80" t="s">
        <v>258</v>
      </c>
      <c r="G80" s="63" t="s">
        <v>277</v>
      </c>
      <c r="H80" s="63" t="s">
        <v>278</v>
      </c>
    </row>
    <row r="81" spans="3:8" x14ac:dyDescent="0.25">
      <c r="C81" t="s">
        <v>162</v>
      </c>
      <c r="D81" t="s">
        <v>178</v>
      </c>
      <c r="G81" s="63" t="s">
        <v>279</v>
      </c>
      <c r="H81" s="63" t="s">
        <v>280</v>
      </c>
    </row>
    <row r="82" spans="3:8" x14ac:dyDescent="0.25">
      <c r="C82" t="s">
        <v>163</v>
      </c>
      <c r="D82" t="s">
        <v>179</v>
      </c>
      <c r="G82" s="63" t="s">
        <v>281</v>
      </c>
      <c r="H82" s="63" t="s">
        <v>282</v>
      </c>
    </row>
    <row r="83" spans="3:8" x14ac:dyDescent="0.25">
      <c r="C83" t="s">
        <v>108</v>
      </c>
      <c r="D83" t="s">
        <v>180</v>
      </c>
      <c r="G83" s="63" t="s">
        <v>283</v>
      </c>
      <c r="H83" s="63" t="s">
        <v>284</v>
      </c>
    </row>
    <row r="84" spans="3:8" x14ac:dyDescent="0.25">
      <c r="C84" t="s">
        <v>164</v>
      </c>
      <c r="D84" t="s">
        <v>181</v>
      </c>
      <c r="G84" s="63" t="s">
        <v>285</v>
      </c>
      <c r="H84" s="63" t="s">
        <v>286</v>
      </c>
    </row>
    <row r="85" spans="3:8" x14ac:dyDescent="0.25">
      <c r="C85" t="s">
        <v>165</v>
      </c>
      <c r="D85" t="s">
        <v>182</v>
      </c>
      <c r="G85" s="63" t="s">
        <v>287</v>
      </c>
      <c r="H85" s="63" t="s">
        <v>288</v>
      </c>
    </row>
    <row r="86" spans="3:8" x14ac:dyDescent="0.25">
      <c r="C86" t="s">
        <v>166</v>
      </c>
      <c r="D86" t="s">
        <v>183</v>
      </c>
      <c r="G86" s="63" t="s">
        <v>289</v>
      </c>
      <c r="H86" s="63" t="s">
        <v>290</v>
      </c>
    </row>
    <row r="87" spans="3:8" x14ac:dyDescent="0.25">
      <c r="C87" t="s">
        <v>167</v>
      </c>
      <c r="D87" t="s">
        <v>184</v>
      </c>
      <c r="G87" s="63" t="s">
        <v>291</v>
      </c>
      <c r="H87" s="63" t="s">
        <v>292</v>
      </c>
    </row>
    <row r="88" spans="3:8" x14ac:dyDescent="0.25">
      <c r="C88" t="s">
        <v>168</v>
      </c>
      <c r="D88" t="s">
        <v>185</v>
      </c>
      <c r="G88" s="63" t="s">
        <v>293</v>
      </c>
      <c r="H88" s="63" t="s">
        <v>294</v>
      </c>
    </row>
    <row r="89" spans="3:8" x14ac:dyDescent="0.25">
      <c r="C89" t="s">
        <v>169</v>
      </c>
      <c r="D89" t="s">
        <v>186</v>
      </c>
      <c r="G89" s="63" t="s">
        <v>295</v>
      </c>
      <c r="H89" s="63" t="s">
        <v>296</v>
      </c>
    </row>
    <row r="90" spans="3:8" x14ac:dyDescent="0.25">
      <c r="C90" t="s">
        <v>170</v>
      </c>
      <c r="D90" t="s">
        <v>187</v>
      </c>
      <c r="G90" s="63" t="s">
        <v>297</v>
      </c>
      <c r="H90" s="63" t="s">
        <v>298</v>
      </c>
    </row>
    <row r="91" spans="3:8" x14ac:dyDescent="0.25">
      <c r="C91" t="s">
        <v>171</v>
      </c>
      <c r="D91" t="s">
        <v>188</v>
      </c>
      <c r="G91" s="63" t="s">
        <v>299</v>
      </c>
      <c r="H91" s="63" t="s">
        <v>300</v>
      </c>
    </row>
    <row r="92" spans="3:8" x14ac:dyDescent="0.25">
      <c r="C92" t="s">
        <v>172</v>
      </c>
      <c r="D92" t="s">
        <v>189</v>
      </c>
      <c r="G92" s="63" t="s">
        <v>301</v>
      </c>
      <c r="H92" s="63" t="s">
        <v>302</v>
      </c>
    </row>
    <row r="93" spans="3:8" x14ac:dyDescent="0.25">
      <c r="C93" t="s">
        <v>173</v>
      </c>
      <c r="D93" t="s">
        <v>190</v>
      </c>
      <c r="G93" s="63" t="s">
        <v>303</v>
      </c>
      <c r="H93" s="63" t="s">
        <v>304</v>
      </c>
    </row>
    <row r="94" spans="3:8" x14ac:dyDescent="0.25">
      <c r="C94" t="s">
        <v>174</v>
      </c>
      <c r="D94" t="s">
        <v>191</v>
      </c>
      <c r="G94" s="63" t="s">
        <v>305</v>
      </c>
      <c r="H94" s="63" t="s">
        <v>306</v>
      </c>
    </row>
    <row r="95" spans="3:8" x14ac:dyDescent="0.25">
      <c r="C95" t="s">
        <v>175</v>
      </c>
      <c r="D95" t="s">
        <v>192</v>
      </c>
      <c r="G95" s="63" t="s">
        <v>307</v>
      </c>
      <c r="H95" s="63" t="s">
        <v>308</v>
      </c>
    </row>
    <row r="96" spans="3:8" x14ac:dyDescent="0.25">
      <c r="C96" t="s">
        <v>176</v>
      </c>
      <c r="D96" t="s">
        <v>193</v>
      </c>
      <c r="G96" s="63" t="s">
        <v>309</v>
      </c>
      <c r="H96" s="63" t="s">
        <v>310</v>
      </c>
    </row>
    <row r="97" spans="3:8" x14ac:dyDescent="0.25">
      <c r="C97" t="s">
        <v>177</v>
      </c>
      <c r="D97" t="s">
        <v>194</v>
      </c>
      <c r="G97" s="63" t="s">
        <v>311</v>
      </c>
      <c r="H97" s="63"/>
    </row>
    <row r="98" spans="3:8" x14ac:dyDescent="0.25">
      <c r="C98" t="s">
        <v>161</v>
      </c>
      <c r="D98" t="s">
        <v>195</v>
      </c>
      <c r="G98" s="63" t="s">
        <v>312</v>
      </c>
      <c r="H98" s="63"/>
    </row>
    <row r="99" spans="3:8" x14ac:dyDescent="0.25">
      <c r="C99" t="s">
        <v>210</v>
      </c>
      <c r="D99" t="s">
        <v>211</v>
      </c>
      <c r="G99" s="63" t="s">
        <v>313</v>
      </c>
      <c r="H99" s="63"/>
    </row>
    <row r="100" spans="3:8" x14ac:dyDescent="0.25">
      <c r="G100" s="63" t="s">
        <v>314</v>
      </c>
      <c r="H100" s="63"/>
    </row>
    <row r="101" spans="3:8" x14ac:dyDescent="0.25">
      <c r="G101" s="63" t="s">
        <v>315</v>
      </c>
      <c r="H101" s="63"/>
    </row>
    <row r="102" spans="3:8" x14ac:dyDescent="0.25">
      <c r="G102" s="63" t="s">
        <v>316</v>
      </c>
      <c r="H102" s="63"/>
    </row>
    <row r="103" spans="3:8" x14ac:dyDescent="0.25">
      <c r="G103" s="63" t="s">
        <v>317</v>
      </c>
      <c r="H103" s="63"/>
    </row>
    <row r="104" spans="3:8" x14ac:dyDescent="0.25">
      <c r="G104" s="63" t="s">
        <v>318</v>
      </c>
      <c r="H104" s="63"/>
    </row>
    <row r="105" spans="3:8" x14ac:dyDescent="0.25">
      <c r="G105" s="63" t="s">
        <v>319</v>
      </c>
      <c r="H105" s="63"/>
    </row>
    <row r="106" spans="3:8" x14ac:dyDescent="0.25">
      <c r="G106" s="63" t="s">
        <v>320</v>
      </c>
      <c r="H106" s="63"/>
    </row>
    <row r="107" spans="3:8" x14ac:dyDescent="0.25">
      <c r="G107" s="63" t="s">
        <v>321</v>
      </c>
      <c r="H107" s="63"/>
    </row>
    <row r="108" spans="3:8" x14ac:dyDescent="0.25">
      <c r="G108" s="63" t="s">
        <v>322</v>
      </c>
      <c r="H108" s="63"/>
    </row>
  </sheetData>
  <sheetProtection sheet="1" objects="1" scenarios="1" selectLockedCells="1"/>
  <mergeCells count="4">
    <mergeCell ref="I34:N34"/>
    <mergeCell ref="O34:Q34"/>
    <mergeCell ref="I35:N35"/>
    <mergeCell ref="O35:Q35"/>
  </mergeCells>
  <dataValidations count="4">
    <dataValidation type="list" allowBlank="1" showInputMessage="1" showErrorMessage="1" sqref="C8">
      <formula1>$C$80:$C$99</formula1>
    </dataValidation>
    <dataValidation type="list" allowBlank="1" showInputMessage="1" showErrorMessage="1" sqref="C9 C26">
      <formula1>$D$80:$D$99</formula1>
    </dataValidation>
    <dataValidation type="list" allowBlank="1" showInputMessage="1" showErrorMessage="1" sqref="O34:Q34">
      <formula1>$G$80:$G$108</formula1>
    </dataValidation>
    <dataValidation type="list" allowBlank="1" showInputMessage="1" showErrorMessage="1" sqref="O35:Q35">
      <formula1>$H$80:$H$96</formula1>
    </dataValidation>
  </dataValidations>
  <pageMargins left="0.5" right="0.5" top="0.75" bottom="0.75" header="0.3" footer="0.3"/>
  <pageSetup scale="9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59"/>
  <sheetViews>
    <sheetView zoomScaleNormal="100" workbookViewId="0">
      <selection activeCell="F49" sqref="F49"/>
    </sheetView>
  </sheetViews>
  <sheetFormatPr defaultRowHeight="15" x14ac:dyDescent="0.25"/>
  <cols>
    <col min="1" max="4" width="23.7109375" style="63" customWidth="1"/>
  </cols>
  <sheetData>
    <row r="1" spans="1:11" ht="15.75" x14ac:dyDescent="0.25">
      <c r="A1" s="209" t="s">
        <v>0</v>
      </c>
      <c r="B1" s="210"/>
      <c r="C1" s="210"/>
      <c r="D1" s="211"/>
      <c r="E1" s="42"/>
      <c r="F1" s="42"/>
      <c r="G1" s="42"/>
      <c r="H1" s="42"/>
      <c r="I1" s="42"/>
      <c r="J1" s="42"/>
      <c r="K1" s="42"/>
    </row>
    <row r="2" spans="1:11" ht="15.75" x14ac:dyDescent="0.25">
      <c r="A2" s="212" t="s">
        <v>107</v>
      </c>
      <c r="B2" s="213"/>
      <c r="C2" s="213"/>
      <c r="D2" s="214"/>
      <c r="E2" s="42"/>
      <c r="F2" s="42"/>
      <c r="G2" s="42"/>
      <c r="H2" s="42"/>
      <c r="I2" s="42"/>
      <c r="J2" s="42"/>
      <c r="K2" s="42"/>
    </row>
    <row r="3" spans="1:11" ht="15.75" thickBot="1" x14ac:dyDescent="0.3"/>
    <row r="4" spans="1:11" x14ac:dyDescent="0.25">
      <c r="A4" s="190" t="s">
        <v>52</v>
      </c>
      <c r="B4" s="191"/>
      <c r="C4" s="64" t="s">
        <v>79</v>
      </c>
      <c r="D4" s="65"/>
    </row>
    <row r="5" spans="1:11" ht="15.75" thickBot="1" x14ac:dyDescent="0.3">
      <c r="A5" s="178">
        <f>'Start Here'!C8</f>
        <v>0</v>
      </c>
      <c r="B5" s="179"/>
      <c r="C5" s="178">
        <f>'Start Here'!C10</f>
        <v>0</v>
      </c>
      <c r="D5" s="179"/>
    </row>
    <row r="6" spans="1:11" x14ac:dyDescent="0.25">
      <c r="A6" s="64" t="s">
        <v>3</v>
      </c>
      <c r="B6" s="65"/>
      <c r="C6" s="64" t="s">
        <v>80</v>
      </c>
      <c r="D6" s="65"/>
    </row>
    <row r="7" spans="1:11" ht="15.75" thickBot="1" x14ac:dyDescent="0.3">
      <c r="A7" s="196">
        <f>'Start Here'!C23</f>
        <v>0</v>
      </c>
      <c r="B7" s="215"/>
      <c r="C7" s="216">
        <f>'Start Here'!C13</f>
        <v>0</v>
      </c>
      <c r="D7" s="199"/>
    </row>
    <row r="8" spans="1:11" ht="33" customHeight="1" thickBot="1" x14ac:dyDescent="0.3">
      <c r="A8" s="200" t="s">
        <v>81</v>
      </c>
      <c r="B8" s="201"/>
      <c r="C8" s="201"/>
      <c r="D8" s="202"/>
    </row>
    <row r="9" spans="1:11" ht="19.5" customHeight="1" thickBot="1" x14ac:dyDescent="0.3">
      <c r="A9" s="203" t="s">
        <v>82</v>
      </c>
      <c r="B9" s="204"/>
      <c r="C9" s="204"/>
      <c r="D9" s="205"/>
    </row>
    <row r="10" spans="1:11" ht="20.25" customHeight="1" x14ac:dyDescent="0.25">
      <c r="A10" s="168" t="s">
        <v>83</v>
      </c>
      <c r="B10" s="169"/>
      <c r="C10" s="168" t="s">
        <v>84</v>
      </c>
      <c r="D10" s="169"/>
    </row>
    <row r="11" spans="1:11" ht="27.75" customHeight="1" thickBot="1" x14ac:dyDescent="0.3">
      <c r="A11" s="170"/>
      <c r="B11" s="171"/>
      <c r="C11" s="170" t="s">
        <v>149</v>
      </c>
      <c r="D11" s="171"/>
    </row>
    <row r="12" spans="1:11" x14ac:dyDescent="0.25">
      <c r="A12" s="168" t="s">
        <v>85</v>
      </c>
      <c r="B12" s="169"/>
      <c r="C12" s="168" t="s">
        <v>86</v>
      </c>
      <c r="D12" s="169"/>
    </row>
    <row r="13" spans="1:11" ht="45" customHeight="1" x14ac:dyDescent="0.25">
      <c r="A13" s="180"/>
      <c r="B13" s="181"/>
      <c r="C13" s="180" t="s">
        <v>150</v>
      </c>
      <c r="D13" s="181"/>
    </row>
    <row r="14" spans="1:11" ht="18" customHeight="1" x14ac:dyDescent="0.25">
      <c r="A14" s="180"/>
      <c r="B14" s="181"/>
      <c r="C14" s="180" t="s">
        <v>151</v>
      </c>
      <c r="D14" s="181"/>
    </row>
    <row r="15" spans="1:11" ht="18" customHeight="1" thickBot="1" x14ac:dyDescent="0.3">
      <c r="A15" s="170"/>
      <c r="B15" s="171"/>
      <c r="C15" s="170" t="s">
        <v>152</v>
      </c>
      <c r="D15" s="171"/>
    </row>
    <row r="16" spans="1:11" x14ac:dyDescent="0.25">
      <c r="A16" s="168" t="s">
        <v>87</v>
      </c>
      <c r="B16" s="169"/>
      <c r="C16" s="168" t="s">
        <v>88</v>
      </c>
      <c r="D16" s="169"/>
    </row>
    <row r="17" spans="1:5" ht="48.75" customHeight="1" x14ac:dyDescent="0.25">
      <c r="A17" s="180"/>
      <c r="B17" s="181"/>
      <c r="C17" s="172" t="s">
        <v>153</v>
      </c>
      <c r="D17" s="173"/>
      <c r="E17" t="s">
        <v>198</v>
      </c>
    </row>
    <row r="18" spans="1:5" ht="38.25" customHeight="1" thickBot="1" x14ac:dyDescent="0.3">
      <c r="A18" s="170"/>
      <c r="B18" s="171"/>
      <c r="C18" s="192" t="s">
        <v>154</v>
      </c>
      <c r="D18" s="193"/>
    </row>
    <row r="19" spans="1:5" x14ac:dyDescent="0.25">
      <c r="A19" s="168" t="s">
        <v>89</v>
      </c>
      <c r="B19" s="169"/>
      <c r="C19" s="168" t="s">
        <v>90</v>
      </c>
      <c r="D19" s="169"/>
    </row>
    <row r="20" spans="1:5" ht="15" customHeight="1" x14ac:dyDescent="0.25">
      <c r="A20" s="180"/>
      <c r="B20" s="181"/>
      <c r="C20" s="180" t="s">
        <v>155</v>
      </c>
      <c r="D20" s="181"/>
    </row>
    <row r="21" spans="1:5" ht="15" customHeight="1" x14ac:dyDescent="0.25">
      <c r="A21" s="180"/>
      <c r="B21" s="181"/>
      <c r="C21" s="180" t="s">
        <v>156</v>
      </c>
      <c r="D21" s="181"/>
    </row>
    <row r="22" spans="1:5" ht="30" customHeight="1" x14ac:dyDescent="0.25">
      <c r="A22" s="180"/>
      <c r="B22" s="181"/>
      <c r="C22" s="180" t="s">
        <v>157</v>
      </c>
      <c r="D22" s="181"/>
    </row>
    <row r="23" spans="1:5" ht="34.5" customHeight="1" thickBot="1" x14ac:dyDescent="0.3">
      <c r="A23" s="170"/>
      <c r="B23" s="171"/>
      <c r="C23" s="170" t="s">
        <v>158</v>
      </c>
      <c r="D23" s="171"/>
    </row>
    <row r="24" spans="1:5" x14ac:dyDescent="0.25">
      <c r="A24" s="168" t="s">
        <v>196</v>
      </c>
      <c r="B24" s="169"/>
      <c r="C24" s="168" t="s">
        <v>91</v>
      </c>
      <c r="D24" s="169"/>
    </row>
    <row r="25" spans="1:5" ht="78" customHeight="1" thickBot="1" x14ac:dyDescent="0.3">
      <c r="A25" s="170"/>
      <c r="B25" s="171"/>
      <c r="C25" s="188" t="s">
        <v>218</v>
      </c>
      <c r="D25" s="189"/>
    </row>
    <row r="26" spans="1:5" x14ac:dyDescent="0.25">
      <c r="A26" s="168" t="s">
        <v>92</v>
      </c>
      <c r="B26" s="169"/>
      <c r="C26" s="168" t="s">
        <v>93</v>
      </c>
      <c r="D26" s="169"/>
    </row>
    <row r="27" spans="1:5" ht="35.25" customHeight="1" x14ac:dyDescent="0.25">
      <c r="A27" s="180"/>
      <c r="B27" s="181"/>
      <c r="C27" s="182" t="s">
        <v>145</v>
      </c>
      <c r="D27" s="183"/>
    </row>
    <row r="28" spans="1:5" ht="19.5" customHeight="1" thickBot="1" x14ac:dyDescent="0.3">
      <c r="A28" s="170"/>
      <c r="B28" s="171"/>
      <c r="C28" s="184" t="s">
        <v>146</v>
      </c>
      <c r="D28" s="185"/>
    </row>
    <row r="29" spans="1:5" x14ac:dyDescent="0.25">
      <c r="A29" s="168" t="s">
        <v>94</v>
      </c>
      <c r="B29" s="169"/>
      <c r="C29" s="168" t="s">
        <v>95</v>
      </c>
      <c r="D29" s="169"/>
    </row>
    <row r="30" spans="1:5" ht="18.75" customHeight="1" thickBot="1" x14ac:dyDescent="0.3">
      <c r="A30" s="170"/>
      <c r="B30" s="171"/>
      <c r="C30" s="186" t="s">
        <v>144</v>
      </c>
      <c r="D30" s="187"/>
    </row>
    <row r="31" spans="1:5" x14ac:dyDescent="0.25">
      <c r="A31" s="168" t="s">
        <v>96</v>
      </c>
      <c r="B31" s="169"/>
      <c r="C31" s="168" t="s">
        <v>97</v>
      </c>
      <c r="D31" s="169"/>
    </row>
    <row r="32" spans="1:5" ht="48.75" customHeight="1" thickBot="1" x14ac:dyDescent="0.3">
      <c r="A32" s="170"/>
      <c r="B32" s="171"/>
      <c r="C32" s="170" t="s">
        <v>159</v>
      </c>
      <c r="D32" s="171"/>
    </row>
    <row r="33" spans="1:4" ht="60.75" customHeight="1" thickBot="1" x14ac:dyDescent="0.3">
      <c r="A33" s="176" t="s">
        <v>98</v>
      </c>
      <c r="B33" s="177"/>
      <c r="C33" s="176" t="s">
        <v>99</v>
      </c>
      <c r="D33" s="177"/>
    </row>
    <row r="34" spans="1:4" ht="36.75" customHeight="1" thickBot="1" x14ac:dyDescent="0.3">
      <c r="A34" s="206" t="s">
        <v>100</v>
      </c>
      <c r="B34" s="207"/>
      <c r="C34" s="207"/>
      <c r="D34" s="208"/>
    </row>
    <row r="35" spans="1:4" x14ac:dyDescent="0.25">
      <c r="A35" s="76" t="s">
        <v>52</v>
      </c>
      <c r="B35" s="77"/>
      <c r="C35" s="78" t="s">
        <v>79</v>
      </c>
      <c r="D35" s="79"/>
    </row>
    <row r="36" spans="1:4" ht="15.75" thickBot="1" x14ac:dyDescent="0.3">
      <c r="A36" s="178">
        <f>'Start Here'!C25</f>
        <v>0</v>
      </c>
      <c r="B36" s="194"/>
      <c r="C36" s="195">
        <f>'Start Here'!C27</f>
        <v>0</v>
      </c>
      <c r="D36" s="179"/>
    </row>
    <row r="37" spans="1:4" x14ac:dyDescent="0.25">
      <c r="A37" s="64" t="s">
        <v>3</v>
      </c>
      <c r="B37" s="80"/>
      <c r="C37" s="81" t="s">
        <v>80</v>
      </c>
      <c r="D37" s="65"/>
    </row>
    <row r="38" spans="1:4" ht="15.75" thickBot="1" x14ac:dyDescent="0.3">
      <c r="A38" s="196">
        <f>'Start Here'!C23</f>
        <v>0</v>
      </c>
      <c r="B38" s="197"/>
      <c r="C38" s="198">
        <f>'Start Here'!C30</f>
        <v>0</v>
      </c>
      <c r="D38" s="199"/>
    </row>
    <row r="39" spans="1:4" ht="30.75" customHeight="1" thickBot="1" x14ac:dyDescent="0.3">
      <c r="A39" s="200" t="s">
        <v>81</v>
      </c>
      <c r="B39" s="201"/>
      <c r="C39" s="201"/>
      <c r="D39" s="202"/>
    </row>
    <row r="40" spans="1:4" ht="15" customHeight="1" x14ac:dyDescent="0.25">
      <c r="A40" s="168" t="s">
        <v>101</v>
      </c>
      <c r="B40" s="169"/>
      <c r="C40" s="168" t="s">
        <v>84</v>
      </c>
      <c r="D40" s="169"/>
    </row>
    <row r="41" spans="1:4" ht="15" customHeight="1" x14ac:dyDescent="0.25">
      <c r="A41" s="180"/>
      <c r="B41" s="181"/>
      <c r="C41" s="180" t="s">
        <v>149</v>
      </c>
      <c r="D41" s="181"/>
    </row>
    <row r="42" spans="1:4" ht="51.75" customHeight="1" thickBot="1" x14ac:dyDescent="0.3">
      <c r="A42" s="170"/>
      <c r="B42" s="171"/>
      <c r="C42" s="170" t="s">
        <v>216</v>
      </c>
      <c r="D42" s="171"/>
    </row>
    <row r="43" spans="1:4" x14ac:dyDescent="0.25">
      <c r="A43" s="168" t="s">
        <v>102</v>
      </c>
      <c r="B43" s="169"/>
      <c r="C43" s="168" t="s">
        <v>86</v>
      </c>
      <c r="D43" s="169"/>
    </row>
    <row r="44" spans="1:4" ht="33.75" customHeight="1" x14ac:dyDescent="0.25">
      <c r="A44" s="180"/>
      <c r="B44" s="181"/>
      <c r="C44" s="180" t="s">
        <v>150</v>
      </c>
      <c r="D44" s="181"/>
    </row>
    <row r="45" spans="1:4" ht="30" customHeight="1" x14ac:dyDescent="0.25">
      <c r="A45" s="180"/>
      <c r="B45" s="181"/>
      <c r="C45" s="180" t="s">
        <v>151</v>
      </c>
      <c r="D45" s="181"/>
    </row>
    <row r="46" spans="1:4" ht="30" customHeight="1" thickBot="1" x14ac:dyDescent="0.3">
      <c r="A46" s="170"/>
      <c r="B46" s="171"/>
      <c r="C46" s="170" t="s">
        <v>152</v>
      </c>
      <c r="D46" s="171"/>
    </row>
    <row r="47" spans="1:4" x14ac:dyDescent="0.25">
      <c r="A47" s="168" t="s">
        <v>103</v>
      </c>
      <c r="B47" s="169"/>
      <c r="C47" s="168" t="s">
        <v>88</v>
      </c>
      <c r="D47" s="169"/>
    </row>
    <row r="48" spans="1:4" ht="51" customHeight="1" x14ac:dyDescent="0.25">
      <c r="A48" s="180"/>
      <c r="B48" s="181"/>
      <c r="C48" s="172" t="s">
        <v>153</v>
      </c>
      <c r="D48" s="173"/>
    </row>
    <row r="49" spans="1:4" ht="33.75" customHeight="1" thickBot="1" x14ac:dyDescent="0.3">
      <c r="A49" s="170"/>
      <c r="B49" s="171"/>
      <c r="C49" s="192" t="s">
        <v>154</v>
      </c>
      <c r="D49" s="193"/>
    </row>
    <row r="50" spans="1:4" x14ac:dyDescent="0.25">
      <c r="A50" s="168" t="s">
        <v>104</v>
      </c>
      <c r="B50" s="169"/>
      <c r="C50" s="168" t="s">
        <v>90</v>
      </c>
      <c r="D50" s="169"/>
    </row>
    <row r="51" spans="1:4" ht="15" customHeight="1" x14ac:dyDescent="0.25">
      <c r="A51" s="180"/>
      <c r="B51" s="181"/>
      <c r="C51" s="180" t="s">
        <v>155</v>
      </c>
      <c r="D51" s="181"/>
    </row>
    <row r="52" spans="1:4" ht="15" customHeight="1" x14ac:dyDescent="0.25">
      <c r="A52" s="180"/>
      <c r="B52" s="181"/>
      <c r="C52" s="180" t="s">
        <v>156</v>
      </c>
      <c r="D52" s="181"/>
    </row>
    <row r="53" spans="1:4" ht="30" customHeight="1" x14ac:dyDescent="0.25">
      <c r="A53" s="180"/>
      <c r="B53" s="181"/>
      <c r="C53" s="180" t="s">
        <v>157</v>
      </c>
      <c r="D53" s="181"/>
    </row>
    <row r="54" spans="1:4" ht="33.75" customHeight="1" thickBot="1" x14ac:dyDescent="0.3">
      <c r="A54" s="170"/>
      <c r="B54" s="171"/>
      <c r="C54" s="170" t="s">
        <v>158</v>
      </c>
      <c r="D54" s="171"/>
    </row>
    <row r="55" spans="1:4" x14ac:dyDescent="0.25">
      <c r="A55" s="168" t="s">
        <v>197</v>
      </c>
      <c r="B55" s="169"/>
      <c r="C55" s="168" t="s">
        <v>91</v>
      </c>
      <c r="D55" s="169"/>
    </row>
    <row r="56" spans="1:4" ht="84.75" customHeight="1" thickBot="1" x14ac:dyDescent="0.3">
      <c r="A56" s="170"/>
      <c r="B56" s="171"/>
      <c r="C56" s="174" t="s">
        <v>219</v>
      </c>
      <c r="D56" s="175"/>
    </row>
    <row r="57" spans="1:4" x14ac:dyDescent="0.25">
      <c r="A57" s="168" t="s">
        <v>105</v>
      </c>
      <c r="B57" s="169"/>
      <c r="C57" s="39" t="s">
        <v>97</v>
      </c>
      <c r="D57" s="40"/>
    </row>
    <row r="58" spans="1:4" ht="51.75" customHeight="1" thickBot="1" x14ac:dyDescent="0.3">
      <c r="A58" s="170"/>
      <c r="B58" s="171"/>
      <c r="C58" s="170" t="s">
        <v>159</v>
      </c>
      <c r="D58" s="171"/>
    </row>
    <row r="59" spans="1:4" ht="60.75" customHeight="1" thickBot="1" x14ac:dyDescent="0.3">
      <c r="A59" s="176" t="s">
        <v>106</v>
      </c>
      <c r="B59" s="177"/>
      <c r="C59" s="176" t="s">
        <v>99</v>
      </c>
      <c r="D59" s="177"/>
    </row>
  </sheetData>
  <sheetProtection sheet="1" objects="1" scenarios="1" selectLockedCells="1"/>
  <mergeCells count="74">
    <mergeCell ref="A1:D1"/>
    <mergeCell ref="A2:D2"/>
    <mergeCell ref="C5:D5"/>
    <mergeCell ref="A7:B7"/>
    <mergeCell ref="C7:D7"/>
    <mergeCell ref="A8:D8"/>
    <mergeCell ref="A9:D9"/>
    <mergeCell ref="A34:D34"/>
    <mergeCell ref="A33:B33"/>
    <mergeCell ref="C33:D33"/>
    <mergeCell ref="C10:D10"/>
    <mergeCell ref="A10:B11"/>
    <mergeCell ref="C11:D11"/>
    <mergeCell ref="C12:D12"/>
    <mergeCell ref="A12:B15"/>
    <mergeCell ref="C13:D13"/>
    <mergeCell ref="C14:D14"/>
    <mergeCell ref="C15:D15"/>
    <mergeCell ref="A16:B18"/>
    <mergeCell ref="C16:D16"/>
    <mergeCell ref="C17:D17"/>
    <mergeCell ref="A31:B32"/>
    <mergeCell ref="C31:D31"/>
    <mergeCell ref="C32:D32"/>
    <mergeCell ref="C50:D50"/>
    <mergeCell ref="C51:D51"/>
    <mergeCell ref="A50:B54"/>
    <mergeCell ref="C52:D52"/>
    <mergeCell ref="C53:D53"/>
    <mergeCell ref="C54:D54"/>
    <mergeCell ref="C45:D45"/>
    <mergeCell ref="A36:B36"/>
    <mergeCell ref="C36:D36"/>
    <mergeCell ref="A38:B38"/>
    <mergeCell ref="C38:D38"/>
    <mergeCell ref="A39:D39"/>
    <mergeCell ref="C24:D24"/>
    <mergeCell ref="C25:D25"/>
    <mergeCell ref="A24:B25"/>
    <mergeCell ref="A4:B4"/>
    <mergeCell ref="C49:D49"/>
    <mergeCell ref="A47:B49"/>
    <mergeCell ref="C18:D18"/>
    <mergeCell ref="C19:D19"/>
    <mergeCell ref="A19:B23"/>
    <mergeCell ref="C20:D20"/>
    <mergeCell ref="C21:D21"/>
    <mergeCell ref="C22:D22"/>
    <mergeCell ref="C23:D23"/>
    <mergeCell ref="A26:B28"/>
    <mergeCell ref="C26:D26"/>
    <mergeCell ref="C44:D44"/>
    <mergeCell ref="A59:B59"/>
    <mergeCell ref="C59:D59"/>
    <mergeCell ref="A5:B5"/>
    <mergeCell ref="C40:D40"/>
    <mergeCell ref="C41:D41"/>
    <mergeCell ref="C42:D42"/>
    <mergeCell ref="A40:B42"/>
    <mergeCell ref="C27:D27"/>
    <mergeCell ref="C28:D28"/>
    <mergeCell ref="C29:D29"/>
    <mergeCell ref="C30:D30"/>
    <mergeCell ref="A29:B30"/>
    <mergeCell ref="C46:D46"/>
    <mergeCell ref="A43:B46"/>
    <mergeCell ref="C43:D43"/>
    <mergeCell ref="C47:D47"/>
    <mergeCell ref="A57:B58"/>
    <mergeCell ref="C58:D58"/>
    <mergeCell ref="C48:D48"/>
    <mergeCell ref="C55:D55"/>
    <mergeCell ref="C56:D56"/>
    <mergeCell ref="A55:B56"/>
  </mergeCells>
  <pageMargins left="0.5" right="0.5" top="0.31" bottom="0.28999999999999998" header="0.3" footer="0.3"/>
  <pageSetup scale="92" fitToWidth="0" fitToHeight="0" orientation="portrait" r:id="rId1"/>
  <rowBreaks count="1" manualBreakCount="1">
    <brk id="33" max="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I31"/>
  <sheetViews>
    <sheetView workbookViewId="0">
      <selection activeCell="E11" sqref="E11"/>
    </sheetView>
  </sheetViews>
  <sheetFormatPr defaultRowHeight="15" x14ac:dyDescent="0.25"/>
  <cols>
    <col min="1" max="1" width="7.85546875" bestFit="1" customWidth="1"/>
    <col min="2" max="3" width="10.5703125" customWidth="1"/>
    <col min="4" max="4" width="10.5703125" bestFit="1" customWidth="1"/>
    <col min="5" max="5" width="14.28515625" bestFit="1" customWidth="1"/>
    <col min="9" max="9" width="10.5703125" bestFit="1" customWidth="1"/>
  </cols>
  <sheetData>
    <row r="1" spans="1:9" ht="15.75" thickTop="1" x14ac:dyDescent="0.25">
      <c r="A1" s="217" t="s">
        <v>111</v>
      </c>
      <c r="B1" s="218"/>
      <c r="C1" s="218"/>
      <c r="D1" s="218"/>
      <c r="E1" s="218"/>
      <c r="F1" s="218"/>
      <c r="G1" s="218"/>
      <c r="H1" s="218"/>
      <c r="I1" s="219"/>
    </row>
    <row r="2" spans="1:9" ht="15.75" thickBot="1" x14ac:dyDescent="0.3">
      <c r="A2" s="226" t="s">
        <v>112</v>
      </c>
      <c r="B2" s="227"/>
      <c r="C2" s="227"/>
      <c r="D2" s="227"/>
      <c r="E2" s="227"/>
      <c r="F2" s="227"/>
      <c r="G2" s="227"/>
      <c r="H2" s="227"/>
      <c r="I2" s="228"/>
    </row>
    <row r="3" spans="1:9" ht="15.75" thickTop="1" x14ac:dyDescent="0.25"/>
    <row r="6" spans="1:9" x14ac:dyDescent="0.25">
      <c r="A6" s="58" t="s">
        <v>52</v>
      </c>
      <c r="B6" s="229">
        <f>'Start Here'!C8</f>
        <v>0</v>
      </c>
      <c r="C6" s="230"/>
      <c r="D6" s="230"/>
      <c r="E6" s="230"/>
      <c r="F6" s="230"/>
      <c r="G6" s="230"/>
      <c r="H6" s="230"/>
      <c r="I6" s="230"/>
    </row>
    <row r="7" spans="1:9" x14ac:dyDescent="0.25">
      <c r="A7" s="58" t="s">
        <v>53</v>
      </c>
      <c r="B7" s="229">
        <f>'Start Here'!C9</f>
        <v>0</v>
      </c>
      <c r="C7" s="230"/>
      <c r="D7" s="230"/>
      <c r="E7" s="230"/>
      <c r="F7" s="230"/>
      <c r="G7" s="230"/>
      <c r="H7" s="230"/>
      <c r="I7" s="230"/>
    </row>
    <row r="8" spans="1:9" x14ac:dyDescent="0.25">
      <c r="A8" s="62" t="str">
        <f>'Entity Checklist'!A6</f>
        <v>Date:</v>
      </c>
      <c r="B8" s="231">
        <f>'Start Here'!C23</f>
        <v>0</v>
      </c>
      <c r="C8" s="231"/>
      <c r="D8" s="231"/>
      <c r="E8" s="231"/>
      <c r="F8" s="231"/>
      <c r="G8" s="231"/>
      <c r="H8" s="231"/>
      <c r="I8" s="232"/>
    </row>
    <row r="10" spans="1:9" x14ac:dyDescent="0.25">
      <c r="A10" t="s">
        <v>113</v>
      </c>
      <c r="E10" s="100"/>
    </row>
    <row r="11" spans="1:9" x14ac:dyDescent="0.25">
      <c r="A11" t="s">
        <v>114</v>
      </c>
      <c r="E11" s="100"/>
    </row>
    <row r="12" spans="1:9" x14ac:dyDescent="0.25">
      <c r="A12" t="s">
        <v>115</v>
      </c>
      <c r="E12" s="48">
        <f>E10-E11</f>
        <v>0</v>
      </c>
    </row>
    <row r="13" spans="1:9" x14ac:dyDescent="0.25">
      <c r="E13" s="47"/>
    </row>
    <row r="14" spans="1:9" x14ac:dyDescent="0.25">
      <c r="A14" t="s">
        <v>116</v>
      </c>
      <c r="E14" s="47"/>
    </row>
    <row r="15" spans="1:9" x14ac:dyDescent="0.25">
      <c r="E15" s="47"/>
    </row>
    <row r="16" spans="1:9" x14ac:dyDescent="0.25">
      <c r="A16" t="s">
        <v>117</v>
      </c>
      <c r="E16" s="100"/>
    </row>
    <row r="17" spans="1:9" x14ac:dyDescent="0.25">
      <c r="A17" t="s">
        <v>118</v>
      </c>
      <c r="E17" s="100"/>
    </row>
    <row r="18" spans="1:9" x14ac:dyDescent="0.25">
      <c r="A18" t="s">
        <v>119</v>
      </c>
      <c r="E18" s="100"/>
    </row>
    <row r="19" spans="1:9" x14ac:dyDescent="0.25">
      <c r="A19" t="s">
        <v>120</v>
      </c>
      <c r="E19" s="48">
        <f>E16-(E17+E18)</f>
        <v>0</v>
      </c>
    </row>
    <row r="20" spans="1:9" x14ac:dyDescent="0.25">
      <c r="E20" s="47"/>
    </row>
    <row r="21" spans="1:9" x14ac:dyDescent="0.25">
      <c r="A21" t="s">
        <v>121</v>
      </c>
      <c r="E21" s="48">
        <f>E12+E19</f>
        <v>0</v>
      </c>
    </row>
    <row r="24" spans="1:9" ht="14.45" x14ac:dyDescent="0.35">
      <c r="A24" s="49"/>
      <c r="B24" s="50"/>
      <c r="C24" s="50"/>
      <c r="D24" s="50"/>
      <c r="E24" s="50"/>
      <c r="F24" s="50"/>
      <c r="G24" s="50"/>
      <c r="H24" s="50"/>
      <c r="I24" s="59"/>
    </row>
    <row r="25" spans="1:9" ht="14.45" x14ac:dyDescent="0.35">
      <c r="A25" s="51" t="s">
        <v>122</v>
      </c>
      <c r="B25" s="31"/>
      <c r="C25" s="220">
        <f>'Start Here'!C10</f>
        <v>0</v>
      </c>
      <c r="D25" s="220"/>
      <c r="E25" s="56" t="s">
        <v>125</v>
      </c>
      <c r="F25" s="220">
        <f>'Start Here'!C11</f>
        <v>0</v>
      </c>
      <c r="G25" s="220"/>
      <c r="H25" s="220"/>
      <c r="I25" s="221"/>
    </row>
    <row r="26" spans="1:9" s="31" customFormat="1" ht="14.45" x14ac:dyDescent="0.35">
      <c r="A26" s="51"/>
      <c r="C26" s="55"/>
      <c r="D26" s="55"/>
      <c r="E26" s="56"/>
      <c r="F26" s="56"/>
      <c r="G26" s="56"/>
      <c r="H26" s="56"/>
      <c r="I26" s="57"/>
    </row>
    <row r="27" spans="1:9" ht="14.45" x14ac:dyDescent="0.35">
      <c r="A27" s="51" t="s">
        <v>123</v>
      </c>
      <c r="B27" s="31"/>
      <c r="C27" s="222">
        <f>'Start Here'!C13</f>
        <v>0</v>
      </c>
      <c r="D27" s="222"/>
      <c r="E27" s="56" t="s">
        <v>126</v>
      </c>
      <c r="F27" s="220">
        <f>'Start Here'!C12</f>
        <v>0</v>
      </c>
      <c r="G27" s="220"/>
      <c r="H27" s="220"/>
      <c r="I27" s="221"/>
    </row>
    <row r="28" spans="1:9" ht="14.45" x14ac:dyDescent="0.35">
      <c r="A28" s="51"/>
      <c r="B28" s="31"/>
      <c r="C28" s="56"/>
      <c r="D28" s="56"/>
      <c r="E28" s="56"/>
      <c r="F28" s="56"/>
      <c r="G28" s="56"/>
      <c r="H28" s="56"/>
      <c r="I28" s="57"/>
    </row>
    <row r="29" spans="1:9" ht="14.45" x14ac:dyDescent="0.35">
      <c r="A29" s="51"/>
      <c r="B29" s="31"/>
      <c r="C29" s="56"/>
      <c r="D29" s="56"/>
      <c r="E29" s="56"/>
      <c r="F29" s="56"/>
      <c r="G29" s="56"/>
      <c r="H29" s="56"/>
      <c r="I29" s="57"/>
    </row>
    <row r="30" spans="1:9" ht="14.45" x14ac:dyDescent="0.35">
      <c r="A30" s="51" t="s">
        <v>124</v>
      </c>
      <c r="B30" s="31"/>
      <c r="C30" s="225"/>
      <c r="D30" s="225"/>
      <c r="E30" s="225"/>
      <c r="F30" s="56" t="s">
        <v>3</v>
      </c>
      <c r="G30" s="223">
        <f>'Start Here'!C23</f>
        <v>0</v>
      </c>
      <c r="H30" s="223"/>
      <c r="I30" s="224"/>
    </row>
    <row r="31" spans="1:9" ht="14.45" x14ac:dyDescent="0.35">
      <c r="A31" s="52"/>
      <c r="B31" s="53"/>
      <c r="C31" s="53"/>
      <c r="D31" s="53"/>
      <c r="E31" s="53"/>
      <c r="F31" s="53"/>
      <c r="G31" s="53"/>
      <c r="H31" s="53"/>
      <c r="I31" s="54"/>
    </row>
  </sheetData>
  <sheetProtection sheet="1" objects="1" scenarios="1" selectLockedCells="1"/>
  <mergeCells count="11">
    <mergeCell ref="A1:I1"/>
    <mergeCell ref="F27:I27"/>
    <mergeCell ref="C27:D27"/>
    <mergeCell ref="G30:I30"/>
    <mergeCell ref="C30:E30"/>
    <mergeCell ref="A2:I2"/>
    <mergeCell ref="B6:I6"/>
    <mergeCell ref="B7:I7"/>
    <mergeCell ref="B8:I8"/>
    <mergeCell ref="C25:D25"/>
    <mergeCell ref="F25:I25"/>
  </mergeCells>
  <conditionalFormatting sqref="E10:E21">
    <cfRule type="cellIs" dxfId="5" priority="1" operator="lessThan">
      <formula>0</formula>
    </cfRule>
  </conditionalFormatting>
  <pageMargins left="0.45" right="0.49"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31"/>
  <sheetViews>
    <sheetView workbookViewId="0">
      <selection activeCell="E10" sqref="E10"/>
    </sheetView>
  </sheetViews>
  <sheetFormatPr defaultRowHeight="15" x14ac:dyDescent="0.25"/>
  <cols>
    <col min="1" max="1" width="7.85546875" bestFit="1" customWidth="1"/>
    <col min="2" max="3" width="10.5703125" customWidth="1"/>
    <col min="4" max="4" width="10.5703125" bestFit="1" customWidth="1"/>
    <col min="5" max="5" width="14.28515625" bestFit="1" customWidth="1"/>
    <col min="9" max="9" width="10.5703125" bestFit="1" customWidth="1"/>
  </cols>
  <sheetData>
    <row r="1" spans="1:9" ht="15.75" thickTop="1" x14ac:dyDescent="0.25">
      <c r="A1" s="217" t="s">
        <v>111</v>
      </c>
      <c r="B1" s="218"/>
      <c r="C1" s="218"/>
      <c r="D1" s="218"/>
      <c r="E1" s="218"/>
      <c r="F1" s="218"/>
      <c r="G1" s="218"/>
      <c r="H1" s="218"/>
      <c r="I1" s="219"/>
    </row>
    <row r="2" spans="1:9" ht="15.75" thickBot="1" x14ac:dyDescent="0.3">
      <c r="A2" s="226" t="s">
        <v>112</v>
      </c>
      <c r="B2" s="227"/>
      <c r="C2" s="227"/>
      <c r="D2" s="227"/>
      <c r="E2" s="227"/>
      <c r="F2" s="227"/>
      <c r="G2" s="227"/>
      <c r="H2" s="227"/>
      <c r="I2" s="228"/>
    </row>
    <row r="3" spans="1:9" ht="15.75" thickTop="1" x14ac:dyDescent="0.25"/>
    <row r="6" spans="1:9" x14ac:dyDescent="0.25">
      <c r="A6" s="58" t="s">
        <v>52</v>
      </c>
      <c r="B6" s="229">
        <f>'Start Here'!C25</f>
        <v>0</v>
      </c>
      <c r="C6" s="230"/>
      <c r="D6" s="230"/>
      <c r="E6" s="230"/>
      <c r="F6" s="230"/>
      <c r="G6" s="230"/>
      <c r="H6" s="230"/>
      <c r="I6" s="230"/>
    </row>
    <row r="7" spans="1:9" x14ac:dyDescent="0.25">
      <c r="A7" s="58" t="s">
        <v>53</v>
      </c>
      <c r="B7" s="229">
        <f>'Start Here'!C26</f>
        <v>0</v>
      </c>
      <c r="C7" s="230"/>
      <c r="D7" s="230"/>
      <c r="E7" s="230"/>
      <c r="F7" s="230"/>
      <c r="G7" s="230"/>
      <c r="H7" s="230"/>
      <c r="I7" s="230"/>
    </row>
    <row r="8" spans="1:9" x14ac:dyDescent="0.25">
      <c r="A8" s="62" t="str">
        <f>'Entity Checklist'!A6</f>
        <v>Date:</v>
      </c>
      <c r="B8" s="231">
        <f>'Start Here'!C23</f>
        <v>0</v>
      </c>
      <c r="C8" s="231"/>
      <c r="D8" s="231"/>
      <c r="E8" s="231"/>
      <c r="F8" s="231"/>
      <c r="G8" s="231"/>
      <c r="H8" s="231"/>
      <c r="I8" s="232"/>
    </row>
    <row r="10" spans="1:9" x14ac:dyDescent="0.25">
      <c r="A10" t="s">
        <v>113</v>
      </c>
      <c r="E10" s="100"/>
    </row>
    <row r="11" spans="1:9" x14ac:dyDescent="0.25">
      <c r="A11" t="s">
        <v>114</v>
      </c>
      <c r="E11" s="100"/>
    </row>
    <row r="12" spans="1:9" x14ac:dyDescent="0.25">
      <c r="A12" t="s">
        <v>115</v>
      </c>
      <c r="E12" s="48">
        <f>E10-E11</f>
        <v>0</v>
      </c>
    </row>
    <row r="13" spans="1:9" x14ac:dyDescent="0.25">
      <c r="E13" s="47"/>
    </row>
    <row r="14" spans="1:9" x14ac:dyDescent="0.25">
      <c r="A14" t="s">
        <v>116</v>
      </c>
      <c r="E14" s="47"/>
    </row>
    <row r="15" spans="1:9" x14ac:dyDescent="0.25">
      <c r="E15" s="47"/>
    </row>
    <row r="16" spans="1:9" x14ac:dyDescent="0.25">
      <c r="A16" t="s">
        <v>117</v>
      </c>
      <c r="E16" s="100"/>
    </row>
    <row r="17" spans="1:9" x14ac:dyDescent="0.25">
      <c r="A17" t="s">
        <v>118</v>
      </c>
      <c r="E17" s="100"/>
    </row>
    <row r="18" spans="1:9" x14ac:dyDescent="0.25">
      <c r="A18" t="s">
        <v>119</v>
      </c>
      <c r="E18" s="100"/>
    </row>
    <row r="19" spans="1:9" x14ac:dyDescent="0.25">
      <c r="A19" t="s">
        <v>120</v>
      </c>
      <c r="E19" s="48">
        <f>E16-(E17+E18)</f>
        <v>0</v>
      </c>
    </row>
    <row r="20" spans="1:9" x14ac:dyDescent="0.25">
      <c r="E20" s="47"/>
    </row>
    <row r="21" spans="1:9" x14ac:dyDescent="0.25">
      <c r="A21" t="s">
        <v>121</v>
      </c>
      <c r="E21" s="48">
        <f>E12+E19</f>
        <v>0</v>
      </c>
    </row>
    <row r="24" spans="1:9" ht="14.45" x14ac:dyDescent="0.35">
      <c r="A24" s="49"/>
      <c r="B24" s="50"/>
      <c r="C24" s="50"/>
      <c r="D24" s="50"/>
      <c r="E24" s="50"/>
      <c r="F24" s="50"/>
      <c r="G24" s="50"/>
      <c r="H24" s="50"/>
      <c r="I24" s="59"/>
    </row>
    <row r="25" spans="1:9" ht="14.45" x14ac:dyDescent="0.35">
      <c r="A25" s="51" t="s">
        <v>122</v>
      </c>
      <c r="B25" s="31"/>
      <c r="C25" s="220">
        <f>'Start Here'!C27</f>
        <v>0</v>
      </c>
      <c r="D25" s="220"/>
      <c r="E25" s="56" t="s">
        <v>125</v>
      </c>
      <c r="F25" s="220">
        <f>'Start Here'!C28</f>
        <v>0</v>
      </c>
      <c r="G25" s="220"/>
      <c r="H25" s="220"/>
      <c r="I25" s="221"/>
    </row>
    <row r="26" spans="1:9" s="31" customFormat="1" ht="14.45" x14ac:dyDescent="0.35">
      <c r="A26" s="51"/>
      <c r="C26" s="55"/>
      <c r="D26" s="55"/>
      <c r="E26" s="56"/>
      <c r="F26" s="56"/>
      <c r="G26" s="56"/>
      <c r="H26" s="56"/>
      <c r="I26" s="57"/>
    </row>
    <row r="27" spans="1:9" ht="14.45" x14ac:dyDescent="0.35">
      <c r="A27" s="51" t="s">
        <v>123</v>
      </c>
      <c r="B27" s="31"/>
      <c r="C27" s="222">
        <f>'Start Here'!C30</f>
        <v>0</v>
      </c>
      <c r="D27" s="222"/>
      <c r="E27" s="56" t="s">
        <v>126</v>
      </c>
      <c r="F27" s="220">
        <f>'Start Here'!C29</f>
        <v>0</v>
      </c>
      <c r="G27" s="220"/>
      <c r="H27" s="220"/>
      <c r="I27" s="221"/>
    </row>
    <row r="28" spans="1:9" ht="14.45" x14ac:dyDescent="0.35">
      <c r="A28" s="51"/>
      <c r="B28" s="31"/>
      <c r="C28" s="56"/>
      <c r="D28" s="56"/>
      <c r="E28" s="56"/>
      <c r="F28" s="56"/>
      <c r="G28" s="56"/>
      <c r="H28" s="56"/>
      <c r="I28" s="57"/>
    </row>
    <row r="29" spans="1:9" ht="14.45" x14ac:dyDescent="0.35">
      <c r="A29" s="51"/>
      <c r="B29" s="31"/>
      <c r="C29" s="56"/>
      <c r="D29" s="56"/>
      <c r="E29" s="56"/>
      <c r="F29" s="56"/>
      <c r="G29" s="56"/>
      <c r="H29" s="56"/>
      <c r="I29" s="57"/>
    </row>
    <row r="30" spans="1:9" ht="14.45" x14ac:dyDescent="0.35">
      <c r="A30" s="51" t="s">
        <v>124</v>
      </c>
      <c r="B30" s="31"/>
      <c r="C30" s="225"/>
      <c r="D30" s="225"/>
      <c r="E30" s="225"/>
      <c r="F30" s="56" t="s">
        <v>3</v>
      </c>
      <c r="G30" s="223">
        <f>'Start Here'!C23</f>
        <v>0</v>
      </c>
      <c r="H30" s="223"/>
      <c r="I30" s="224"/>
    </row>
    <row r="31" spans="1:9" ht="14.45" x14ac:dyDescent="0.35">
      <c r="A31" s="52"/>
      <c r="B31" s="53"/>
      <c r="C31" s="53"/>
      <c r="D31" s="53"/>
      <c r="E31" s="53"/>
      <c r="F31" s="53"/>
      <c r="G31" s="53"/>
      <c r="H31" s="53"/>
      <c r="I31" s="54"/>
    </row>
  </sheetData>
  <sheetProtection sheet="1" objects="1" scenarios="1" selectLockedCells="1"/>
  <mergeCells count="11">
    <mergeCell ref="C27:D27"/>
    <mergeCell ref="F27:I27"/>
    <mergeCell ref="C30:E30"/>
    <mergeCell ref="G30:I30"/>
    <mergeCell ref="A1:I1"/>
    <mergeCell ref="A2:I2"/>
    <mergeCell ref="B6:I6"/>
    <mergeCell ref="B7:I7"/>
    <mergeCell ref="B8:I8"/>
    <mergeCell ref="C25:D25"/>
    <mergeCell ref="F25:I25"/>
  </mergeCells>
  <conditionalFormatting sqref="E10:E21">
    <cfRule type="cellIs" dxfId="4" priority="1" operator="lessThan">
      <formula>0</formula>
    </cfRule>
  </conditionalFormatting>
  <pageMargins left="0.45" right="0.49"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O128"/>
  <sheetViews>
    <sheetView topLeftCell="A30" zoomScaleNormal="100" workbookViewId="0">
      <selection activeCell="G13" sqref="G13:K13"/>
    </sheetView>
  </sheetViews>
  <sheetFormatPr defaultColWidth="9.140625" defaultRowHeight="15.75" x14ac:dyDescent="0.25"/>
  <cols>
    <col min="1" max="1" width="3.28515625" style="1" customWidth="1"/>
    <col min="2" max="4" width="9.140625" style="1"/>
    <col min="5" max="5" width="9.140625" style="4" customWidth="1"/>
    <col min="6" max="6" width="9.140625" style="3"/>
    <col min="7" max="7" width="9.140625" style="1"/>
    <col min="8" max="8" width="10.7109375" style="1" customWidth="1"/>
    <col min="9" max="9" width="7.7109375" style="1" customWidth="1"/>
    <col min="10" max="10" width="8.140625" style="1" customWidth="1"/>
    <col min="11" max="11" width="11.28515625" style="1" customWidth="1"/>
    <col min="12" max="16384" width="9.140625" style="1"/>
  </cols>
  <sheetData>
    <row r="1" spans="1:11" x14ac:dyDescent="0.25">
      <c r="A1" s="209" t="s">
        <v>0</v>
      </c>
      <c r="B1" s="210"/>
      <c r="C1" s="210"/>
      <c r="D1" s="210"/>
      <c r="E1" s="210"/>
      <c r="F1" s="210"/>
      <c r="G1" s="210"/>
      <c r="H1" s="210"/>
      <c r="I1" s="210"/>
      <c r="J1" s="210"/>
      <c r="K1" s="211"/>
    </row>
    <row r="2" spans="1:11" x14ac:dyDescent="0.25">
      <c r="A2" s="212" t="s">
        <v>1</v>
      </c>
      <c r="B2" s="213"/>
      <c r="C2" s="213"/>
      <c r="D2" s="213"/>
      <c r="E2" s="213"/>
      <c r="F2" s="213"/>
      <c r="G2" s="213"/>
      <c r="H2" s="213"/>
      <c r="I2" s="213"/>
      <c r="J2" s="213"/>
      <c r="K2" s="214"/>
    </row>
    <row r="3" spans="1:11" x14ac:dyDescent="0.25">
      <c r="F3" s="15"/>
      <c r="K3" s="391"/>
    </row>
    <row r="4" spans="1:11" x14ac:dyDescent="0.25">
      <c r="A4" s="5" t="s">
        <v>2</v>
      </c>
      <c r="B4" s="8"/>
      <c r="C4" s="8"/>
      <c r="D4" s="8"/>
      <c r="E4" s="8"/>
      <c r="F4" s="9"/>
      <c r="G4" s="8" t="s">
        <v>16</v>
      </c>
      <c r="H4" s="8"/>
      <c r="I4" s="8"/>
      <c r="J4" s="8"/>
      <c r="K4" s="9"/>
    </row>
    <row r="5" spans="1:11" x14ac:dyDescent="0.25">
      <c r="A5" s="319">
        <f>'Start Here'!C34</f>
        <v>0</v>
      </c>
      <c r="B5" s="320"/>
      <c r="C5" s="320"/>
      <c r="D5" s="320"/>
      <c r="E5" s="320"/>
      <c r="F5" s="321"/>
      <c r="G5" s="319">
        <f>'Start Here'!C8</f>
        <v>0</v>
      </c>
      <c r="H5" s="320"/>
      <c r="I5" s="320"/>
      <c r="J5" s="320"/>
      <c r="K5" s="321"/>
    </row>
    <row r="6" spans="1:11" x14ac:dyDescent="0.25">
      <c r="A6" s="6" t="s">
        <v>3</v>
      </c>
      <c r="B6" s="4"/>
      <c r="C6" s="4"/>
      <c r="D6" s="4"/>
      <c r="G6" s="4" t="s">
        <v>17</v>
      </c>
      <c r="H6" s="4"/>
      <c r="I6" s="4"/>
      <c r="J6" s="4"/>
      <c r="K6" s="3"/>
    </row>
    <row r="7" spans="1:11" x14ac:dyDescent="0.25">
      <c r="A7" s="322">
        <f>'Start Here'!C23</f>
        <v>0</v>
      </c>
      <c r="B7" s="323"/>
      <c r="C7" s="323"/>
      <c r="D7" s="323"/>
      <c r="E7" s="323"/>
      <c r="F7" s="324"/>
      <c r="G7" s="319">
        <f>'Start Here'!C9</f>
        <v>0</v>
      </c>
      <c r="H7" s="320"/>
      <c r="I7" s="320"/>
      <c r="J7" s="320"/>
      <c r="K7" s="321"/>
    </row>
    <row r="8" spans="1:11" x14ac:dyDescent="0.25">
      <c r="A8" s="17"/>
      <c r="B8" s="17"/>
      <c r="C8" s="17"/>
      <c r="D8" s="17"/>
      <c r="E8" s="17"/>
      <c r="F8" s="17"/>
      <c r="G8" s="17"/>
      <c r="H8" s="17"/>
      <c r="I8" s="17"/>
      <c r="J8" s="17"/>
      <c r="K8" s="17"/>
    </row>
    <row r="9" spans="1:11" x14ac:dyDescent="0.25">
      <c r="A9" s="315" t="s">
        <v>4</v>
      </c>
      <c r="B9" s="315"/>
      <c r="C9" s="315"/>
      <c r="D9" s="315"/>
      <c r="E9" s="315"/>
      <c r="F9" s="315"/>
      <c r="G9" s="315"/>
      <c r="H9" s="315"/>
      <c r="I9" s="315"/>
      <c r="J9" s="315"/>
      <c r="K9" s="315"/>
    </row>
    <row r="10" spans="1:11" x14ac:dyDescent="0.25">
      <c r="A10" s="2"/>
      <c r="B10" s="2"/>
      <c r="C10" s="2"/>
      <c r="D10" s="2"/>
      <c r="E10" s="2"/>
      <c r="F10" s="2"/>
      <c r="G10" s="2"/>
      <c r="H10" s="2"/>
      <c r="I10" s="2"/>
      <c r="J10" s="2"/>
      <c r="K10" s="2"/>
    </row>
    <row r="11" spans="1:11" ht="15.75" customHeight="1" x14ac:dyDescent="0.25">
      <c r="A11" s="5">
        <v>1</v>
      </c>
      <c r="B11" s="250" t="s">
        <v>5</v>
      </c>
      <c r="C11" s="250"/>
      <c r="D11" s="250"/>
      <c r="E11" s="250"/>
      <c r="F11" s="251"/>
      <c r="G11" s="316">
        <f>G5</f>
        <v>0</v>
      </c>
      <c r="H11" s="317"/>
      <c r="I11" s="317"/>
      <c r="J11" s="317"/>
      <c r="K11" s="318"/>
    </row>
    <row r="12" spans="1:11" x14ac:dyDescent="0.25">
      <c r="A12" s="6"/>
      <c r="B12" s="246"/>
      <c r="C12" s="246"/>
      <c r="D12" s="246"/>
      <c r="E12" s="246"/>
      <c r="F12" s="247"/>
      <c r="G12" s="316">
        <f>'Start Here'!C25</f>
        <v>0</v>
      </c>
      <c r="H12" s="317"/>
      <c r="I12" s="317"/>
      <c r="J12" s="317"/>
      <c r="K12" s="318"/>
    </row>
    <row r="13" spans="1:11" x14ac:dyDescent="0.25">
      <c r="A13" s="7"/>
      <c r="B13" s="248"/>
      <c r="C13" s="248"/>
      <c r="D13" s="248"/>
      <c r="E13" s="248"/>
      <c r="F13" s="249"/>
      <c r="G13" s="272"/>
      <c r="H13" s="273"/>
      <c r="I13" s="273"/>
      <c r="J13" s="273"/>
      <c r="K13" s="274"/>
    </row>
    <row r="14" spans="1:11" x14ac:dyDescent="0.25">
      <c r="A14" s="5">
        <v>2</v>
      </c>
      <c r="B14" s="250" t="s">
        <v>244</v>
      </c>
      <c r="C14" s="250"/>
      <c r="D14" s="250"/>
      <c r="E14" s="250"/>
      <c r="F14" s="251"/>
      <c r="G14" s="316">
        <f>A5</f>
        <v>0</v>
      </c>
      <c r="H14" s="317"/>
      <c r="I14" s="317"/>
      <c r="J14" s="317"/>
      <c r="K14" s="318"/>
    </row>
    <row r="15" spans="1:11" x14ac:dyDescent="0.25">
      <c r="A15" s="6"/>
      <c r="B15" s="246"/>
      <c r="C15" s="246"/>
      <c r="D15" s="246"/>
      <c r="E15" s="246"/>
      <c r="F15" s="247"/>
      <c r="G15" s="325">
        <f>'Start Here'!C35</f>
        <v>0</v>
      </c>
      <c r="H15" s="326"/>
      <c r="I15" s="326"/>
      <c r="J15" s="326"/>
      <c r="K15" s="327"/>
    </row>
    <row r="16" spans="1:11" x14ac:dyDescent="0.25">
      <c r="A16" s="7"/>
      <c r="B16" s="248"/>
      <c r="C16" s="248"/>
      <c r="D16" s="248"/>
      <c r="E16" s="248"/>
      <c r="F16" s="249"/>
      <c r="G16" s="325">
        <f>'Start Here'!C36</f>
        <v>0</v>
      </c>
      <c r="H16" s="326"/>
      <c r="I16" s="326"/>
      <c r="J16" s="326"/>
      <c r="K16" s="327"/>
    </row>
    <row r="17" spans="1:11" x14ac:dyDescent="0.25">
      <c r="A17" s="5">
        <v>3</v>
      </c>
      <c r="B17" s="250" t="s">
        <v>6</v>
      </c>
      <c r="C17" s="250"/>
      <c r="D17" s="250"/>
      <c r="E17" s="250"/>
      <c r="F17" s="251"/>
      <c r="G17" s="272"/>
      <c r="H17" s="273"/>
      <c r="I17" s="273"/>
      <c r="J17" s="273"/>
      <c r="K17" s="274"/>
    </row>
    <row r="18" spans="1:11" x14ac:dyDescent="0.25">
      <c r="A18" s="6"/>
      <c r="B18" s="246"/>
      <c r="C18" s="246"/>
      <c r="D18" s="246"/>
      <c r="E18" s="246"/>
      <c r="F18" s="247"/>
      <c r="G18" s="272"/>
      <c r="H18" s="273"/>
      <c r="I18" s="273"/>
      <c r="J18" s="273"/>
      <c r="K18" s="274"/>
    </row>
    <row r="19" spans="1:11" x14ac:dyDescent="0.25">
      <c r="A19" s="7"/>
      <c r="B19" s="248"/>
      <c r="C19" s="248"/>
      <c r="D19" s="248"/>
      <c r="E19" s="248"/>
      <c r="F19" s="249"/>
      <c r="G19" s="272"/>
      <c r="H19" s="273"/>
      <c r="I19" s="273"/>
      <c r="J19" s="273"/>
      <c r="K19" s="274"/>
    </row>
    <row r="20" spans="1:11" x14ac:dyDescent="0.25">
      <c r="A20" s="5">
        <v>4</v>
      </c>
      <c r="B20" s="328" t="s">
        <v>109</v>
      </c>
      <c r="C20" s="328"/>
      <c r="D20" s="328"/>
      <c r="E20" s="328"/>
      <c r="F20" s="329"/>
      <c r="G20" s="8" t="s">
        <v>18</v>
      </c>
      <c r="H20" s="8"/>
      <c r="I20" s="8"/>
      <c r="J20" s="8"/>
      <c r="K20" s="9"/>
    </row>
    <row r="21" spans="1:11" x14ac:dyDescent="0.25">
      <c r="A21" s="6"/>
      <c r="B21" s="330">
        <f>'Start Here'!C42</f>
        <v>0</v>
      </c>
      <c r="C21" s="330"/>
      <c r="D21" s="330"/>
      <c r="E21" s="330"/>
      <c r="F21" s="331"/>
      <c r="G21" s="332">
        <f>'Start Here'!C40</f>
        <v>0</v>
      </c>
      <c r="H21" s="330"/>
      <c r="I21" s="330"/>
      <c r="J21" s="330"/>
      <c r="K21" s="331"/>
    </row>
    <row r="22" spans="1:11" x14ac:dyDescent="0.25">
      <c r="A22" s="7"/>
      <c r="B22" s="320">
        <f>'Start Here'!C43</f>
        <v>0</v>
      </c>
      <c r="C22" s="320"/>
      <c r="D22" s="320"/>
      <c r="E22" s="320"/>
      <c r="F22" s="321"/>
      <c r="G22" s="319">
        <f>'Start Here'!C41</f>
        <v>0</v>
      </c>
      <c r="H22" s="320"/>
      <c r="I22" s="320"/>
      <c r="J22" s="320"/>
      <c r="K22" s="321"/>
    </row>
    <row r="23" spans="1:11" x14ac:dyDescent="0.25">
      <c r="A23" s="5">
        <v>5</v>
      </c>
      <c r="B23" s="250" t="s">
        <v>110</v>
      </c>
      <c r="C23" s="250"/>
      <c r="D23" s="250"/>
      <c r="E23" s="250"/>
      <c r="F23" s="251"/>
      <c r="G23" s="271" t="s">
        <v>19</v>
      </c>
      <c r="H23" s="271"/>
      <c r="I23" s="314"/>
      <c r="J23" s="314"/>
      <c r="K23" s="314"/>
    </row>
    <row r="24" spans="1:11" x14ac:dyDescent="0.25">
      <c r="A24" s="6"/>
      <c r="B24" s="246"/>
      <c r="C24" s="246"/>
      <c r="D24" s="246"/>
      <c r="E24" s="246"/>
      <c r="F24" s="247"/>
      <c r="G24" s="271" t="s">
        <v>20</v>
      </c>
      <c r="H24" s="271"/>
      <c r="I24" s="314"/>
      <c r="J24" s="314"/>
      <c r="K24" s="314"/>
    </row>
    <row r="25" spans="1:11" x14ac:dyDescent="0.25">
      <c r="A25" s="6"/>
      <c r="B25" s="246"/>
      <c r="C25" s="246"/>
      <c r="D25" s="246"/>
      <c r="E25" s="246"/>
      <c r="F25" s="247"/>
      <c r="G25" s="271" t="s">
        <v>21</v>
      </c>
      <c r="H25" s="271"/>
      <c r="I25" s="314"/>
      <c r="J25" s="314"/>
      <c r="K25" s="314"/>
    </row>
    <row r="26" spans="1:11" x14ac:dyDescent="0.25">
      <c r="A26" s="7"/>
      <c r="B26" s="248"/>
      <c r="C26" s="248"/>
      <c r="D26" s="248"/>
      <c r="E26" s="248"/>
      <c r="F26" s="249"/>
      <c r="G26" s="271" t="s">
        <v>22</v>
      </c>
      <c r="H26" s="271"/>
      <c r="I26" s="314"/>
      <c r="J26" s="314"/>
      <c r="K26" s="314"/>
    </row>
    <row r="27" spans="1:11" ht="15.75" customHeight="1" x14ac:dyDescent="0.25">
      <c r="A27" s="5">
        <v>6</v>
      </c>
      <c r="B27" s="250" t="s">
        <v>7</v>
      </c>
      <c r="C27" s="250"/>
      <c r="D27" s="250"/>
      <c r="E27" s="250"/>
      <c r="F27" s="251"/>
      <c r="G27" s="84"/>
      <c r="H27" s="85"/>
      <c r="I27" s="90" t="s">
        <v>228</v>
      </c>
      <c r="J27" s="86"/>
      <c r="K27" s="87"/>
    </row>
    <row r="28" spans="1:11" x14ac:dyDescent="0.25">
      <c r="A28" s="6"/>
      <c r="B28" s="82"/>
      <c r="C28" s="246" t="s">
        <v>251</v>
      </c>
      <c r="D28" s="246"/>
      <c r="E28" s="246"/>
      <c r="F28" s="247"/>
      <c r="G28" s="101">
        <v>0</v>
      </c>
      <c r="H28" s="89" t="s">
        <v>23</v>
      </c>
      <c r="I28" s="311"/>
      <c r="J28" s="312"/>
      <c r="K28" s="313"/>
    </row>
    <row r="29" spans="1:11" x14ac:dyDescent="0.25">
      <c r="A29" s="6"/>
      <c r="B29" s="82"/>
      <c r="C29" s="246" t="s">
        <v>220</v>
      </c>
      <c r="D29" s="246"/>
      <c r="E29" s="246"/>
      <c r="F29" s="247"/>
      <c r="G29" s="101">
        <v>0</v>
      </c>
      <c r="H29" s="13" t="s">
        <v>23</v>
      </c>
      <c r="I29" s="307" t="s">
        <v>229</v>
      </c>
      <c r="J29" s="271"/>
      <c r="K29" s="271"/>
    </row>
    <row r="30" spans="1:11" x14ac:dyDescent="0.25">
      <c r="A30" s="6"/>
      <c r="B30" s="82"/>
      <c r="C30" s="246" t="s">
        <v>221</v>
      </c>
      <c r="D30" s="246"/>
      <c r="E30" s="246"/>
      <c r="F30" s="247"/>
      <c r="G30" s="101">
        <v>0</v>
      </c>
      <c r="H30" s="13" t="s">
        <v>23</v>
      </c>
      <c r="I30" s="333" t="s">
        <v>229</v>
      </c>
      <c r="J30" s="276"/>
      <c r="K30" s="277"/>
    </row>
    <row r="31" spans="1:11" ht="15.75" customHeight="1" x14ac:dyDescent="0.25">
      <c r="A31" s="6"/>
      <c r="B31" s="137"/>
      <c r="C31" s="246" t="s">
        <v>250</v>
      </c>
      <c r="D31" s="246"/>
      <c r="E31" s="246"/>
      <c r="F31" s="247"/>
      <c r="G31" s="233">
        <v>0</v>
      </c>
      <c r="H31" s="235" t="s">
        <v>23</v>
      </c>
      <c r="I31" s="240" t="s">
        <v>223</v>
      </c>
      <c r="J31" s="241"/>
      <c r="K31" s="242"/>
    </row>
    <row r="32" spans="1:11" x14ac:dyDescent="0.25">
      <c r="A32" s="6"/>
      <c r="B32" s="140"/>
      <c r="C32" s="246"/>
      <c r="D32" s="246"/>
      <c r="E32" s="246"/>
      <c r="F32" s="247"/>
      <c r="G32" s="234"/>
      <c r="H32" s="236"/>
      <c r="I32" s="237" t="s">
        <v>266</v>
      </c>
      <c r="J32" s="238"/>
      <c r="K32" s="239"/>
    </row>
    <row r="33" spans="1:11" ht="15.6" x14ac:dyDescent="0.35">
      <c r="A33" s="6"/>
      <c r="B33" s="82"/>
      <c r="C33" s="246" t="s">
        <v>222</v>
      </c>
      <c r="D33" s="246"/>
      <c r="E33" s="246"/>
      <c r="F33" s="247"/>
      <c r="G33" s="101">
        <v>0</v>
      </c>
      <c r="H33" s="13" t="s">
        <v>23</v>
      </c>
      <c r="I33" s="333" t="s">
        <v>223</v>
      </c>
      <c r="J33" s="276"/>
      <c r="K33" s="277"/>
    </row>
    <row r="34" spans="1:11" ht="27.75" customHeight="1" x14ac:dyDescent="0.35">
      <c r="A34" s="6"/>
      <c r="B34" s="82"/>
      <c r="C34" s="246" t="s">
        <v>224</v>
      </c>
      <c r="D34" s="246"/>
      <c r="E34" s="246"/>
      <c r="F34" s="247"/>
      <c r="G34" s="144">
        <v>0</v>
      </c>
      <c r="H34" s="143" t="s">
        <v>23</v>
      </c>
      <c r="I34" s="336" t="s">
        <v>243</v>
      </c>
      <c r="J34" s="337"/>
      <c r="K34" s="338"/>
    </row>
    <row r="35" spans="1:11" ht="15.6" x14ac:dyDescent="0.35">
      <c r="A35" s="6"/>
      <c r="B35" s="82"/>
      <c r="C35" s="246" t="s">
        <v>225</v>
      </c>
      <c r="D35" s="246"/>
      <c r="E35" s="246"/>
      <c r="F35" s="247"/>
      <c r="G35" s="14">
        <f>G28</f>
        <v>0</v>
      </c>
      <c r="H35" s="89" t="s">
        <v>23</v>
      </c>
      <c r="I35" s="336" t="s">
        <v>252</v>
      </c>
      <c r="J35" s="337"/>
      <c r="K35" s="338"/>
    </row>
    <row r="36" spans="1:11" ht="15.6" x14ac:dyDescent="0.35">
      <c r="A36" s="6"/>
      <c r="B36" s="82"/>
      <c r="C36" s="246" t="s">
        <v>226</v>
      </c>
      <c r="D36" s="246"/>
      <c r="E36" s="246"/>
      <c r="F36" s="247"/>
      <c r="G36" s="14">
        <f>SUM(G28+G33)</f>
        <v>0</v>
      </c>
      <c r="H36" s="89" t="s">
        <v>23</v>
      </c>
      <c r="I36" s="278"/>
      <c r="J36" s="279"/>
      <c r="K36" s="280"/>
    </row>
    <row r="37" spans="1:11" ht="15.6" x14ac:dyDescent="0.35">
      <c r="A37" s="7"/>
      <c r="B37" s="88"/>
      <c r="C37" s="248" t="s">
        <v>227</v>
      </c>
      <c r="D37" s="248"/>
      <c r="E37" s="248"/>
      <c r="F37" s="249"/>
      <c r="G37" s="14">
        <f>SUM(G28+G31+G33+G34)</f>
        <v>0</v>
      </c>
      <c r="H37" s="89" t="s">
        <v>23</v>
      </c>
      <c r="I37" s="278"/>
      <c r="J37" s="279"/>
      <c r="K37" s="280"/>
    </row>
    <row r="38" spans="1:11" ht="39.75" customHeight="1" x14ac:dyDescent="0.25">
      <c r="A38" s="10">
        <v>7</v>
      </c>
      <c r="B38" s="250" t="s">
        <v>325</v>
      </c>
      <c r="C38" s="250"/>
      <c r="D38" s="250"/>
      <c r="E38" s="250"/>
      <c r="F38" s="251"/>
      <c r="G38" s="302" t="s">
        <v>135</v>
      </c>
      <c r="H38" s="250"/>
      <c r="I38" s="250"/>
      <c r="J38" s="250"/>
      <c r="K38" s="251"/>
    </row>
    <row r="39" spans="1:11" ht="58.5" customHeight="1" x14ac:dyDescent="0.25">
      <c r="A39" s="7"/>
      <c r="B39" s="248"/>
      <c r="C39" s="248"/>
      <c r="D39" s="248"/>
      <c r="E39" s="248"/>
      <c r="F39" s="249"/>
      <c r="G39" s="308" t="s">
        <v>326</v>
      </c>
      <c r="H39" s="309"/>
      <c r="I39" s="309"/>
      <c r="J39" s="309"/>
      <c r="K39" s="310"/>
    </row>
    <row r="40" spans="1:11" ht="48" customHeight="1" x14ac:dyDescent="0.35">
      <c r="A40" s="11">
        <v>8</v>
      </c>
      <c r="B40" s="266" t="s">
        <v>333</v>
      </c>
      <c r="C40" s="266"/>
      <c r="D40" s="266"/>
      <c r="E40" s="266"/>
      <c r="F40" s="267"/>
      <c r="G40" s="265" t="s">
        <v>332</v>
      </c>
      <c r="H40" s="266"/>
      <c r="I40" s="266"/>
      <c r="J40" s="266"/>
      <c r="K40" s="267"/>
    </row>
    <row r="41" spans="1:11" x14ac:dyDescent="0.25">
      <c r="A41" s="5">
        <v>9</v>
      </c>
      <c r="B41" s="250" t="s">
        <v>8</v>
      </c>
      <c r="C41" s="250"/>
      <c r="D41" s="250"/>
      <c r="E41" s="250"/>
      <c r="F41" s="251"/>
      <c r="G41" s="12"/>
      <c r="H41" s="271" t="s">
        <v>25</v>
      </c>
      <c r="I41" s="271"/>
      <c r="J41" s="101">
        <v>0</v>
      </c>
      <c r="K41" s="12" t="s">
        <v>23</v>
      </c>
    </row>
    <row r="42" spans="1:11" x14ac:dyDescent="0.25">
      <c r="A42" s="6"/>
      <c r="B42" s="246"/>
      <c r="C42" s="246"/>
      <c r="D42" s="246"/>
      <c r="E42" s="246"/>
      <c r="F42" s="247"/>
      <c r="G42" s="12"/>
      <c r="H42" s="271" t="s">
        <v>24</v>
      </c>
      <c r="I42" s="271"/>
      <c r="J42" s="101">
        <v>0</v>
      </c>
      <c r="K42" s="12" t="s">
        <v>23</v>
      </c>
    </row>
    <row r="43" spans="1:11" x14ac:dyDescent="0.25">
      <c r="A43" s="6"/>
      <c r="B43" s="246"/>
      <c r="C43" s="246"/>
      <c r="D43" s="246"/>
      <c r="E43" s="246"/>
      <c r="F43" s="247"/>
      <c r="G43" s="12"/>
      <c r="H43" s="271" t="s">
        <v>26</v>
      </c>
      <c r="I43" s="271"/>
      <c r="J43" s="101">
        <v>0</v>
      </c>
      <c r="K43" s="12" t="s">
        <v>23</v>
      </c>
    </row>
    <row r="44" spans="1:11" x14ac:dyDescent="0.25">
      <c r="A44" s="6"/>
      <c r="B44" s="246"/>
      <c r="C44" s="246"/>
      <c r="D44" s="246"/>
      <c r="E44" s="246"/>
      <c r="F44" s="247"/>
      <c r="G44" s="12"/>
      <c r="H44" s="271" t="s">
        <v>27</v>
      </c>
      <c r="I44" s="271"/>
      <c r="J44" s="101">
        <v>0</v>
      </c>
      <c r="K44" s="12" t="s">
        <v>23</v>
      </c>
    </row>
    <row r="45" spans="1:11" x14ac:dyDescent="0.25">
      <c r="A45" s="6"/>
      <c r="B45" s="246"/>
      <c r="C45" s="246"/>
      <c r="D45" s="246"/>
      <c r="E45" s="246"/>
      <c r="F45" s="247"/>
      <c r="G45" s="13"/>
      <c r="H45" s="277" t="s">
        <v>28</v>
      </c>
      <c r="I45" s="271"/>
      <c r="J45" s="14">
        <f>SUM(J41+J42+J43+J44)</f>
        <v>0</v>
      </c>
      <c r="K45" s="12" t="s">
        <v>23</v>
      </c>
    </row>
    <row r="46" spans="1:11" x14ac:dyDescent="0.25">
      <c r="A46" s="6"/>
      <c r="B46" s="246"/>
      <c r="C46" s="246"/>
      <c r="D46" s="246"/>
      <c r="E46" s="246"/>
      <c r="F46" s="247"/>
      <c r="G46" s="12" t="s">
        <v>29</v>
      </c>
      <c r="H46" s="12"/>
      <c r="I46" s="12"/>
      <c r="J46" s="334" t="e">
        <f>SUM(J45/G35)</f>
        <v>#DIV/0!</v>
      </c>
      <c r="K46" s="335"/>
    </row>
    <row r="47" spans="1:11" x14ac:dyDescent="0.25">
      <c r="A47" s="7"/>
      <c r="B47" s="248"/>
      <c r="C47" s="248"/>
      <c r="D47" s="248"/>
      <c r="E47" s="248"/>
      <c r="F47" s="249"/>
      <c r="G47" s="275" t="s">
        <v>30</v>
      </c>
      <c r="H47" s="276"/>
      <c r="I47" s="276"/>
      <c r="J47" s="276"/>
      <c r="K47" s="107"/>
    </row>
    <row r="48" spans="1:11" ht="15.75" customHeight="1" x14ac:dyDescent="0.25">
      <c r="A48" s="5">
        <v>10</v>
      </c>
      <c r="B48" s="250" t="s">
        <v>9</v>
      </c>
      <c r="C48" s="250"/>
      <c r="D48" s="250"/>
      <c r="E48" s="250"/>
      <c r="F48" s="251"/>
      <c r="G48" s="271" t="s">
        <v>31</v>
      </c>
      <c r="H48" s="271"/>
      <c r="I48" s="271"/>
      <c r="J48" s="101">
        <v>0</v>
      </c>
      <c r="K48" s="12" t="s">
        <v>23</v>
      </c>
    </row>
    <row r="49" spans="1:11" x14ac:dyDescent="0.25">
      <c r="A49" s="6"/>
      <c r="B49" s="246"/>
      <c r="C49" s="246"/>
      <c r="D49" s="246"/>
      <c r="E49" s="246"/>
      <c r="F49" s="247"/>
      <c r="G49" s="271" t="s">
        <v>32</v>
      </c>
      <c r="H49" s="271"/>
      <c r="I49" s="271"/>
      <c r="J49" s="101">
        <v>0</v>
      </c>
      <c r="K49" s="12" t="s">
        <v>23</v>
      </c>
    </row>
    <row r="50" spans="1:11" x14ac:dyDescent="0.25">
      <c r="A50" s="6"/>
      <c r="B50" s="246"/>
      <c r="C50" s="246"/>
      <c r="D50" s="246"/>
      <c r="E50" s="246"/>
      <c r="F50" s="247"/>
      <c r="G50" s="271" t="s">
        <v>33</v>
      </c>
      <c r="H50" s="271"/>
      <c r="I50" s="271"/>
      <c r="J50" s="101">
        <v>0</v>
      </c>
      <c r="K50" s="12" t="s">
        <v>23</v>
      </c>
    </row>
    <row r="51" spans="1:11" x14ac:dyDescent="0.25">
      <c r="A51" s="6"/>
      <c r="B51" s="246"/>
      <c r="C51" s="246"/>
      <c r="D51" s="246"/>
      <c r="E51" s="246"/>
      <c r="F51" s="247"/>
      <c r="G51" s="271" t="s">
        <v>34</v>
      </c>
      <c r="H51" s="271"/>
      <c r="I51" s="271"/>
      <c r="J51" s="101">
        <v>0</v>
      </c>
      <c r="K51" s="12" t="s">
        <v>23</v>
      </c>
    </row>
    <row r="52" spans="1:11" x14ac:dyDescent="0.25">
      <c r="A52" s="6"/>
      <c r="B52" s="150"/>
      <c r="C52" s="150"/>
      <c r="D52" s="150"/>
      <c r="E52" s="150"/>
      <c r="F52" s="151"/>
      <c r="G52" s="271" t="s">
        <v>35</v>
      </c>
      <c r="H52" s="271"/>
      <c r="I52" s="271"/>
      <c r="J52" s="101">
        <v>0</v>
      </c>
      <c r="K52" s="12" t="s">
        <v>23</v>
      </c>
    </row>
    <row r="53" spans="1:11" ht="15.75" customHeight="1" x14ac:dyDescent="0.25">
      <c r="A53" s="6"/>
      <c r="B53" s="246" t="s">
        <v>267</v>
      </c>
      <c r="C53" s="246"/>
      <c r="D53" s="246"/>
      <c r="E53" s="246"/>
      <c r="F53" s="150" t="str">
        <f>IF(C55+E55 &gt;= 1, "Yes", "No")</f>
        <v>Yes</v>
      </c>
      <c r="G53" s="271" t="s">
        <v>36</v>
      </c>
      <c r="H53" s="271"/>
      <c r="I53" s="271"/>
      <c r="J53" s="101">
        <v>0</v>
      </c>
      <c r="K53" s="12" t="s">
        <v>23</v>
      </c>
    </row>
    <row r="54" spans="1:11" x14ac:dyDescent="0.25">
      <c r="A54" s="6"/>
      <c r="B54" s="246" t="s">
        <v>270</v>
      </c>
      <c r="C54" s="246"/>
      <c r="D54" s="246"/>
      <c r="E54" s="246"/>
      <c r="F54" s="151" t="str">
        <f>IF(B55 &gt;=F55, "Ineligible", "Eligible")</f>
        <v>Ineligible</v>
      </c>
      <c r="G54" s="271" t="s">
        <v>37</v>
      </c>
      <c r="H54" s="271"/>
      <c r="I54" s="271"/>
      <c r="J54" s="101">
        <v>0</v>
      </c>
      <c r="K54" s="12" t="s">
        <v>23</v>
      </c>
    </row>
    <row r="55" spans="1:11" x14ac:dyDescent="0.25">
      <c r="A55" s="6"/>
      <c r="B55" s="152">
        <f>SUM(J51+J52)</f>
        <v>0</v>
      </c>
      <c r="C55" s="153">
        <f>IF(B55 &gt;=40, 1, 0)</f>
        <v>0</v>
      </c>
      <c r="D55" s="152">
        <f>SUM(G35*20%)</f>
        <v>0</v>
      </c>
      <c r="E55" s="152">
        <f>IF(B55 &gt;= D55, 1, 0)</f>
        <v>1</v>
      </c>
      <c r="F55" s="154">
        <f>SUM(G35*66%)</f>
        <v>0</v>
      </c>
      <c r="G55" s="271" t="s">
        <v>38</v>
      </c>
      <c r="H55" s="271"/>
      <c r="I55" s="271"/>
      <c r="J55" s="14">
        <f>SUM(J48:J54)</f>
        <v>0</v>
      </c>
      <c r="K55" s="12" t="s">
        <v>39</v>
      </c>
    </row>
    <row r="56" spans="1:11" x14ac:dyDescent="0.25">
      <c r="A56" s="7"/>
      <c r="B56" s="155"/>
      <c r="C56" s="155" t="s">
        <v>268</v>
      </c>
      <c r="D56" s="155" t="s">
        <v>269</v>
      </c>
      <c r="E56" s="155"/>
      <c r="F56" s="156"/>
      <c r="G56" s="275" t="s">
        <v>40</v>
      </c>
      <c r="H56" s="276"/>
      <c r="I56" s="276"/>
      <c r="J56" s="276"/>
      <c r="K56" s="109">
        <f>IF(G35 =J55, 1, 0)</f>
        <v>1</v>
      </c>
    </row>
    <row r="57" spans="1:11" x14ac:dyDescent="0.25">
      <c r="A57" s="5">
        <v>11</v>
      </c>
      <c r="B57" s="250" t="s">
        <v>273</v>
      </c>
      <c r="C57" s="250"/>
      <c r="D57" s="250"/>
      <c r="E57" s="250"/>
      <c r="F57" s="251"/>
      <c r="G57" s="271" t="s">
        <v>274</v>
      </c>
      <c r="H57" s="271"/>
      <c r="I57" s="271"/>
      <c r="J57" s="271"/>
      <c r="K57" s="108">
        <f>SUM((G36*0.02)*43560)</f>
        <v>0</v>
      </c>
    </row>
    <row r="58" spans="1:11" x14ac:dyDescent="0.25">
      <c r="A58" s="6"/>
      <c r="B58" s="246"/>
      <c r="C58" s="246"/>
      <c r="D58" s="246"/>
      <c r="E58" s="246"/>
      <c r="F58" s="247"/>
      <c r="G58" s="275" t="s">
        <v>275</v>
      </c>
      <c r="H58" s="276"/>
      <c r="I58" s="276"/>
      <c r="J58" s="277"/>
      <c r="K58" s="157">
        <v>0</v>
      </c>
    </row>
    <row r="59" spans="1:11" x14ac:dyDescent="0.25">
      <c r="A59" s="6"/>
      <c r="B59" s="246"/>
      <c r="C59" s="246"/>
      <c r="D59" s="246"/>
      <c r="E59" s="246"/>
      <c r="F59" s="247"/>
      <c r="G59" s="271" t="s">
        <v>272</v>
      </c>
      <c r="H59" s="271"/>
      <c r="I59" s="271"/>
      <c r="J59" s="271"/>
      <c r="K59" s="157">
        <v>0</v>
      </c>
    </row>
    <row r="60" spans="1:11" x14ac:dyDescent="0.25">
      <c r="A60" s="7"/>
      <c r="B60" s="103"/>
      <c r="C60" s="103"/>
      <c r="D60" s="103"/>
      <c r="E60" s="103"/>
      <c r="F60" s="104"/>
      <c r="G60" s="275" t="s">
        <v>276</v>
      </c>
      <c r="H60" s="276"/>
      <c r="I60" s="276"/>
      <c r="J60" s="277"/>
      <c r="K60" s="108">
        <f>SUM(K58+K59)</f>
        <v>0</v>
      </c>
    </row>
    <row r="61" spans="1:11" x14ac:dyDescent="0.25">
      <c r="A61" s="5">
        <v>12</v>
      </c>
      <c r="B61" s="250" t="s">
        <v>254</v>
      </c>
      <c r="C61" s="250"/>
      <c r="D61" s="250"/>
      <c r="E61" s="250"/>
      <c r="F61" s="251"/>
      <c r="G61" s="252" t="s">
        <v>41</v>
      </c>
      <c r="H61" s="252"/>
      <c r="I61" s="252"/>
      <c r="J61" s="41" t="s">
        <v>42</v>
      </c>
      <c r="K61" s="41" t="s">
        <v>43</v>
      </c>
    </row>
    <row r="62" spans="1:11" x14ac:dyDescent="0.25">
      <c r="A62" s="6"/>
      <c r="B62" s="246"/>
      <c r="C62" s="246"/>
      <c r="D62" s="246"/>
      <c r="E62" s="246"/>
      <c r="F62" s="247"/>
      <c r="G62" s="253" t="s">
        <v>44</v>
      </c>
      <c r="H62" s="253"/>
      <c r="I62" s="253"/>
      <c r="J62" s="102"/>
      <c r="K62" s="102"/>
    </row>
    <row r="63" spans="1:11" x14ac:dyDescent="0.25">
      <c r="A63" s="6"/>
      <c r="B63" s="246"/>
      <c r="C63" s="246"/>
      <c r="D63" s="246"/>
      <c r="E63" s="246"/>
      <c r="F63" s="247"/>
      <c r="G63" s="254" t="s">
        <v>45</v>
      </c>
      <c r="H63" s="254"/>
      <c r="I63" s="254"/>
      <c r="J63" s="102"/>
      <c r="K63" s="102"/>
    </row>
    <row r="64" spans="1:11" x14ac:dyDescent="0.25">
      <c r="A64" s="6"/>
      <c r="B64" s="246"/>
      <c r="C64" s="246"/>
      <c r="D64" s="246"/>
      <c r="E64" s="246"/>
      <c r="F64" s="247"/>
      <c r="G64" s="253" t="s">
        <v>46</v>
      </c>
      <c r="H64" s="253"/>
      <c r="I64" s="253"/>
      <c r="J64" s="102"/>
      <c r="K64" s="102"/>
    </row>
    <row r="65" spans="1:15" x14ac:dyDescent="0.25">
      <c r="A65" s="6"/>
      <c r="B65" s="246"/>
      <c r="C65" s="246"/>
      <c r="D65" s="246"/>
      <c r="E65" s="246"/>
      <c r="F65" s="247"/>
      <c r="G65" s="254" t="s">
        <v>45</v>
      </c>
      <c r="H65" s="254"/>
      <c r="I65" s="254"/>
      <c r="J65" s="102"/>
      <c r="K65" s="102"/>
    </row>
    <row r="66" spans="1:15" x14ac:dyDescent="0.25">
      <c r="A66" s="6"/>
      <c r="B66" s="246"/>
      <c r="C66" s="246"/>
      <c r="D66" s="246"/>
      <c r="E66" s="246"/>
      <c r="F66" s="247"/>
      <c r="G66" s="255" t="s">
        <v>47</v>
      </c>
      <c r="H66" s="255"/>
      <c r="I66" s="255"/>
      <c r="J66" s="102"/>
      <c r="K66" s="102"/>
    </row>
    <row r="67" spans="1:15" x14ac:dyDescent="0.25">
      <c r="A67" s="7"/>
      <c r="B67" s="248"/>
      <c r="C67" s="248"/>
      <c r="D67" s="248"/>
      <c r="E67" s="248"/>
      <c r="F67" s="249"/>
      <c r="G67" s="255" t="s">
        <v>253</v>
      </c>
      <c r="H67" s="255"/>
      <c r="I67" s="255"/>
      <c r="J67" s="102"/>
      <c r="K67" s="102"/>
    </row>
    <row r="68" spans="1:15" customFormat="1" ht="35.25" customHeight="1" x14ac:dyDescent="0.25">
      <c r="A68" s="256">
        <v>13</v>
      </c>
      <c r="B68" s="250" t="s">
        <v>245</v>
      </c>
      <c r="C68" s="250"/>
      <c r="D68" s="250"/>
      <c r="E68" s="250"/>
      <c r="F68" s="251"/>
      <c r="G68" s="265" t="s">
        <v>240</v>
      </c>
      <c r="H68" s="266"/>
      <c r="I68" s="266"/>
      <c r="J68" s="266"/>
      <c r="K68" s="267"/>
    </row>
    <row r="69" spans="1:15" customFormat="1" ht="15" customHeight="1" x14ac:dyDescent="0.25">
      <c r="A69" s="257"/>
      <c r="B69" s="246"/>
      <c r="C69" s="246"/>
      <c r="D69" s="246"/>
      <c r="E69" s="246"/>
      <c r="F69" s="247"/>
      <c r="G69" s="268"/>
      <c r="H69" s="269"/>
      <c r="I69" s="269"/>
      <c r="J69" s="269"/>
      <c r="K69" s="270"/>
      <c r="M69" s="138"/>
    </row>
    <row r="70" spans="1:15" customFormat="1" ht="15" customHeight="1" x14ac:dyDescent="0.25">
      <c r="A70" s="258"/>
      <c r="B70" s="297" t="s">
        <v>246</v>
      </c>
      <c r="C70" s="297"/>
      <c r="D70" s="297"/>
      <c r="E70" s="297"/>
      <c r="F70" s="298"/>
      <c r="G70" s="272"/>
      <c r="H70" s="273"/>
      <c r="I70" s="273"/>
      <c r="J70" s="273"/>
      <c r="K70" s="274"/>
    </row>
    <row r="71" spans="1:15" customFormat="1" ht="35.25" customHeight="1" x14ac:dyDescent="0.25">
      <c r="A71" s="256">
        <v>14</v>
      </c>
      <c r="B71" s="259" t="s">
        <v>230</v>
      </c>
      <c r="C71" s="259"/>
      <c r="D71" s="259"/>
      <c r="E71" s="259"/>
      <c r="F71" s="260"/>
      <c r="G71" s="265" t="s">
        <v>241</v>
      </c>
      <c r="H71" s="266"/>
      <c r="I71" s="266"/>
      <c r="J71" s="266"/>
      <c r="K71" s="267"/>
      <c r="L71" s="1"/>
      <c r="M71" s="138"/>
    </row>
    <row r="72" spans="1:15" customFormat="1" ht="15" customHeight="1" x14ac:dyDescent="0.25">
      <c r="A72" s="257"/>
      <c r="B72" s="261"/>
      <c r="C72" s="261"/>
      <c r="D72" s="261"/>
      <c r="E72" s="261"/>
      <c r="F72" s="262"/>
      <c r="G72" s="268"/>
      <c r="H72" s="269"/>
      <c r="I72" s="269"/>
      <c r="J72" s="269"/>
      <c r="K72" s="270"/>
    </row>
    <row r="73" spans="1:15" customFormat="1" ht="15" customHeight="1" x14ac:dyDescent="0.25">
      <c r="A73" s="258"/>
      <c r="B73" s="263"/>
      <c r="C73" s="263"/>
      <c r="D73" s="263"/>
      <c r="E73" s="263"/>
      <c r="F73" s="264"/>
      <c r="G73" s="272"/>
      <c r="H73" s="273"/>
      <c r="I73" s="273"/>
      <c r="J73" s="273"/>
      <c r="K73" s="274"/>
    </row>
    <row r="74" spans="1:15" ht="47.25" customHeight="1" x14ac:dyDescent="0.25">
      <c r="A74" s="243">
        <v>15</v>
      </c>
      <c r="B74" s="250" t="s">
        <v>262</v>
      </c>
      <c r="C74" s="250"/>
      <c r="D74" s="250"/>
      <c r="E74" s="250"/>
      <c r="F74" s="251"/>
      <c r="G74" s="265" t="s">
        <v>264</v>
      </c>
      <c r="H74" s="266"/>
      <c r="I74" s="266"/>
      <c r="J74" s="266"/>
      <c r="K74" s="267"/>
    </row>
    <row r="75" spans="1:15" x14ac:dyDescent="0.25">
      <c r="A75" s="244"/>
      <c r="B75" s="246"/>
      <c r="C75" s="246"/>
      <c r="D75" s="246"/>
      <c r="E75" s="246"/>
      <c r="F75" s="247"/>
      <c r="G75" s="304"/>
      <c r="H75" s="305"/>
      <c r="I75" s="305"/>
      <c r="J75" s="305"/>
      <c r="K75" s="306"/>
    </row>
    <row r="76" spans="1:15" x14ac:dyDescent="0.25">
      <c r="A76" s="245"/>
      <c r="B76" s="295" t="s">
        <v>263</v>
      </c>
      <c r="C76" s="295"/>
      <c r="D76" s="295"/>
      <c r="E76" s="295"/>
      <c r="F76" s="296"/>
      <c r="G76" s="304"/>
      <c r="H76" s="305"/>
      <c r="I76" s="305"/>
      <c r="J76" s="305"/>
      <c r="K76" s="306"/>
    </row>
    <row r="77" spans="1:15" x14ac:dyDescent="0.25">
      <c r="A77" s="5">
        <v>16</v>
      </c>
      <c r="B77" s="250" t="s">
        <v>255</v>
      </c>
      <c r="C77" s="250"/>
      <c r="D77" s="250"/>
      <c r="E77" s="250"/>
      <c r="F77" s="251"/>
      <c r="G77" s="302" t="s">
        <v>256</v>
      </c>
      <c r="H77" s="250"/>
      <c r="I77" s="250"/>
      <c r="J77" s="250"/>
      <c r="K77" s="251"/>
      <c r="O77" s="138"/>
    </row>
    <row r="78" spans="1:15" ht="31.5" customHeight="1" x14ac:dyDescent="0.25">
      <c r="A78" s="6"/>
      <c r="B78" s="246"/>
      <c r="C78" s="246"/>
      <c r="D78" s="246"/>
      <c r="E78" s="246"/>
      <c r="F78" s="247"/>
      <c r="G78" s="303"/>
      <c r="H78" s="246"/>
      <c r="I78" s="246"/>
      <c r="J78" s="246"/>
      <c r="K78" s="247"/>
    </row>
    <row r="79" spans="1:15" x14ac:dyDescent="0.25">
      <c r="A79" s="6"/>
      <c r="B79" s="246"/>
      <c r="C79" s="246"/>
      <c r="D79" s="246"/>
      <c r="E79" s="246"/>
      <c r="F79" s="247"/>
      <c r="G79" s="272"/>
      <c r="H79" s="273"/>
      <c r="I79" s="273"/>
      <c r="J79" s="273"/>
      <c r="K79" s="274"/>
    </row>
    <row r="80" spans="1:15" x14ac:dyDescent="0.25">
      <c r="A80" s="7"/>
      <c r="B80" s="248"/>
      <c r="C80" s="248"/>
      <c r="D80" s="248"/>
      <c r="E80" s="248"/>
      <c r="F80" s="249"/>
      <c r="G80" s="272"/>
      <c r="H80" s="273"/>
      <c r="I80" s="273"/>
      <c r="J80" s="273"/>
      <c r="K80" s="274"/>
    </row>
    <row r="81" spans="1:11" ht="46.5" customHeight="1" x14ac:dyDescent="0.25">
      <c r="A81" s="292">
        <v>17</v>
      </c>
      <c r="B81" s="250" t="s">
        <v>10</v>
      </c>
      <c r="C81" s="250"/>
      <c r="D81" s="250"/>
      <c r="E81" s="250"/>
      <c r="F81" s="251"/>
      <c r="G81" s="265" t="s">
        <v>242</v>
      </c>
      <c r="H81" s="266"/>
      <c r="I81" s="266"/>
      <c r="J81" s="266"/>
      <c r="K81" s="267"/>
    </row>
    <row r="82" spans="1:11" x14ac:dyDescent="0.25">
      <c r="A82" s="293"/>
      <c r="B82" s="246"/>
      <c r="C82" s="246"/>
      <c r="D82" s="246"/>
      <c r="E82" s="246"/>
      <c r="F82" s="247"/>
      <c r="G82" s="289"/>
      <c r="H82" s="290"/>
      <c r="I82" s="290"/>
      <c r="J82" s="290"/>
      <c r="K82" s="291"/>
    </row>
    <row r="83" spans="1:11" x14ac:dyDescent="0.25">
      <c r="A83" s="294"/>
      <c r="B83" s="248"/>
      <c r="C83" s="248"/>
      <c r="D83" s="248"/>
      <c r="E83" s="248"/>
      <c r="F83" s="249"/>
      <c r="G83" s="289"/>
      <c r="H83" s="290"/>
      <c r="I83" s="290"/>
      <c r="J83" s="290"/>
      <c r="K83" s="291"/>
    </row>
    <row r="84" spans="1:11" x14ac:dyDescent="0.25">
      <c r="A84" s="16">
        <v>18</v>
      </c>
      <c r="B84" s="287" t="s">
        <v>11</v>
      </c>
      <c r="C84" s="287"/>
      <c r="D84" s="287"/>
      <c r="E84" s="287"/>
      <c r="F84" s="288"/>
      <c r="G84" s="284">
        <v>0</v>
      </c>
      <c r="H84" s="285"/>
      <c r="I84" s="285"/>
      <c r="J84" s="285"/>
      <c r="K84" s="286"/>
    </row>
    <row r="85" spans="1:11" x14ac:dyDescent="0.25">
      <c r="A85" s="16">
        <v>19</v>
      </c>
      <c r="B85" s="287" t="s">
        <v>12</v>
      </c>
      <c r="C85" s="287"/>
      <c r="D85" s="287"/>
      <c r="E85" s="287"/>
      <c r="F85" s="288"/>
      <c r="G85" s="284">
        <v>0</v>
      </c>
      <c r="H85" s="285"/>
      <c r="I85" s="285"/>
      <c r="J85" s="285"/>
      <c r="K85" s="286"/>
    </row>
    <row r="86" spans="1:11" ht="30.75" customHeight="1" x14ac:dyDescent="0.25">
      <c r="A86" s="11">
        <v>20</v>
      </c>
      <c r="B86" s="266" t="s">
        <v>13</v>
      </c>
      <c r="C86" s="266"/>
      <c r="D86" s="266"/>
      <c r="E86" s="266"/>
      <c r="F86" s="267"/>
      <c r="G86" s="299" t="s">
        <v>48</v>
      </c>
      <c r="H86" s="300"/>
      <c r="I86" s="300"/>
      <c r="J86" s="300"/>
      <c r="K86" s="301"/>
    </row>
    <row r="87" spans="1:11" x14ac:dyDescent="0.25">
      <c r="F87" s="8"/>
    </row>
    <row r="88" spans="1:11" x14ac:dyDescent="0.25">
      <c r="F88" s="4"/>
    </row>
    <row r="89" spans="1:11" x14ac:dyDescent="0.25">
      <c r="F89" s="4"/>
    </row>
    <row r="90" spans="1:11" x14ac:dyDescent="0.25">
      <c r="B90" s="15"/>
      <c r="C90" s="15"/>
      <c r="D90" s="15"/>
      <c r="E90" s="15"/>
      <c r="F90" s="15"/>
      <c r="H90" s="15"/>
      <c r="I90" s="15"/>
      <c r="J90" s="15"/>
    </row>
    <row r="91" spans="1:11" x14ac:dyDescent="0.25">
      <c r="B91" s="210" t="s">
        <v>14</v>
      </c>
      <c r="C91" s="210"/>
      <c r="D91" s="210"/>
      <c r="E91" s="210"/>
      <c r="F91" s="210"/>
      <c r="H91" s="210" t="s">
        <v>49</v>
      </c>
      <c r="I91" s="210"/>
      <c r="J91" s="210"/>
    </row>
    <row r="92" spans="1:11" x14ac:dyDescent="0.25">
      <c r="F92" s="4"/>
    </row>
    <row r="93" spans="1:11" ht="79.5" customHeight="1" x14ac:dyDescent="0.25">
      <c r="A93" s="281" t="s">
        <v>15</v>
      </c>
      <c r="B93" s="282"/>
      <c r="C93" s="282"/>
      <c r="D93" s="282"/>
      <c r="E93" s="282"/>
      <c r="F93" s="282"/>
      <c r="G93" s="282"/>
      <c r="H93" s="282"/>
      <c r="I93" s="282"/>
      <c r="J93" s="282"/>
      <c r="K93" s="283"/>
    </row>
    <row r="94" spans="1:11" x14ac:dyDescent="0.25">
      <c r="F94" s="4"/>
    </row>
    <row r="95" spans="1:11" x14ac:dyDescent="0.25">
      <c r="F95" s="4"/>
    </row>
    <row r="96" spans="1:11" x14ac:dyDescent="0.25">
      <c r="F96" s="4"/>
    </row>
    <row r="97" spans="6:6" x14ac:dyDescent="0.25">
      <c r="F97" s="4"/>
    </row>
    <row r="98" spans="6:6" x14ac:dyDescent="0.25">
      <c r="F98" s="4"/>
    </row>
    <row r="99" spans="6:6" x14ac:dyDescent="0.25">
      <c r="F99" s="4"/>
    </row>
    <row r="100" spans="6:6" x14ac:dyDescent="0.25">
      <c r="F100" s="4"/>
    </row>
    <row r="101" spans="6:6" x14ac:dyDescent="0.25">
      <c r="F101" s="4"/>
    </row>
    <row r="102" spans="6:6" x14ac:dyDescent="0.25">
      <c r="F102" s="4"/>
    </row>
    <row r="103" spans="6:6" x14ac:dyDescent="0.25">
      <c r="F103" s="4"/>
    </row>
    <row r="104" spans="6:6" x14ac:dyDescent="0.25">
      <c r="F104" s="4"/>
    </row>
    <row r="105" spans="6:6" x14ac:dyDescent="0.25">
      <c r="F105" s="4"/>
    </row>
    <row r="106" spans="6:6" x14ac:dyDescent="0.25">
      <c r="F106" s="4"/>
    </row>
    <row r="107" spans="6:6" x14ac:dyDescent="0.25">
      <c r="F107" s="4"/>
    </row>
    <row r="108" spans="6:6" x14ac:dyDescent="0.25">
      <c r="F108" s="4"/>
    </row>
    <row r="109" spans="6:6" x14ac:dyDescent="0.25">
      <c r="F109" s="4"/>
    </row>
    <row r="110" spans="6:6" x14ac:dyDescent="0.25">
      <c r="F110" s="4"/>
    </row>
    <row r="111" spans="6:6" x14ac:dyDescent="0.25">
      <c r="F111" s="4"/>
    </row>
    <row r="112" spans="6:6" x14ac:dyDescent="0.25">
      <c r="F112" s="4"/>
    </row>
    <row r="113" spans="6:6" x14ac:dyDescent="0.25">
      <c r="F113" s="4"/>
    </row>
    <row r="114" spans="6:6" x14ac:dyDescent="0.25">
      <c r="F114" s="4"/>
    </row>
    <row r="115" spans="6:6" x14ac:dyDescent="0.25">
      <c r="F115" s="4"/>
    </row>
    <row r="116" spans="6:6" x14ac:dyDescent="0.25">
      <c r="F116" s="4"/>
    </row>
    <row r="117" spans="6:6" x14ac:dyDescent="0.25">
      <c r="F117" s="4"/>
    </row>
    <row r="118" spans="6:6" x14ac:dyDescent="0.25">
      <c r="F118" s="4"/>
    </row>
    <row r="119" spans="6:6" x14ac:dyDescent="0.25">
      <c r="F119" s="4"/>
    </row>
    <row r="120" spans="6:6" x14ac:dyDescent="0.25">
      <c r="F120" s="4"/>
    </row>
    <row r="121" spans="6:6" x14ac:dyDescent="0.25">
      <c r="F121" s="4"/>
    </row>
    <row r="122" spans="6:6" x14ac:dyDescent="0.25">
      <c r="F122" s="4"/>
    </row>
    <row r="123" spans="6:6" x14ac:dyDescent="0.25">
      <c r="F123" s="4"/>
    </row>
    <row r="124" spans="6:6" x14ac:dyDescent="0.25">
      <c r="F124" s="4"/>
    </row>
    <row r="125" spans="6:6" x14ac:dyDescent="0.25">
      <c r="F125" s="4"/>
    </row>
    <row r="126" spans="6:6" x14ac:dyDescent="0.25">
      <c r="F126" s="4"/>
    </row>
    <row r="127" spans="6:6" x14ac:dyDescent="0.25">
      <c r="F127" s="4"/>
    </row>
    <row r="128" spans="6:6" x14ac:dyDescent="0.25">
      <c r="F128" s="4"/>
    </row>
  </sheetData>
  <sheetProtection sheet="1" objects="1" scenarios="1" selectLockedCells="1"/>
  <mergeCells count="128">
    <mergeCell ref="I30:K30"/>
    <mergeCell ref="G66:I66"/>
    <mergeCell ref="G55:I55"/>
    <mergeCell ref="B41:F47"/>
    <mergeCell ref="H41:I41"/>
    <mergeCell ref="H42:I42"/>
    <mergeCell ref="H43:I43"/>
    <mergeCell ref="H44:I44"/>
    <mergeCell ref="H45:I45"/>
    <mergeCell ref="J46:K46"/>
    <mergeCell ref="G48:I48"/>
    <mergeCell ref="G49:I49"/>
    <mergeCell ref="G50:I50"/>
    <mergeCell ref="G51:I51"/>
    <mergeCell ref="G52:I52"/>
    <mergeCell ref="G53:I53"/>
    <mergeCell ref="G56:J56"/>
    <mergeCell ref="I33:K33"/>
    <mergeCell ref="C34:F34"/>
    <mergeCell ref="I34:K34"/>
    <mergeCell ref="C35:F35"/>
    <mergeCell ref="I35:K35"/>
    <mergeCell ref="C33:F33"/>
    <mergeCell ref="C31:F32"/>
    <mergeCell ref="B17:F19"/>
    <mergeCell ref="G17:K17"/>
    <mergeCell ref="G18:K18"/>
    <mergeCell ref="G19:K19"/>
    <mergeCell ref="B20:F20"/>
    <mergeCell ref="B21:F21"/>
    <mergeCell ref="B22:F22"/>
    <mergeCell ref="G21:K21"/>
    <mergeCell ref="G22:K22"/>
    <mergeCell ref="I26:K26"/>
    <mergeCell ref="G23:H23"/>
    <mergeCell ref="G24:H24"/>
    <mergeCell ref="G25:H25"/>
    <mergeCell ref="G26:H26"/>
    <mergeCell ref="A1:K1"/>
    <mergeCell ref="A2:K2"/>
    <mergeCell ref="A9:K9"/>
    <mergeCell ref="B11:F13"/>
    <mergeCell ref="G11:K11"/>
    <mergeCell ref="G12:K12"/>
    <mergeCell ref="G13:K13"/>
    <mergeCell ref="A5:F5"/>
    <mergeCell ref="A7:F7"/>
    <mergeCell ref="G7:K7"/>
    <mergeCell ref="G5:K5"/>
    <mergeCell ref="I23:K23"/>
    <mergeCell ref="I24:K24"/>
    <mergeCell ref="I25:K25"/>
    <mergeCell ref="B23:F26"/>
    <mergeCell ref="B14:F16"/>
    <mergeCell ref="G14:K14"/>
    <mergeCell ref="G15:K15"/>
    <mergeCell ref="G16:K16"/>
    <mergeCell ref="B27:F27"/>
    <mergeCell ref="C28:F28"/>
    <mergeCell ref="C29:F29"/>
    <mergeCell ref="C30:F30"/>
    <mergeCell ref="B86:F86"/>
    <mergeCell ref="G86:K86"/>
    <mergeCell ref="G74:K74"/>
    <mergeCell ref="B77:F80"/>
    <mergeCell ref="G77:K78"/>
    <mergeCell ref="G79:K79"/>
    <mergeCell ref="G80:K80"/>
    <mergeCell ref="B57:F59"/>
    <mergeCell ref="G57:J57"/>
    <mergeCell ref="G75:K75"/>
    <mergeCell ref="G76:K76"/>
    <mergeCell ref="G73:K73"/>
    <mergeCell ref="B40:F40"/>
    <mergeCell ref="I29:K29"/>
    <mergeCell ref="G38:K38"/>
    <mergeCell ref="G39:K39"/>
    <mergeCell ref="G40:K40"/>
    <mergeCell ref="B38:F39"/>
    <mergeCell ref="I28:K28"/>
    <mergeCell ref="B74:F75"/>
    <mergeCell ref="G70:K70"/>
    <mergeCell ref="G60:J60"/>
    <mergeCell ref="I36:K36"/>
    <mergeCell ref="I37:K37"/>
    <mergeCell ref="G47:J47"/>
    <mergeCell ref="A93:K93"/>
    <mergeCell ref="B91:F91"/>
    <mergeCell ref="H91:J91"/>
    <mergeCell ref="G81:K81"/>
    <mergeCell ref="G84:K84"/>
    <mergeCell ref="G85:K85"/>
    <mergeCell ref="B84:F84"/>
    <mergeCell ref="B85:F85"/>
    <mergeCell ref="G82:K82"/>
    <mergeCell ref="G83:K83"/>
    <mergeCell ref="B81:F83"/>
    <mergeCell ref="A81:A83"/>
    <mergeCell ref="B68:F69"/>
    <mergeCell ref="B76:F76"/>
    <mergeCell ref="B70:F70"/>
    <mergeCell ref="B53:E53"/>
    <mergeCell ref="G58:J58"/>
    <mergeCell ref="G59:J59"/>
    <mergeCell ref="G31:G32"/>
    <mergeCell ref="H31:H32"/>
    <mergeCell ref="I32:K32"/>
    <mergeCell ref="I31:K31"/>
    <mergeCell ref="A74:A76"/>
    <mergeCell ref="C36:F36"/>
    <mergeCell ref="C37:F37"/>
    <mergeCell ref="B61:F67"/>
    <mergeCell ref="G61:I61"/>
    <mergeCell ref="G62:I62"/>
    <mergeCell ref="G63:I63"/>
    <mergeCell ref="G64:I64"/>
    <mergeCell ref="G65:I65"/>
    <mergeCell ref="G67:I67"/>
    <mergeCell ref="A71:A73"/>
    <mergeCell ref="B71:F73"/>
    <mergeCell ref="G71:K71"/>
    <mergeCell ref="G72:K72"/>
    <mergeCell ref="G54:I54"/>
    <mergeCell ref="B48:F51"/>
    <mergeCell ref="A68:A70"/>
    <mergeCell ref="B54:E54"/>
    <mergeCell ref="G68:K68"/>
    <mergeCell ref="G69:K69"/>
  </mergeCells>
  <conditionalFormatting sqref="K47">
    <cfRule type="colorScale" priority="8">
      <colorScale>
        <cfvo type="num" val="0"/>
        <cfvo type="num" val="1"/>
        <color rgb="FFFF0000"/>
        <color rgb="FF00B050"/>
      </colorScale>
    </cfRule>
    <cfRule type="colorScale" priority="12">
      <colorScale>
        <cfvo type="formula" val="&quot;No Match&quot;"/>
        <cfvo type="formula" val="&quot;Good&quot;"/>
        <color rgb="FFFF0000"/>
        <color rgb="FF00B050"/>
      </colorScale>
    </cfRule>
  </conditionalFormatting>
  <conditionalFormatting sqref="K56">
    <cfRule type="colorScale" priority="9">
      <colorScale>
        <cfvo type="num" val="0"/>
        <cfvo type="num" val="0.33"/>
        <cfvo type="num" val="1"/>
        <color rgb="FFFF0000"/>
        <color rgb="FFFF0000"/>
        <color rgb="FF00B050"/>
      </colorScale>
    </cfRule>
  </conditionalFormatting>
  <conditionalFormatting sqref="J46:K46">
    <cfRule type="colorScale" priority="7">
      <colorScale>
        <cfvo type="num" val="0.1"/>
        <cfvo type="num" val="0.49"/>
        <cfvo type="num" val="1"/>
        <color rgb="FFFF0000"/>
        <color theme="6" tint="0.79998168889431442"/>
        <color rgb="FF00B050"/>
      </colorScale>
    </cfRule>
  </conditionalFormatting>
  <conditionalFormatting sqref="F53 E55">
    <cfRule type="containsText" dxfId="3" priority="6" operator="containsText" text="Yes">
      <formula>NOT(ISERROR(SEARCH("Yes",E53)))</formula>
    </cfRule>
  </conditionalFormatting>
  <conditionalFormatting sqref="F54">
    <cfRule type="containsText" dxfId="2" priority="3" operator="containsText" text="Ineligible">
      <formula>NOT(ISERROR(SEARCH("Ineligible",F54)))</formula>
    </cfRule>
  </conditionalFormatting>
  <conditionalFormatting sqref="K60">
    <cfRule type="cellIs" dxfId="1" priority="1" operator="greaterThan">
      <formula>$K$57</formula>
    </cfRule>
    <cfRule type="cellIs" dxfId="0" priority="2" operator="lessThan">
      <formula>$K$57</formula>
    </cfRule>
  </conditionalFormatting>
  <hyperlinks>
    <hyperlink ref="G86" r:id="rId1" display="http://www.wv.nrcs.usda.gov/programs/frpp/frpp_12/proginfo.html"/>
    <hyperlink ref="B70" r:id="rId2"/>
    <hyperlink ref="B76:F76" r:id="rId3" display="Rare, Threatened and Endangered Species List"/>
    <hyperlink ref="G86:K86" r:id="rId4" display="Model Deed of Conservation Easement"/>
  </hyperlinks>
  <pageMargins left="0.46" right="0.47" top="0.31" bottom="0.75" header="0.3" footer="0.3"/>
  <pageSetup orientation="portrait" r:id="rId5"/>
  <headerFooter>
    <oddFooter>&amp;LWV LTP&amp;RRevised: 6/2013
Page &amp;P</oddFooter>
  </headerFooter>
  <rowBreaks count="1" manualBreakCount="1">
    <brk id="7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132"/>
  <sheetViews>
    <sheetView topLeftCell="A19" zoomScaleNormal="100" workbookViewId="0">
      <selection activeCell="A26" sqref="A26:B26"/>
    </sheetView>
  </sheetViews>
  <sheetFormatPr defaultColWidth="9.140625" defaultRowHeight="15" x14ac:dyDescent="0.25"/>
  <cols>
    <col min="1" max="1" width="45.85546875" style="110" customWidth="1"/>
    <col min="2" max="2" width="23.28515625" style="110" customWidth="1"/>
    <col min="3" max="3" width="10.5703125" style="118" customWidth="1"/>
    <col min="4" max="4" width="12.42578125" style="118" customWidth="1"/>
    <col min="5" max="5" width="11.5703125" style="161" bestFit="1" customWidth="1"/>
    <col min="6" max="16384" width="9.140625" style="110"/>
  </cols>
  <sheetData>
    <row r="1" spans="1:6" ht="15.75" x14ac:dyDescent="0.25">
      <c r="A1" s="209" t="s">
        <v>0</v>
      </c>
      <c r="B1" s="210"/>
      <c r="C1" s="210"/>
      <c r="D1" s="211"/>
    </row>
    <row r="2" spans="1:6" ht="15.75" x14ac:dyDescent="0.25">
      <c r="A2" s="212" t="s">
        <v>50</v>
      </c>
      <c r="B2" s="213"/>
      <c r="C2" s="213"/>
      <c r="D2" s="214"/>
    </row>
    <row r="3" spans="1:6" s="1" customFormat="1" ht="16.5" thickBot="1" x14ac:dyDescent="0.3">
      <c r="C3" s="105"/>
      <c r="D3" s="105"/>
      <c r="E3" s="153"/>
    </row>
    <row r="4" spans="1:6" x14ac:dyDescent="0.25">
      <c r="A4" s="22" t="s">
        <v>51</v>
      </c>
      <c r="B4" s="24" t="s">
        <v>52</v>
      </c>
      <c r="C4" s="23"/>
      <c r="D4" s="34"/>
    </row>
    <row r="5" spans="1:6" ht="24.75" customHeight="1" thickBot="1" x14ac:dyDescent="0.3">
      <c r="A5" s="83">
        <f>'Start Here'!C34</f>
        <v>0</v>
      </c>
      <c r="B5" s="373">
        <f>'Start Here'!C8</f>
        <v>0</v>
      </c>
      <c r="C5" s="374"/>
      <c r="D5" s="375"/>
    </row>
    <row r="6" spans="1:6" x14ac:dyDescent="0.25">
      <c r="A6" s="22" t="s">
        <v>3</v>
      </c>
      <c r="B6" s="24" t="s">
        <v>53</v>
      </c>
      <c r="C6" s="23"/>
      <c r="D6" s="34"/>
    </row>
    <row r="7" spans="1:6" ht="15.75" thickBot="1" x14ac:dyDescent="0.3">
      <c r="A7" s="60">
        <f>'Start Here'!C23</f>
        <v>0</v>
      </c>
      <c r="B7" s="373">
        <f>'Start Here'!C9</f>
        <v>0</v>
      </c>
      <c r="C7" s="374"/>
      <c r="D7" s="375"/>
    </row>
    <row r="8" spans="1:6" ht="16.5" thickBot="1" x14ac:dyDescent="0.3">
      <c r="A8" s="368" t="s">
        <v>54</v>
      </c>
      <c r="B8" s="369"/>
      <c r="C8" s="369"/>
      <c r="D8" s="370"/>
    </row>
    <row r="9" spans="1:6" ht="32.25" thickBot="1" x14ac:dyDescent="0.3">
      <c r="A9" s="371" t="s">
        <v>55</v>
      </c>
      <c r="B9" s="372"/>
      <c r="C9" s="18" t="s">
        <v>56</v>
      </c>
      <c r="D9" s="18" t="s">
        <v>57</v>
      </c>
    </row>
    <row r="10" spans="1:6" ht="38.25" customHeight="1" x14ac:dyDescent="0.25">
      <c r="A10" s="376" t="s">
        <v>58</v>
      </c>
      <c r="B10" s="377"/>
      <c r="C10" s="126">
        <v>100</v>
      </c>
      <c r="D10" s="148" t="e">
        <f>IF(D11 =E11, C11, 0)</f>
        <v>#DIV/0!</v>
      </c>
    </row>
    <row r="11" spans="1:6" ht="15.75" thickBot="1" x14ac:dyDescent="0.3">
      <c r="A11" s="25" t="s">
        <v>59</v>
      </c>
      <c r="B11" s="61" t="e">
        <f>'Parcel Application'!J46</f>
        <v>#DIV/0!</v>
      </c>
      <c r="C11" s="69" t="e">
        <f>SUM((B11-0.5)*2)*100</f>
        <v>#DIV/0!</v>
      </c>
      <c r="D11" s="69" t="e">
        <f>IF(C11 &lt;0, 0, C11)</f>
        <v>#DIV/0!</v>
      </c>
      <c r="E11" s="161" t="e">
        <f>IF(C11 &gt;100, 100, C11)</f>
        <v>#DIV/0!</v>
      </c>
      <c r="F11" s="129"/>
    </row>
    <row r="12" spans="1:6" ht="36" customHeight="1" x14ac:dyDescent="0.25">
      <c r="A12" s="376" t="s">
        <v>60</v>
      </c>
      <c r="B12" s="377"/>
      <c r="C12" s="145">
        <v>100</v>
      </c>
      <c r="D12" s="149" t="e">
        <f>IF(C13 =D13, E12, 0)</f>
        <v>#DIV/0!</v>
      </c>
      <c r="E12" s="146" t="e">
        <f>IF(D13 &gt;100, 100, D13)</f>
        <v>#DIV/0!</v>
      </c>
      <c r="F12" s="147" t="e">
        <f>SUM((B13-0.33)*1.5)*100</f>
        <v>#DIV/0!</v>
      </c>
    </row>
    <row r="13" spans="1:6" ht="15.75" thickBot="1" x14ac:dyDescent="0.3">
      <c r="A13" s="25" t="s">
        <v>59</v>
      </c>
      <c r="B13" s="61" t="e">
        <f>SUM('Parcel Application'!J48:J50)/'Parcel Application'!G35</f>
        <v>#DIV/0!</v>
      </c>
      <c r="C13" s="69" t="e">
        <f>IF(B13 &lt;=0.33, 0, D13)</f>
        <v>#DIV/0!</v>
      </c>
      <c r="D13" s="69" t="e">
        <f>IF(B13 &gt;0.33, F12, 0)</f>
        <v>#DIV/0!</v>
      </c>
      <c r="F13" s="130"/>
    </row>
    <row r="14" spans="1:6" ht="63.75" customHeight="1" x14ac:dyDescent="0.25">
      <c r="A14" s="378" t="s">
        <v>61</v>
      </c>
      <c r="B14" s="379"/>
      <c r="C14" s="44">
        <v>200</v>
      </c>
      <c r="D14" s="44" t="e">
        <f>IF(F14 &lt;=0, 0, F14)</f>
        <v>#DIV/0!</v>
      </c>
      <c r="E14" s="131" t="e">
        <f>IF(C15 + D15 =40, 'Parcel Application'!G36-H122+D15,C15)</f>
        <v>#DIV/0!</v>
      </c>
      <c r="F14" s="132" t="e">
        <f>IF(E14 &gt;200, 200, E14)</f>
        <v>#DIV/0!</v>
      </c>
    </row>
    <row r="15" spans="1:6" s="130" customFormat="1" ht="15.75" thickBot="1" x14ac:dyDescent="0.3">
      <c r="A15" s="133"/>
      <c r="B15" s="134" t="e">
        <f>('Parcel Application'!G36/'Ranking Factors'!H122)</f>
        <v>#DIV/0!</v>
      </c>
      <c r="C15" s="67" t="e">
        <f>IF(B15 &gt;0.5, 20, 0)</f>
        <v>#DIV/0!</v>
      </c>
      <c r="D15" s="67" t="e">
        <f>IF(B15 &gt;1, 20, 0)</f>
        <v>#DIV/0!</v>
      </c>
      <c r="E15" s="160"/>
    </row>
    <row r="16" spans="1:6" ht="77.25" customHeight="1" x14ac:dyDescent="0.25">
      <c r="A16" s="366" t="s">
        <v>62</v>
      </c>
      <c r="B16" s="367"/>
      <c r="C16" s="44">
        <v>10</v>
      </c>
      <c r="D16" s="68">
        <f>IF(C17 =D17, B17, 0)</f>
        <v>0</v>
      </c>
    </row>
    <row r="17" spans="1:5" ht="15.75" thickBot="1" x14ac:dyDescent="0.3">
      <c r="A17" s="135"/>
      <c r="B17" s="136">
        <f>(100-I122)</f>
        <v>100</v>
      </c>
      <c r="C17" s="69">
        <f>IF(B17 &gt;0, B17, 0)</f>
        <v>100</v>
      </c>
      <c r="D17" s="70">
        <f>IF(B17 &lt;9.9, B17, 0)</f>
        <v>0</v>
      </c>
    </row>
    <row r="18" spans="1:5" ht="93" customHeight="1" thickBot="1" x14ac:dyDescent="0.3">
      <c r="A18" s="366" t="s">
        <v>63</v>
      </c>
      <c r="B18" s="367"/>
      <c r="C18" s="37">
        <v>15</v>
      </c>
      <c r="D18" s="71">
        <f>E132</f>
        <v>0</v>
      </c>
    </row>
    <row r="19" spans="1:5" ht="92.25" customHeight="1" thickBot="1" x14ac:dyDescent="0.3">
      <c r="A19" s="366" t="s">
        <v>64</v>
      </c>
      <c r="B19" s="367"/>
      <c r="C19" s="44">
        <v>15</v>
      </c>
      <c r="D19" s="44">
        <f>I132</f>
        <v>0</v>
      </c>
    </row>
    <row r="20" spans="1:5" ht="15.75" thickBot="1" x14ac:dyDescent="0.3">
      <c r="A20" s="359" t="s">
        <v>65</v>
      </c>
      <c r="B20" s="360"/>
      <c r="C20" s="72">
        <f>C10+C12+C14+C16+C18+C19</f>
        <v>440</v>
      </c>
      <c r="D20" s="73" t="e">
        <f>SUM(D10+D12+D14+D16+D18+D19)</f>
        <v>#DIV/0!</v>
      </c>
    </row>
    <row r="21" spans="1:5" ht="15.75" thickBot="1" x14ac:dyDescent="0.3">
      <c r="A21" s="32"/>
      <c r="B21" s="32"/>
      <c r="C21" s="33"/>
      <c r="D21" s="35"/>
    </row>
    <row r="22" spans="1:5" ht="15.75" thickBot="1" x14ac:dyDescent="0.3">
      <c r="A22" s="349" t="s">
        <v>66</v>
      </c>
      <c r="B22" s="350"/>
      <c r="C22" s="350"/>
      <c r="D22" s="351"/>
    </row>
    <row r="23" spans="1:5" ht="61.5" customHeight="1" thickBot="1" x14ac:dyDescent="0.3">
      <c r="A23" s="376" t="s">
        <v>239</v>
      </c>
      <c r="B23" s="377"/>
      <c r="C23" s="36"/>
      <c r="D23" s="36"/>
    </row>
    <row r="24" spans="1:5" ht="15.75" thickBot="1" x14ac:dyDescent="0.3">
      <c r="A24" s="345"/>
      <c r="B24" s="346"/>
      <c r="C24" s="36">
        <v>20</v>
      </c>
      <c r="D24" s="36">
        <f>IF(A24 &gt;0, 20, 0)</f>
        <v>0</v>
      </c>
    </row>
    <row r="25" spans="1:5" ht="15.75" thickBot="1" x14ac:dyDescent="0.3">
      <c r="A25" s="345"/>
      <c r="B25" s="346"/>
      <c r="C25" s="36">
        <v>20</v>
      </c>
      <c r="D25" s="36">
        <f t="shared" ref="D25:D26" si="0">IF(A25 &gt;0, 20, 0)</f>
        <v>0</v>
      </c>
    </row>
    <row r="26" spans="1:5" ht="15.75" thickBot="1" x14ac:dyDescent="0.3">
      <c r="A26" s="347"/>
      <c r="B26" s="348"/>
      <c r="C26" s="36">
        <v>20</v>
      </c>
      <c r="D26" s="36">
        <f t="shared" si="0"/>
        <v>0</v>
      </c>
    </row>
    <row r="27" spans="1:5" ht="78" customHeight="1" thickBot="1" x14ac:dyDescent="0.3">
      <c r="A27" s="357" t="s">
        <v>67</v>
      </c>
      <c r="B27" s="358"/>
      <c r="C27" s="36">
        <v>0</v>
      </c>
      <c r="D27" s="36">
        <v>0</v>
      </c>
    </row>
    <row r="28" spans="1:5" ht="15.75" thickBot="1" x14ac:dyDescent="0.3">
      <c r="A28" s="359" t="s">
        <v>68</v>
      </c>
      <c r="B28" s="360"/>
      <c r="C28" s="43">
        <f>C20+C24+C25+C26</f>
        <v>500</v>
      </c>
      <c r="D28" s="38" t="e">
        <f>SUM(D20+D24+D25+D26+D27)</f>
        <v>#DIV/0!</v>
      </c>
    </row>
    <row r="29" spans="1:5" ht="15.75" thickBot="1" x14ac:dyDescent="0.3">
      <c r="A29" s="349" t="s">
        <v>69</v>
      </c>
      <c r="B29" s="350"/>
      <c r="C29" s="350"/>
      <c r="D29" s="351"/>
    </row>
    <row r="30" spans="1:5" ht="15.75" thickBot="1" x14ac:dyDescent="0.3">
      <c r="A30" s="27" t="s">
        <v>70</v>
      </c>
      <c r="B30" s="30"/>
      <c r="C30" s="37" t="s">
        <v>71</v>
      </c>
      <c r="D30" s="111"/>
    </row>
    <row r="31" spans="1:5" x14ac:dyDescent="0.25">
      <c r="A31" s="28" t="s">
        <v>231</v>
      </c>
      <c r="B31" s="19"/>
      <c r="C31" s="74">
        <v>20</v>
      </c>
      <c r="D31" s="112">
        <f>IF('Parcel Application'!G72 &gt;0, 20, 0)</f>
        <v>0</v>
      </c>
      <c r="E31" s="161">
        <f>IF(B7="Jefferson", 0,0)</f>
        <v>0</v>
      </c>
    </row>
    <row r="32" spans="1:5" ht="15.75" thickBot="1" x14ac:dyDescent="0.3">
      <c r="A32" s="29" t="s">
        <v>232</v>
      </c>
      <c r="B32" s="20"/>
      <c r="C32" s="36">
        <v>20</v>
      </c>
      <c r="D32" s="113">
        <f>IF('Parcel Application'!G69 &gt;0, 20, 0)</f>
        <v>0</v>
      </c>
      <c r="E32" s="161">
        <f>IF(B7="Morgan", 0,0)</f>
        <v>0</v>
      </c>
    </row>
    <row r="33" spans="1:7" ht="15.75" thickBot="1" x14ac:dyDescent="0.3">
      <c r="A33" s="27" t="s">
        <v>72</v>
      </c>
      <c r="B33" s="19"/>
      <c r="C33" s="37" t="s">
        <v>71</v>
      </c>
      <c r="D33" s="111"/>
      <c r="E33" s="161">
        <f>IF(B7="Berkeley", 0,0)</f>
        <v>0</v>
      </c>
    </row>
    <row r="34" spans="1:7" ht="15.75" customHeight="1" x14ac:dyDescent="0.25">
      <c r="A34" s="28" t="s">
        <v>233</v>
      </c>
      <c r="B34" s="19"/>
      <c r="C34" s="44">
        <v>20</v>
      </c>
      <c r="D34" s="116">
        <f>IF('Parcel Application'!G75 &gt;0, 20, 0)</f>
        <v>0</v>
      </c>
      <c r="E34" s="161">
        <f>IF(B7="Mineral", 0,0)</f>
        <v>0</v>
      </c>
    </row>
    <row r="35" spans="1:7" x14ac:dyDescent="0.25">
      <c r="A35" s="28" t="s">
        <v>234</v>
      </c>
      <c r="B35" s="19"/>
      <c r="C35" s="75">
        <v>20</v>
      </c>
      <c r="D35" s="114">
        <f>IF('Parcel Application'!G79 &gt;0, 20, 0)</f>
        <v>0</v>
      </c>
      <c r="E35" s="161">
        <f>IF(B7="Monroe", 0,0)</f>
        <v>0</v>
      </c>
    </row>
    <row r="36" spans="1:7" ht="15.75" thickBot="1" x14ac:dyDescent="0.3">
      <c r="A36" s="29" t="s">
        <v>235</v>
      </c>
      <c r="B36" s="20"/>
      <c r="C36" s="36">
        <v>20</v>
      </c>
      <c r="D36" s="113">
        <f>IF('Parcel Application'!G82 &gt;0, 20, 0)</f>
        <v>0</v>
      </c>
      <c r="E36" s="161">
        <f>IF(B7="Hampshire", 0,0)</f>
        <v>0</v>
      </c>
    </row>
    <row r="37" spans="1:7" ht="15.75" thickBot="1" x14ac:dyDescent="0.3">
      <c r="A37" s="27" t="s">
        <v>73</v>
      </c>
      <c r="B37" s="19"/>
      <c r="C37" s="37"/>
      <c r="D37" s="111"/>
      <c r="E37" s="161">
        <f>IF(B7="Hardy", 0,0)</f>
        <v>0</v>
      </c>
    </row>
    <row r="38" spans="1:7" ht="30.75" customHeight="1" x14ac:dyDescent="0.25">
      <c r="A38" s="352" t="s">
        <v>327</v>
      </c>
      <c r="B38" s="353"/>
      <c r="C38" s="74">
        <v>100</v>
      </c>
      <c r="D38" s="115">
        <v>0</v>
      </c>
      <c r="E38" s="161">
        <f>IF(B7="Grant", 0,0)</f>
        <v>0</v>
      </c>
    </row>
    <row r="39" spans="1:7" x14ac:dyDescent="0.25">
      <c r="A39" s="158" t="s">
        <v>328</v>
      </c>
      <c r="B39" s="159"/>
      <c r="C39" s="75">
        <v>0</v>
      </c>
      <c r="D39" s="163">
        <f>SUM(E31:E39)</f>
        <v>0</v>
      </c>
      <c r="E39" s="161">
        <f>IF(B7="Pendleton", 0,0)</f>
        <v>0</v>
      </c>
    </row>
    <row r="40" spans="1:7" x14ac:dyDescent="0.25">
      <c r="A40" s="352" t="s">
        <v>329</v>
      </c>
      <c r="B40" s="353"/>
      <c r="C40" s="364">
        <v>25</v>
      </c>
      <c r="D40" s="380">
        <f>IF(G41 &lt;=0, 0, G41)</f>
        <v>0</v>
      </c>
    </row>
    <row r="41" spans="1:7" x14ac:dyDescent="0.25">
      <c r="A41" s="352" t="s">
        <v>236</v>
      </c>
      <c r="B41" s="353"/>
      <c r="C41" s="365"/>
      <c r="D41" s="381"/>
      <c r="F41" s="132">
        <f>'Parcel Application'!G36-'Ranking Factors'!H122</f>
        <v>0</v>
      </c>
      <c r="G41" s="164">
        <f>IF(F41 &gt;25, 25, F41)</f>
        <v>0</v>
      </c>
    </row>
    <row r="42" spans="1:7" x14ac:dyDescent="0.25">
      <c r="A42" s="352" t="s">
        <v>330</v>
      </c>
      <c r="B42" s="353"/>
      <c r="C42" s="75">
        <v>25</v>
      </c>
      <c r="D42" s="114">
        <f>IF('Parcel Application'!G37 ='Parcel Application'!G36, 25, 0)</f>
        <v>25</v>
      </c>
    </row>
    <row r="43" spans="1:7" ht="15.75" thickBot="1" x14ac:dyDescent="0.3">
      <c r="A43" s="354" t="s">
        <v>331</v>
      </c>
      <c r="B43" s="355"/>
      <c r="C43" s="36">
        <v>250</v>
      </c>
      <c r="D43" s="113">
        <f>IF('Parcel Application'!J45 &gt;250, 250, 'Parcel Application'!J45)</f>
        <v>0</v>
      </c>
    </row>
    <row r="44" spans="1:7" ht="15.75" thickBot="1" x14ac:dyDescent="0.3">
      <c r="A44" s="25" t="s">
        <v>74</v>
      </c>
      <c r="B44" s="21"/>
      <c r="C44" s="43">
        <f>C31+C32+C34+C35+C36+C38+C40+C42+C43+C39</f>
        <v>500</v>
      </c>
      <c r="D44" s="128">
        <f>SUM(D31+D32+D34+D35+D36+D38+D40+D42+D43)</f>
        <v>25</v>
      </c>
    </row>
    <row r="45" spans="1:7" ht="15.75" thickBot="1" x14ac:dyDescent="0.3">
      <c r="B45" s="117"/>
    </row>
    <row r="46" spans="1:7" ht="29.25" thickBot="1" x14ac:dyDescent="0.3">
      <c r="A46" s="106" t="s">
        <v>75</v>
      </c>
      <c r="B46" s="26"/>
      <c r="C46" s="45">
        <f>C28+C44</f>
        <v>1000</v>
      </c>
      <c r="D46" s="46" t="e">
        <f>SUM(D28+D44)</f>
        <v>#DIV/0!</v>
      </c>
    </row>
    <row r="47" spans="1:7" ht="16.5" thickBot="1" x14ac:dyDescent="0.3">
      <c r="A47" s="356"/>
      <c r="B47" s="356"/>
      <c r="C47" s="356"/>
    </row>
    <row r="48" spans="1:7" ht="16.5" thickBot="1" x14ac:dyDescent="0.3">
      <c r="A48" s="361" t="s">
        <v>76</v>
      </c>
      <c r="B48" s="362"/>
      <c r="C48" s="362"/>
      <c r="D48" s="363"/>
    </row>
    <row r="49" spans="1:4" ht="15.75" x14ac:dyDescent="0.25">
      <c r="A49" s="339"/>
      <c r="B49" s="340"/>
      <c r="C49" s="340"/>
      <c r="D49" s="119"/>
    </row>
    <row r="50" spans="1:4" ht="15.75" x14ac:dyDescent="0.25">
      <c r="A50" s="343" t="s">
        <v>77</v>
      </c>
      <c r="B50" s="246"/>
      <c r="C50" s="246"/>
      <c r="D50" s="344"/>
    </row>
    <row r="51" spans="1:4" ht="15.75" x14ac:dyDescent="0.25">
      <c r="A51" s="339"/>
      <c r="B51" s="340"/>
      <c r="C51" s="340"/>
      <c r="D51" s="120"/>
    </row>
    <row r="52" spans="1:4" ht="15.75" x14ac:dyDescent="0.25">
      <c r="A52" s="343" t="s">
        <v>78</v>
      </c>
      <c r="B52" s="246"/>
      <c r="C52" s="246"/>
      <c r="D52" s="344"/>
    </row>
    <row r="53" spans="1:4" ht="15.75" x14ac:dyDescent="0.25">
      <c r="A53" s="339"/>
      <c r="B53" s="340"/>
      <c r="C53" s="340"/>
      <c r="D53" s="120"/>
    </row>
    <row r="54" spans="1:4" ht="15.75" x14ac:dyDescent="0.25">
      <c r="A54" s="343" t="s">
        <v>78</v>
      </c>
      <c r="B54" s="246"/>
      <c r="C54" s="246"/>
      <c r="D54" s="344"/>
    </row>
    <row r="55" spans="1:4" ht="16.5" thickBot="1" x14ac:dyDescent="0.3">
      <c r="A55" s="341"/>
      <c r="B55" s="342"/>
      <c r="C55" s="342"/>
      <c r="D55" s="121"/>
    </row>
    <row r="101" spans="1:11" x14ac:dyDescent="0.25">
      <c r="F101" s="118">
        <v>2.5</v>
      </c>
      <c r="G101" s="118">
        <v>77.099999999999994</v>
      </c>
      <c r="H101" s="118"/>
      <c r="J101" s="118"/>
    </row>
    <row r="102" spans="1:11" x14ac:dyDescent="0.25">
      <c r="A102" s="122" t="s">
        <v>202</v>
      </c>
      <c r="B102" s="123" t="s">
        <v>203</v>
      </c>
      <c r="C102" s="123">
        <v>2007</v>
      </c>
      <c r="D102" s="127" t="s">
        <v>237</v>
      </c>
      <c r="E102" s="162" t="s">
        <v>238</v>
      </c>
      <c r="F102" s="123" t="s">
        <v>207</v>
      </c>
      <c r="G102" s="123" t="s">
        <v>208</v>
      </c>
      <c r="H102" s="123" t="s">
        <v>204</v>
      </c>
      <c r="I102" s="124" t="s">
        <v>205</v>
      </c>
      <c r="J102" s="124" t="s">
        <v>206</v>
      </c>
      <c r="K102" s="124" t="s">
        <v>209</v>
      </c>
    </row>
    <row r="103" spans="1:11" x14ac:dyDescent="0.25">
      <c r="A103" s="110" t="s">
        <v>178</v>
      </c>
      <c r="B103" s="118">
        <v>113</v>
      </c>
      <c r="C103" s="118">
        <v>90</v>
      </c>
      <c r="D103" s="118">
        <v>76393</v>
      </c>
      <c r="E103" s="161">
        <v>75102</v>
      </c>
      <c r="F103" s="118">
        <v>37.200000000000003</v>
      </c>
      <c r="G103" s="118">
        <v>324.39999999999998</v>
      </c>
      <c r="H103" s="118">
        <f>IF(B7 =A103, C103, 0)</f>
        <v>0</v>
      </c>
      <c r="I103" s="125">
        <f>IF(B7 = "Berkeley", (E103/D103)*100, 0)</f>
        <v>0</v>
      </c>
      <c r="J103" s="125">
        <f>IF(B7 = A103, F103-F101, 0)</f>
        <v>0</v>
      </c>
      <c r="K103" s="125">
        <f>IF(B7 = A103, G103, 0)</f>
        <v>0</v>
      </c>
    </row>
    <row r="104" spans="1:11" x14ac:dyDescent="0.25">
      <c r="A104" s="110" t="s">
        <v>179</v>
      </c>
      <c r="B104" s="118">
        <v>101</v>
      </c>
      <c r="C104" s="118">
        <v>101</v>
      </c>
      <c r="D104" s="118">
        <v>24154</v>
      </c>
      <c r="E104" s="161">
        <v>26677</v>
      </c>
      <c r="F104" s="118">
        <v>-3.2</v>
      </c>
      <c r="G104" s="118">
        <v>69.599999999999994</v>
      </c>
      <c r="H104" s="118">
        <f>IF(B7 ="Fayette", C104, 0)</f>
        <v>0</v>
      </c>
      <c r="I104" s="125">
        <f>IF(B7 = "Fayette", (E104/D104)*100, 0)</f>
        <v>0</v>
      </c>
      <c r="J104" s="125">
        <f>IF(B7 = A104, F104-F101, 0)</f>
        <v>0</v>
      </c>
      <c r="K104" s="125">
        <f>IF(B7 = A104, G104, 0)</f>
        <v>0</v>
      </c>
    </row>
    <row r="105" spans="1:11" x14ac:dyDescent="0.25">
      <c r="A105" s="110" t="s">
        <v>180</v>
      </c>
      <c r="B105" s="118">
        <v>302</v>
      </c>
      <c r="C105" s="118">
        <v>231</v>
      </c>
      <c r="D105" s="118">
        <v>107653</v>
      </c>
      <c r="E105" s="161">
        <v>108839</v>
      </c>
      <c r="F105" s="118">
        <v>5.6</v>
      </c>
      <c r="G105" s="118">
        <v>25</v>
      </c>
      <c r="H105" s="118">
        <f>IF(B7 ="Grant", C105, 0)</f>
        <v>0</v>
      </c>
      <c r="I105" s="125">
        <f>IF(B7 = "Grant", (E105/D105)*100, 0)</f>
        <v>0</v>
      </c>
      <c r="J105" s="125">
        <f>IF(B7 = A105, F105-F101, 0)</f>
        <v>0</v>
      </c>
      <c r="K105" s="125">
        <f>IF(B7 = A105, G105, 0)</f>
        <v>0</v>
      </c>
    </row>
    <row r="106" spans="1:11" x14ac:dyDescent="0.25">
      <c r="A106" s="110" t="s">
        <v>181</v>
      </c>
      <c r="B106" s="118">
        <v>246</v>
      </c>
      <c r="C106" s="118">
        <v>201</v>
      </c>
      <c r="D106" s="118">
        <v>192599</v>
      </c>
      <c r="E106" s="161">
        <v>176995</v>
      </c>
      <c r="F106" s="118">
        <v>3</v>
      </c>
      <c r="G106" s="118">
        <v>34.799999999999997</v>
      </c>
      <c r="H106" s="118">
        <f>IF(B7 ="Greenbrier", C106, 0)</f>
        <v>0</v>
      </c>
      <c r="I106" s="125">
        <f>IF(B7 = "Greenbrier", (E106/D106)*100, 0)</f>
        <v>0</v>
      </c>
      <c r="J106" s="125">
        <f>IF(B7 = A106, F106-F101, 0)</f>
        <v>0</v>
      </c>
      <c r="K106" s="125">
        <f>IF(B7 = A106, G106, 0)</f>
        <v>0</v>
      </c>
    </row>
    <row r="107" spans="1:11" x14ac:dyDescent="0.25">
      <c r="A107" s="110" t="s">
        <v>182</v>
      </c>
      <c r="B107" s="118">
        <v>218</v>
      </c>
      <c r="C107" s="118">
        <v>191</v>
      </c>
      <c r="D107" s="118">
        <v>138617</v>
      </c>
      <c r="E107" s="161">
        <v>129190</v>
      </c>
      <c r="F107" s="118">
        <v>18.600000000000001</v>
      </c>
      <c r="G107" s="118">
        <v>37.4</v>
      </c>
      <c r="H107" s="118">
        <f>IF(B7 ="Hampshire", C107, 0)</f>
        <v>0</v>
      </c>
      <c r="I107" s="125">
        <f>IF(B7 = "Hampshire", (E107/D107)*100, 0)</f>
        <v>0</v>
      </c>
      <c r="J107" s="125">
        <f>IF(B7 = A107, F107-F101, 0)</f>
        <v>0</v>
      </c>
      <c r="K107" s="125">
        <f>IF(B7 = A107, G107, 0)</f>
        <v>0</v>
      </c>
    </row>
    <row r="108" spans="1:11" x14ac:dyDescent="0.25">
      <c r="A108" s="110" t="s">
        <v>183</v>
      </c>
      <c r="B108" s="118">
        <v>274</v>
      </c>
      <c r="C108" s="118">
        <v>261</v>
      </c>
      <c r="D108" s="118">
        <v>128425</v>
      </c>
      <c r="E108" s="161">
        <v>134357</v>
      </c>
      <c r="F108" s="118">
        <v>10.7</v>
      </c>
      <c r="G108" s="118">
        <v>24.1</v>
      </c>
      <c r="H108" s="118">
        <f>IF(B7 ="Hardy", C108, 0)</f>
        <v>0</v>
      </c>
      <c r="I108" s="125">
        <f>IF(B7 = "Hardy", (E108/D108)*100, 0)</f>
        <v>0</v>
      </c>
      <c r="J108" s="125">
        <f>IF(B7 = A108, F108-F101, 0)</f>
        <v>0</v>
      </c>
      <c r="K108" s="125">
        <f>IF(B7 = A108, G108, 0)</f>
        <v>0</v>
      </c>
    </row>
    <row r="109" spans="1:11" x14ac:dyDescent="0.25">
      <c r="A109" s="110" t="s">
        <v>184</v>
      </c>
      <c r="B109" s="118">
        <v>152</v>
      </c>
      <c r="C109" s="118">
        <v>132</v>
      </c>
      <c r="D109" s="118">
        <v>71880</v>
      </c>
      <c r="E109" s="161">
        <v>72091</v>
      </c>
      <c r="F109" s="118">
        <v>26.8</v>
      </c>
      <c r="G109" s="118">
        <v>255.2</v>
      </c>
      <c r="H109" s="118">
        <f>IF(B7 =A109, C109, 0)</f>
        <v>0</v>
      </c>
      <c r="I109" s="125">
        <f>IF(B7 = "Jefferson", (E109/D109)*100, 0)</f>
        <v>0</v>
      </c>
      <c r="J109" s="125">
        <f>IF(B7 = A109, F109-F101, 0)</f>
        <v>0</v>
      </c>
      <c r="K109" s="125">
        <f>IF(B7 = A109, G109, 0)</f>
        <v>0</v>
      </c>
    </row>
    <row r="110" spans="1:11" x14ac:dyDescent="0.25">
      <c r="A110" s="110" t="s">
        <v>185</v>
      </c>
      <c r="B110" s="118">
        <v>144</v>
      </c>
      <c r="C110" s="118">
        <v>151</v>
      </c>
      <c r="D110" s="118">
        <v>34935</v>
      </c>
      <c r="E110" s="161">
        <v>32393</v>
      </c>
      <c r="F110" s="118">
        <v>-1.8</v>
      </c>
      <c r="G110" s="118">
        <v>49.7</v>
      </c>
      <c r="H110" s="118">
        <f>IF(B7 ="Lincoln", C110, 0)</f>
        <v>0</v>
      </c>
      <c r="I110" s="125">
        <f>IF(B7 = "Lincoln", (E110/D110)*100, 0)</f>
        <v>0</v>
      </c>
      <c r="J110" s="125">
        <f>IF(B7 = A110, F110-F101, 0)</f>
        <v>0</v>
      </c>
      <c r="K110" s="125">
        <f>IF(B7 = A110, G110, 0)</f>
        <v>0</v>
      </c>
    </row>
    <row r="111" spans="1:11" x14ac:dyDescent="0.25">
      <c r="A111" s="110" t="s">
        <v>186</v>
      </c>
      <c r="B111" s="118">
        <v>128</v>
      </c>
      <c r="C111" s="118">
        <v>127</v>
      </c>
      <c r="D111" s="118">
        <v>90568</v>
      </c>
      <c r="E111" s="161">
        <v>95814</v>
      </c>
      <c r="F111" s="118">
        <v>-6.8</v>
      </c>
      <c r="G111" s="118">
        <v>108.4</v>
      </c>
      <c r="H111" s="118">
        <f>IF(B7 =A111, C111, 0)</f>
        <v>0</v>
      </c>
      <c r="I111" s="125">
        <f>IF(B7 = A111, (E111/D111)*100, 0)</f>
        <v>0</v>
      </c>
      <c r="J111" s="125">
        <f>IF(B7 = A111, F111-F101, 0)</f>
        <v>0</v>
      </c>
      <c r="K111" s="125">
        <f>IF(B7 = A111, G111, 0)</f>
        <v>0</v>
      </c>
    </row>
    <row r="112" spans="1:11" x14ac:dyDescent="0.25">
      <c r="A112" s="110" t="s">
        <v>187</v>
      </c>
      <c r="B112" s="118">
        <v>174</v>
      </c>
      <c r="C112" s="118">
        <v>158</v>
      </c>
      <c r="D112" s="118">
        <v>80986</v>
      </c>
      <c r="E112" s="161">
        <v>77957</v>
      </c>
      <c r="F112" s="118">
        <v>4.2</v>
      </c>
      <c r="G112" s="118">
        <v>86.1</v>
      </c>
      <c r="H112" s="118">
        <f>IF(B7 ="Mineral", C112, 0)</f>
        <v>0</v>
      </c>
      <c r="I112" s="125">
        <f>IF(B7 = "Mineral", (E112/D112)*100, 0)</f>
        <v>0</v>
      </c>
      <c r="J112" s="125">
        <f>IF(B7 = A112, F112-F101, 0)</f>
        <v>0</v>
      </c>
      <c r="K112" s="125">
        <f>IF(B7 = A112, G112, 0)</f>
        <v>0</v>
      </c>
    </row>
    <row r="113" spans="1:11" x14ac:dyDescent="0.25">
      <c r="A113" s="110" t="s">
        <v>188</v>
      </c>
      <c r="B113" s="118">
        <v>213</v>
      </c>
      <c r="C113" s="118">
        <v>188</v>
      </c>
      <c r="D113" s="118">
        <v>145054</v>
      </c>
      <c r="E113" s="161">
        <v>132859</v>
      </c>
      <c r="F113" s="118">
        <v>-7.4</v>
      </c>
      <c r="G113" s="118">
        <v>28.6</v>
      </c>
      <c r="H113" s="118">
        <f>IF(B7 ="Monroe", C113, 0)</f>
        <v>0</v>
      </c>
      <c r="I113" s="125">
        <f>IF(B7 = "Monroe", (E113/D113)*100, 0)</f>
        <v>0</v>
      </c>
      <c r="J113" s="125">
        <f>IF(B7 = A113, F113-F101, 0)</f>
        <v>0</v>
      </c>
      <c r="K113" s="125">
        <f>IF(B7 = A113, G113, 0)</f>
        <v>0</v>
      </c>
    </row>
    <row r="114" spans="1:11" x14ac:dyDescent="0.25">
      <c r="A114" s="110" t="s">
        <v>189</v>
      </c>
      <c r="B114" s="118">
        <v>129</v>
      </c>
      <c r="C114" s="118">
        <v>106</v>
      </c>
      <c r="D114" s="118">
        <v>22953</v>
      </c>
      <c r="E114" s="161">
        <v>22440</v>
      </c>
      <c r="F114" s="118">
        <v>17.399999999999999</v>
      </c>
      <c r="G114" s="118">
        <v>76.599999999999994</v>
      </c>
      <c r="H114" s="118">
        <f>IF(B7 ="Morgan", C114, 0)</f>
        <v>0</v>
      </c>
      <c r="I114" s="125">
        <f>IF(B7 = "Morgan", (E114/D114)*100, 0)</f>
        <v>0</v>
      </c>
      <c r="J114" s="125">
        <f>IF(B7 = A114, F114-F101, 0)</f>
        <v>0</v>
      </c>
      <c r="K114" s="125">
        <f>IF(B7 = A114, G114, 0)</f>
        <v>0</v>
      </c>
    </row>
    <row r="115" spans="1:11" x14ac:dyDescent="0.25">
      <c r="A115" s="110" t="s">
        <v>190</v>
      </c>
      <c r="B115" s="118">
        <v>132</v>
      </c>
      <c r="C115" s="118">
        <v>118</v>
      </c>
      <c r="D115" s="118">
        <v>43922</v>
      </c>
      <c r="E115" s="161">
        <v>51332</v>
      </c>
      <c r="F115" s="118">
        <v>-1.2</v>
      </c>
      <c r="G115" s="118">
        <v>40.6</v>
      </c>
      <c r="H115" s="118">
        <f>IF(B7 ="Nicholas", C115, 0)</f>
        <v>0</v>
      </c>
      <c r="I115" s="125">
        <f>IF(B7 = "Nicholas", (E115/D115)*100, 0)</f>
        <v>0</v>
      </c>
      <c r="J115" s="125">
        <f>IF(B7 = A115, F115-F101, 0)</f>
        <v>0</v>
      </c>
      <c r="K115" s="125">
        <f>IF(B7 = A115, G115, 0)</f>
        <v>0</v>
      </c>
    </row>
    <row r="116" spans="1:11" x14ac:dyDescent="0.25">
      <c r="A116" s="110" t="s">
        <v>191</v>
      </c>
      <c r="B116" s="118">
        <v>313</v>
      </c>
      <c r="C116" s="118">
        <v>283</v>
      </c>
      <c r="D116" s="118">
        <v>170634</v>
      </c>
      <c r="E116" s="161">
        <v>169876</v>
      </c>
      <c r="F116" s="118">
        <v>-6.1</v>
      </c>
      <c r="G116" s="118">
        <v>11.1</v>
      </c>
      <c r="H116" s="118">
        <f>IF(B7 ="Pendleton", C116, 0)</f>
        <v>0</v>
      </c>
      <c r="I116" s="125">
        <f>IF(B7 = "Pendleton", (E116/D116)*100, 0)</f>
        <v>0</v>
      </c>
      <c r="J116" s="125">
        <f>IF(B7 = A116, F116-F101, 0)</f>
        <v>0</v>
      </c>
      <c r="K116" s="125">
        <f>IF(B7 = A116, G116, 0)</f>
        <v>0</v>
      </c>
    </row>
    <row r="117" spans="1:11" x14ac:dyDescent="0.25">
      <c r="A117" s="110" t="s">
        <v>192</v>
      </c>
      <c r="B117" s="118">
        <v>327</v>
      </c>
      <c r="C117" s="118">
        <v>313</v>
      </c>
      <c r="D117" s="118">
        <v>123103</v>
      </c>
      <c r="E117" s="161">
        <v>121878</v>
      </c>
      <c r="F117" s="118">
        <v>-4.5</v>
      </c>
      <c r="G117" s="118">
        <v>9.3000000000000007</v>
      </c>
      <c r="H117" s="118">
        <f>IF(B7 ="Pocahontas", C117, 0)</f>
        <v>0</v>
      </c>
      <c r="I117" s="125">
        <f>IF(B7 = "Pocahontas", (E117/D117)*100, 0)</f>
        <v>0</v>
      </c>
      <c r="J117" s="125">
        <f>IF(B7 = A117, F117-F101, 0)</f>
        <v>0</v>
      </c>
      <c r="K117" s="125">
        <f>IF(B7 = A117, G117, 0)</f>
        <v>0</v>
      </c>
    </row>
    <row r="118" spans="1:11" x14ac:dyDescent="0.25">
      <c r="A118" s="110" t="s">
        <v>193</v>
      </c>
      <c r="B118" s="118">
        <v>155</v>
      </c>
      <c r="C118" s="118">
        <v>145</v>
      </c>
      <c r="D118" s="118">
        <v>142296</v>
      </c>
      <c r="E118" s="161">
        <v>152276</v>
      </c>
      <c r="F118" s="118">
        <v>14.3</v>
      </c>
      <c r="G118" s="118">
        <v>51.7</v>
      </c>
      <c r="H118" s="118">
        <f>IF(B7 ="Preston", C118, 0)</f>
        <v>0</v>
      </c>
      <c r="I118" s="125">
        <f>IF(B7 = "Preston", (E118/D118)*100, 0)</f>
        <v>0</v>
      </c>
      <c r="J118" s="125">
        <f>IF(B7 = A118, F118-F101, 0)</f>
        <v>0</v>
      </c>
      <c r="K118" s="125">
        <f>IF(B7 = A118, G118, 0)</f>
        <v>0</v>
      </c>
    </row>
    <row r="119" spans="1:11" x14ac:dyDescent="0.25">
      <c r="A119" s="110" t="s">
        <v>194</v>
      </c>
      <c r="B119" s="118">
        <v>184</v>
      </c>
      <c r="C119" s="118">
        <v>174</v>
      </c>
      <c r="D119" s="118">
        <v>99078</v>
      </c>
      <c r="E119" s="161">
        <v>117517</v>
      </c>
      <c r="F119" s="118">
        <v>-3.4</v>
      </c>
      <c r="G119" s="118">
        <v>30.9</v>
      </c>
      <c r="H119" s="118">
        <f>IF(B7 =A119, C119, 0)</f>
        <v>0</v>
      </c>
      <c r="I119" s="125">
        <f>IF(B7 =A119, (E119/D119)*100, 0)</f>
        <v>0</v>
      </c>
      <c r="J119" s="125">
        <f>IF(B7 = A119, F119-F101, 0)</f>
        <v>0</v>
      </c>
      <c r="K119" s="125">
        <f>IF(B7 = A119, G119, 0)</f>
        <v>0</v>
      </c>
    </row>
    <row r="120" spans="1:11" x14ac:dyDescent="0.25">
      <c r="A120" s="110" t="s">
        <v>195</v>
      </c>
      <c r="B120" s="118">
        <v>175</v>
      </c>
      <c r="C120" s="118">
        <v>156</v>
      </c>
      <c r="D120" s="118">
        <v>54645</v>
      </c>
      <c r="E120" s="161">
        <v>59628</v>
      </c>
      <c r="F120" s="118">
        <v>7.1</v>
      </c>
      <c r="G120" s="118">
        <v>38.6</v>
      </c>
      <c r="H120" s="118">
        <f>IF(B7 ="Summers", C120, 0)</f>
        <v>0</v>
      </c>
      <c r="I120" s="125">
        <f>IF(B7 = "Summers", (E120/D120)*100, 0)</f>
        <v>0</v>
      </c>
      <c r="J120" s="125">
        <f>IF(B7 = A120, F120-F101, 0)</f>
        <v>0</v>
      </c>
      <c r="K120" s="125">
        <f>IF(B7 = A120, G120, 0)</f>
        <v>0</v>
      </c>
    </row>
    <row r="121" spans="1:11" x14ac:dyDescent="0.25">
      <c r="A121" s="110" t="s">
        <v>211</v>
      </c>
      <c r="B121" s="118">
        <v>145</v>
      </c>
      <c r="C121" s="118">
        <v>141</v>
      </c>
      <c r="D121" s="118">
        <v>69458</v>
      </c>
      <c r="E121" s="161">
        <v>70882</v>
      </c>
      <c r="F121" s="118">
        <v>3.6</v>
      </c>
      <c r="G121" s="118">
        <v>68.400000000000006</v>
      </c>
      <c r="H121" s="118">
        <f>IF(B7 =A121, C121, 0)</f>
        <v>0</v>
      </c>
      <c r="I121" s="125">
        <f>IF(B7 = A121, (E121/D121)*100, 0)</f>
        <v>0</v>
      </c>
      <c r="J121" s="125">
        <f>IF(B7 = A121, F121-F101, 0)</f>
        <v>0</v>
      </c>
      <c r="K121" s="125">
        <f>IF(B7 = A121, G121, 0)</f>
        <v>0</v>
      </c>
    </row>
    <row r="122" spans="1:11" x14ac:dyDescent="0.25">
      <c r="C122" s="110"/>
      <c r="D122" s="110"/>
      <c r="F122" s="118"/>
      <c r="H122" s="118">
        <f>SUM(H103:H121)</f>
        <v>0</v>
      </c>
      <c r="I122" s="125">
        <f>SUM(I103:I121)</f>
        <v>0</v>
      </c>
      <c r="J122" s="125">
        <f>SUM(J103:J121)</f>
        <v>0</v>
      </c>
      <c r="K122" s="125">
        <f>SUM(K103:K121)</f>
        <v>0</v>
      </c>
    </row>
    <row r="126" spans="1:11" x14ac:dyDescent="0.25">
      <c r="C126" s="118" t="s">
        <v>212</v>
      </c>
      <c r="G126" s="118" t="s">
        <v>213</v>
      </c>
      <c r="H126" s="118"/>
    </row>
    <row r="127" spans="1:11" x14ac:dyDescent="0.25">
      <c r="G127" s="118"/>
      <c r="H127" s="118"/>
    </row>
    <row r="128" spans="1:11" x14ac:dyDescent="0.25">
      <c r="C128" s="118">
        <f>F101*1</f>
        <v>2.5</v>
      </c>
      <c r="D128" s="125" t="b">
        <f>AND(J122&lt;=C128)</f>
        <v>1</v>
      </c>
      <c r="E128" s="161">
        <f>IF(D128 =TRUE, 0, 0)</f>
        <v>0</v>
      </c>
      <c r="G128" s="118">
        <f>G101*1</f>
        <v>77.099999999999994</v>
      </c>
      <c r="H128" s="125" t="b">
        <f>AND(K122&lt;=G128)</f>
        <v>1</v>
      </c>
      <c r="I128" s="110">
        <f>IF(H128 =TRUE, 0, 0)</f>
        <v>0</v>
      </c>
    </row>
    <row r="129" spans="3:9" x14ac:dyDescent="0.25">
      <c r="C129" s="118">
        <f>F101*1.66</f>
        <v>4.1499999999999995</v>
      </c>
      <c r="D129" s="125" t="b">
        <f>AND(J122 &lt;=C129, J122&gt;C128)</f>
        <v>0</v>
      </c>
      <c r="E129" s="161">
        <f>IF(D129 =TRUE, 5, 0)</f>
        <v>0</v>
      </c>
      <c r="G129" s="118">
        <f>G101*2</f>
        <v>154.19999999999999</v>
      </c>
      <c r="H129" s="125" t="b">
        <f>AND(K122 &lt;=G129, K122&gt;G128)</f>
        <v>0</v>
      </c>
      <c r="I129" s="110">
        <f>IF(H129 =TRUE, 10, 0)</f>
        <v>0</v>
      </c>
    </row>
    <row r="130" spans="3:9" x14ac:dyDescent="0.25">
      <c r="C130" s="118">
        <f>F101*2.33</f>
        <v>5.8250000000000002</v>
      </c>
      <c r="D130" s="125" t="b">
        <f>AND(J122&lt;=C130, J122&gt;C129)</f>
        <v>0</v>
      </c>
      <c r="E130" s="161">
        <f>IF(D130 =TRUE, 10, 0)</f>
        <v>0</v>
      </c>
      <c r="G130" s="118">
        <f>G101*3</f>
        <v>231.29999999999998</v>
      </c>
      <c r="H130" s="125" t="b">
        <f>AND(K122&lt;=G130, K122&gt;G129)</f>
        <v>0</v>
      </c>
      <c r="I130" s="110">
        <f>IF(H130 =TRUE, 15, 0)</f>
        <v>0</v>
      </c>
    </row>
    <row r="131" spans="3:9" x14ac:dyDescent="0.25">
      <c r="C131" s="118">
        <f>F101*3</f>
        <v>7.5</v>
      </c>
      <c r="D131" s="125" t="b">
        <f>AND(J122&lt;=C131, J122&gt;C130)</f>
        <v>0</v>
      </c>
      <c r="E131" s="161">
        <f>IF(D131 =TRUE, 15, 0)</f>
        <v>0</v>
      </c>
      <c r="G131" s="118">
        <f>G101*3</f>
        <v>231.29999999999998</v>
      </c>
      <c r="H131" s="125" t="b">
        <f>AND(K122&gt;=G131)</f>
        <v>0</v>
      </c>
      <c r="I131" s="110">
        <f>IF(H131 =TRUE, 5, 0)</f>
        <v>0</v>
      </c>
    </row>
    <row r="132" spans="3:9" x14ac:dyDescent="0.25">
      <c r="E132" s="161">
        <f>SUM(E128:E131)</f>
        <v>0</v>
      </c>
      <c r="G132" s="118"/>
      <c r="H132" s="118"/>
      <c r="I132" s="110">
        <f>SUM(I128:I131)</f>
        <v>0</v>
      </c>
    </row>
  </sheetData>
  <sheetProtection sheet="1" objects="1" scenarios="1" selectLockedCells="1"/>
  <mergeCells count="37">
    <mergeCell ref="A1:D1"/>
    <mergeCell ref="A2:D2"/>
    <mergeCell ref="A14:B14"/>
    <mergeCell ref="D40:D41"/>
    <mergeCell ref="A23:B23"/>
    <mergeCell ref="A19:B19"/>
    <mergeCell ref="A20:B20"/>
    <mergeCell ref="A22:D22"/>
    <mergeCell ref="A16:B16"/>
    <mergeCell ref="A18:B18"/>
    <mergeCell ref="A8:D8"/>
    <mergeCell ref="A9:B9"/>
    <mergeCell ref="B5:D5"/>
    <mergeCell ref="B7:D7"/>
    <mergeCell ref="A10:B10"/>
    <mergeCell ref="A12:B12"/>
    <mergeCell ref="A50:D50"/>
    <mergeCell ref="A24:B24"/>
    <mergeCell ref="A25:B25"/>
    <mergeCell ref="A26:B26"/>
    <mergeCell ref="A29:D29"/>
    <mergeCell ref="A38:B38"/>
    <mergeCell ref="A40:B40"/>
    <mergeCell ref="A41:B41"/>
    <mergeCell ref="A43:B43"/>
    <mergeCell ref="A47:C47"/>
    <mergeCell ref="A49:C49"/>
    <mergeCell ref="A27:B27"/>
    <mergeCell ref="A28:B28"/>
    <mergeCell ref="A48:D48"/>
    <mergeCell ref="A42:B42"/>
    <mergeCell ref="C40:C41"/>
    <mergeCell ref="A51:C51"/>
    <mergeCell ref="A53:C53"/>
    <mergeCell ref="A55:C55"/>
    <mergeCell ref="A52:D52"/>
    <mergeCell ref="A54:D54"/>
  </mergeCells>
  <pageMargins left="0.5" right="0.5" top="0.32" bottom="0.75" header="0.3" footer="0.3"/>
  <pageSetup orientation="portrait" r:id="rId1"/>
  <headerFooter>
    <oddFooter>&amp;LWV&amp;RRevised: 6/2013
Page &amp;P</oddFooter>
  </headerFooter>
  <rowBreaks count="1" manualBreakCount="1">
    <brk id="20"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K28"/>
  <sheetViews>
    <sheetView zoomScaleNormal="100" workbookViewId="0">
      <selection activeCell="G3" sqref="G3:K3"/>
    </sheetView>
  </sheetViews>
  <sheetFormatPr defaultColWidth="9.140625" defaultRowHeight="15.75" x14ac:dyDescent="0.25"/>
  <cols>
    <col min="1" max="1" width="3.28515625" style="1" customWidth="1"/>
    <col min="2" max="4" width="9.140625" style="1"/>
    <col min="5" max="5" width="9.140625" style="4"/>
    <col min="6" max="6" width="9.140625" style="3"/>
    <col min="7" max="7" width="9.140625" style="1"/>
    <col min="8" max="8" width="10.7109375" style="1" customWidth="1"/>
    <col min="9" max="9" width="7.7109375" style="1" customWidth="1"/>
    <col min="10" max="10" width="8.140625" style="1" customWidth="1"/>
    <col min="11" max="11" width="11.28515625" style="1" customWidth="1"/>
    <col min="12" max="16384" width="9.140625" style="1"/>
  </cols>
  <sheetData>
    <row r="1" spans="1:11" x14ac:dyDescent="0.25">
      <c r="A1" s="209" t="s">
        <v>0</v>
      </c>
      <c r="B1" s="210"/>
      <c r="C1" s="210"/>
      <c r="D1" s="210"/>
      <c r="E1" s="210"/>
      <c r="F1" s="210"/>
      <c r="G1" s="210"/>
      <c r="H1" s="210"/>
      <c r="I1" s="210"/>
      <c r="J1" s="210"/>
      <c r="K1" s="211"/>
    </row>
    <row r="2" spans="1:11" x14ac:dyDescent="0.25">
      <c r="A2" s="212" t="s">
        <v>265</v>
      </c>
      <c r="B2" s="213"/>
      <c r="C2" s="213"/>
      <c r="D2" s="213"/>
      <c r="E2" s="213"/>
      <c r="F2" s="213"/>
      <c r="G2" s="213"/>
      <c r="H2" s="213"/>
      <c r="I2" s="213"/>
      <c r="J2" s="213"/>
      <c r="K2" s="214"/>
    </row>
    <row r="3" spans="1:11" ht="15.75" customHeight="1" x14ac:dyDescent="0.25">
      <c r="A3" s="5">
        <v>1</v>
      </c>
      <c r="B3" s="250" t="s">
        <v>5</v>
      </c>
      <c r="C3" s="250"/>
      <c r="D3" s="250"/>
      <c r="E3" s="250"/>
      <c r="F3" s="251"/>
      <c r="G3" s="316">
        <f>'Parcel Application'!G11:K11</f>
        <v>0</v>
      </c>
      <c r="H3" s="317"/>
      <c r="I3" s="317"/>
      <c r="J3" s="317"/>
      <c r="K3" s="318"/>
    </row>
    <row r="4" spans="1:11" x14ac:dyDescent="0.25">
      <c r="A4" s="6"/>
      <c r="B4" s="246"/>
      <c r="C4" s="246"/>
      <c r="D4" s="246"/>
      <c r="E4" s="246"/>
      <c r="F4" s="247"/>
      <c r="G4" s="316">
        <f>'Parcel Application'!G12:K12</f>
        <v>0</v>
      </c>
      <c r="H4" s="317"/>
      <c r="I4" s="317"/>
      <c r="J4" s="317"/>
      <c r="K4" s="318"/>
    </row>
    <row r="5" spans="1:11" x14ac:dyDescent="0.25">
      <c r="A5" s="7"/>
      <c r="B5" s="248"/>
      <c r="C5" s="248"/>
      <c r="D5" s="248"/>
      <c r="E5" s="248"/>
      <c r="F5" s="249"/>
      <c r="G5" s="382">
        <f>'Parcel Application'!G13:K13</f>
        <v>0</v>
      </c>
      <c r="H5" s="383"/>
      <c r="I5" s="383"/>
      <c r="J5" s="383"/>
      <c r="K5" s="384"/>
    </row>
    <row r="6" spans="1:11" x14ac:dyDescent="0.25">
      <c r="A6" s="5">
        <v>2</v>
      </c>
      <c r="B6" s="250" t="s">
        <v>244</v>
      </c>
      <c r="C6" s="250"/>
      <c r="D6" s="250"/>
      <c r="E6" s="250"/>
      <c r="F6" s="251"/>
      <c r="G6" s="382">
        <f>'Parcel Application'!G14:K14</f>
        <v>0</v>
      </c>
      <c r="H6" s="383"/>
      <c r="I6" s="383"/>
      <c r="J6" s="383"/>
      <c r="K6" s="384"/>
    </row>
    <row r="7" spans="1:11" x14ac:dyDescent="0.25">
      <c r="A7" s="6"/>
      <c r="B7" s="246"/>
      <c r="C7" s="246"/>
      <c r="D7" s="246"/>
      <c r="E7" s="246"/>
      <c r="F7" s="247"/>
      <c r="G7" s="385">
        <f>'Start Here'!C35</f>
        <v>0</v>
      </c>
      <c r="H7" s="386"/>
      <c r="I7" s="386"/>
      <c r="J7" s="386"/>
      <c r="K7" s="387"/>
    </row>
    <row r="8" spans="1:11" x14ac:dyDescent="0.25">
      <c r="A8" s="7"/>
      <c r="B8" s="248"/>
      <c r="C8" s="248"/>
      <c r="D8" s="248"/>
      <c r="E8" s="248"/>
      <c r="F8" s="249"/>
      <c r="G8" s="385">
        <f>'Start Here'!C36</f>
        <v>0</v>
      </c>
      <c r="H8" s="386"/>
      <c r="I8" s="386"/>
      <c r="J8" s="386"/>
      <c r="K8" s="387"/>
    </row>
    <row r="9" spans="1:11" x14ac:dyDescent="0.25">
      <c r="A9" s="5">
        <v>3</v>
      </c>
      <c r="B9" s="250" t="s">
        <v>6</v>
      </c>
      <c r="C9" s="250"/>
      <c r="D9" s="250"/>
      <c r="E9" s="250"/>
      <c r="F9" s="251"/>
      <c r="G9" s="382">
        <f>'Parcel Application'!G17:K17</f>
        <v>0</v>
      </c>
      <c r="H9" s="383"/>
      <c r="I9" s="383"/>
      <c r="J9" s="383"/>
      <c r="K9" s="384"/>
    </row>
    <row r="10" spans="1:11" x14ac:dyDescent="0.25">
      <c r="A10" s="6"/>
      <c r="B10" s="246"/>
      <c r="C10" s="246"/>
      <c r="D10" s="246"/>
      <c r="E10" s="246"/>
      <c r="F10" s="247"/>
      <c r="G10" s="382">
        <f>'Parcel Application'!G18:K18</f>
        <v>0</v>
      </c>
      <c r="H10" s="383"/>
      <c r="I10" s="383"/>
      <c r="J10" s="383"/>
      <c r="K10" s="384"/>
    </row>
    <row r="11" spans="1:11" x14ac:dyDescent="0.25">
      <c r="A11" s="7"/>
      <c r="B11" s="248"/>
      <c r="C11" s="248"/>
      <c r="D11" s="248"/>
      <c r="E11" s="248"/>
      <c r="F11" s="249"/>
      <c r="G11" s="382">
        <f>'Parcel Application'!G19:K19</f>
        <v>0</v>
      </c>
      <c r="H11" s="383"/>
      <c r="I11" s="383"/>
      <c r="J11" s="383"/>
      <c r="K11" s="384"/>
    </row>
    <row r="12" spans="1:11" x14ac:dyDescent="0.25">
      <c r="A12" s="5">
        <v>4</v>
      </c>
      <c r="B12" s="328" t="s">
        <v>109</v>
      </c>
      <c r="C12" s="328"/>
      <c r="D12" s="328"/>
      <c r="E12" s="328"/>
      <c r="F12" s="329"/>
      <c r="G12" s="8" t="s">
        <v>18</v>
      </c>
      <c r="H12" s="8"/>
      <c r="I12" s="8"/>
      <c r="J12" s="8"/>
      <c r="K12" s="9"/>
    </row>
    <row r="13" spans="1:11" x14ac:dyDescent="0.25">
      <c r="A13" s="6"/>
      <c r="B13" s="330">
        <f>'Start Here'!C42</f>
        <v>0</v>
      </c>
      <c r="C13" s="330"/>
      <c r="D13" s="330"/>
      <c r="E13" s="330"/>
      <c r="F13" s="331"/>
      <c r="G13" s="332">
        <f>'Start Here'!C40</f>
        <v>0</v>
      </c>
      <c r="H13" s="330"/>
      <c r="I13" s="330"/>
      <c r="J13" s="330"/>
      <c r="K13" s="331"/>
    </row>
    <row r="14" spans="1:11" x14ac:dyDescent="0.25">
      <c r="A14" s="7"/>
      <c r="B14" s="320">
        <f>'Start Here'!C43</f>
        <v>0</v>
      </c>
      <c r="C14" s="320"/>
      <c r="D14" s="320"/>
      <c r="E14" s="320"/>
      <c r="F14" s="321"/>
      <c r="G14" s="319">
        <f>'Start Here'!C41</f>
        <v>0</v>
      </c>
      <c r="H14" s="320"/>
      <c r="I14" s="320"/>
      <c r="J14" s="320"/>
      <c r="K14" s="321"/>
    </row>
    <row r="15" spans="1:11" x14ac:dyDescent="0.25">
      <c r="A15" s="5">
        <v>5</v>
      </c>
      <c r="B15" s="250" t="s">
        <v>110</v>
      </c>
      <c r="C15" s="250"/>
      <c r="D15" s="250"/>
      <c r="E15" s="250"/>
      <c r="F15" s="251"/>
      <c r="G15" s="271" t="s">
        <v>19</v>
      </c>
      <c r="H15" s="271"/>
      <c r="I15" s="388">
        <f>'Parcel Application'!I23:K23</f>
        <v>0</v>
      </c>
      <c r="J15" s="388"/>
      <c r="K15" s="388"/>
    </row>
    <row r="16" spans="1:11" x14ac:dyDescent="0.25">
      <c r="A16" s="6"/>
      <c r="B16" s="246"/>
      <c r="C16" s="246"/>
      <c r="D16" s="246"/>
      <c r="E16" s="246"/>
      <c r="F16" s="247"/>
      <c r="G16" s="271" t="s">
        <v>20</v>
      </c>
      <c r="H16" s="271"/>
      <c r="I16" s="388">
        <f>'Parcel Application'!I24:K24</f>
        <v>0</v>
      </c>
      <c r="J16" s="388"/>
      <c r="K16" s="388"/>
    </row>
    <row r="17" spans="1:11" x14ac:dyDescent="0.25">
      <c r="A17" s="6"/>
      <c r="B17" s="246"/>
      <c r="C17" s="246"/>
      <c r="D17" s="246"/>
      <c r="E17" s="246"/>
      <c r="F17" s="247"/>
      <c r="G17" s="271" t="s">
        <v>21</v>
      </c>
      <c r="H17" s="271"/>
      <c r="I17" s="388">
        <f>'Parcel Application'!I25:K25</f>
        <v>0</v>
      </c>
      <c r="J17" s="388"/>
      <c r="K17" s="388"/>
    </row>
    <row r="18" spans="1:11" x14ac:dyDescent="0.25">
      <c r="A18" s="7"/>
      <c r="B18" s="248"/>
      <c r="C18" s="248"/>
      <c r="D18" s="248"/>
      <c r="E18" s="248"/>
      <c r="F18" s="249"/>
      <c r="G18" s="271" t="s">
        <v>22</v>
      </c>
      <c r="H18" s="271"/>
      <c r="I18" s="388">
        <f>'Parcel Application'!I26:K26</f>
        <v>0</v>
      </c>
      <c r="J18" s="388"/>
      <c r="K18" s="388"/>
    </row>
    <row r="19" spans="1:11" ht="15.75" customHeight="1" x14ac:dyDescent="0.25">
      <c r="A19" s="5">
        <v>6</v>
      </c>
      <c r="B19" s="250" t="s">
        <v>7</v>
      </c>
      <c r="C19" s="250"/>
      <c r="D19" s="250"/>
      <c r="E19" s="250"/>
      <c r="F19" s="251"/>
      <c r="G19" s="84"/>
      <c r="H19" s="85"/>
      <c r="I19" s="90" t="s">
        <v>228</v>
      </c>
      <c r="J19" s="86"/>
      <c r="K19" s="87"/>
    </row>
    <row r="20" spans="1:11" x14ac:dyDescent="0.25">
      <c r="A20" s="6"/>
      <c r="B20" s="139"/>
      <c r="C20" s="246" t="s">
        <v>251</v>
      </c>
      <c r="D20" s="246"/>
      <c r="E20" s="246"/>
      <c r="F20" s="247"/>
      <c r="G20" s="142">
        <f>'Parcel Application'!G28</f>
        <v>0</v>
      </c>
      <c r="H20" s="89" t="s">
        <v>23</v>
      </c>
      <c r="I20" s="311"/>
      <c r="J20" s="312"/>
      <c r="K20" s="313"/>
    </row>
    <row r="21" spans="1:11" x14ac:dyDescent="0.25">
      <c r="A21" s="6"/>
      <c r="B21" s="139"/>
      <c r="C21" s="246" t="s">
        <v>220</v>
      </c>
      <c r="D21" s="246"/>
      <c r="E21" s="246"/>
      <c r="F21" s="247"/>
      <c r="G21" s="142">
        <f>'Parcel Application'!G29</f>
        <v>0</v>
      </c>
      <c r="H21" s="13" t="s">
        <v>23</v>
      </c>
      <c r="I21" s="307" t="s">
        <v>229</v>
      </c>
      <c r="J21" s="271"/>
      <c r="K21" s="271"/>
    </row>
    <row r="22" spans="1:11" x14ac:dyDescent="0.25">
      <c r="A22" s="6"/>
      <c r="B22" s="139"/>
      <c r="C22" s="246" t="s">
        <v>221</v>
      </c>
      <c r="D22" s="246"/>
      <c r="E22" s="246"/>
      <c r="F22" s="247"/>
      <c r="G22" s="142">
        <f>'Parcel Application'!G30</f>
        <v>0</v>
      </c>
      <c r="H22" s="13" t="s">
        <v>23</v>
      </c>
      <c r="I22" s="333" t="s">
        <v>229</v>
      </c>
      <c r="J22" s="276"/>
      <c r="K22" s="277"/>
    </row>
    <row r="23" spans="1:11" ht="15.6" x14ac:dyDescent="0.35">
      <c r="A23" s="6"/>
      <c r="B23" s="139"/>
      <c r="C23" s="246" t="s">
        <v>250</v>
      </c>
      <c r="D23" s="389"/>
      <c r="E23" s="389"/>
      <c r="F23" s="390"/>
      <c r="G23" s="142">
        <f>'Parcel Application'!G31</f>
        <v>0</v>
      </c>
      <c r="H23" s="13" t="s">
        <v>23</v>
      </c>
      <c r="I23" s="333" t="s">
        <v>223</v>
      </c>
      <c r="J23" s="276"/>
      <c r="K23" s="277"/>
    </row>
    <row r="24" spans="1:11" ht="15.6" x14ac:dyDescent="0.35">
      <c r="A24" s="6"/>
      <c r="B24" s="139"/>
      <c r="C24" s="246" t="s">
        <v>222</v>
      </c>
      <c r="D24" s="246"/>
      <c r="E24" s="246"/>
      <c r="F24" s="247"/>
      <c r="G24" s="142">
        <f>'Parcel Application'!G33</f>
        <v>0</v>
      </c>
      <c r="H24" s="13" t="s">
        <v>23</v>
      </c>
      <c r="I24" s="333" t="s">
        <v>223</v>
      </c>
      <c r="J24" s="276"/>
      <c r="K24" s="277"/>
    </row>
    <row r="25" spans="1:11" ht="27.75" customHeight="1" x14ac:dyDescent="0.35">
      <c r="A25" s="6"/>
      <c r="B25" s="139"/>
      <c r="C25" s="246" t="s">
        <v>224</v>
      </c>
      <c r="D25" s="246"/>
      <c r="E25" s="246"/>
      <c r="F25" s="247"/>
      <c r="G25" s="142">
        <f>'Parcel Application'!G34</f>
        <v>0</v>
      </c>
      <c r="H25" s="13" t="s">
        <v>23</v>
      </c>
      <c r="I25" s="336" t="s">
        <v>243</v>
      </c>
      <c r="J25" s="337"/>
      <c r="K25" s="338"/>
    </row>
    <row r="26" spans="1:11" ht="15.6" x14ac:dyDescent="0.35">
      <c r="A26" s="6"/>
      <c r="B26" s="139"/>
      <c r="C26" s="246" t="s">
        <v>225</v>
      </c>
      <c r="D26" s="246"/>
      <c r="E26" s="246"/>
      <c r="F26" s="247"/>
      <c r="G26" s="14">
        <f>G20</f>
        <v>0</v>
      </c>
      <c r="H26" s="89" t="s">
        <v>23</v>
      </c>
      <c r="I26" s="336" t="s">
        <v>252</v>
      </c>
      <c r="J26" s="337"/>
      <c r="K26" s="338"/>
    </row>
    <row r="27" spans="1:11" ht="15.6" x14ac:dyDescent="0.35">
      <c r="A27" s="6"/>
      <c r="B27" s="139"/>
      <c r="C27" s="246" t="s">
        <v>226</v>
      </c>
      <c r="D27" s="246"/>
      <c r="E27" s="246"/>
      <c r="F27" s="247"/>
      <c r="G27" s="14">
        <f>SUM(G20+G24)</f>
        <v>0</v>
      </c>
      <c r="H27" s="89" t="s">
        <v>23</v>
      </c>
      <c r="I27" s="278"/>
      <c r="J27" s="279"/>
      <c r="K27" s="280"/>
    </row>
    <row r="28" spans="1:11" ht="15.6" x14ac:dyDescent="0.35">
      <c r="A28" s="7"/>
      <c r="B28" s="88"/>
      <c r="C28" s="248" t="s">
        <v>227</v>
      </c>
      <c r="D28" s="248"/>
      <c r="E28" s="248"/>
      <c r="F28" s="249"/>
      <c r="G28" s="14">
        <f>SUM(G20+G23+G24+G25)</f>
        <v>0</v>
      </c>
      <c r="H28" s="89" t="s">
        <v>23</v>
      </c>
      <c r="I28" s="278"/>
      <c r="J28" s="279"/>
      <c r="K28" s="280"/>
    </row>
  </sheetData>
  <sheetProtection sheet="1" objects="1" scenarios="1" selectLockedCells="1"/>
  <mergeCells count="47">
    <mergeCell ref="C28:F28"/>
    <mergeCell ref="I28:K28"/>
    <mergeCell ref="C25:F25"/>
    <mergeCell ref="I25:K25"/>
    <mergeCell ref="C26:F26"/>
    <mergeCell ref="I26:K26"/>
    <mergeCell ref="C27:F27"/>
    <mergeCell ref="I27:K27"/>
    <mergeCell ref="C22:F22"/>
    <mergeCell ref="I22:K22"/>
    <mergeCell ref="C23:F23"/>
    <mergeCell ref="I23:K23"/>
    <mergeCell ref="C24:F24"/>
    <mergeCell ref="I24:K24"/>
    <mergeCell ref="B19:F19"/>
    <mergeCell ref="C20:F20"/>
    <mergeCell ref="I20:K20"/>
    <mergeCell ref="C21:F21"/>
    <mergeCell ref="I21:K21"/>
    <mergeCell ref="B12:F12"/>
    <mergeCell ref="B14:F14"/>
    <mergeCell ref="G14:K14"/>
    <mergeCell ref="B15:F18"/>
    <mergeCell ref="G15:H15"/>
    <mergeCell ref="I15:K15"/>
    <mergeCell ref="G16:H16"/>
    <mergeCell ref="I16:K16"/>
    <mergeCell ref="G17:H17"/>
    <mergeCell ref="I17:K17"/>
    <mergeCell ref="G18:H18"/>
    <mergeCell ref="I18:K18"/>
    <mergeCell ref="A1:K1"/>
    <mergeCell ref="A2:K2"/>
    <mergeCell ref="B13:F13"/>
    <mergeCell ref="G13:K13"/>
    <mergeCell ref="B3:F5"/>
    <mergeCell ref="G3:K3"/>
    <mergeCell ref="G4:K4"/>
    <mergeCell ref="G5:K5"/>
    <mergeCell ref="B6:F8"/>
    <mergeCell ref="G6:K6"/>
    <mergeCell ref="G7:K7"/>
    <mergeCell ref="G8:K8"/>
    <mergeCell ref="B9:F11"/>
    <mergeCell ref="G9:K9"/>
    <mergeCell ref="G10:K10"/>
    <mergeCell ref="G11:K11"/>
  </mergeCells>
  <pageMargins left="0.46" right="0.47" top="0.31" bottom="0.75" header="0.3" footer="0.3"/>
  <pageSetup orientation="portrait" r:id="rId1"/>
  <headerFooter>
    <oddFooter>&amp;LWV LPA&amp;RRevised: 5/2012
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Start Here</vt:lpstr>
      <vt:lpstr>Entity Checklist</vt:lpstr>
      <vt:lpstr>Financial Position</vt:lpstr>
      <vt:lpstr>2nd Entity Financial Position</vt:lpstr>
      <vt:lpstr>Parcel Application</vt:lpstr>
      <vt:lpstr>Ranking Factors</vt:lpstr>
      <vt:lpstr>Appraiser and Surveyor Info</vt:lpstr>
      <vt:lpstr>'Appraiser and Surveyor Info'!Print_Area</vt:lpstr>
      <vt:lpstr>'Entity Checklist'!Print_Area</vt:lpstr>
      <vt:lpstr>'Ranking Factors'!Print_Area</vt:lpstr>
      <vt:lpstr>'Start Here'!Print_Area</vt:lpstr>
    </vt:vector>
  </TitlesOfParts>
  <Company>USDA OCIO-ITS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timothy.hastings</dc:creator>
  <cp:lastModifiedBy>timothy.hastings</cp:lastModifiedBy>
  <cp:lastPrinted>2013-06-27T14:00:16Z</cp:lastPrinted>
  <dcterms:created xsi:type="dcterms:W3CDTF">2012-01-05T17:04:43Z</dcterms:created>
  <dcterms:modified xsi:type="dcterms:W3CDTF">2013-06-27T14:00:36Z</dcterms:modified>
</cp:coreProperties>
</file>