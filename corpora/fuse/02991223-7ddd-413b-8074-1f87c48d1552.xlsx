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35" windowWidth="17520" windowHeight="11790" activeTab="1"/>
  </bookViews>
  <sheets>
    <sheet name="Tax Shift Payback" sheetId="17" r:id="rId1"/>
    <sheet name="COMBINED AID AND TAX SHIFT " sheetId="13" r:id="rId2"/>
  </sheets>
  <externalReferences>
    <externalReference r:id="rId3"/>
  </externalReferences>
  <definedNames>
    <definedName name="Aid">#REF!</definedName>
    <definedName name="Dnumber">[1]Simulation!$A$1</definedName>
    <definedName name="Ideas">#REF!</definedName>
    <definedName name="Name1">[1]Simulation!$C$1</definedName>
    <definedName name="Outputs">#REF!</definedName>
    <definedName name="_xlnm.Print_Area" localSheetId="1">'COMBINED AID AND TAX SHIFT '!$A$1:$W$27</definedName>
    <definedName name="_xlnm.Print_Titles" localSheetId="1">'COMBINED AID AND TAX SHIFT '!$7:$7</definedName>
    <definedName name="_xlnm.Print_Titles" localSheetId="0">'Tax Shift Payback'!$1:$13</definedName>
    <definedName name="ShiftCY" localSheetId="0">'Tax Shift Payback'!$A$14:$C$346</definedName>
  </definedNames>
  <calcPr calcId="145621"/>
</workbook>
</file>

<file path=xl/calcChain.xml><?xml version="1.0" encoding="utf-8"?>
<calcChain xmlns="http://schemas.openxmlformats.org/spreadsheetml/2006/main">
  <c r="AA340" i="13" l="1"/>
  <c r="AA4" i="13"/>
  <c r="AA5" i="13"/>
  <c r="Z3" i="13"/>
  <c r="AA3" i="13" s="1"/>
  <c r="X6" i="13"/>
  <c r="Y6" i="13"/>
  <c r="Z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AE9" i="13" l="1"/>
  <c r="AF9" i="13" s="1"/>
  <c r="AE10" i="13"/>
  <c r="AF10" i="13"/>
  <c r="AE11" i="13"/>
  <c r="AF11" i="13" s="1"/>
  <c r="AE12" i="13"/>
  <c r="AF12" i="13" s="1"/>
  <c r="AE13" i="13"/>
  <c r="AF13" i="13" s="1"/>
  <c r="AE14" i="13"/>
  <c r="AF14" i="13"/>
  <c r="AE15" i="13"/>
  <c r="AF15" i="13" s="1"/>
  <c r="AE16" i="13"/>
  <c r="AF16" i="13"/>
  <c r="AE17" i="13"/>
  <c r="AF17" i="13" s="1"/>
  <c r="AE18" i="13"/>
  <c r="AF18" i="13" s="1"/>
  <c r="AE19" i="13"/>
  <c r="AF19" i="13" s="1"/>
  <c r="AE20" i="13"/>
  <c r="AF20" i="13" s="1"/>
  <c r="AE21" i="13"/>
  <c r="AF21" i="13" s="1"/>
  <c r="AE22" i="13"/>
  <c r="AF22" i="13" s="1"/>
  <c r="AE23" i="13"/>
  <c r="AF23" i="13" s="1"/>
  <c r="AE24" i="13"/>
  <c r="AF24" i="13"/>
  <c r="AE25" i="13"/>
  <c r="AF25" i="13" s="1"/>
  <c r="AE26" i="13"/>
  <c r="AF26" i="13" s="1"/>
  <c r="AE27" i="13"/>
  <c r="AF27" i="13" s="1"/>
  <c r="AE28" i="13"/>
  <c r="AF28" i="13" s="1"/>
  <c r="AE29" i="13"/>
  <c r="AF29" i="13" s="1"/>
  <c r="AE30" i="13"/>
  <c r="AF30" i="13"/>
  <c r="AE31" i="13"/>
  <c r="AF31" i="13" s="1"/>
  <c r="AE32" i="13"/>
  <c r="AF32" i="13" s="1"/>
  <c r="AE33" i="13"/>
  <c r="AF33" i="13" s="1"/>
  <c r="AE34" i="13"/>
  <c r="AF34" i="13" s="1"/>
  <c r="AE35" i="13"/>
  <c r="AF35" i="13" s="1"/>
  <c r="AE36" i="13"/>
  <c r="AF36" i="13" s="1"/>
  <c r="AE37" i="13"/>
  <c r="AF37" i="13" s="1"/>
  <c r="AE38" i="13"/>
  <c r="AF38" i="13" s="1"/>
  <c r="AE39" i="13"/>
  <c r="AF39" i="13" s="1"/>
  <c r="AE40" i="13"/>
  <c r="AF40" i="13" s="1"/>
  <c r="AE41" i="13"/>
  <c r="AF41" i="13" s="1"/>
  <c r="AE42" i="13"/>
  <c r="AF42" i="13" s="1"/>
  <c r="AE43" i="13"/>
  <c r="AF43" i="13" s="1"/>
  <c r="AE44" i="13"/>
  <c r="AF44" i="13" s="1"/>
  <c r="AE45" i="13"/>
  <c r="AF45" i="13" s="1"/>
  <c r="AE46" i="13"/>
  <c r="AF46" i="13" s="1"/>
  <c r="AE47" i="13"/>
  <c r="AF47" i="13" s="1"/>
  <c r="AE48" i="13"/>
  <c r="AF48" i="13" s="1"/>
  <c r="AE49" i="13"/>
  <c r="AF49" i="13" s="1"/>
  <c r="AE50" i="13"/>
  <c r="AF50" i="13" s="1"/>
  <c r="AE51" i="13"/>
  <c r="AF51" i="13" s="1"/>
  <c r="AE52" i="13"/>
  <c r="AF52" i="13" s="1"/>
  <c r="AE53" i="13"/>
  <c r="AF53" i="13" s="1"/>
  <c r="AE54" i="13"/>
  <c r="AF54" i="13" s="1"/>
  <c r="AE55" i="13"/>
  <c r="AF55" i="13" s="1"/>
  <c r="AE56" i="13"/>
  <c r="AF56" i="13" s="1"/>
  <c r="AE57" i="13"/>
  <c r="AF57" i="13" s="1"/>
  <c r="AE58" i="13"/>
  <c r="AF58" i="13" s="1"/>
  <c r="AE59" i="13"/>
  <c r="AF59" i="13" s="1"/>
  <c r="AE60" i="13"/>
  <c r="AF60" i="13" s="1"/>
  <c r="AE61" i="13"/>
  <c r="AF61" i="13" s="1"/>
  <c r="AE62" i="13"/>
  <c r="AF62" i="13"/>
  <c r="AE63" i="13"/>
  <c r="AF63" i="13" s="1"/>
  <c r="AE64" i="13"/>
  <c r="AF64" i="13"/>
  <c r="AE65" i="13"/>
  <c r="AF65" i="13" s="1"/>
  <c r="AE66" i="13"/>
  <c r="AF66" i="13" s="1"/>
  <c r="AE67" i="13"/>
  <c r="AF67" i="13" s="1"/>
  <c r="AE68" i="13"/>
  <c r="AF68" i="13" s="1"/>
  <c r="AE69" i="13"/>
  <c r="AF69" i="13" s="1"/>
  <c r="AE70" i="13"/>
  <c r="AF70" i="13" s="1"/>
  <c r="AE71" i="13"/>
  <c r="AF71" i="13" s="1"/>
  <c r="AE72" i="13"/>
  <c r="AF72" i="13"/>
  <c r="AE73" i="13"/>
  <c r="AF73" i="13" s="1"/>
  <c r="AE74" i="13"/>
  <c r="AF74" i="13" s="1"/>
  <c r="AE75" i="13"/>
  <c r="AF75" i="13" s="1"/>
  <c r="AE76" i="13"/>
  <c r="AF76" i="13" s="1"/>
  <c r="AE77" i="13"/>
  <c r="AF77" i="13" s="1"/>
  <c r="AE78" i="13"/>
  <c r="AF78" i="13"/>
  <c r="AE79" i="13"/>
  <c r="AF79" i="13" s="1"/>
  <c r="AE80" i="13"/>
  <c r="AF80" i="13"/>
  <c r="AE81" i="13"/>
  <c r="AF81" i="13" s="1"/>
  <c r="AE82" i="13"/>
  <c r="AF82" i="13" s="1"/>
  <c r="AE83" i="13"/>
  <c r="AF83" i="13" s="1"/>
  <c r="AE84" i="13"/>
  <c r="AF84" i="13" s="1"/>
  <c r="AE85" i="13"/>
  <c r="AF85" i="13" s="1"/>
  <c r="AE86" i="13"/>
  <c r="AF86" i="13" s="1"/>
  <c r="AE87" i="13"/>
  <c r="AF87" i="13" s="1"/>
  <c r="AE88" i="13"/>
  <c r="AF88" i="13"/>
  <c r="AE89" i="13"/>
  <c r="AF89" i="13" s="1"/>
  <c r="AE90" i="13"/>
  <c r="AF90" i="13" s="1"/>
  <c r="AE91" i="13"/>
  <c r="AF91" i="13" s="1"/>
  <c r="AE92" i="13"/>
  <c r="AF92" i="13" s="1"/>
  <c r="AE93" i="13"/>
  <c r="AF93" i="13" s="1"/>
  <c r="AE94" i="13"/>
  <c r="AF94" i="13"/>
  <c r="AE95" i="13"/>
  <c r="AF95" i="13" s="1"/>
  <c r="AE96" i="13"/>
  <c r="AF96" i="13" s="1"/>
  <c r="AE97" i="13"/>
  <c r="AF97" i="13" s="1"/>
  <c r="AE98" i="13"/>
  <c r="AF98" i="13" s="1"/>
  <c r="AE99" i="13"/>
  <c r="AF99" i="13" s="1"/>
  <c r="AE100" i="13"/>
  <c r="AF100" i="13" s="1"/>
  <c r="AE101" i="13"/>
  <c r="AF101" i="13" s="1"/>
  <c r="AE102" i="13"/>
  <c r="AF102" i="13" s="1"/>
  <c r="AE103" i="13"/>
  <c r="AF103" i="13" s="1"/>
  <c r="AE104" i="13"/>
  <c r="AF104" i="13" s="1"/>
  <c r="AE105" i="13"/>
  <c r="AF105" i="13" s="1"/>
  <c r="AE106" i="13"/>
  <c r="AF106" i="13" s="1"/>
  <c r="AE107" i="13"/>
  <c r="AF107" i="13" s="1"/>
  <c r="AE108" i="13"/>
  <c r="AF108" i="13" s="1"/>
  <c r="AE109" i="13"/>
  <c r="AF109" i="13" s="1"/>
  <c r="AE110" i="13"/>
  <c r="AF110" i="13" s="1"/>
  <c r="AE111" i="13"/>
  <c r="AF111" i="13" s="1"/>
  <c r="AE112" i="13"/>
  <c r="AF112" i="13" s="1"/>
  <c r="AE113" i="13"/>
  <c r="AF113" i="13" s="1"/>
  <c r="AE114" i="13"/>
  <c r="AF114" i="13" s="1"/>
  <c r="AE115" i="13"/>
  <c r="AF115" i="13" s="1"/>
  <c r="AE116" i="13"/>
  <c r="AF116" i="13" s="1"/>
  <c r="AE117" i="13"/>
  <c r="AF117" i="13" s="1"/>
  <c r="AE118" i="13"/>
  <c r="AF118" i="13" s="1"/>
  <c r="AE119" i="13"/>
  <c r="AF119" i="13" s="1"/>
  <c r="AE120" i="13"/>
  <c r="AF120" i="13" s="1"/>
  <c r="AE121" i="13"/>
  <c r="AF121" i="13" s="1"/>
  <c r="AE122" i="13"/>
  <c r="AF122" i="13" s="1"/>
  <c r="AE123" i="13"/>
  <c r="AF123" i="13" s="1"/>
  <c r="AE124" i="13"/>
  <c r="AF124" i="13" s="1"/>
  <c r="AE125" i="13"/>
  <c r="AF125" i="13" s="1"/>
  <c r="AE126" i="13"/>
  <c r="AF126" i="13" s="1"/>
  <c r="AE127" i="13"/>
  <c r="AF127" i="13" s="1"/>
  <c r="AE128" i="13"/>
  <c r="AF128" i="13"/>
  <c r="AE129" i="13"/>
  <c r="AF129" i="13" s="1"/>
  <c r="AE130" i="13"/>
  <c r="AF130" i="13" s="1"/>
  <c r="AE131" i="13"/>
  <c r="AF131" i="13" s="1"/>
  <c r="AE132" i="13"/>
  <c r="AF132" i="13" s="1"/>
  <c r="AE133" i="13"/>
  <c r="AF133" i="13" s="1"/>
  <c r="AE134" i="13"/>
  <c r="AF134" i="13" s="1"/>
  <c r="AE135" i="13"/>
  <c r="AF135" i="13" s="1"/>
  <c r="AE136" i="13"/>
  <c r="AF136" i="13" s="1"/>
  <c r="AE137" i="13"/>
  <c r="AF137" i="13" s="1"/>
  <c r="AE138" i="13"/>
  <c r="AF138" i="13" s="1"/>
  <c r="AE139" i="13"/>
  <c r="AF139" i="13" s="1"/>
  <c r="AE140" i="13"/>
  <c r="AF140" i="13" s="1"/>
  <c r="AE141" i="13"/>
  <c r="AF141" i="13" s="1"/>
  <c r="AE142" i="13"/>
  <c r="AF142" i="13" s="1"/>
  <c r="AE143" i="13"/>
  <c r="AF143" i="13" s="1"/>
  <c r="AE144" i="13"/>
  <c r="AF144" i="13"/>
  <c r="AE145" i="13"/>
  <c r="AF145" i="13" s="1"/>
  <c r="AE146" i="13"/>
  <c r="AF146" i="13" s="1"/>
  <c r="AE147" i="13"/>
  <c r="AF147" i="13" s="1"/>
  <c r="AE148" i="13"/>
  <c r="AF148" i="13" s="1"/>
  <c r="AE149" i="13"/>
  <c r="AF149" i="13" s="1"/>
  <c r="AE150" i="13"/>
  <c r="AF150" i="13" s="1"/>
  <c r="AE151" i="13"/>
  <c r="AF151" i="13" s="1"/>
  <c r="AE152" i="13"/>
  <c r="AF152" i="13" s="1"/>
  <c r="AE153" i="13"/>
  <c r="AF153" i="13" s="1"/>
  <c r="AE154" i="13"/>
  <c r="AF154" i="13" s="1"/>
  <c r="AE155" i="13"/>
  <c r="AF155" i="13" s="1"/>
  <c r="AE156" i="13"/>
  <c r="AF156" i="13" s="1"/>
  <c r="AE157" i="13"/>
  <c r="AF157" i="13" s="1"/>
  <c r="AE158" i="13"/>
  <c r="AF158" i="13"/>
  <c r="AE159" i="13"/>
  <c r="AF159" i="13" s="1"/>
  <c r="AE160" i="13"/>
  <c r="AF160" i="13" s="1"/>
  <c r="AE161" i="13"/>
  <c r="AF161" i="13" s="1"/>
  <c r="AE162" i="13"/>
  <c r="AF162" i="13" s="1"/>
  <c r="AE163" i="13"/>
  <c r="AF163" i="13" s="1"/>
  <c r="AE164" i="13"/>
  <c r="AF164" i="13" s="1"/>
  <c r="AE165" i="13"/>
  <c r="AF165" i="13" s="1"/>
  <c r="AE166" i="13"/>
  <c r="AF166" i="13" s="1"/>
  <c r="AE167" i="13"/>
  <c r="AF167" i="13" s="1"/>
  <c r="AE168" i="13"/>
  <c r="AF168" i="13"/>
  <c r="AE169" i="13"/>
  <c r="AF169" i="13" s="1"/>
  <c r="AE170" i="13"/>
  <c r="AF170" i="13" s="1"/>
  <c r="AE171" i="13"/>
  <c r="AF171" i="13" s="1"/>
  <c r="AE172" i="13"/>
  <c r="AF172" i="13" s="1"/>
  <c r="AE173" i="13"/>
  <c r="AF173" i="13" s="1"/>
  <c r="AE174" i="13"/>
  <c r="AF174" i="13" s="1"/>
  <c r="AE175" i="13"/>
  <c r="AF175" i="13" s="1"/>
  <c r="AE176" i="13"/>
  <c r="AF176" i="13"/>
  <c r="AE177" i="13"/>
  <c r="AF177" i="13" s="1"/>
  <c r="AE178" i="13"/>
  <c r="AF178" i="13" s="1"/>
  <c r="AE179" i="13"/>
  <c r="AF179" i="13"/>
  <c r="AE180" i="13"/>
  <c r="AF180" i="13" s="1"/>
  <c r="AE181" i="13"/>
  <c r="AF181" i="13" s="1"/>
  <c r="AE182" i="13"/>
  <c r="AF182" i="13" s="1"/>
  <c r="AE183" i="13"/>
  <c r="AF183" i="13" s="1"/>
  <c r="AE184" i="13"/>
  <c r="AF184" i="13" s="1"/>
  <c r="AE185" i="13"/>
  <c r="AF185" i="13" s="1"/>
  <c r="AE186" i="13"/>
  <c r="AF186" i="13" s="1"/>
  <c r="AE187" i="13"/>
  <c r="AF187" i="13" s="1"/>
  <c r="AE188" i="13"/>
  <c r="AF188" i="13" s="1"/>
  <c r="AE189" i="13"/>
  <c r="AF189" i="13" s="1"/>
  <c r="AE190" i="13"/>
  <c r="AF190" i="13" s="1"/>
  <c r="AE191" i="13"/>
  <c r="AF191" i="13" s="1"/>
  <c r="AE192" i="13"/>
  <c r="AF192" i="13" s="1"/>
  <c r="AE193" i="13"/>
  <c r="AF193" i="13"/>
  <c r="AE194" i="13"/>
  <c r="AF194" i="13" s="1"/>
  <c r="AE195" i="13"/>
  <c r="AF195" i="13"/>
  <c r="AE196" i="13"/>
  <c r="AF196" i="13" s="1"/>
  <c r="AE197" i="13"/>
  <c r="AF197" i="13" s="1"/>
  <c r="AE198" i="13"/>
  <c r="AF198" i="13" s="1"/>
  <c r="AE199" i="13"/>
  <c r="AF199" i="13"/>
  <c r="AE200" i="13"/>
  <c r="AF200" i="13" s="1"/>
  <c r="AE201" i="13"/>
  <c r="AF201" i="13"/>
  <c r="AE202" i="13"/>
  <c r="AF202" i="13" s="1"/>
  <c r="AE203" i="13"/>
  <c r="AF203" i="13" s="1"/>
  <c r="AE204" i="13"/>
  <c r="AF204" i="13" s="1"/>
  <c r="AE205" i="13"/>
  <c r="AF205" i="13" s="1"/>
  <c r="AE206" i="13"/>
  <c r="AF206" i="13" s="1"/>
  <c r="AE207" i="13"/>
  <c r="AF207" i="13"/>
  <c r="AE208" i="13"/>
  <c r="AF208" i="13" s="1"/>
  <c r="AE209" i="13"/>
  <c r="AF209" i="13" s="1"/>
  <c r="AE210" i="13"/>
  <c r="AF210" i="13" s="1"/>
  <c r="AE211" i="13"/>
  <c r="AF211" i="13"/>
  <c r="AE212" i="13"/>
  <c r="AF212" i="13" s="1"/>
  <c r="AE213" i="13"/>
  <c r="AF213" i="13" s="1"/>
  <c r="AE214" i="13"/>
  <c r="AF214" i="13" s="1"/>
  <c r="AE215" i="13"/>
  <c r="AF215" i="13" s="1"/>
  <c r="AE216" i="13"/>
  <c r="AF216" i="13" s="1"/>
  <c r="AE217" i="13"/>
  <c r="AF217" i="13"/>
  <c r="AE218" i="13"/>
  <c r="AF218" i="13" s="1"/>
  <c r="AE219" i="13"/>
  <c r="AF219" i="13" s="1"/>
  <c r="AE220" i="13"/>
  <c r="AF220" i="13" s="1"/>
  <c r="AE221" i="13"/>
  <c r="AF221" i="13" s="1"/>
  <c r="AE222" i="13"/>
  <c r="AF222" i="13" s="1"/>
  <c r="AE223" i="13"/>
  <c r="AF223" i="13"/>
  <c r="AE224" i="13"/>
  <c r="AF224" i="13" s="1"/>
  <c r="AE225" i="13"/>
  <c r="AF225" i="13" s="1"/>
  <c r="AE226" i="13"/>
  <c r="AF226" i="13" s="1"/>
  <c r="AE227" i="13"/>
  <c r="AF227" i="13"/>
  <c r="AE228" i="13"/>
  <c r="AF228" i="13" s="1"/>
  <c r="AE229" i="13"/>
  <c r="AF229" i="13" s="1"/>
  <c r="AE230" i="13"/>
  <c r="AF230" i="13" s="1"/>
  <c r="AE231" i="13"/>
  <c r="AF231" i="13" s="1"/>
  <c r="AE232" i="13"/>
  <c r="AF232" i="13" s="1"/>
  <c r="AE233" i="13"/>
  <c r="AF233" i="13"/>
  <c r="AE234" i="13"/>
  <c r="AF234" i="13" s="1"/>
  <c r="AE235" i="13"/>
  <c r="AF235" i="13" s="1"/>
  <c r="AE236" i="13"/>
  <c r="AF236" i="13" s="1"/>
  <c r="AE237" i="13"/>
  <c r="AF237" i="13" s="1"/>
  <c r="AE238" i="13"/>
  <c r="AF238" i="13" s="1"/>
  <c r="AE239" i="13"/>
  <c r="AF239" i="13"/>
  <c r="AE240" i="13"/>
  <c r="AF240" i="13" s="1"/>
  <c r="AE241" i="13"/>
  <c r="AF241" i="13" s="1"/>
  <c r="AE242" i="13"/>
  <c r="AF242" i="13" s="1"/>
  <c r="AE243" i="13"/>
  <c r="AF243" i="13" s="1"/>
  <c r="AE244" i="13"/>
  <c r="AF244" i="13" s="1"/>
  <c r="AE245" i="13"/>
  <c r="AF245" i="13" s="1"/>
  <c r="AE246" i="13"/>
  <c r="AF246" i="13" s="1"/>
  <c r="AE247" i="13"/>
  <c r="AF247" i="13" s="1"/>
  <c r="AE248" i="13"/>
  <c r="AF248" i="13" s="1"/>
  <c r="AE249" i="13"/>
  <c r="AF249" i="13"/>
  <c r="AE250" i="13"/>
  <c r="AF250" i="13" s="1"/>
  <c r="AE251" i="13"/>
  <c r="AF251" i="13" s="1"/>
  <c r="AE252" i="13"/>
  <c r="AF252" i="13" s="1"/>
  <c r="AE253" i="13"/>
  <c r="AF253" i="13" s="1"/>
  <c r="AE254" i="13"/>
  <c r="AF254" i="13" s="1"/>
  <c r="AE255" i="13"/>
  <c r="AF255" i="13"/>
  <c r="AE256" i="13"/>
  <c r="AF256" i="13" s="1"/>
  <c r="AE257" i="13"/>
  <c r="AF257" i="13" s="1"/>
  <c r="AE258" i="13"/>
  <c r="AF258" i="13" s="1"/>
  <c r="AE259" i="13"/>
  <c r="AF259" i="13"/>
  <c r="AE260" i="13"/>
  <c r="AF260" i="13" s="1"/>
  <c r="AE261" i="13"/>
  <c r="AF261" i="13" s="1"/>
  <c r="AE262" i="13"/>
  <c r="AF262" i="13" s="1"/>
  <c r="AE263" i="13"/>
  <c r="AF263" i="13" s="1"/>
  <c r="AE264" i="13"/>
  <c r="AF264" i="13" s="1"/>
  <c r="AE265" i="13"/>
  <c r="AF265" i="13"/>
  <c r="AE266" i="13"/>
  <c r="AF266" i="13" s="1"/>
  <c r="AE267" i="13"/>
  <c r="AF267" i="13" s="1"/>
  <c r="AE268" i="13"/>
  <c r="AF268" i="13" s="1"/>
  <c r="AE269" i="13"/>
  <c r="AF269" i="13" s="1"/>
  <c r="AE270" i="13"/>
  <c r="AF270" i="13" s="1"/>
  <c r="AE271" i="13"/>
  <c r="AF271" i="13"/>
  <c r="AE272" i="13"/>
  <c r="AF272" i="13" s="1"/>
  <c r="AE273" i="13"/>
  <c r="AF273" i="13" s="1"/>
  <c r="AE274" i="13"/>
  <c r="AF274" i="13" s="1"/>
  <c r="AE275" i="13"/>
  <c r="AF275" i="13" s="1"/>
  <c r="AE276" i="13"/>
  <c r="AF276" i="13" s="1"/>
  <c r="AE277" i="13"/>
  <c r="AF277" i="13" s="1"/>
  <c r="AE278" i="13"/>
  <c r="AF278" i="13" s="1"/>
  <c r="AE279" i="13"/>
  <c r="AF279" i="13" s="1"/>
  <c r="AE280" i="13"/>
  <c r="AF280" i="13" s="1"/>
  <c r="AE281" i="13"/>
  <c r="AF281" i="13" s="1"/>
  <c r="AE282" i="13"/>
  <c r="AF282" i="13" s="1"/>
  <c r="AE283" i="13"/>
  <c r="AF283" i="13"/>
  <c r="AE284" i="13"/>
  <c r="AF284" i="13" s="1"/>
  <c r="AE285" i="13"/>
  <c r="AF285" i="13" s="1"/>
  <c r="AE286" i="13"/>
  <c r="AF286" i="13" s="1"/>
  <c r="AE287" i="13"/>
  <c r="AF287" i="13" s="1"/>
  <c r="AE288" i="13"/>
  <c r="AF288" i="13" s="1"/>
  <c r="AE289" i="13"/>
  <c r="AF289" i="13"/>
  <c r="AE290" i="13"/>
  <c r="AF290" i="13" s="1"/>
  <c r="AE291" i="13"/>
  <c r="AF291" i="13"/>
  <c r="AE292" i="13"/>
  <c r="AF292" i="13" s="1"/>
  <c r="AE293" i="13"/>
  <c r="AF293" i="13" s="1"/>
  <c r="AE294" i="13"/>
  <c r="AF294" i="13" s="1"/>
  <c r="AE295" i="13"/>
  <c r="AF295" i="13"/>
  <c r="AE296" i="13"/>
  <c r="AF296" i="13" s="1"/>
  <c r="AE297" i="13"/>
  <c r="AF297" i="13"/>
  <c r="AE298" i="13"/>
  <c r="AF298" i="13" s="1"/>
  <c r="AE299" i="13"/>
  <c r="AF299" i="13" s="1"/>
  <c r="AE300" i="13"/>
  <c r="AF300" i="13" s="1"/>
  <c r="AE301" i="13"/>
  <c r="AF301" i="13" s="1"/>
  <c r="AE302" i="13"/>
  <c r="AF302" i="13" s="1"/>
  <c r="AE303" i="13"/>
  <c r="AF303" i="13" s="1"/>
  <c r="AE304" i="13"/>
  <c r="AF304" i="13" s="1"/>
  <c r="AE305" i="13"/>
  <c r="AF305" i="13" s="1"/>
  <c r="AE306" i="13"/>
  <c r="AF306" i="13" s="1"/>
  <c r="AE307" i="13"/>
  <c r="AF307" i="13"/>
  <c r="AE308" i="13"/>
  <c r="AF308" i="13"/>
  <c r="AE309" i="13"/>
  <c r="AF309" i="13"/>
  <c r="AE310" i="13"/>
  <c r="AF310" i="13"/>
  <c r="AE311" i="13"/>
  <c r="AF311" i="13"/>
  <c r="AE312" i="13"/>
  <c r="AF312" i="13"/>
  <c r="AE313" i="13"/>
  <c r="AF313" i="13"/>
  <c r="AE314" i="13"/>
  <c r="AF314" i="13"/>
  <c r="AE315" i="13"/>
  <c r="AF315" i="13"/>
  <c r="AE316" i="13"/>
  <c r="AF316" i="13"/>
  <c r="AE317" i="13"/>
  <c r="AF317" i="13"/>
  <c r="AE318" i="13"/>
  <c r="AF318" i="13"/>
  <c r="AE319" i="13"/>
  <c r="AF319" i="13"/>
  <c r="AE320" i="13"/>
  <c r="AF320" i="13"/>
  <c r="AE321" i="13"/>
  <c r="AF321" i="13"/>
  <c r="AE322" i="13"/>
  <c r="AF322" i="13"/>
  <c r="AE323" i="13"/>
  <c r="AF323" i="13"/>
  <c r="AE324" i="13"/>
  <c r="AF324" i="13"/>
  <c r="AE325" i="13"/>
  <c r="AF325" i="13"/>
  <c r="AE326" i="13"/>
  <c r="AF326" i="13"/>
  <c r="AE327" i="13"/>
  <c r="AF327" i="13"/>
  <c r="AE328" i="13"/>
  <c r="AF328" i="13"/>
  <c r="AE329" i="13"/>
  <c r="AF329" i="13" s="1"/>
  <c r="AE330" i="13"/>
  <c r="AF330" i="13" s="1"/>
  <c r="AE331" i="13"/>
  <c r="AF331" i="13" s="1"/>
  <c r="AE332" i="13"/>
  <c r="AF332" i="13" s="1"/>
  <c r="AE333" i="13"/>
  <c r="AF333" i="13" s="1"/>
  <c r="AE334" i="13"/>
  <c r="AF334" i="13"/>
  <c r="AE335" i="13"/>
  <c r="AF335" i="13" s="1"/>
  <c r="AE336" i="13"/>
  <c r="AF336" i="13"/>
  <c r="AE337" i="13"/>
  <c r="AF337" i="13" s="1"/>
  <c r="AE338" i="13"/>
  <c r="AF338" i="13" s="1"/>
  <c r="AE339" i="13"/>
  <c r="AF339" i="13" s="1"/>
  <c r="AE340" i="13"/>
  <c r="AF340" i="13" s="1"/>
  <c r="AE341" i="13"/>
  <c r="AF341" i="13" s="1"/>
  <c r="AE342" i="13"/>
  <c r="AF342" i="13" s="1"/>
  <c r="AE343" i="13"/>
  <c r="AF343" i="13" s="1"/>
  <c r="AE8" i="13"/>
  <c r="AF8" i="13" s="1"/>
  <c r="Y3" i="13" l="1"/>
  <c r="X3" i="13"/>
  <c r="C10" i="13" l="1"/>
  <c r="C11" i="13"/>
  <c r="C13" i="13"/>
  <c r="C14" i="13"/>
  <c r="C493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521" i="13"/>
  <c r="C522" i="13"/>
  <c r="C523" i="13"/>
  <c r="C524" i="13"/>
  <c r="C525" i="13"/>
  <c r="C41" i="13"/>
  <c r="C42" i="13"/>
  <c r="C43" i="13"/>
  <c r="C526" i="13"/>
  <c r="C44" i="13"/>
  <c r="C527" i="13"/>
  <c r="C45" i="13"/>
  <c r="C46" i="13"/>
  <c r="C528" i="13"/>
  <c r="C47" i="13"/>
  <c r="C48" i="13"/>
  <c r="C529" i="13"/>
  <c r="C49" i="13"/>
  <c r="C50" i="13"/>
  <c r="C51" i="13"/>
  <c r="C52" i="13"/>
  <c r="C53" i="13"/>
  <c r="C54" i="13"/>
  <c r="C520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341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500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501" i="13"/>
  <c r="C342" i="13"/>
  <c r="C343" i="13"/>
  <c r="C530" i="13"/>
  <c r="C502" i="13"/>
  <c r="C503" i="13"/>
  <c r="C499" i="13"/>
  <c r="C531" i="13"/>
  <c r="C504" i="13"/>
  <c r="C494" i="13"/>
  <c r="C495" i="13"/>
  <c r="C49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506" i="13"/>
  <c r="C507" i="13"/>
  <c r="C508" i="13"/>
  <c r="C509" i="13"/>
  <c r="C510" i="13"/>
  <c r="C511" i="13"/>
  <c r="C512" i="13"/>
  <c r="C513" i="13"/>
  <c r="C514" i="13"/>
  <c r="C517" i="13"/>
  <c r="C518" i="13"/>
  <c r="C519" i="13"/>
  <c r="C497" i="13"/>
  <c r="C505" i="13"/>
  <c r="C498" i="13"/>
  <c r="C515" i="13"/>
  <c r="C516" i="13"/>
  <c r="C532" i="13"/>
  <c r="C8" i="13"/>
  <c r="AJ343" i="13"/>
  <c r="AJ342" i="13"/>
  <c r="AJ341" i="13"/>
  <c r="AJ340" i="13"/>
  <c r="AJ339" i="13"/>
  <c r="AJ338" i="13"/>
  <c r="AJ337" i="13"/>
  <c r="AJ336" i="13"/>
  <c r="AJ335" i="13"/>
  <c r="AJ334" i="13"/>
  <c r="AJ333" i="13"/>
  <c r="AJ332" i="13"/>
  <c r="AJ331" i="13"/>
  <c r="AJ330" i="13"/>
  <c r="AJ329" i="13"/>
  <c r="AJ328" i="13"/>
  <c r="AJ327" i="13"/>
  <c r="AJ326" i="13"/>
  <c r="AJ325" i="13"/>
  <c r="AJ324" i="13"/>
  <c r="AJ323" i="13"/>
  <c r="AJ322" i="13"/>
  <c r="AJ321" i="13"/>
  <c r="AJ320" i="13"/>
  <c r="AJ319" i="13"/>
  <c r="AJ318" i="13"/>
  <c r="AJ317" i="13"/>
  <c r="AJ316" i="13"/>
  <c r="AJ315" i="13"/>
  <c r="AJ314" i="13"/>
  <c r="AJ313" i="13"/>
  <c r="AJ312" i="13"/>
  <c r="AJ311" i="13"/>
  <c r="AJ310" i="13"/>
  <c r="AJ309" i="13"/>
  <c r="AJ308" i="13"/>
  <c r="AJ307" i="13"/>
  <c r="AJ306" i="13"/>
  <c r="AJ305" i="13"/>
  <c r="AJ304" i="13"/>
  <c r="AJ303" i="13"/>
  <c r="AJ302" i="13"/>
  <c r="AJ301" i="13"/>
  <c r="AJ300" i="13"/>
  <c r="AJ299" i="13"/>
  <c r="AJ298" i="13"/>
  <c r="AJ297" i="13"/>
  <c r="AJ296" i="13"/>
  <c r="AJ295" i="13"/>
  <c r="AJ294" i="13"/>
  <c r="AJ293" i="13"/>
  <c r="AJ292" i="13"/>
  <c r="AJ291" i="13"/>
  <c r="AJ290" i="13"/>
  <c r="AJ289" i="13"/>
  <c r="AJ288" i="13"/>
  <c r="AJ287" i="13"/>
  <c r="AJ286" i="13"/>
  <c r="AJ285" i="13"/>
  <c r="AJ284" i="13"/>
  <c r="AJ283" i="13"/>
  <c r="AJ282" i="13"/>
  <c r="AJ281" i="13"/>
  <c r="AJ280" i="13"/>
  <c r="AJ279" i="13"/>
  <c r="AJ278" i="13"/>
  <c r="AJ277" i="13"/>
  <c r="AJ276" i="13"/>
  <c r="AJ275" i="13"/>
  <c r="AJ274" i="13"/>
  <c r="AJ273" i="13"/>
  <c r="AJ272" i="13"/>
  <c r="AJ271" i="13"/>
  <c r="AJ270" i="13"/>
  <c r="AJ269" i="13"/>
  <c r="AJ268" i="13"/>
  <c r="AJ267" i="13"/>
  <c r="AJ266" i="13"/>
  <c r="AJ265" i="13"/>
  <c r="AJ264" i="13"/>
  <c r="AJ263" i="13"/>
  <c r="AJ262" i="13"/>
  <c r="AJ261" i="13"/>
  <c r="AJ260" i="13"/>
  <c r="AJ259" i="13"/>
  <c r="AJ258" i="13"/>
  <c r="AJ257" i="13"/>
  <c r="AJ256" i="13"/>
  <c r="AJ255" i="13"/>
  <c r="AJ254" i="13"/>
  <c r="AJ253" i="13"/>
  <c r="AJ252" i="13"/>
  <c r="AJ251" i="13"/>
  <c r="AJ250" i="13"/>
  <c r="AJ249" i="13"/>
  <c r="AJ248" i="13"/>
  <c r="AJ247" i="13"/>
  <c r="AJ246" i="13"/>
  <c r="AJ245" i="13"/>
  <c r="AJ244" i="13"/>
  <c r="AJ243" i="13"/>
  <c r="AJ242" i="13"/>
  <c r="AJ241" i="13"/>
  <c r="AJ240" i="13"/>
  <c r="AJ239" i="13"/>
  <c r="AJ238" i="13"/>
  <c r="AJ237" i="13"/>
  <c r="AJ236" i="13"/>
  <c r="AJ235" i="13"/>
  <c r="AJ234" i="13"/>
  <c r="AJ233" i="13"/>
  <c r="AJ232" i="13"/>
  <c r="AJ231" i="13"/>
  <c r="AJ230" i="13"/>
  <c r="AJ229" i="13"/>
  <c r="AJ228" i="13"/>
  <c r="AJ227" i="13"/>
  <c r="AJ226" i="13"/>
  <c r="AJ225" i="13"/>
  <c r="AJ224" i="13"/>
  <c r="AJ223" i="13"/>
  <c r="AJ222" i="13"/>
  <c r="AJ221" i="13"/>
  <c r="AJ220" i="13"/>
  <c r="AJ219" i="13"/>
  <c r="AJ218" i="13"/>
  <c r="AJ217" i="13"/>
  <c r="AJ216" i="13"/>
  <c r="AJ215" i="13"/>
  <c r="AJ214" i="13"/>
  <c r="AJ213" i="13"/>
  <c r="AJ212" i="13"/>
  <c r="AJ211" i="13"/>
  <c r="AJ210" i="13"/>
  <c r="AJ209" i="13"/>
  <c r="AJ208" i="13"/>
  <c r="AJ207" i="13"/>
  <c r="AJ206" i="13"/>
  <c r="AJ205" i="13"/>
  <c r="AJ204" i="13"/>
  <c r="AJ203" i="13"/>
  <c r="AJ202" i="13"/>
  <c r="AJ201" i="13"/>
  <c r="AJ200" i="13"/>
  <c r="AJ199" i="13"/>
  <c r="AJ198" i="13"/>
  <c r="AJ197" i="13"/>
  <c r="AJ196" i="13"/>
  <c r="AJ195" i="13"/>
  <c r="AJ194" i="13"/>
  <c r="AJ193" i="13"/>
  <c r="AJ192" i="13"/>
  <c r="AJ191" i="13"/>
  <c r="AJ190" i="13"/>
  <c r="AJ189" i="13"/>
  <c r="AJ188" i="13"/>
  <c r="AJ187" i="13"/>
  <c r="AJ186" i="13"/>
  <c r="AJ185" i="13"/>
  <c r="AJ184" i="13"/>
  <c r="AJ183" i="13"/>
  <c r="AJ182" i="13"/>
  <c r="AJ181" i="13"/>
  <c r="AJ180" i="13"/>
  <c r="AJ179" i="13"/>
  <c r="AJ178" i="13"/>
  <c r="AJ177" i="13"/>
  <c r="AJ176" i="13"/>
  <c r="AJ175" i="13"/>
  <c r="AJ174" i="13"/>
  <c r="AJ173" i="13"/>
  <c r="AJ172" i="13"/>
  <c r="AJ171" i="13"/>
  <c r="AJ170" i="13"/>
  <c r="AJ169" i="13"/>
  <c r="AJ168" i="13"/>
  <c r="AJ167" i="13"/>
  <c r="AJ166" i="13"/>
  <c r="AJ165" i="13"/>
  <c r="AJ164" i="13"/>
  <c r="AJ163" i="13"/>
  <c r="AJ162" i="13"/>
  <c r="AJ161" i="13"/>
  <c r="AJ160" i="13"/>
  <c r="AJ159" i="13"/>
  <c r="AJ158" i="13"/>
  <c r="AJ157" i="13"/>
  <c r="AJ156" i="13"/>
  <c r="AJ155" i="13"/>
  <c r="AJ154" i="13"/>
  <c r="AJ153" i="13"/>
  <c r="AJ152" i="13"/>
  <c r="AJ151" i="13"/>
  <c r="AJ150" i="13"/>
  <c r="AJ149" i="13"/>
  <c r="AJ148" i="13"/>
  <c r="AJ147" i="13"/>
  <c r="AJ146" i="13"/>
  <c r="AJ145" i="13"/>
  <c r="AJ144" i="13"/>
  <c r="AJ143" i="13"/>
  <c r="AJ142" i="13"/>
  <c r="AJ141" i="13"/>
  <c r="AJ140" i="13"/>
  <c r="AJ139" i="13"/>
  <c r="AJ138" i="13"/>
  <c r="AJ137" i="13"/>
  <c r="AJ136" i="13"/>
  <c r="AJ135" i="13"/>
  <c r="AJ134" i="13"/>
  <c r="AJ133" i="13"/>
  <c r="AJ132" i="13"/>
  <c r="AJ131" i="13"/>
  <c r="AJ130" i="13"/>
  <c r="AJ129" i="13"/>
  <c r="AJ128" i="13"/>
  <c r="AJ127" i="13"/>
  <c r="AJ126" i="13"/>
  <c r="AJ125" i="13"/>
  <c r="AJ124" i="13"/>
  <c r="AJ123" i="13"/>
  <c r="AJ122" i="13"/>
  <c r="AJ121" i="13"/>
  <c r="AJ120" i="13"/>
  <c r="AJ119" i="13"/>
  <c r="AJ118" i="13"/>
  <c r="AJ117" i="13"/>
  <c r="AJ116" i="13"/>
  <c r="AJ115" i="13"/>
  <c r="AJ114" i="13"/>
  <c r="AJ113" i="13"/>
  <c r="AJ112" i="13"/>
  <c r="AJ111" i="13"/>
  <c r="AJ110" i="13"/>
  <c r="AJ109" i="13"/>
  <c r="AJ108" i="13"/>
  <c r="AJ107" i="13"/>
  <c r="AJ106" i="13"/>
  <c r="AJ105" i="13"/>
  <c r="AJ104" i="13"/>
  <c r="AJ103" i="13"/>
  <c r="AJ102" i="13"/>
  <c r="AJ101" i="13"/>
  <c r="AJ100" i="13"/>
  <c r="AJ99" i="13"/>
  <c r="AJ98" i="13"/>
  <c r="AJ97" i="13"/>
  <c r="AJ96" i="13"/>
  <c r="AJ95" i="13"/>
  <c r="AJ94" i="13"/>
  <c r="AJ93" i="13"/>
  <c r="AJ92" i="13"/>
  <c r="AJ91" i="13"/>
  <c r="AJ90" i="13"/>
  <c r="AJ89" i="13"/>
  <c r="AJ88" i="13"/>
  <c r="AJ87" i="13"/>
  <c r="AJ86" i="13"/>
  <c r="AJ85" i="13"/>
  <c r="AJ84" i="13"/>
  <c r="AJ83" i="13"/>
  <c r="AJ82" i="13"/>
  <c r="AJ81" i="13"/>
  <c r="AJ80" i="13"/>
  <c r="AJ79" i="13"/>
  <c r="AJ78" i="13"/>
  <c r="AJ77" i="13"/>
  <c r="AJ76" i="13"/>
  <c r="AJ75" i="13"/>
  <c r="AJ74" i="13"/>
  <c r="AJ73" i="13"/>
  <c r="AJ72" i="13"/>
  <c r="AJ71" i="13"/>
  <c r="AJ70" i="13"/>
  <c r="AJ69" i="13"/>
  <c r="AJ68" i="13"/>
  <c r="AJ67" i="13"/>
  <c r="AJ66" i="13"/>
  <c r="AJ65" i="13"/>
  <c r="AJ64" i="13"/>
  <c r="AJ63" i="13"/>
  <c r="AJ62" i="13"/>
  <c r="AJ61" i="13"/>
  <c r="AJ60" i="13"/>
  <c r="AJ59" i="13"/>
  <c r="AJ58" i="13"/>
  <c r="AJ57" i="13"/>
  <c r="AJ56" i="13"/>
  <c r="AJ55" i="13"/>
  <c r="AJ54" i="13"/>
  <c r="AJ53" i="13"/>
  <c r="AJ52" i="13"/>
  <c r="AJ51" i="13"/>
  <c r="AJ50" i="13"/>
  <c r="AJ49" i="13"/>
  <c r="AJ48" i="13"/>
  <c r="AJ47" i="13"/>
  <c r="AJ46" i="13"/>
  <c r="AJ45" i="13"/>
  <c r="AJ44" i="13"/>
  <c r="AJ43" i="13"/>
  <c r="AJ42" i="13"/>
  <c r="AJ41" i="13"/>
  <c r="AJ40" i="13"/>
  <c r="AJ39" i="13"/>
  <c r="AJ38" i="13"/>
  <c r="AJ37" i="13"/>
  <c r="AJ36" i="13"/>
  <c r="AJ35" i="13"/>
  <c r="AJ34" i="13"/>
  <c r="AJ33" i="13"/>
  <c r="AJ32" i="13"/>
  <c r="AJ31" i="13"/>
  <c r="AJ30" i="13"/>
  <c r="AJ29" i="13"/>
  <c r="AJ28" i="13"/>
  <c r="AJ27" i="13"/>
  <c r="AJ26" i="13"/>
  <c r="AJ25" i="13"/>
  <c r="AJ24" i="13"/>
  <c r="AJ23" i="13"/>
  <c r="AJ22" i="13"/>
  <c r="AJ21" i="13"/>
  <c r="AJ20" i="13"/>
  <c r="AJ19" i="13"/>
  <c r="AJ18" i="13"/>
  <c r="AJ17" i="13"/>
  <c r="AJ16" i="13"/>
  <c r="AJ15" i="13"/>
  <c r="AJ14" i="13"/>
  <c r="AJ13" i="13"/>
  <c r="AJ12" i="13"/>
  <c r="AJ11" i="13"/>
  <c r="AJ10" i="13"/>
  <c r="AJ9" i="13"/>
  <c r="AJ8" i="13"/>
  <c r="AI6" i="13"/>
  <c r="AH6" i="13"/>
  <c r="F349" i="17"/>
  <c r="F348" i="17"/>
  <c r="F347" i="17"/>
  <c r="F346" i="17"/>
  <c r="F345" i="17"/>
  <c r="F344" i="17"/>
  <c r="F343" i="17"/>
  <c r="F342" i="17"/>
  <c r="F341" i="17"/>
  <c r="F340" i="17"/>
  <c r="F339" i="17"/>
  <c r="F338" i="17"/>
  <c r="F337" i="17"/>
  <c r="F336" i="17"/>
  <c r="F335" i="17"/>
  <c r="F334" i="17"/>
  <c r="F333" i="17"/>
  <c r="F332" i="17"/>
  <c r="F331" i="17"/>
  <c r="F330" i="17"/>
  <c r="F329" i="17"/>
  <c r="F328" i="17"/>
  <c r="F327" i="17"/>
  <c r="F326" i="17"/>
  <c r="F325" i="17"/>
  <c r="F324" i="17"/>
  <c r="F323" i="17"/>
  <c r="F322" i="17"/>
  <c r="F321" i="17"/>
  <c r="F320" i="17"/>
  <c r="F319" i="17"/>
  <c r="F318" i="17"/>
  <c r="F317" i="17"/>
  <c r="F316" i="17"/>
  <c r="F315" i="17"/>
  <c r="F314" i="17"/>
  <c r="F313" i="17"/>
  <c r="F312" i="17"/>
  <c r="F311" i="17"/>
  <c r="F310" i="17"/>
  <c r="F309" i="17"/>
  <c r="F308" i="17"/>
  <c r="F307" i="17"/>
  <c r="F306" i="17"/>
  <c r="F305" i="17"/>
  <c r="F304" i="17"/>
  <c r="F303" i="17"/>
  <c r="F302" i="17"/>
  <c r="F301" i="17"/>
  <c r="F300" i="17"/>
  <c r="F299" i="17"/>
  <c r="F298" i="17"/>
  <c r="F297" i="17"/>
  <c r="F296" i="17"/>
  <c r="F295" i="17"/>
  <c r="F294" i="17"/>
  <c r="F293" i="17"/>
  <c r="F292" i="17"/>
  <c r="F291" i="17"/>
  <c r="F290" i="17"/>
  <c r="F289" i="17"/>
  <c r="F288" i="17"/>
  <c r="F287" i="17"/>
  <c r="F286" i="17"/>
  <c r="F285" i="17"/>
  <c r="F284" i="17"/>
  <c r="F283" i="17"/>
  <c r="F282" i="17"/>
  <c r="F281" i="17"/>
  <c r="F280" i="17"/>
  <c r="F279" i="17"/>
  <c r="F278" i="17"/>
  <c r="F277" i="17"/>
  <c r="F276" i="17"/>
  <c r="F275" i="17"/>
  <c r="F274" i="17"/>
  <c r="F273" i="17"/>
  <c r="F272" i="17"/>
  <c r="F271" i="17"/>
  <c r="F270" i="17"/>
  <c r="F269" i="17"/>
  <c r="F268" i="17"/>
  <c r="F267" i="17"/>
  <c r="F266" i="17"/>
  <c r="F265" i="17"/>
  <c r="F264" i="17"/>
  <c r="F263" i="17"/>
  <c r="F262" i="17"/>
  <c r="F261" i="17"/>
  <c r="F260" i="17"/>
  <c r="F259" i="17"/>
  <c r="F258" i="17"/>
  <c r="F257" i="17"/>
  <c r="F256" i="17"/>
  <c r="F255" i="17"/>
  <c r="F254" i="17"/>
  <c r="F253" i="17"/>
  <c r="F252" i="17"/>
  <c r="F251" i="17"/>
  <c r="F250" i="17"/>
  <c r="F249" i="17"/>
  <c r="F248" i="17"/>
  <c r="F247" i="17"/>
  <c r="F246" i="17"/>
  <c r="F245" i="17"/>
  <c r="F244" i="17"/>
  <c r="F243" i="17"/>
  <c r="F242" i="17"/>
  <c r="F241" i="17"/>
  <c r="F240" i="17"/>
  <c r="F239" i="17"/>
  <c r="F238" i="17"/>
  <c r="F237" i="17"/>
  <c r="F236" i="17"/>
  <c r="F235" i="17"/>
  <c r="F234" i="17"/>
  <c r="F233" i="17"/>
  <c r="F232" i="17"/>
  <c r="F231" i="17"/>
  <c r="F230" i="17"/>
  <c r="F229" i="17"/>
  <c r="F228" i="17"/>
  <c r="F227" i="17"/>
  <c r="F226" i="17"/>
  <c r="F225" i="17"/>
  <c r="F224" i="17"/>
  <c r="F223" i="17"/>
  <c r="F222" i="17"/>
  <c r="F221" i="17"/>
  <c r="F220" i="17"/>
  <c r="F219" i="17"/>
  <c r="F218" i="17"/>
  <c r="F217" i="17"/>
  <c r="F216" i="17"/>
  <c r="F215" i="17"/>
  <c r="F214" i="17"/>
  <c r="F213" i="17"/>
  <c r="F212" i="17"/>
  <c r="F211" i="17"/>
  <c r="F210" i="17"/>
  <c r="F209" i="17"/>
  <c r="F208" i="17"/>
  <c r="F207" i="17"/>
  <c r="F206" i="17"/>
  <c r="F205" i="17"/>
  <c r="F204" i="17"/>
  <c r="F203" i="17"/>
  <c r="F202" i="17"/>
  <c r="F201" i="17"/>
  <c r="F200" i="17"/>
  <c r="F199" i="17"/>
  <c r="F198" i="17"/>
  <c r="F197" i="17"/>
  <c r="F196" i="17"/>
  <c r="F195" i="17"/>
  <c r="F194" i="17"/>
  <c r="F193" i="17"/>
  <c r="F192" i="17"/>
  <c r="F191" i="17"/>
  <c r="F190" i="17"/>
  <c r="F189" i="17"/>
  <c r="F188" i="17"/>
  <c r="F187" i="17"/>
  <c r="F186" i="17"/>
  <c r="F185" i="17"/>
  <c r="F184" i="17"/>
  <c r="F183" i="17"/>
  <c r="F182" i="17"/>
  <c r="F181" i="17"/>
  <c r="F180" i="17"/>
  <c r="F179" i="17"/>
  <c r="F178" i="17"/>
  <c r="F177" i="17"/>
  <c r="F176" i="17"/>
  <c r="F175" i="17"/>
  <c r="F174" i="17"/>
  <c r="F173" i="17"/>
  <c r="F172" i="17"/>
  <c r="F171" i="17"/>
  <c r="F170" i="17"/>
  <c r="F169" i="17"/>
  <c r="F168" i="17"/>
  <c r="F167" i="17"/>
  <c r="F166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52" i="17"/>
  <c r="F151" i="17"/>
  <c r="F150" i="17"/>
  <c r="F149" i="17"/>
  <c r="F148" i="17"/>
  <c r="F147" i="17"/>
  <c r="F146" i="17"/>
  <c r="F145" i="17"/>
  <c r="F144" i="17"/>
  <c r="F143" i="17"/>
  <c r="F142" i="17"/>
  <c r="F141" i="17"/>
  <c r="F140" i="17"/>
  <c r="F139" i="17"/>
  <c r="F138" i="17"/>
  <c r="F137" i="17"/>
  <c r="F136" i="17"/>
  <c r="F135" i="17"/>
  <c r="F134" i="17"/>
  <c r="F133" i="17"/>
  <c r="F132" i="17"/>
  <c r="F131" i="17"/>
  <c r="F130" i="17"/>
  <c r="F129" i="17"/>
  <c r="F128" i="17"/>
  <c r="F127" i="17"/>
  <c r="F126" i="17"/>
  <c r="F125" i="17"/>
  <c r="F124" i="17"/>
  <c r="F123" i="17"/>
  <c r="F122" i="17"/>
  <c r="F121" i="17"/>
  <c r="F120" i="17"/>
  <c r="F119" i="17"/>
  <c r="F118" i="17"/>
  <c r="F117" i="17"/>
  <c r="F116" i="17"/>
  <c r="F115" i="17"/>
  <c r="F114" i="17"/>
  <c r="F113" i="17"/>
  <c r="F112" i="17"/>
  <c r="F111" i="17"/>
  <c r="F110" i="17"/>
  <c r="F109" i="17"/>
  <c r="F108" i="17"/>
  <c r="F107" i="17"/>
  <c r="F106" i="17"/>
  <c r="F105" i="17"/>
  <c r="F104" i="17"/>
  <c r="F103" i="17"/>
  <c r="F102" i="17"/>
  <c r="F101" i="17"/>
  <c r="F100" i="17"/>
  <c r="F99" i="17"/>
  <c r="F98" i="17"/>
  <c r="F97" i="17"/>
  <c r="F96" i="17"/>
  <c r="F95" i="17"/>
  <c r="F94" i="17"/>
  <c r="F93" i="17"/>
  <c r="F92" i="17"/>
  <c r="F91" i="17"/>
  <c r="F90" i="17"/>
  <c r="F89" i="17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2" i="17" s="1"/>
  <c r="E5" i="17" s="1"/>
  <c r="E6" i="17" s="1"/>
  <c r="F14" i="17"/>
  <c r="E12" i="17"/>
  <c r="D12" i="17"/>
  <c r="AJ6" i="13" l="1"/>
  <c r="W529" i="13" l="1"/>
  <c r="AA529" i="13" s="1"/>
  <c r="W493" i="13"/>
  <c r="AA493" i="13" s="1"/>
  <c r="W90" i="13"/>
  <c r="AA90" i="13" s="1"/>
  <c r="W130" i="13"/>
  <c r="AA130" i="13" s="1"/>
  <c r="W220" i="13"/>
  <c r="AA220" i="13" s="1"/>
  <c r="W141" i="13"/>
  <c r="AA141" i="13" s="1"/>
  <c r="W341" i="13"/>
  <c r="AA341" i="13" s="1"/>
  <c r="W58" i="13"/>
  <c r="AA58" i="13" s="1"/>
  <c r="W25" i="13"/>
  <c r="AA25" i="13" s="1"/>
  <c r="W315" i="13"/>
  <c r="AA315" i="13" s="1"/>
  <c r="W168" i="13"/>
  <c r="AA168" i="13" s="1"/>
  <c r="W152" i="13"/>
  <c r="AA152" i="13" s="1"/>
  <c r="W121" i="13"/>
  <c r="AA121" i="13" s="1"/>
  <c r="W110" i="13"/>
  <c r="AA110" i="13" s="1"/>
  <c r="W79" i="13"/>
  <c r="AA79" i="13" s="1"/>
  <c r="W68" i="13"/>
  <c r="AA68" i="13" s="1"/>
  <c r="W41" i="13"/>
  <c r="AA41" i="13" s="1"/>
  <c r="W36" i="13"/>
  <c r="AA36" i="13" s="1"/>
  <c r="W483" i="13"/>
  <c r="AA483" i="13" s="1"/>
  <c r="W287" i="13"/>
  <c r="AA287" i="13" s="1"/>
  <c r="W184" i="13"/>
  <c r="AA184" i="13" s="1"/>
  <c r="W162" i="13"/>
  <c r="AA162" i="13" s="1"/>
  <c r="W157" i="13"/>
  <c r="AA157" i="13" s="1"/>
  <c r="W140" i="13"/>
  <c r="AA140" i="13" s="1"/>
  <c r="W129" i="13"/>
  <c r="AA129" i="13" s="1"/>
  <c r="W119" i="13"/>
  <c r="AA119" i="13" s="1"/>
  <c r="W109" i="13"/>
  <c r="AA109" i="13" s="1"/>
  <c r="W99" i="13"/>
  <c r="AA99" i="13" s="1"/>
  <c r="W95" i="13"/>
  <c r="AA95" i="13" s="1"/>
  <c r="W88" i="13"/>
  <c r="AA88" i="13" s="1"/>
  <c r="W78" i="13"/>
  <c r="AA78" i="13" s="1"/>
  <c r="W74" i="13"/>
  <c r="AA74" i="13" s="1"/>
  <c r="W67" i="13"/>
  <c r="AA67" i="13" s="1"/>
  <c r="W521" i="13"/>
  <c r="AA521" i="13" s="1"/>
  <c r="W30" i="13"/>
  <c r="AA30" i="13" s="1"/>
  <c r="W24" i="13"/>
  <c r="AA24" i="13" s="1"/>
  <c r="W14" i="13"/>
  <c r="AA14" i="13" s="1"/>
  <c r="W375" i="13"/>
  <c r="AA375" i="13" s="1"/>
  <c r="W241" i="13"/>
  <c r="AA241" i="13" s="1"/>
  <c r="W193" i="13"/>
  <c r="AA193" i="13" s="1"/>
  <c r="W173" i="13"/>
  <c r="AA173" i="13" s="1"/>
  <c r="W156" i="13"/>
  <c r="AA156" i="13" s="1"/>
  <c r="W145" i="13"/>
  <c r="AA145" i="13" s="1"/>
  <c r="W134" i="13"/>
  <c r="AA134" i="13" s="1"/>
  <c r="W125" i="13"/>
  <c r="AA125" i="13" s="1"/>
  <c r="W114" i="13"/>
  <c r="AA114" i="13" s="1"/>
  <c r="W103" i="13"/>
  <c r="AA103" i="13" s="1"/>
  <c r="W94" i="13"/>
  <c r="AA94" i="13" s="1"/>
  <c r="W83" i="13"/>
  <c r="AA83" i="13" s="1"/>
  <c r="W72" i="13"/>
  <c r="AA72" i="13" s="1"/>
  <c r="W62" i="13"/>
  <c r="AA62" i="13" s="1"/>
  <c r="W52" i="13"/>
  <c r="AA52" i="13" s="1"/>
  <c r="W44" i="13"/>
  <c r="AA44" i="13" s="1"/>
  <c r="W40" i="13"/>
  <c r="AA40" i="13" s="1"/>
  <c r="W29" i="13"/>
  <c r="AA29" i="13" s="1"/>
  <c r="W18" i="13"/>
  <c r="AA18" i="13" s="1"/>
  <c r="W10" i="13"/>
  <c r="AA10" i="13" s="1"/>
  <c r="W431" i="13"/>
  <c r="AA431" i="13" s="1"/>
  <c r="W502" i="13"/>
  <c r="AA502" i="13" s="1"/>
  <c r="W204" i="13"/>
  <c r="AA204" i="13" s="1"/>
  <c r="W199" i="13"/>
  <c r="AA199" i="13" s="1"/>
  <c r="W178" i="13"/>
  <c r="AA178" i="13" s="1"/>
  <c r="W150" i="13"/>
  <c r="AA150" i="13" s="1"/>
  <c r="W146" i="13"/>
  <c r="AA146" i="13" s="1"/>
  <c r="W136" i="13"/>
  <c r="AA136" i="13" s="1"/>
  <c r="W500" i="13"/>
  <c r="AA500" i="13" s="1"/>
  <c r="W115" i="13"/>
  <c r="AA115" i="13" s="1"/>
  <c r="W105" i="13"/>
  <c r="AA105" i="13" s="1"/>
  <c r="W84" i="13"/>
  <c r="AA84" i="13" s="1"/>
  <c r="W63" i="13"/>
  <c r="AA63" i="13" s="1"/>
  <c r="W56" i="13"/>
  <c r="AA56" i="13" s="1"/>
  <c r="W53" i="13"/>
  <c r="AA53" i="13" s="1"/>
  <c r="W48" i="13"/>
  <c r="AA48" i="13" s="1"/>
  <c r="W45" i="13"/>
  <c r="AA45" i="13" s="1"/>
  <c r="W525" i="13"/>
  <c r="AA525" i="13" s="1"/>
  <c r="W34" i="13"/>
  <c r="AA34" i="13" s="1"/>
  <c r="W20" i="13"/>
  <c r="AA20" i="13" s="1"/>
  <c r="W11" i="13"/>
  <c r="AA11" i="13" s="1"/>
  <c r="W323" i="13"/>
  <c r="AA323" i="13" s="1"/>
  <c r="W293" i="13"/>
  <c r="AA293" i="13" s="1"/>
  <c r="W459" i="13"/>
  <c r="AA459" i="13" s="1"/>
  <c r="W411" i="13"/>
  <c r="AA411" i="13" s="1"/>
  <c r="W403" i="13"/>
  <c r="AA403" i="13" s="1"/>
  <c r="W348" i="13"/>
  <c r="AA348" i="13" s="1"/>
  <c r="W272" i="13"/>
  <c r="AA272" i="13" s="1"/>
  <c r="W263" i="13"/>
  <c r="AA263" i="13" s="1"/>
  <c r="W235" i="13"/>
  <c r="AA235" i="13" s="1"/>
  <c r="W209" i="13"/>
  <c r="AA209" i="13" s="1"/>
  <c r="W491" i="13"/>
  <c r="AA491" i="13" s="1"/>
  <c r="W438" i="13"/>
  <c r="AA438" i="13" s="1"/>
  <c r="W382" i="13"/>
  <c r="AA382" i="13" s="1"/>
  <c r="W495" i="13"/>
  <c r="AA495" i="13" s="1"/>
  <c r="W249" i="13"/>
  <c r="AA249" i="13" s="1"/>
  <c r="W225" i="13"/>
  <c r="AA225" i="13" s="1"/>
  <c r="W355" i="13"/>
  <c r="AA355" i="13" s="1"/>
  <c r="W308" i="13"/>
  <c r="AA308" i="13" s="1"/>
  <c r="W301" i="13"/>
  <c r="AA301" i="13" s="1"/>
  <c r="W280" i="13"/>
  <c r="AA280" i="13" s="1"/>
  <c r="W256" i="13"/>
  <c r="AA256" i="13" s="1"/>
  <c r="W230" i="13"/>
  <c r="AA230" i="13" s="1"/>
  <c r="W215" i="13"/>
  <c r="AA215" i="13" s="1"/>
  <c r="W511" i="13"/>
  <c r="AA511" i="13" s="1"/>
  <c r="W471" i="13"/>
  <c r="AA471" i="13" s="1"/>
  <c r="W453" i="13"/>
  <c r="AA453" i="13" s="1"/>
  <c r="W423" i="13"/>
  <c r="AA423" i="13" s="1"/>
  <c r="W417" i="13"/>
  <c r="AA417" i="13" s="1"/>
  <c r="W361" i="13"/>
  <c r="AA361" i="13" s="1"/>
  <c r="W336" i="13"/>
  <c r="AA336" i="13" s="1"/>
  <c r="W309" i="13"/>
  <c r="AA309" i="13" s="1"/>
  <c r="W304" i="13"/>
  <c r="AA304" i="13" s="1"/>
  <c r="W303" i="13"/>
  <c r="AA303" i="13" s="1"/>
  <c r="W299" i="13"/>
  <c r="AA299" i="13" s="1"/>
  <c r="W297" i="13"/>
  <c r="AA297" i="13" s="1"/>
  <c r="W296" i="13"/>
  <c r="AA296" i="13" s="1"/>
  <c r="W292" i="13"/>
  <c r="AA292" i="13" s="1"/>
  <c r="W288" i="13"/>
  <c r="AA288" i="13" s="1"/>
  <c r="W285" i="13"/>
  <c r="AA285" i="13" s="1"/>
  <c r="W281" i="13"/>
  <c r="AA281" i="13" s="1"/>
  <c r="W277" i="13"/>
  <c r="AA277" i="13" s="1"/>
  <c r="W275" i="13"/>
  <c r="AA275" i="13" s="1"/>
  <c r="W267" i="13"/>
  <c r="AA267" i="13" s="1"/>
  <c r="W260" i="13"/>
  <c r="AA260" i="13" s="1"/>
  <c r="W257" i="13"/>
  <c r="AA257" i="13" s="1"/>
  <c r="W255" i="13"/>
  <c r="AA255" i="13" s="1"/>
  <c r="W247" i="13"/>
  <c r="AA247" i="13" s="1"/>
  <c r="W245" i="13"/>
  <c r="AA245" i="13" s="1"/>
  <c r="W244" i="13"/>
  <c r="AA244" i="13" s="1"/>
  <c r="W240" i="13"/>
  <c r="AA240" i="13" s="1"/>
  <c r="W232" i="13"/>
  <c r="AA232" i="13" s="1"/>
  <c r="W228" i="13"/>
  <c r="AA228" i="13" s="1"/>
  <c r="W223" i="13"/>
  <c r="AA223" i="13" s="1"/>
  <c r="W217" i="13"/>
  <c r="AA217" i="13" s="1"/>
  <c r="W216" i="13"/>
  <c r="AA216" i="13" s="1"/>
  <c r="W213" i="13"/>
  <c r="AA213" i="13" s="1"/>
  <c r="W212" i="13"/>
  <c r="AA212" i="13" s="1"/>
  <c r="W207" i="13"/>
  <c r="AA207" i="13" s="1"/>
  <c r="W203" i="13"/>
  <c r="AA203" i="13" s="1"/>
  <c r="W516" i="13"/>
  <c r="AA516" i="13" s="1"/>
  <c r="W478" i="13"/>
  <c r="AA478" i="13" s="1"/>
  <c r="W445" i="13"/>
  <c r="AA445" i="13" s="1"/>
  <c r="W396" i="13"/>
  <c r="AA396" i="13" s="1"/>
  <c r="W390" i="13"/>
  <c r="AA390" i="13" s="1"/>
  <c r="W369" i="13"/>
  <c r="AA369" i="13" s="1"/>
  <c r="W329" i="13"/>
  <c r="AA329" i="13" s="1"/>
  <c r="W307" i="13"/>
  <c r="AA307" i="13" s="1"/>
  <c r="W291" i="13"/>
  <c r="AA291" i="13" s="1"/>
  <c r="W283" i="13"/>
  <c r="AA283" i="13" s="1"/>
  <c r="W276" i="13"/>
  <c r="AA276" i="13" s="1"/>
  <c r="W271" i="13"/>
  <c r="AA271" i="13" s="1"/>
  <c r="W269" i="13"/>
  <c r="AA269" i="13" s="1"/>
  <c r="W494" i="13"/>
  <c r="AA494" i="13" s="1"/>
  <c r="W499" i="13"/>
  <c r="AA499" i="13" s="1"/>
  <c r="W503" i="13"/>
  <c r="AA503" i="13" s="1"/>
  <c r="W342" i="13"/>
  <c r="AA342" i="13" s="1"/>
  <c r="W501" i="13"/>
  <c r="AA501" i="13" s="1"/>
  <c r="W265" i="13"/>
  <c r="AA265" i="13" s="1"/>
  <c r="W261" i="13"/>
  <c r="AA261" i="13" s="1"/>
  <c r="W252" i="13"/>
  <c r="AA252" i="13" s="1"/>
  <c r="W251" i="13"/>
  <c r="AA251" i="13" s="1"/>
  <c r="W239" i="13"/>
  <c r="AA239" i="13" s="1"/>
  <c r="W236" i="13"/>
  <c r="AA236" i="13" s="1"/>
  <c r="W234" i="13"/>
  <c r="AA234" i="13" s="1"/>
  <c r="W231" i="13"/>
  <c r="AA231" i="13" s="1"/>
  <c r="W227" i="13"/>
  <c r="AA227" i="13" s="1"/>
  <c r="W224" i="13"/>
  <c r="AA224" i="13" s="1"/>
  <c r="W221" i="13"/>
  <c r="AA221" i="13" s="1"/>
  <c r="W219" i="13"/>
  <c r="AA219" i="13" s="1"/>
  <c r="W211" i="13"/>
  <c r="AA211" i="13" s="1"/>
  <c r="W208" i="13"/>
  <c r="AA208" i="13" s="1"/>
  <c r="W205" i="13"/>
  <c r="AA205" i="13" s="1"/>
  <c r="W201" i="13"/>
  <c r="AA201" i="13" s="1"/>
  <c r="W8" i="13"/>
  <c r="W200" i="13"/>
  <c r="AA200" i="13" s="1"/>
  <c r="W197" i="13"/>
  <c r="AA197" i="13" s="1"/>
  <c r="W196" i="13"/>
  <c r="AA196" i="13" s="1"/>
  <c r="W195" i="13"/>
  <c r="AA195" i="13" s="1"/>
  <c r="W192" i="13"/>
  <c r="AA192" i="13" s="1"/>
  <c r="W191" i="13"/>
  <c r="AA191" i="13" s="1"/>
  <c r="W189" i="13"/>
  <c r="AA189" i="13" s="1"/>
  <c r="W188" i="13"/>
  <c r="AA188" i="13" s="1"/>
  <c r="W186" i="13"/>
  <c r="AA186" i="13" s="1"/>
  <c r="W185" i="13"/>
  <c r="AA185" i="13" s="1"/>
  <c r="W182" i="13"/>
  <c r="AA182" i="13" s="1"/>
  <c r="W181" i="13"/>
  <c r="AA181" i="13" s="1"/>
  <c r="W180" i="13"/>
  <c r="AA180" i="13" s="1"/>
  <c r="W177" i="13"/>
  <c r="AA177" i="13" s="1"/>
  <c r="W176" i="13"/>
  <c r="AA176" i="13" s="1"/>
  <c r="W174" i="13"/>
  <c r="AA174" i="13" s="1"/>
  <c r="W172" i="13"/>
  <c r="AA172" i="13" s="1"/>
  <c r="W170" i="13"/>
  <c r="AA170" i="13" s="1"/>
  <c r="W169" i="13"/>
  <c r="AA169" i="13" s="1"/>
  <c r="W166" i="13"/>
  <c r="AA166" i="13" s="1"/>
  <c r="W165" i="13"/>
  <c r="AA165" i="13" s="1"/>
  <c r="W164" i="13"/>
  <c r="AA164" i="13" s="1"/>
  <c r="W161" i="13"/>
  <c r="AA161" i="13" s="1"/>
  <c r="W160" i="13"/>
  <c r="AA160" i="13" s="1"/>
  <c r="W158" i="13"/>
  <c r="AA158" i="13" s="1"/>
  <c r="W154" i="13"/>
  <c r="AA154" i="13" s="1"/>
  <c r="W153" i="13"/>
  <c r="AA153" i="13" s="1"/>
  <c r="W149" i="13"/>
  <c r="AA149" i="13" s="1"/>
  <c r="W148" i="13"/>
  <c r="AA148" i="13" s="1"/>
  <c r="W144" i="13"/>
  <c r="AA144" i="13" s="1"/>
  <c r="W142" i="13"/>
  <c r="AA142" i="13" s="1"/>
  <c r="W138" i="13"/>
  <c r="AA138" i="13" s="1"/>
  <c r="W137" i="13"/>
  <c r="AA137" i="13" s="1"/>
  <c r="W133" i="13"/>
  <c r="AA133" i="13" s="1"/>
  <c r="W132" i="13"/>
  <c r="AA132" i="13" s="1"/>
  <c r="W128" i="13"/>
  <c r="AA128" i="13" s="1"/>
  <c r="W126" i="13"/>
  <c r="AA126" i="13" s="1"/>
  <c r="W123" i="13"/>
  <c r="AA123" i="13" s="1"/>
  <c r="W122" i="13"/>
  <c r="AA122" i="13" s="1"/>
  <c r="W118" i="13"/>
  <c r="AA118" i="13" s="1"/>
  <c r="W117" i="13"/>
  <c r="AA117" i="13" s="1"/>
  <c r="W113" i="13"/>
  <c r="AA113" i="13" s="1"/>
  <c r="W111" i="13"/>
  <c r="AA111" i="13" s="1"/>
  <c r="W107" i="13"/>
  <c r="AA107" i="13" s="1"/>
  <c r="W106" i="13"/>
  <c r="AA106" i="13" s="1"/>
  <c r="W102" i="13"/>
  <c r="AA102" i="13" s="1"/>
  <c r="W101" i="13"/>
  <c r="AA101" i="13" s="1"/>
  <c r="W98" i="13"/>
  <c r="AA98" i="13" s="1"/>
  <c r="W96" i="13"/>
  <c r="AA96" i="13" s="1"/>
  <c r="W92" i="13"/>
  <c r="AA92" i="13" s="1"/>
  <c r="W91" i="13"/>
  <c r="AA91" i="13" s="1"/>
  <c r="W87" i="13"/>
  <c r="AA87" i="13" s="1"/>
  <c r="W86" i="13"/>
  <c r="AA86" i="13" s="1"/>
  <c r="W82" i="13"/>
  <c r="AA82" i="13" s="1"/>
  <c r="W80" i="13"/>
  <c r="AA80" i="13" s="1"/>
  <c r="W76" i="13"/>
  <c r="AA76" i="13" s="1"/>
  <c r="W75" i="13"/>
  <c r="AA75" i="13" s="1"/>
  <c r="W71" i="13"/>
  <c r="AA71" i="13" s="1"/>
  <c r="W70" i="13"/>
  <c r="AA70" i="13" s="1"/>
  <c r="W66" i="13"/>
  <c r="AA66" i="13" s="1"/>
  <c r="W64" i="13"/>
  <c r="AA64" i="13" s="1"/>
  <c r="W60" i="13"/>
  <c r="AA60" i="13" s="1"/>
  <c r="W59" i="13"/>
  <c r="AA59" i="13" s="1"/>
  <c r="W55" i="13"/>
  <c r="AA55" i="13" s="1"/>
  <c r="W520" i="13"/>
  <c r="AA520" i="13" s="1"/>
  <c r="W51" i="13"/>
  <c r="AA51" i="13" s="1"/>
  <c r="W49" i="13"/>
  <c r="AA49" i="13" s="1"/>
  <c r="W528" i="13"/>
  <c r="AA528" i="13" s="1"/>
  <c r="W46" i="13"/>
  <c r="AA46" i="13" s="1"/>
  <c r="W526" i="13"/>
  <c r="AA526" i="13" s="1"/>
  <c r="W43" i="13"/>
  <c r="AA43" i="13" s="1"/>
  <c r="W524" i="13"/>
  <c r="AA524" i="13" s="1"/>
  <c r="W522" i="13"/>
  <c r="AA522" i="13" s="1"/>
  <c r="W38" i="13"/>
  <c r="AA38" i="13" s="1"/>
  <c r="W37" i="13"/>
  <c r="AA37" i="13" s="1"/>
  <c r="W33" i="13"/>
  <c r="AA33" i="13" s="1"/>
  <c r="W32" i="13"/>
  <c r="AA32" i="13" s="1"/>
  <c r="W28" i="13"/>
  <c r="AA28" i="13" s="1"/>
  <c r="W26" i="13"/>
  <c r="AA26" i="13" s="1"/>
  <c r="W22" i="13"/>
  <c r="AA22" i="13" s="1"/>
  <c r="W21" i="13"/>
  <c r="AA21" i="13" s="1"/>
  <c r="W17" i="13"/>
  <c r="AA17" i="13" s="1"/>
  <c r="W16" i="13"/>
  <c r="AA16" i="13" s="1"/>
  <c r="W13" i="13"/>
  <c r="AA13" i="13" s="1"/>
  <c r="W532" i="13"/>
  <c r="AA532" i="13" s="1"/>
  <c r="W498" i="13"/>
  <c r="AA498" i="13" s="1"/>
  <c r="W497" i="13"/>
  <c r="AA497" i="13" s="1"/>
  <c r="W518" i="13"/>
  <c r="AA518" i="13" s="1"/>
  <c r="W517" i="13"/>
  <c r="AA517" i="13" s="1"/>
  <c r="W512" i="13"/>
  <c r="AA512" i="13" s="1"/>
  <c r="W510" i="13"/>
  <c r="AA510" i="13" s="1"/>
  <c r="W507" i="13"/>
  <c r="AA507" i="13" s="1"/>
  <c r="W506" i="13"/>
  <c r="AA506" i="13" s="1"/>
  <c r="W489" i="13"/>
  <c r="AA489" i="13" s="1"/>
  <c r="W487" i="13"/>
  <c r="AA487" i="13" s="1"/>
  <c r="W486" i="13"/>
  <c r="AA486" i="13" s="1"/>
  <c r="W482" i="13"/>
  <c r="AA482" i="13" s="1"/>
  <c r="W481" i="13"/>
  <c r="AA481" i="13" s="1"/>
  <c r="W479" i="13"/>
  <c r="AA479" i="13" s="1"/>
  <c r="W476" i="13"/>
  <c r="AA476" i="13" s="1"/>
  <c r="W474" i="13"/>
  <c r="AA474" i="13" s="1"/>
  <c r="W472" i="13"/>
  <c r="AA472" i="13" s="1"/>
  <c r="W468" i="13"/>
  <c r="AA468" i="13" s="1"/>
  <c r="W467" i="13"/>
  <c r="AA467" i="13" s="1"/>
  <c r="W466" i="13"/>
  <c r="AA466" i="13" s="1"/>
  <c r="W463" i="13"/>
  <c r="AA463" i="13" s="1"/>
  <c r="W462" i="13"/>
  <c r="AA462" i="13" s="1"/>
  <c r="W458" i="13"/>
  <c r="AA458" i="13" s="1"/>
  <c r="W455" i="13"/>
  <c r="AA455" i="13" s="1"/>
  <c r="W454" i="13"/>
  <c r="AA454" i="13" s="1"/>
  <c r="W450" i="13"/>
  <c r="AA450" i="13" s="1"/>
  <c r="W449" i="13"/>
  <c r="AA449" i="13" s="1"/>
  <c r="W447" i="13"/>
  <c r="AA447" i="13" s="1"/>
  <c r="W443" i="13"/>
  <c r="AA443" i="13" s="1"/>
  <c r="W442" i="13"/>
  <c r="AA442" i="13" s="1"/>
  <c r="W439" i="13"/>
  <c r="AA439" i="13" s="1"/>
  <c r="W437" i="13"/>
  <c r="AA437" i="13" s="1"/>
  <c r="W434" i="13"/>
  <c r="AA434" i="13" s="1"/>
  <c r="W433" i="13"/>
  <c r="AA433" i="13" s="1"/>
  <c r="W432" i="13"/>
  <c r="AA432" i="13" s="1"/>
  <c r="W430" i="13"/>
  <c r="AA430" i="13" s="1"/>
  <c r="W429" i="13"/>
  <c r="AA429" i="13" s="1"/>
  <c r="W428" i="13"/>
  <c r="AA428" i="13" s="1"/>
  <c r="W427" i="13"/>
  <c r="AA427" i="13" s="1"/>
  <c r="W426" i="13"/>
  <c r="AA426" i="13" s="1"/>
  <c r="W425" i="13"/>
  <c r="AA425" i="13" s="1"/>
  <c r="W424" i="13"/>
  <c r="AA424" i="13" s="1"/>
  <c r="W422" i="13"/>
  <c r="AA422" i="13" s="1"/>
  <c r="W421" i="13"/>
  <c r="AA421" i="13" s="1"/>
  <c r="W420" i="13"/>
  <c r="AA420" i="13" s="1"/>
  <c r="W419" i="13"/>
  <c r="AA419" i="13" s="1"/>
  <c r="W418" i="13"/>
  <c r="AA418" i="13" s="1"/>
  <c r="W416" i="13"/>
  <c r="AA416" i="13" s="1"/>
  <c r="W415" i="13"/>
  <c r="AA415" i="13" s="1"/>
  <c r="W414" i="13"/>
  <c r="AA414" i="13" s="1"/>
  <c r="W413" i="13"/>
  <c r="AA413" i="13" s="1"/>
  <c r="W412" i="13"/>
  <c r="AA412" i="13" s="1"/>
  <c r="W410" i="13"/>
  <c r="W409" i="13"/>
  <c r="AA409" i="13" s="1"/>
  <c r="W408" i="13"/>
  <c r="AA408" i="13" s="1"/>
  <c r="W407" i="13"/>
  <c r="AA407" i="13" s="1"/>
  <c r="W406" i="13"/>
  <c r="AA406" i="13" s="1"/>
  <c r="W405" i="13"/>
  <c r="AA405" i="13" s="1"/>
  <c r="W404" i="13"/>
  <c r="AA404" i="13" s="1"/>
  <c r="W402" i="13"/>
  <c r="AA402" i="13" s="1"/>
  <c r="W401" i="13"/>
  <c r="AA401" i="13" s="1"/>
  <c r="W400" i="13"/>
  <c r="AA400" i="13" s="1"/>
  <c r="W399" i="13"/>
  <c r="AA399" i="13" s="1"/>
  <c r="W398" i="13"/>
  <c r="AA398" i="13" s="1"/>
  <c r="W397" i="13"/>
  <c r="AA397" i="13" s="1"/>
  <c r="W395" i="13"/>
  <c r="AA395" i="13" s="1"/>
  <c r="W394" i="13"/>
  <c r="AA394" i="13" s="1"/>
  <c r="W393" i="13"/>
  <c r="AA393" i="13" s="1"/>
  <c r="W392" i="13"/>
  <c r="AA392" i="13" s="1"/>
  <c r="W391" i="13"/>
  <c r="AA391" i="13" s="1"/>
  <c r="W389" i="13"/>
  <c r="AA389" i="13" s="1"/>
  <c r="W388" i="13"/>
  <c r="AA388" i="13" s="1"/>
  <c r="W387" i="13"/>
  <c r="AA387" i="13" s="1"/>
  <c r="W386" i="13"/>
  <c r="AA386" i="13" s="1"/>
  <c r="W385" i="13"/>
  <c r="AA385" i="13" s="1"/>
  <c r="W384" i="13"/>
  <c r="AA384" i="13" s="1"/>
  <c r="W383" i="13"/>
  <c r="AA383" i="13" s="1"/>
  <c r="W381" i="13"/>
  <c r="AA381" i="13" s="1"/>
  <c r="W380" i="13"/>
  <c r="AA380" i="13" s="1"/>
  <c r="W379" i="13"/>
  <c r="AA379" i="13" s="1"/>
  <c r="W378" i="13"/>
  <c r="AA378" i="13" s="1"/>
  <c r="W377" i="13"/>
  <c r="AA377" i="13" s="1"/>
  <c r="W376" i="13"/>
  <c r="AA376" i="13" s="1"/>
  <c r="W374" i="13"/>
  <c r="AA374" i="13" s="1"/>
  <c r="W373" i="13"/>
  <c r="AA373" i="13" s="1"/>
  <c r="W372" i="13"/>
  <c r="AA372" i="13" s="1"/>
  <c r="W371" i="13"/>
  <c r="AA371" i="13" s="1"/>
  <c r="W370" i="13"/>
  <c r="AA370" i="13" s="1"/>
  <c r="W368" i="13"/>
  <c r="AA368" i="13" s="1"/>
  <c r="W367" i="13"/>
  <c r="AA367" i="13" s="1"/>
  <c r="W366" i="13"/>
  <c r="AA366" i="13" s="1"/>
  <c r="W365" i="13"/>
  <c r="AA365" i="13" s="1"/>
  <c r="W364" i="13"/>
  <c r="AA364" i="13" s="1"/>
  <c r="W363" i="13"/>
  <c r="AA363" i="13" s="1"/>
  <c r="W362" i="13"/>
  <c r="AA362" i="13" s="1"/>
  <c r="W360" i="13"/>
  <c r="AA360" i="13" s="1"/>
  <c r="W359" i="13"/>
  <c r="AA359" i="13" s="1"/>
  <c r="W358" i="13"/>
  <c r="AA358" i="13" s="1"/>
  <c r="W357" i="13"/>
  <c r="AA357" i="13" s="1"/>
  <c r="W356" i="13"/>
  <c r="AA356" i="13" s="1"/>
  <c r="W354" i="13"/>
  <c r="AA354" i="13" s="1"/>
  <c r="W353" i="13"/>
  <c r="AA353" i="13" s="1"/>
  <c r="W352" i="13"/>
  <c r="AA352" i="13" s="1"/>
  <c r="W351" i="13"/>
  <c r="W350" i="13"/>
  <c r="AA350" i="13" s="1"/>
  <c r="W349" i="13"/>
  <c r="AA349" i="13" s="1"/>
  <c r="W347" i="13"/>
  <c r="AA347" i="13" s="1"/>
  <c r="W346" i="13"/>
  <c r="AA346" i="13" s="1"/>
  <c r="W345" i="13"/>
  <c r="W344" i="13"/>
  <c r="AA344" i="13" s="1"/>
  <c r="W339" i="13"/>
  <c r="AA339" i="13" s="1"/>
  <c r="W338" i="13"/>
  <c r="AA338" i="13" s="1"/>
  <c r="W337" i="13"/>
  <c r="AA337" i="13" s="1"/>
  <c r="W335" i="13"/>
  <c r="AA335" i="13" s="1"/>
  <c r="W334" i="13"/>
  <c r="AA334" i="13" s="1"/>
  <c r="W333" i="13"/>
  <c r="AA333" i="13" s="1"/>
  <c r="W332" i="13"/>
  <c r="AA332" i="13" s="1"/>
  <c r="W331" i="13"/>
  <c r="AA331" i="13" s="1"/>
  <c r="W330" i="13"/>
  <c r="AA330" i="13" s="1"/>
  <c r="W328" i="13"/>
  <c r="AA328" i="13" s="1"/>
  <c r="W327" i="13"/>
  <c r="AA327" i="13" s="1"/>
  <c r="W326" i="13"/>
  <c r="AA326" i="13" s="1"/>
  <c r="W325" i="13"/>
  <c r="AA325" i="13" s="1"/>
  <c r="W324" i="13"/>
  <c r="AA324" i="13" s="1"/>
  <c r="W322" i="13"/>
  <c r="AA322" i="13" s="1"/>
  <c r="W321" i="13"/>
  <c r="AA321" i="13" s="1"/>
  <c r="W320" i="13"/>
  <c r="AA320" i="13" s="1"/>
  <c r="W319" i="13"/>
  <c r="AA319" i="13" s="1"/>
  <c r="W318" i="13"/>
  <c r="AA318" i="13" s="1"/>
  <c r="W317" i="13"/>
  <c r="AA317" i="13" s="1"/>
  <c r="W316" i="13"/>
  <c r="AA316" i="13" s="1"/>
  <c r="W314" i="13"/>
  <c r="AA314" i="13" s="1"/>
  <c r="W313" i="13"/>
  <c r="AA313" i="13" s="1"/>
  <c r="W312" i="13"/>
  <c r="AA312" i="13" s="1"/>
  <c r="W311" i="13"/>
  <c r="AA311" i="13" s="1"/>
  <c r="W310" i="13"/>
  <c r="AA310" i="13" s="1"/>
  <c r="W302" i="13"/>
  <c r="AA302" i="13" s="1"/>
  <c r="W300" i="13"/>
  <c r="AA300" i="13" s="1"/>
  <c r="W295" i="13"/>
  <c r="AA295" i="13" s="1"/>
  <c r="W290" i="13"/>
  <c r="AA290" i="13" s="1"/>
  <c r="W284" i="13"/>
  <c r="AA284" i="13" s="1"/>
  <c r="W278" i="13"/>
  <c r="AA278" i="13" s="1"/>
  <c r="W274" i="13"/>
  <c r="AA274" i="13" s="1"/>
  <c r="W268" i="13"/>
  <c r="AA268" i="13" s="1"/>
  <c r="W504" i="13"/>
  <c r="AA504" i="13" s="1"/>
  <c r="W531" i="13"/>
  <c r="AA531" i="13" s="1"/>
  <c r="W343" i="13"/>
  <c r="AA343" i="13" s="1"/>
  <c r="W262" i="13"/>
  <c r="AA262" i="13" s="1"/>
  <c r="W258" i="13"/>
  <c r="AA258" i="13" s="1"/>
  <c r="W254" i="13"/>
  <c r="AA254" i="13" s="1"/>
  <c r="W248" i="13"/>
  <c r="AA248" i="13" s="1"/>
  <c r="W243" i="13"/>
  <c r="AA243" i="13" s="1"/>
  <c r="W242" i="13"/>
  <c r="AA242" i="13" s="1"/>
  <c r="W238" i="13"/>
  <c r="AA238" i="13" s="1"/>
  <c r="W233" i="13"/>
  <c r="AA233" i="13" s="1"/>
  <c r="W226" i="13"/>
  <c r="W222" i="13"/>
  <c r="AA222" i="13" s="1"/>
  <c r="W218" i="13"/>
  <c r="AA218" i="13" s="1"/>
  <c r="W214" i="13"/>
  <c r="AA214" i="13" s="1"/>
  <c r="W202" i="13"/>
  <c r="AA202" i="13" s="1"/>
  <c r="W198" i="13"/>
  <c r="AA198" i="13" s="1"/>
  <c r="W306" i="13"/>
  <c r="AA306" i="13" s="1"/>
  <c r="W305" i="13"/>
  <c r="AA305" i="13" s="1"/>
  <c r="W298" i="13"/>
  <c r="W294" i="13"/>
  <c r="W289" i="13"/>
  <c r="AA289" i="13" s="1"/>
  <c r="W286" i="13"/>
  <c r="W282" i="13"/>
  <c r="AA282" i="13" s="1"/>
  <c r="W279" i="13"/>
  <c r="AA279" i="13" s="1"/>
  <c r="W273" i="13"/>
  <c r="AA273" i="13" s="1"/>
  <c r="W270" i="13"/>
  <c r="AA270" i="13" s="1"/>
  <c r="W496" i="13"/>
  <c r="AA496" i="13" s="1"/>
  <c r="W530" i="13"/>
  <c r="W266" i="13"/>
  <c r="AA266" i="13" s="1"/>
  <c r="W264" i="13"/>
  <c r="AA264" i="13" s="1"/>
  <c r="W259" i="13"/>
  <c r="AA259" i="13" s="1"/>
  <c r="W253" i="13"/>
  <c r="AA253" i="13" s="1"/>
  <c r="W250" i="13"/>
  <c r="AA250" i="13" s="1"/>
  <c r="W246" i="13"/>
  <c r="AA246" i="13" s="1"/>
  <c r="W237" i="13"/>
  <c r="AA237" i="13" s="1"/>
  <c r="W229" i="13"/>
  <c r="AA229" i="13" s="1"/>
  <c r="W210" i="13"/>
  <c r="W206" i="13"/>
  <c r="AA206" i="13" s="1"/>
  <c r="W194" i="13"/>
  <c r="AA194" i="13" s="1"/>
  <c r="W190" i="13"/>
  <c r="AA190" i="13" s="1"/>
  <c r="W187" i="13"/>
  <c r="AA187" i="13" s="1"/>
  <c r="W183" i="13"/>
  <c r="AA183" i="13" s="1"/>
  <c r="W179" i="13"/>
  <c r="AA179" i="13" s="1"/>
  <c r="W175" i="13"/>
  <c r="AA175" i="13" s="1"/>
  <c r="W171" i="13"/>
  <c r="AA171" i="13" s="1"/>
  <c r="W167" i="13"/>
  <c r="AA167" i="13" s="1"/>
  <c r="W163" i="13"/>
  <c r="AA163" i="13" s="1"/>
  <c r="W159" i="13"/>
  <c r="AA159" i="13" s="1"/>
  <c r="W155" i="13"/>
  <c r="AA155" i="13" s="1"/>
  <c r="W151" i="13"/>
  <c r="AA151" i="13" s="1"/>
  <c r="W147" i="13"/>
  <c r="AA147" i="13" s="1"/>
  <c r="W143" i="13"/>
  <c r="AA143" i="13" s="1"/>
  <c r="W139" i="13"/>
  <c r="AA139" i="13" s="1"/>
  <c r="W135" i="13"/>
  <c r="AA135" i="13" s="1"/>
  <c r="W131" i="13"/>
  <c r="AA131" i="13" s="1"/>
  <c r="W127" i="13"/>
  <c r="W124" i="13"/>
  <c r="AA124" i="13" s="1"/>
  <c r="W120" i="13"/>
  <c r="AA120" i="13" s="1"/>
  <c r="W116" i="13"/>
  <c r="AA116" i="13" s="1"/>
  <c r="W112" i="13"/>
  <c r="AA112" i="13" s="1"/>
  <c r="W108" i="13"/>
  <c r="AA108" i="13" s="1"/>
  <c r="W104" i="13"/>
  <c r="AA104" i="13" s="1"/>
  <c r="W100" i="13"/>
  <c r="AA100" i="13" s="1"/>
  <c r="W97" i="13"/>
  <c r="AA97" i="13" s="1"/>
  <c r="W93" i="13"/>
  <c r="AA93" i="13" s="1"/>
  <c r="W89" i="13"/>
  <c r="AA89" i="13" s="1"/>
  <c r="W85" i="13"/>
  <c r="AA85" i="13" s="1"/>
  <c r="W81" i="13"/>
  <c r="W77" i="13"/>
  <c r="AA77" i="13" s="1"/>
  <c r="W73" i="13"/>
  <c r="AA73" i="13" s="1"/>
  <c r="W69" i="13"/>
  <c r="AA69" i="13" s="1"/>
  <c r="W65" i="13"/>
  <c r="AA65" i="13" s="1"/>
  <c r="W61" i="13"/>
  <c r="AA61" i="13" s="1"/>
  <c r="W57" i="13"/>
  <c r="AA57" i="13" s="1"/>
  <c r="W54" i="13"/>
  <c r="AA54" i="13" s="1"/>
  <c r="W50" i="13"/>
  <c r="AA50" i="13" s="1"/>
  <c r="W47" i="13"/>
  <c r="AA47" i="13" s="1"/>
  <c r="W527" i="13"/>
  <c r="AA527" i="13" s="1"/>
  <c r="W42" i="13"/>
  <c r="AA42" i="13" s="1"/>
  <c r="W523" i="13"/>
  <c r="AA523" i="13" s="1"/>
  <c r="W39" i="13"/>
  <c r="AA39" i="13" s="1"/>
  <c r="W35" i="13"/>
  <c r="W31" i="13"/>
  <c r="AA31" i="13" s="1"/>
  <c r="W27" i="13"/>
  <c r="W23" i="13"/>
  <c r="AA23" i="13" s="1"/>
  <c r="W19" i="13"/>
  <c r="AA19" i="13" s="1"/>
  <c r="W15" i="13"/>
  <c r="AA15" i="13" s="1"/>
  <c r="W12" i="13"/>
  <c r="AA12" i="13" s="1"/>
  <c r="W9" i="13"/>
  <c r="AA9" i="13" s="1"/>
  <c r="W505" i="13"/>
  <c r="AA505" i="13" s="1"/>
  <c r="W514" i="13"/>
  <c r="AA514" i="13" s="1"/>
  <c r="W508" i="13"/>
  <c r="AA508" i="13" s="1"/>
  <c r="W490" i="13"/>
  <c r="AA490" i="13" s="1"/>
  <c r="W485" i="13"/>
  <c r="AA485" i="13" s="1"/>
  <c r="W480" i="13"/>
  <c r="AA480" i="13" s="1"/>
  <c r="W475" i="13"/>
  <c r="W470" i="13"/>
  <c r="AA470" i="13" s="1"/>
  <c r="W464" i="13"/>
  <c r="AA464" i="13" s="1"/>
  <c r="W461" i="13"/>
  <c r="AA461" i="13" s="1"/>
  <c r="W457" i="13"/>
  <c r="W451" i="13"/>
  <c r="AA451" i="13" s="1"/>
  <c r="W446" i="13"/>
  <c r="AA446" i="13" s="1"/>
  <c r="W441" i="13"/>
  <c r="AA441" i="13" s="1"/>
  <c r="W435" i="13"/>
  <c r="AA435" i="13" s="1"/>
  <c r="W515" i="13"/>
  <c r="AA515" i="13" s="1"/>
  <c r="W519" i="13"/>
  <c r="AA519" i="13" s="1"/>
  <c r="W513" i="13"/>
  <c r="AA513" i="13" s="1"/>
  <c r="W509" i="13"/>
  <c r="AA509" i="13" s="1"/>
  <c r="W492" i="13"/>
  <c r="AA492" i="13" s="1"/>
  <c r="W488" i="13"/>
  <c r="AA488" i="13" s="1"/>
  <c r="W484" i="13"/>
  <c r="AA484" i="13" s="1"/>
  <c r="W477" i="13"/>
  <c r="AA477" i="13" s="1"/>
  <c r="W473" i="13"/>
  <c r="AA473" i="13" s="1"/>
  <c r="W469" i="13"/>
  <c r="AA469" i="13" s="1"/>
  <c r="W465" i="13"/>
  <c r="AA465" i="13" s="1"/>
  <c r="W460" i="13"/>
  <c r="W456" i="13"/>
  <c r="AA456" i="13" s="1"/>
  <c r="W452" i="13"/>
  <c r="AA452" i="13" s="1"/>
  <c r="W448" i="13"/>
  <c r="AA448" i="13" s="1"/>
  <c r="W444" i="13"/>
  <c r="AA444" i="13" s="1"/>
  <c r="W440" i="13"/>
  <c r="AA440" i="13" s="1"/>
  <c r="W436" i="13"/>
  <c r="AA436" i="13" s="1"/>
  <c r="AB39" i="13" l="1"/>
  <c r="AA460" i="13"/>
  <c r="AB170" i="13"/>
  <c r="AA457" i="13"/>
  <c r="AB155" i="13"/>
  <c r="AA475" i="13"/>
  <c r="AB431" i="13"/>
  <c r="AA27" i="13"/>
  <c r="AB283" i="13"/>
  <c r="AA81" i="13"/>
  <c r="AB115" i="13"/>
  <c r="AA127" i="13"/>
  <c r="AB30" i="13"/>
  <c r="AA530" i="13"/>
  <c r="AB390" i="13"/>
  <c r="AA294" i="13"/>
  <c r="AB103" i="13"/>
  <c r="AA345" i="13"/>
  <c r="AB182" i="13"/>
  <c r="AA410" i="13"/>
  <c r="AB303" i="13"/>
  <c r="AA298" i="13"/>
  <c r="AB493" i="13"/>
  <c r="AA226" i="13"/>
  <c r="AB189" i="13"/>
  <c r="AA351" i="13"/>
  <c r="AB206" i="13"/>
  <c r="AA35" i="13"/>
  <c r="AB330" i="13"/>
  <c r="AA286" i="13"/>
  <c r="W6" i="13"/>
  <c r="AA6" i="13" s="1"/>
  <c r="AA8" i="13"/>
  <c r="AB501" i="13"/>
  <c r="AA210" i="13"/>
  <c r="AB140" i="13"/>
  <c r="AB465" i="13"/>
  <c r="AB484" i="13"/>
  <c r="AB328" i="13"/>
  <c r="AB408" i="13"/>
  <c r="AB325" i="13"/>
  <c r="AB366" i="13"/>
  <c r="AB236" i="13"/>
  <c r="AB131" i="13"/>
  <c r="AB289" i="13"/>
  <c r="AB113" i="13"/>
  <c r="AB181" i="13"/>
  <c r="AB118" i="13"/>
  <c r="AB81" i="13"/>
  <c r="AB233" i="13"/>
  <c r="AB214" i="13"/>
  <c r="AB27" i="13"/>
  <c r="AB413" i="13"/>
  <c r="AB385" i="13"/>
  <c r="AB287" i="13"/>
  <c r="AB308" i="13"/>
  <c r="AB264" i="13"/>
  <c r="AB225" i="13"/>
  <c r="AB174" i="13"/>
  <c r="AB123" i="13"/>
  <c r="AB102" i="13"/>
  <c r="AB84" i="13"/>
  <c r="AB356" i="13"/>
  <c r="AB393" i="13"/>
  <c r="AB62" i="13"/>
  <c r="AB243" i="13"/>
  <c r="AB196" i="13"/>
  <c r="AB66" i="13"/>
  <c r="AB55" i="13"/>
  <c r="AB10" i="13"/>
  <c r="AB16" i="13"/>
  <c r="AB23" i="13"/>
  <c r="AB467" i="13"/>
  <c r="AB96" i="13"/>
  <c r="AB32" i="13"/>
  <c r="AB86" i="13"/>
  <c r="AB333" i="13"/>
  <c r="AB421" i="13"/>
  <c r="AB443" i="13"/>
  <c r="AB448" i="13"/>
  <c r="AB26" i="13"/>
  <c r="AB259" i="13"/>
  <c r="AB406" i="13"/>
  <c r="AB88" i="13"/>
  <c r="AB72" i="13"/>
  <c r="AB411" i="13"/>
  <c r="AB194" i="13"/>
  <c r="AB38" i="13"/>
  <c r="AB437" i="13"/>
  <c r="AB503" i="13"/>
  <c r="AB281" i="13"/>
  <c r="AB122" i="13"/>
  <c r="AB183" i="13"/>
  <c r="AB305" i="13"/>
  <c r="AB65" i="13"/>
  <c r="AB205" i="13"/>
  <c r="AB146" i="13"/>
  <c r="AB20" i="13"/>
  <c r="AB335" i="13"/>
  <c r="AB326" i="13"/>
  <c r="AB135" i="13"/>
  <c r="AB50" i="13"/>
  <c r="AB53" i="13"/>
  <c r="AB64" i="13"/>
  <c r="AB235" i="13"/>
  <c r="AB529" i="13"/>
  <c r="AB137" i="13"/>
  <c r="AB125" i="13"/>
  <c r="AB149" i="13"/>
  <c r="AB453" i="13"/>
  <c r="AB37" i="13"/>
  <c r="AB58" i="13"/>
  <c r="AB301" i="13"/>
  <c r="AB52" i="13"/>
  <c r="AB110" i="13"/>
  <c r="AB57" i="13"/>
  <c r="AB109" i="13"/>
  <c r="AB531" i="13"/>
  <c r="AB323" i="13"/>
  <c r="AB376" i="13"/>
  <c r="AB348" i="13"/>
  <c r="AB300" i="13"/>
  <c r="AB528" i="13"/>
  <c r="AB362" i="13"/>
  <c r="AB173" i="13"/>
  <c r="AB271" i="13"/>
  <c r="AB508" i="13"/>
  <c r="AB311" i="13"/>
  <c r="AB329" i="13"/>
  <c r="AB341" i="13"/>
  <c r="AB410" i="13"/>
  <c r="AB15" i="13"/>
  <c r="AB354" i="13"/>
  <c r="AB217" i="13"/>
  <c r="AB324" i="13"/>
  <c r="AB433" i="13"/>
  <c r="AB369" i="13"/>
  <c r="AB200" i="13"/>
  <c r="AB211" i="13"/>
  <c r="AB231" i="13"/>
  <c r="AB74" i="13"/>
  <c r="AB107" i="13"/>
  <c r="AB126" i="13"/>
  <c r="AB85" i="13"/>
  <c r="AB188" i="13"/>
  <c r="AB132" i="13"/>
  <c r="AB44" i="13"/>
  <c r="AB128" i="13"/>
  <c r="AB187" i="13"/>
  <c r="AB407" i="13"/>
  <c r="AB180" i="13"/>
  <c r="AB298" i="13"/>
  <c r="AB320" i="13"/>
  <c r="AB98" i="13"/>
  <c r="AB83" i="13"/>
  <c r="AB97" i="13"/>
  <c r="AB77" i="13"/>
  <c r="AB117" i="13"/>
  <c r="AB34" i="13"/>
  <c r="AB133" i="13"/>
  <c r="AB129" i="13"/>
  <c r="AB22" i="13"/>
  <c r="AB105" i="13"/>
  <c r="AB481" i="13"/>
  <c r="AB185" i="13"/>
  <c r="AB416" i="13"/>
  <c r="AB506" i="13"/>
  <c r="AB318" i="13"/>
  <c r="AB371" i="13"/>
  <c r="AB446" i="13"/>
  <c r="AB176" i="13"/>
  <c r="AB267" i="13"/>
  <c r="AB241" i="13"/>
  <c r="AB169" i="13"/>
  <c r="AB430" i="13"/>
  <c r="AB343" i="13"/>
  <c r="AB432" i="13"/>
  <c r="AB154" i="13"/>
  <c r="AB223" i="13"/>
  <c r="AB402" i="13"/>
  <c r="AB361" i="13"/>
  <c r="AB153" i="13"/>
  <c r="AB92" i="13"/>
  <c r="AB312" i="13"/>
  <c r="AB202" i="13"/>
  <c r="AB265" i="13"/>
  <c r="AB475" i="13"/>
  <c r="AB464" i="13"/>
  <c r="AB496" i="13"/>
  <c r="AB388" i="13"/>
  <c r="AB256" i="13"/>
  <c r="AB190" i="13"/>
  <c r="AB203" i="13"/>
  <c r="AB54" i="13"/>
  <c r="AB417" i="13"/>
  <c r="AB276" i="13"/>
  <c r="AB208" i="13"/>
  <c r="AB120" i="13"/>
  <c r="AB12" i="13"/>
  <c r="AB237" i="13"/>
  <c r="AB272" i="13"/>
  <c r="AB495" i="13"/>
  <c r="AB82" i="13"/>
  <c r="AB512" i="13"/>
  <c r="AB518" i="13"/>
  <c r="AB401" i="13"/>
  <c r="AB452" i="13"/>
  <c r="AB351" i="13"/>
  <c r="AB480" i="13"/>
  <c r="AB375" i="13"/>
  <c r="AB445" i="13"/>
  <c r="AB138" i="13"/>
  <c r="AB260" i="13"/>
  <c r="AB254" i="13"/>
  <c r="AB499" i="13"/>
  <c r="AB244" i="13"/>
  <c r="AB175" i="13"/>
  <c r="AB36" i="13"/>
  <c r="AB130" i="13"/>
  <c r="AB222" i="13"/>
  <c r="AB463" i="13"/>
  <c r="AB248" i="13"/>
  <c r="AB511" i="13"/>
  <c r="AB516" i="13"/>
  <c r="AB438" i="13"/>
  <c r="AB277" i="13"/>
  <c r="AB116" i="13"/>
  <c r="AB159" i="13"/>
  <c r="AB327" i="13"/>
  <c r="AB290" i="13"/>
  <c r="AB242" i="13"/>
  <c r="AB43" i="13"/>
  <c r="AB33" i="13"/>
  <c r="AB61" i="13"/>
  <c r="AB151" i="13"/>
  <c r="AB476" i="13"/>
  <c r="AB284" i="13"/>
  <c r="AB472" i="13"/>
  <c r="AB500" i="13"/>
  <c r="AB486" i="13"/>
  <c r="AB404" i="13"/>
  <c r="AB100" i="13"/>
  <c r="AB498" i="13"/>
  <c r="AB397" i="13"/>
  <c r="AB201" i="13"/>
  <c r="AB70" i="13"/>
  <c r="AB434" i="13"/>
  <c r="AB270" i="13"/>
  <c r="AB56" i="13"/>
  <c r="AB80" i="13"/>
  <c r="AB266" i="13"/>
  <c r="AB49" i="13"/>
  <c r="AB51" i="13"/>
  <c r="AB141" i="13"/>
  <c r="AB230" i="13"/>
  <c r="AB108" i="13"/>
  <c r="AB17" i="13"/>
  <c r="AB111" i="13"/>
  <c r="AB519" i="13"/>
  <c r="AB164" i="13"/>
  <c r="AB420" i="13"/>
  <c r="AB415" i="13"/>
  <c r="AB488" i="13"/>
  <c r="AB143" i="13"/>
  <c r="AB295" i="13"/>
  <c r="AB427" i="13"/>
  <c r="AB507" i="13"/>
  <c r="AB485" i="13"/>
  <c r="AB418" i="13"/>
  <c r="AB439" i="13"/>
  <c r="AB178" i="13"/>
  <c r="AB224" i="13"/>
  <c r="AB218" i="13"/>
  <c r="AB31" i="13"/>
  <c r="AB292" i="13"/>
  <c r="AB357" i="13"/>
  <c r="AB251" i="13"/>
  <c r="AB204" i="13"/>
  <c r="AB524" i="13"/>
  <c r="AB521" i="13"/>
  <c r="AB373" i="13"/>
  <c r="AB387" i="13"/>
  <c r="AB364" i="13"/>
  <c r="AB69" i="13"/>
  <c r="AB383" i="13"/>
  <c r="AB342" i="13"/>
  <c r="AB210" i="13"/>
  <c r="AB168" i="13"/>
  <c r="AB473" i="13"/>
  <c r="AB424" i="13"/>
  <c r="AB215" i="13"/>
  <c r="AB367" i="13"/>
  <c r="AB14" i="13"/>
  <c r="AB479" i="13"/>
  <c r="AB228" i="13"/>
  <c r="AB470" i="13"/>
  <c r="AB414" i="13"/>
  <c r="AB25" i="13"/>
  <c r="AB450" i="13"/>
  <c r="AB355" i="13"/>
  <c r="AB457" i="13"/>
  <c r="AB395" i="13"/>
  <c r="AB344" i="13"/>
  <c r="AB269" i="13"/>
  <c r="AB136" i="13"/>
  <c r="AB47" i="13"/>
  <c r="AB156" i="13"/>
  <c r="AB239" i="13"/>
  <c r="AB60" i="13"/>
  <c r="AB158" i="13"/>
  <c r="AB309" i="13"/>
  <c r="AB234" i="13"/>
  <c r="AB358" i="13"/>
  <c r="AB142" i="13"/>
  <c r="AB162" i="13"/>
  <c r="AB525" i="13"/>
  <c r="AB372" i="13"/>
  <c r="AB249" i="13"/>
  <c r="AB461" i="13"/>
  <c r="AB145" i="13"/>
  <c r="AB487" i="13"/>
  <c r="AB456" i="13"/>
  <c r="AB447" i="13"/>
  <c r="AB462" i="13"/>
  <c r="AB440" i="13"/>
  <c r="AB400" i="13"/>
  <c r="AB106" i="13"/>
  <c r="AB78" i="13"/>
  <c r="AB246" i="13"/>
  <c r="AB220" i="13"/>
  <c r="AB207" i="13"/>
  <c r="AB336" i="13"/>
  <c r="AB409" i="13"/>
  <c r="AB386" i="13"/>
  <c r="AB278" i="13"/>
  <c r="AB193" i="13"/>
  <c r="AB252" i="13"/>
  <c r="AB95" i="13"/>
  <c r="AB119" i="13"/>
  <c r="AB216" i="13"/>
  <c r="AB59" i="13"/>
  <c r="AB286" i="13"/>
  <c r="AB419" i="13"/>
  <c r="AB504" i="13"/>
  <c r="AB275" i="13"/>
  <c r="AB412" i="13"/>
  <c r="AB285" i="13"/>
  <c r="AB219" i="13"/>
  <c r="AB426" i="13"/>
  <c r="AB334" i="13"/>
  <c r="AB179" i="13"/>
  <c r="AB374" i="13"/>
  <c r="AB379" i="13"/>
  <c r="AB451" i="13"/>
  <c r="AB139" i="13"/>
  <c r="AB238" i="13"/>
  <c r="AB184" i="13"/>
  <c r="AB513" i="13"/>
  <c r="AB502" i="13"/>
  <c r="AB363" i="13"/>
  <c r="AB273" i="13"/>
  <c r="AB522" i="13"/>
  <c r="AB257" i="13"/>
  <c r="AB245" i="13"/>
  <c r="AB91" i="13"/>
  <c r="AB94" i="13"/>
  <c r="AB166" i="13"/>
  <c r="AB213" i="13"/>
  <c r="AB315" i="13"/>
  <c r="AB209" i="13"/>
  <c r="AB197" i="13"/>
  <c r="AB510" i="13"/>
  <c r="AB494" i="13"/>
  <c r="AB381" i="13"/>
  <c r="AB471" i="13"/>
  <c r="AB229" i="13"/>
  <c r="AB262" i="13"/>
  <c r="AB469" i="13"/>
  <c r="AB240" i="13"/>
  <c r="AB360" i="13"/>
  <c r="AB279" i="13"/>
  <c r="AB186" i="13"/>
  <c r="AB150" i="13"/>
  <c r="AB299" i="13"/>
  <c r="AB63" i="13"/>
  <c r="AB76" i="13"/>
  <c r="AB172" i="13"/>
  <c r="AB87" i="13"/>
  <c r="AB177" i="13"/>
  <c r="AB73" i="13"/>
  <c r="AB114" i="13"/>
  <c r="AB391" i="13"/>
  <c r="AB347" i="13"/>
  <c r="AB288" i="13"/>
  <c r="AB297" i="13"/>
  <c r="AB310" i="13"/>
  <c r="AB280" i="13"/>
  <c r="AB41" i="13"/>
  <c r="AB121" i="13"/>
  <c r="AB79" i="13"/>
  <c r="AB147" i="13"/>
  <c r="AB530" i="13"/>
  <c r="AB497" i="13"/>
  <c r="AB441" i="13"/>
  <c r="AB19" i="13"/>
  <c r="AB40" i="13"/>
  <c r="AB520" i="13"/>
  <c r="AB517" i="13"/>
  <c r="AB423" i="13"/>
  <c r="AB313" i="13"/>
  <c r="AB477" i="13"/>
  <c r="AB382" i="13"/>
  <c r="AB302" i="13"/>
  <c r="AB134" i="13"/>
  <c r="AB29" i="13"/>
  <c r="AB282" i="13"/>
  <c r="AB316" i="13"/>
  <c r="AB258" i="13"/>
  <c r="AB75" i="13"/>
  <c r="AB93" i="13"/>
  <c r="AB359" i="13"/>
  <c r="AB221" i="13"/>
  <c r="AB24" i="13"/>
  <c r="AB198" i="13"/>
  <c r="AB28" i="13"/>
  <c r="AB71" i="13"/>
  <c r="AB403" i="13"/>
  <c r="AB157" i="13"/>
  <c r="AB67" i="13"/>
  <c r="AB46" i="13"/>
  <c r="AB127" i="13"/>
  <c r="AB350" i="13"/>
  <c r="AB492" i="13"/>
  <c r="AB274" i="13"/>
  <c r="AB296" i="13"/>
  <c r="AB9" i="13"/>
  <c r="AB346" i="13"/>
  <c r="AB389" i="13"/>
  <c r="AB442" i="13"/>
  <c r="AB377" i="13"/>
  <c r="AB455" i="13"/>
  <c r="AB306" i="13"/>
  <c r="AB163" i="13"/>
  <c r="AB192" i="13"/>
  <c r="AB352" i="13"/>
  <c r="AB227" i="13"/>
  <c r="AB527" i="13"/>
  <c r="AB405" i="13"/>
  <c r="AB212" i="13"/>
  <c r="AB523" i="13"/>
  <c r="AB380" i="13"/>
  <c r="AB90" i="13"/>
  <c r="AB353" i="13"/>
  <c r="AB89" i="13"/>
  <c r="AB104" i="13"/>
  <c r="AB459" i="13"/>
  <c r="AB317" i="13"/>
  <c r="AB339" i="13"/>
  <c r="AB35" i="13"/>
  <c r="AB112" i="13"/>
  <c r="AB454" i="13"/>
  <c r="AB161" i="13"/>
  <c r="AB526" i="13"/>
  <c r="AB489" i="13"/>
  <c r="AB291" i="13"/>
  <c r="AB319" i="13"/>
  <c r="AB307" i="13"/>
  <c r="AB45" i="13"/>
  <c r="AB42" i="13"/>
  <c r="AB365" i="13"/>
  <c r="AB314" i="13"/>
  <c r="AB226" i="13"/>
  <c r="AB253" i="13"/>
  <c r="AB199" i="13"/>
  <c r="AB232" i="13"/>
  <c r="AB331" i="13"/>
  <c r="AB505" i="13"/>
  <c r="AB101" i="13"/>
  <c r="AB124" i="13"/>
  <c r="AB171" i="13"/>
  <c r="AB482" i="13"/>
  <c r="AB429" i="13"/>
  <c r="AB167" i="13"/>
  <c r="AB68" i="13"/>
  <c r="AB48" i="13"/>
  <c r="AB514" i="13"/>
  <c r="AB396" i="13"/>
  <c r="AB392" i="13"/>
  <c r="AB460" i="13"/>
  <c r="AB483" i="13"/>
  <c r="AB160" i="13"/>
  <c r="AB449" i="13"/>
  <c r="AB515" i="13"/>
  <c r="AB349" i="13"/>
  <c r="AB99" i="13"/>
  <c r="AB195" i="13"/>
  <c r="AB466" i="13"/>
  <c r="AB444" i="13"/>
  <c r="AB247" i="13"/>
  <c r="AB532" i="13"/>
  <c r="AB144" i="13"/>
  <c r="AB394" i="13"/>
  <c r="AB509" i="13"/>
  <c r="AB322" i="13"/>
  <c r="AB268" i="13"/>
  <c r="AB435" i="13"/>
  <c r="AB11" i="13"/>
  <c r="AB378" i="13"/>
  <c r="AB398" i="13"/>
  <c r="AB165" i="13"/>
  <c r="AB293" i="13"/>
  <c r="AB255" i="13"/>
  <c r="AB468" i="13"/>
  <c r="AB399" i="13"/>
  <c r="AB250" i="13"/>
  <c r="AB422" i="13"/>
  <c r="AB148" i="13"/>
  <c r="AB294" i="13"/>
  <c r="AB261" i="13"/>
  <c r="AB13" i="13"/>
  <c r="AB425" i="13"/>
  <c r="AB18" i="13"/>
  <c r="AB191" i="13"/>
  <c r="AB332" i="13"/>
  <c r="AB345" i="13"/>
  <c r="AB263" i="13"/>
  <c r="AB384" i="13"/>
  <c r="AB436" i="13"/>
  <c r="AB490" i="13"/>
  <c r="AB338" i="13"/>
  <c r="AB491" i="13"/>
  <c r="AB321" i="13"/>
  <c r="AB474" i="13"/>
  <c r="AB337" i="13"/>
  <c r="AB458" i="13"/>
  <c r="AB428" i="13"/>
  <c r="AB370" i="13"/>
  <c r="AB478" i="13"/>
  <c r="AB152" i="13"/>
  <c r="AB368" i="13"/>
  <c r="AB8" i="13"/>
  <c r="AB304" i="13"/>
  <c r="AB21" i="13"/>
</calcChain>
</file>

<file path=xl/sharedStrings.xml><?xml version="1.0" encoding="utf-8"?>
<sst xmlns="http://schemas.openxmlformats.org/spreadsheetml/2006/main" count="1242" uniqueCount="902">
  <si>
    <t xml:space="preserve"> DISTRICT NAME</t>
  </si>
  <si>
    <t xml:space="preserve"> OCTOBER 15</t>
  </si>
  <si>
    <t xml:space="preserve"> OCTOBER 30</t>
  </si>
  <si>
    <t xml:space="preserve"> NOVEMBER 15</t>
  </si>
  <si>
    <t xml:space="preserve"> NOVEMBER 30</t>
  </si>
  <si>
    <t xml:space="preserve"> DECEMBER 15</t>
  </si>
  <si>
    <t xml:space="preserve"> DECEMBER 30</t>
  </si>
  <si>
    <t xml:space="preserve"> JANUARY 15</t>
  </si>
  <si>
    <t xml:space="preserve"> JANUARY 30</t>
  </si>
  <si>
    <t xml:space="preserve"> FEBRUARY 15</t>
  </si>
  <si>
    <t xml:space="preserve"> FEBRUARY 30</t>
  </si>
  <si>
    <t xml:space="preserve"> MARCH 15</t>
  </si>
  <si>
    <t xml:space="preserve"> MARCH 30</t>
  </si>
  <si>
    <t xml:space="preserve"> APRIL 15</t>
  </si>
  <si>
    <t xml:space="preserve"> APRIL 30</t>
  </si>
  <si>
    <t xml:space="preserve"> MAY 15</t>
  </si>
  <si>
    <t xml:space="preserve"> MAY 30</t>
  </si>
  <si>
    <t xml:space="preserve"> JUNE 15</t>
  </si>
  <si>
    <t xml:space="preserve">AITKIN PUBLIC SCHOOL DISTRICT      </t>
  </si>
  <si>
    <t xml:space="preserve">MINNEAPOLIS PUBLIC SCHOOL DIST.    </t>
  </si>
  <si>
    <t xml:space="preserve">HILL CITY PUBLIC SCHOOL DISTRICT   </t>
  </si>
  <si>
    <t xml:space="preserve">MCGREGOR PUBLIC SCHOOL DISTRICT    </t>
  </si>
  <si>
    <t xml:space="preserve">SOUTH ST. PAUL PUBLIC SCHOOL DIST. </t>
  </si>
  <si>
    <t xml:space="preserve">ANOKA-HENNEPIN PUBLIC SCHOOL DIST. </t>
  </si>
  <si>
    <t xml:space="preserve">CENTENNIAL PUBLIC SCHOOL DISTRICT  </t>
  </si>
  <si>
    <t xml:space="preserve">HAMLINE UNIVERSITY                 </t>
  </si>
  <si>
    <t>COLUMBIA HEIGHTS PUBLIC SCHOOL DIST</t>
  </si>
  <si>
    <t xml:space="preserve">FRIDLEY PUBLIC SCHOOL DISTRICT     </t>
  </si>
  <si>
    <t xml:space="preserve">ST. FRANCIS PUBLIC SCHOOL DISTRICT </t>
  </si>
  <si>
    <t xml:space="preserve">SPRING LAKE PARK PUBLIC SCHOOLS    </t>
  </si>
  <si>
    <t xml:space="preserve">DETROIT LAKES PUBLIC SCHOOL DIST.  </t>
  </si>
  <si>
    <t xml:space="preserve">FRAZEE-VERGAS PUBLIC SCHOOL DIST.  </t>
  </si>
  <si>
    <t xml:space="preserve">PINE POINT PUBLIC SCHOOL DISTRICT  </t>
  </si>
  <si>
    <t xml:space="preserve">BEMIDJI PUBLIC SCHOOL DISTRICT     </t>
  </si>
  <si>
    <t xml:space="preserve">BLACKDUCK PUBLIC SCHOOL DISTRICT   </t>
  </si>
  <si>
    <t xml:space="preserve">KELLIHER PUBLIC SCHOOL DISTRICT    </t>
  </si>
  <si>
    <t xml:space="preserve">RED LAKE PUBLIC SCHOOL DISTRICT    </t>
  </si>
  <si>
    <t xml:space="preserve">SAUK RAPIDS-RICE PUBLIC SCHOOLS    </t>
  </si>
  <si>
    <t xml:space="preserve">FOLEY PUBLIC SCHOOL DISTRICT       </t>
  </si>
  <si>
    <t xml:space="preserve">ST. CLAIR PUBLIC SCHOOL DISTRICT   </t>
  </si>
  <si>
    <t xml:space="preserve">MANKATO PUBLIC SCHOOL DISTRICT     </t>
  </si>
  <si>
    <t xml:space="preserve">COMFREY PUBLIC SCHOOL DISTRICT     </t>
  </si>
  <si>
    <t xml:space="preserve">SLEEPY EYE PUBLIC SCHOOL DISTRICT  </t>
  </si>
  <si>
    <t xml:space="preserve">SPRINGFIELD PUBLIC SCHOOL DISTRICT </t>
  </si>
  <si>
    <t xml:space="preserve">NEW ULM PUBLIC SCHOOL DISTRICT     </t>
  </si>
  <si>
    <t xml:space="preserve">BARNUM PUBLIC SCHOOL DISTRICT      </t>
  </si>
  <si>
    <t xml:space="preserve">CARLTON PUBLIC SCHOOL DISTRICT     </t>
  </si>
  <si>
    <t xml:space="preserve">CLOQUET PUBLIC SCHOOL DISTRICT     </t>
  </si>
  <si>
    <t xml:space="preserve">CROMWELL-WRIGHT PUBLIC SCHOOLS     </t>
  </si>
  <si>
    <t xml:space="preserve">MOOSE LAKE PUBLIC SCHOOL DISTRICT  </t>
  </si>
  <si>
    <t xml:space="preserve">ESKO PUBLIC SCHOOL DISTRICT        </t>
  </si>
  <si>
    <t xml:space="preserve">WRENSHALL PUBLIC SCHOOL DISTRICT   </t>
  </si>
  <si>
    <t>ARROWHEAD ECONOMIC OPPORTUNITY AGCY</t>
  </si>
  <si>
    <t xml:space="preserve">DEPARTMENT OF CORRECTIONS          </t>
  </si>
  <si>
    <t xml:space="preserve">TRI COUNTY COMM CORRECTIONS        </t>
  </si>
  <si>
    <t xml:space="preserve">MINN LITERACY COUNCIL INC          </t>
  </si>
  <si>
    <t xml:space="preserve">AMERICAN INDIAN OPPORTUNITIES      </t>
  </si>
  <si>
    <t xml:space="preserve">CENTRAL PUBLIC SCHOOL DISTRICT     </t>
  </si>
  <si>
    <t xml:space="preserve">WACONIA PUBLIC SCHOOL DISTRICT     </t>
  </si>
  <si>
    <t>WATERTOWN-MAYER PUBLIC SCHOOL DIST.</t>
  </si>
  <si>
    <t>WHITE EARTH RESERVATION TRIBAL COUN</t>
  </si>
  <si>
    <t>EASTERN CARVER COUNTY PUBLIC SCHOOL</t>
  </si>
  <si>
    <t>COMMUNICATIONS SERVICE FOR THE DEAF</t>
  </si>
  <si>
    <t>WALKER-HACKENSACK-AKELEY SCHL. DIST</t>
  </si>
  <si>
    <t xml:space="preserve">CASS LAKE-BENA PUBLIC SCHOOLS      </t>
  </si>
  <si>
    <t xml:space="preserve">INSTITUTE FOR NEW AMERICANS        </t>
  </si>
  <si>
    <t xml:space="preserve">PILLAGER PUBLIC SCHOOL DISTRICT    </t>
  </si>
  <si>
    <t xml:space="preserve">NORTHLAND COMMUNITY SCHOOLS        </t>
  </si>
  <si>
    <t xml:space="preserve">MINNESOTA WORKFORCE COUNCIL ASSOC. </t>
  </si>
  <si>
    <t xml:space="preserve">MONTEVIDEO PUBLIC SCHOOL DISTRICT  </t>
  </si>
  <si>
    <t xml:space="preserve">NORTH BRANCH PUBLIC SCHOOLS        </t>
  </si>
  <si>
    <t xml:space="preserve">RUSH CITY PUBLIC SCHOOL DISTRICT   </t>
  </si>
  <si>
    <t xml:space="preserve">BARNESVILLE PUBLIC SCHOOL DIST.    </t>
  </si>
  <si>
    <t xml:space="preserve">HAWLEY PUBLIC SCHOOL DISTRICT      </t>
  </si>
  <si>
    <t xml:space="preserve">MOORHEAD PUBLIC SCHOOL DISTRICT    </t>
  </si>
  <si>
    <t xml:space="preserve">MINNESOTA STATE ACADEMIES          </t>
  </si>
  <si>
    <t xml:space="preserve">BAGLEY PUBLIC SCHOOL DISTRICT      </t>
  </si>
  <si>
    <t xml:space="preserve">COOK COUNTY PUBLIC SCHOOLS         </t>
  </si>
  <si>
    <t xml:space="preserve">MOUNTAIN LAKE PUBLIC SCHOOLS       </t>
  </si>
  <si>
    <t xml:space="preserve">WINDOM PUBLIC SCHOOL DISTRICT      </t>
  </si>
  <si>
    <t xml:space="preserve">BRAINERD PUBLIC SCHOOL DISTRICT    </t>
  </si>
  <si>
    <t xml:space="preserve">CROSBY-IRONTON PUBLIC SCHOOL DIST. </t>
  </si>
  <si>
    <t xml:space="preserve">PEQUOT LAKES PUBLIC SCHOOLS        </t>
  </si>
  <si>
    <t xml:space="preserve">BURNSVILLE PUBLIC SCHOOL DISTRICT  </t>
  </si>
  <si>
    <t xml:space="preserve">FARMINGTON PUBLIC SCHOOL DISTRICT  </t>
  </si>
  <si>
    <t xml:space="preserve">LAKEVILLE PUBLIC SCHOOL DISTRICT   </t>
  </si>
  <si>
    <t xml:space="preserve">RANDOLPH PUBLIC SCHOOL DISTRICT    </t>
  </si>
  <si>
    <t xml:space="preserve">ROSEMOUNT-APPLE VALLEY-EAGAN       </t>
  </si>
  <si>
    <t xml:space="preserve">WEST ST. PAUL-MENDOTA HTS.-EAGAN   </t>
  </si>
  <si>
    <t xml:space="preserve">INVER GROVE HEIGHTS SCHOOLS        </t>
  </si>
  <si>
    <t xml:space="preserve">HASTINGS PUBLIC SCHOOL DISTRICT    </t>
  </si>
  <si>
    <t xml:space="preserve">HAYFIELD PUBLIC SCHOOL DISTRICT    </t>
  </si>
  <si>
    <t xml:space="preserve">KASSON-MANTORVILLE SCHOOL DISTRICT </t>
  </si>
  <si>
    <t xml:space="preserve">ALEXANDRIA PUBLIC SCHOOL DISTRICT  </t>
  </si>
  <si>
    <t xml:space="preserve">OSAKIS PUBLIC SCHOOL DISTRICT      </t>
  </si>
  <si>
    <t xml:space="preserve">CHATFIELD PUBLIC SCHOOLS           </t>
  </si>
  <si>
    <t xml:space="preserve">LANESBORO PUBLIC SCHOOL DISTRICT   </t>
  </si>
  <si>
    <t xml:space="preserve">MABEL-CANTON PUBLIC SCHOOL DIST.   </t>
  </si>
  <si>
    <t xml:space="preserve">RUSHFORD-PETERSON PUBLIC SCHOOLS   </t>
  </si>
  <si>
    <t xml:space="preserve">ALBERT LEA PUBLIC SCHOOL DISTRICT  </t>
  </si>
  <si>
    <t>ALDEN-CONGER PUBLIC SCHOOL DISTRICT</t>
  </si>
  <si>
    <t>CANNON FALLS PUBLIC SCHOOL DISTRICT</t>
  </si>
  <si>
    <t xml:space="preserve">GOODHUE PUBLIC SCHOOL DISTRICT     </t>
  </si>
  <si>
    <t xml:space="preserve">PINE ISLAND PUBLIC SCHOOL DIST.    </t>
  </si>
  <si>
    <t xml:space="preserve">RED WING PUBLIC SCHOOL DISTRICT    </t>
  </si>
  <si>
    <t xml:space="preserve">ASHBY PUBLIC SCHOOL DISTRICT       </t>
  </si>
  <si>
    <t xml:space="preserve">HERMAN-NORCROSS SCHOOL DISTRICT    </t>
  </si>
  <si>
    <t xml:space="preserve">HOPKINS PUBLIC SCHOOL DISTRICT     </t>
  </si>
  <si>
    <t xml:space="preserve">BLOOMINGTON PUBLIC SCHOOL DISTRICT </t>
  </si>
  <si>
    <t>EDEN PRAIRIE PUBLIC SCHOOL DISTRICT</t>
  </si>
  <si>
    <t xml:space="preserve">EDINA PUBLIC SCHOOL DISTRICT       </t>
  </si>
  <si>
    <t xml:space="preserve">MINNETONKA PUBLIC SCHOOL DISTRICT  </t>
  </si>
  <si>
    <t xml:space="preserve">WESTONKA PUBLIC SCHOOL DISTRICT    </t>
  </si>
  <si>
    <t xml:space="preserve">ORONO PUBLIC SCHOOL DISTRICT       </t>
  </si>
  <si>
    <t xml:space="preserve">OSSEO PUBLIC SCHOOL DISTRICT       </t>
  </si>
  <si>
    <t xml:space="preserve">RICHFIELD PUBLIC SCHOOL DISTRICT   </t>
  </si>
  <si>
    <t xml:space="preserve">ROBBINSDALE PUBLIC SCHOOL DISTRICT </t>
  </si>
  <si>
    <t xml:space="preserve">ST. ANTHONY-NEW BRIGHTON SCHOOLS   </t>
  </si>
  <si>
    <t xml:space="preserve">ST. LOUIS PARK PUBLIC SCHOOL DIST. </t>
  </si>
  <si>
    <t xml:space="preserve">WAYZATA PUBLIC SCHOOL DISTRICT     </t>
  </si>
  <si>
    <t xml:space="preserve">BROOKLYN CENTER SCHOOL DISTRICT    </t>
  </si>
  <si>
    <t xml:space="preserve">INTERMEDIATE SCHOOL DISTRICT 287   </t>
  </si>
  <si>
    <t xml:space="preserve">HOUSTON PUBLIC SCHOOL DISTRICT     </t>
  </si>
  <si>
    <t xml:space="preserve">SPRING GROVE SCHOOL DISTRICT       </t>
  </si>
  <si>
    <t xml:space="preserve">CALEDONIA PUBLIC SCHOOL DISTRICT   </t>
  </si>
  <si>
    <t xml:space="preserve">LA CRESCENT-HOKAH SCHOOL DISTRICT  </t>
  </si>
  <si>
    <t xml:space="preserve">LAPORTE PUBLIC SCHOOL DISTRICT     </t>
  </si>
  <si>
    <t xml:space="preserve">NEVIS PUBLIC SCHOOL DISTRICT       </t>
  </si>
  <si>
    <t xml:space="preserve">PARK RAPIDS PUBLIC SCHOOL DISTRICT </t>
  </si>
  <si>
    <t xml:space="preserve">BRAHAM PUBLIC SCHOOL DISTRICT      </t>
  </si>
  <si>
    <t xml:space="preserve">GREENWAY PUBLIC SCHOOL DISTRICT    </t>
  </si>
  <si>
    <t xml:space="preserve">DEER RIVER PUBLIC SCHOOL DISTRICT  </t>
  </si>
  <si>
    <t>GRAND RAPIDS PUBLIC SCHOOL DISTRICT</t>
  </si>
  <si>
    <t xml:space="preserve">NASHWAUK-KEEWATIN SCHOOL DISTRICT  </t>
  </si>
  <si>
    <t xml:space="preserve">FRANCONIA PUBLIC SCHOOL DISTRICT   </t>
  </si>
  <si>
    <t xml:space="preserve">HERON LAKE-OKABENA SCHOOL DISTRICT </t>
  </si>
  <si>
    <t xml:space="preserve">MORA PUBLIC SCHOOL DISTRICT        </t>
  </si>
  <si>
    <t xml:space="preserve">OGILVIE PUBLIC SCHOOL DISTRICT     </t>
  </si>
  <si>
    <t xml:space="preserve">NEW LONDON-SPICER SCHOOL DISTRICT  </t>
  </si>
  <si>
    <t xml:space="preserve">WILLMAR PUBLIC SCHOOL DISTRICT     </t>
  </si>
  <si>
    <t xml:space="preserve">LANCASTER PUBLIC SCHOOL DISTRICT   </t>
  </si>
  <si>
    <t>INTERNATIONAL FALLS SCHOOL DISTRICT</t>
  </si>
  <si>
    <t xml:space="preserve">LITTLEFORK-BIG FALLS SCHOOL DIST.  </t>
  </si>
  <si>
    <t xml:space="preserve">SOUTH KOOCHICHING SCHOOL DISTRICT  </t>
  </si>
  <si>
    <t xml:space="preserve">DAWSON-BOYD PUBLIC SCHOOL DISTRICT </t>
  </si>
  <si>
    <t xml:space="preserve">LAKE SUPERIOR PUBLIC SCHOOL DIST.  </t>
  </si>
  <si>
    <t xml:space="preserve">LAKE OF THE WOODS SCHOOL DISTRICT  </t>
  </si>
  <si>
    <t xml:space="preserve">CLEVELAND PUBLIC SCHOOL DISTRICT   </t>
  </si>
  <si>
    <t xml:space="preserve">LAKE AGASSIZ SPECIAL ED. COOP.     </t>
  </si>
  <si>
    <t xml:space="preserve">HENDRICKS PUBLIC SCHOOL DISTRICT   </t>
  </si>
  <si>
    <t xml:space="preserve">IVANHOE PUBLIC SCHOOL DISTRICT     </t>
  </si>
  <si>
    <t xml:space="preserve">LAKE BENTON PUBLIC SCHOOL DISTRICT </t>
  </si>
  <si>
    <t xml:space="preserve">MARSHALL PUBLIC SCHOOL DISTRICT    </t>
  </si>
  <si>
    <t xml:space="preserve">MINNEOTA PUBLIC SCHOOL DISTRICT    </t>
  </si>
  <si>
    <t xml:space="preserve">LYND PUBLIC SCHOOL DISTRICT        </t>
  </si>
  <si>
    <t xml:space="preserve">HUTCHINSON PUBLIC SCHOOL DISTRICT  </t>
  </si>
  <si>
    <t xml:space="preserve">LESTER PRAIRIE PUBLIC SCHOOL DIST. </t>
  </si>
  <si>
    <t xml:space="preserve">MAHNOMEN PUBLIC SCHOOL DISTRICT    </t>
  </si>
  <si>
    <t>WAUBUN-OGEMA-WHITE EARTH PUBLIC SCH</t>
  </si>
  <si>
    <t xml:space="preserve">MARSHALL COUNTY CENTRAL SCHOOLS    </t>
  </si>
  <si>
    <t xml:space="preserve">GRYGLA PUBLIC SCHOOL DISTRICT      </t>
  </si>
  <si>
    <t xml:space="preserve">TRUMAN PUBLIC SCHOOL DISTRICT      </t>
  </si>
  <si>
    <t>EDEN VALLEY-WATKINS SCHOOL DISTRICT</t>
  </si>
  <si>
    <t xml:space="preserve">LITCHFIELD PUBLIC SCHOOL DISTRICT  </t>
  </si>
  <si>
    <t xml:space="preserve">DASSEL-COKATO PUBLIC SCHOOL DIST.  </t>
  </si>
  <si>
    <t xml:space="preserve">ISLE PUBLIC SCHOOL DISTRICT        </t>
  </si>
  <si>
    <t xml:space="preserve">PRINCETON PUBLIC SCHOOL DISTRICT   </t>
  </si>
  <si>
    <t xml:space="preserve">ONAMIA PUBLIC SCHOOL DISTRICT      </t>
  </si>
  <si>
    <t>LITTLE FALLS PUBLIC SCHOOL DISTRICT</t>
  </si>
  <si>
    <t xml:space="preserve">PIERZ PUBLIC SCHOOL DISTRICT       </t>
  </si>
  <si>
    <t xml:space="preserve">ROYALTON PUBLIC SCHOOL DISTRICT    </t>
  </si>
  <si>
    <t xml:space="preserve">SWANVILLE PUBLIC SCHOOL DISTRICT   </t>
  </si>
  <si>
    <t xml:space="preserve">UPSALA PUBLIC SCHOOL DISTRICT      </t>
  </si>
  <si>
    <t xml:space="preserve">AUSTIN PUBLIC SCHOOL DISTRICT      </t>
  </si>
  <si>
    <t>GRAND MEADOW PUBLIC SCHOOL DISTRICT</t>
  </si>
  <si>
    <t xml:space="preserve">LYLE PUBLIC SCHOOL DISTRICT        </t>
  </si>
  <si>
    <t xml:space="preserve">LEROY-OSTRANDER PUBLIC SCHOOLS     </t>
  </si>
  <si>
    <t xml:space="preserve">SOUTHLAND PUBLIC SCHOOL DISTRICT   </t>
  </si>
  <si>
    <t xml:space="preserve">FULDA PUBLIC SCHOOL DISTRICT       </t>
  </si>
  <si>
    <t xml:space="preserve">NICOLLET PUBLIC SCHOOL DISTRICT    </t>
  </si>
  <si>
    <t xml:space="preserve">ST. PETER PUBLIC SCHOOL DISTRICT   </t>
  </si>
  <si>
    <t xml:space="preserve">ADRIAN PUBLIC SCHOOL DISTRICT      </t>
  </si>
  <si>
    <t xml:space="preserve">ELLSWORTH PUBLIC SCHOOL DISTRICT   </t>
  </si>
  <si>
    <t xml:space="preserve">WORTHINGTON PUBLIC SCHOOL DISTRICT </t>
  </si>
  <si>
    <t xml:space="preserve">BYRON PUBLIC SCHOOL DISTRICT       </t>
  </si>
  <si>
    <t xml:space="preserve">DOVER-EYOTA PUBLIC SCHOOL DISTRICT </t>
  </si>
  <si>
    <t>STEWARTVILLE PUBLIC SCHOOL DISTRICT</t>
  </si>
  <si>
    <t xml:space="preserve">ROCHESTER PUBLIC SCHOOL DISTRICT   </t>
  </si>
  <si>
    <t xml:space="preserve">BATTLE LAKE PUBLIC SCHOOL DISTRICT </t>
  </si>
  <si>
    <t>FERGUS FALLS PUBLIC SCHOOL DISTRICT</t>
  </si>
  <si>
    <t xml:space="preserve">HENNING PUBLIC SCHOOL DISTRICT     </t>
  </si>
  <si>
    <t>PARKERS PRAIRIE PUBLIC SCHOOL DIST.</t>
  </si>
  <si>
    <t xml:space="preserve">PELICAN RAPIDS PUBLIC SCHOOL DIST. </t>
  </si>
  <si>
    <t xml:space="preserve">PERHAM-DENT PUBLIC SCHOOL DISTRICT </t>
  </si>
  <si>
    <t xml:space="preserve">UNDERWOOD PUBLIC SCHOOL DISTRICT   </t>
  </si>
  <si>
    <t xml:space="preserve">NEW YORK MILLS PUBLIC SCHOOL DIST. </t>
  </si>
  <si>
    <t xml:space="preserve">GOODRIDGE PUBLIC SCHOOL DISTRICT   </t>
  </si>
  <si>
    <t xml:space="preserve">THIEF RIVER FALLS SCHOOL DISTRICT  </t>
  </si>
  <si>
    <t>WILLOW RIVER PUBLIC SCHOOL DISTRICT</t>
  </si>
  <si>
    <t xml:space="preserve">PINE CITY PUBLIC SCHOOL DISTRICT   </t>
  </si>
  <si>
    <t xml:space="preserve">EDGERTON PUBLIC SCHOOL DISTRICT    </t>
  </si>
  <si>
    <t xml:space="preserve">CLIMAX-SHELLY PUBLIC SCHOOLS       </t>
  </si>
  <si>
    <t xml:space="preserve">CROOKSTON PUBLIC SCHOOL DISTRICT   </t>
  </si>
  <si>
    <t>EAST GRAND FORKS PUBLIC SCHOOL DIST</t>
  </si>
  <si>
    <t xml:space="preserve">FERTILE-BELTRAMI SCHOOL DISTRICT   </t>
  </si>
  <si>
    <t xml:space="preserve">FISHER PUBLIC SCHOOL DISTRICT      </t>
  </si>
  <si>
    <t xml:space="preserve">FOSSTON PUBLIC SCHOOL DISTRICT     </t>
  </si>
  <si>
    <t xml:space="preserve">MOUNDS VIEW PUBLIC SCHOOL DISTRICT </t>
  </si>
  <si>
    <t>NORTH ST PAUL-MAPLEWOOD SCHOOL DIST</t>
  </si>
  <si>
    <t xml:space="preserve">ROSEVILLE PUBLIC SCHOOL DISTRICT   </t>
  </si>
  <si>
    <t xml:space="preserve">WHITE BEAR LAKE SCHOOL DISTRICT    </t>
  </si>
  <si>
    <t xml:space="preserve">ST. PAUL PUBLIC SCHOOL DISTRICT    </t>
  </si>
  <si>
    <t xml:space="preserve">RED LAKE FALLS PUBLIC SCHOOL DIST. </t>
  </si>
  <si>
    <t xml:space="preserve">MILROY PUBLIC SCHOOL DISTRICT      </t>
  </si>
  <si>
    <t xml:space="preserve">WABASSO PUBLIC SCHOOL DISTRICT     </t>
  </si>
  <si>
    <t xml:space="preserve">FARIBAULT PUBLIC SCHOOL DISTRICT   </t>
  </si>
  <si>
    <t xml:space="preserve">NORTHFIELD PUBLIC SCHOOL DISTRICT  </t>
  </si>
  <si>
    <t xml:space="preserve">HILLS-BEAVER CREEK SCHOOL DISTRICT </t>
  </si>
  <si>
    <t xml:space="preserve">BADGER PUBLIC SCHOOL DISTRICT      </t>
  </si>
  <si>
    <t xml:space="preserve">ROSEAU PUBLIC SCHOOL DISTRICT      </t>
  </si>
  <si>
    <t xml:space="preserve">WARROAD PUBLIC SCHOOL DISTRICT     </t>
  </si>
  <si>
    <t xml:space="preserve">CHISHOLM PUBLIC SCHOOL DISTRICT    </t>
  </si>
  <si>
    <t xml:space="preserve">ELY PUBLIC SCHOOL DISTRICT         </t>
  </si>
  <si>
    <t xml:space="preserve">FLOODWOOD PUBLIC SCHOOL DISTRICT   </t>
  </si>
  <si>
    <t xml:space="preserve">HERMANTOWN PUBLIC SCHOOL DISTRICT  </t>
  </si>
  <si>
    <t xml:space="preserve">HIBBING PUBLIC SCHOOL DISTRICT     </t>
  </si>
  <si>
    <t xml:space="preserve">PROCTOR PUBLIC SCHOOL DISTRICT     </t>
  </si>
  <si>
    <t xml:space="preserve">VIRGINIA PUBLIC SCHOOL DISTRICT    </t>
  </si>
  <si>
    <t xml:space="preserve">NETT LAKE PUBLIC SCHOOL DISTRICT   </t>
  </si>
  <si>
    <t xml:space="preserve">DULUTH PUBLIC SCHOOL DISTRICT      </t>
  </si>
  <si>
    <t xml:space="preserve">MOUNTAIN IRON-BUHL SCHOOL DISTRICT </t>
  </si>
  <si>
    <t>BELLE PLAINE PUBLIC SCHOOL DISTRICT</t>
  </si>
  <si>
    <t xml:space="preserve">JORDAN PUBLIC SCHOOL DISTRICT      </t>
  </si>
  <si>
    <t xml:space="preserve">PRIOR LAKE-SAVAGE AREA SCHOOLS     </t>
  </si>
  <si>
    <t xml:space="preserve">SHAKOPEE PUBLIC SCHOOL DISTRICT    </t>
  </si>
  <si>
    <t xml:space="preserve">NEW PRAGUE AREA SCHOOLS            </t>
  </si>
  <si>
    <t xml:space="preserve">BECKER PUBLIC SCHOOL DISTRICT      </t>
  </si>
  <si>
    <t xml:space="preserve">BIG LAKE PUBLIC SCHOOL DISTRICT    </t>
  </si>
  <si>
    <t xml:space="preserve">ELK RIVER PUBLIC SCHOOL DISTRICT   </t>
  </si>
  <si>
    <t xml:space="preserve">HOLDINGFORD PUBLIC SCHOOL DISTRICT </t>
  </si>
  <si>
    <t xml:space="preserve">KIMBALL PUBLIC SCHOOL DISTRICT     </t>
  </si>
  <si>
    <t xml:space="preserve">MELROSE PUBLIC SCHOOL DISTRICT     </t>
  </si>
  <si>
    <t xml:space="preserve">PAYNESVILLE PUBLIC SCHOOL DISTRICT </t>
  </si>
  <si>
    <t xml:space="preserve">ST. CLOUD PUBLIC SCHOOL DISTRICT   </t>
  </si>
  <si>
    <t xml:space="preserve">SAUK CENTRE PUBLIC SCHOOL DISTRICT </t>
  </si>
  <si>
    <t xml:space="preserve">ALBANY PUBLIC SCHOOL DISTRICT      </t>
  </si>
  <si>
    <t>SARTELL-ST. STEPHEN SCHOOL DISTRICT</t>
  </si>
  <si>
    <t xml:space="preserve">ROCORI PUBLIC SCHOOL DISTRICT      </t>
  </si>
  <si>
    <t>BLOOMING PRAIRIE PUBLIC SCHOOL DIST</t>
  </si>
  <si>
    <t xml:space="preserve">OWATONNA PUBLIC SCHOOL DISTRICT    </t>
  </si>
  <si>
    <t xml:space="preserve">MEDFORD PUBLIC SCHOOL DISTRICT     </t>
  </si>
  <si>
    <t xml:space="preserve">HANCOCK PUBLIC SCHOOL DISTRICT     </t>
  </si>
  <si>
    <t xml:space="preserve">CHOKIO-ALBERTA PUBLIC SCHOOL DIST. </t>
  </si>
  <si>
    <t xml:space="preserve">KERKHOVEN-MURDOCK-SUNBURG          </t>
  </si>
  <si>
    <t xml:space="preserve">BENSON PUBLIC SCHOOL DISTRICT      </t>
  </si>
  <si>
    <t xml:space="preserve">BERTHA-HEWITT PUBLIC SCHOOL DIST.  </t>
  </si>
  <si>
    <t xml:space="preserve">BROWERVILLE PUBLIC SCHOOL DISTRICT </t>
  </si>
  <si>
    <t xml:space="preserve">BROWNS VALLEY PUBLIC SCHOOL DIST.  </t>
  </si>
  <si>
    <t>WHEATON AREA PUBLIC SCHOOL DISTRICT</t>
  </si>
  <si>
    <t>WABASHA-KELLOGG PUBLIC SCHOOL DIST.</t>
  </si>
  <si>
    <t xml:space="preserve">LAKE CITY PUBLIC SCHOOL DISTRICT   </t>
  </si>
  <si>
    <t xml:space="preserve">PRINSBURG PUBLIC SCHOOL DISTRICT   </t>
  </si>
  <si>
    <t xml:space="preserve">VERNDALE PUBLIC SCHOOL DISTRICT    </t>
  </si>
  <si>
    <t xml:space="preserve">SEBEKA PUBLIC SCHOOL DISTRICT      </t>
  </si>
  <si>
    <t xml:space="preserve">MENAHGA PUBLIC SCHOOL DISTRICT     </t>
  </si>
  <si>
    <t xml:space="preserve">WASECA PUBLIC SCHOOL DISTRICT      </t>
  </si>
  <si>
    <t xml:space="preserve">FOREST LAKE PUBLIC SCHOOL DISTRICT </t>
  </si>
  <si>
    <t xml:space="preserve">MAHTOMEDI PUBLIC SCHOOL DISTRICT   </t>
  </si>
  <si>
    <t>SOUTH WASHINGTON COUNTY SCHOOL DIST</t>
  </si>
  <si>
    <t>STILLWATER AREA PUBLIC SCHOOL DIST.</t>
  </si>
  <si>
    <t xml:space="preserve">BUTTERFIELD PUBLIC SCHOOL DISTRICT </t>
  </si>
  <si>
    <t xml:space="preserve">MADELIA PUBLIC SCHOOL DISTRICT     </t>
  </si>
  <si>
    <t xml:space="preserve">ST. JAMES PUBLIC SCHOOL DISTRICT   </t>
  </si>
  <si>
    <t>BRECKENRIDGE PUBLIC SCHOOL DISTRICT</t>
  </si>
  <si>
    <t xml:space="preserve">ROTHSAY PUBLIC SCHOOL DISTRICT     </t>
  </si>
  <si>
    <t>CAMPBELL-TINTAH PUBLIC SCHOOL DIST.</t>
  </si>
  <si>
    <t>LEWISTON-ALTURA PUBLIC SCHOOL DIST.</t>
  </si>
  <si>
    <t xml:space="preserve">ST. CHARLES PUBLIC SCHOOL DISTRICT </t>
  </si>
  <si>
    <t xml:space="preserve">WINONA AREA PUBLIC SCHOOL DISTRICT </t>
  </si>
  <si>
    <t xml:space="preserve">ANNANDALE PUBLIC SCHOOL DISTRICT   </t>
  </si>
  <si>
    <t>BUFFALO-HANOVER-MONTROSE PUBLIC SCH</t>
  </si>
  <si>
    <t xml:space="preserve">DELANO PUBLIC SCHOOL DISTRICT      </t>
  </si>
  <si>
    <t xml:space="preserve">MAPLE LAKE PUBLIC SCHOOL DISTRICT  </t>
  </si>
  <si>
    <t xml:space="preserve">MONTICELLO PUBLIC SCHOOL DISTRICT  </t>
  </si>
  <si>
    <t xml:space="preserve">ROCKFORD PUBLIC SCHOOL DISTRICT    </t>
  </si>
  <si>
    <t>ST. MICHAEL-ALBERTVILLE SCHOOL DIST</t>
  </si>
  <si>
    <t xml:space="preserve">CANBY PUBLIC SCHOOL DISTRICT       </t>
  </si>
  <si>
    <t>CAMBRIDGE-ISANTI PUBLIC SCHOOL DIST</t>
  </si>
  <si>
    <t xml:space="preserve">MILACA PUBLIC SCHOOL DISTRICT      </t>
  </si>
  <si>
    <t xml:space="preserve">ULEN-HITTERDAL PUBLIC SCHOOL DIST  </t>
  </si>
  <si>
    <t xml:space="preserve">SOUTHERN PLAINS EDUCATION COOP.    </t>
  </si>
  <si>
    <t xml:space="preserve">NORTHEAST METRO 916                </t>
  </si>
  <si>
    <t xml:space="preserve">INTERMEDIATE SCHOOL DISTRICT 917   </t>
  </si>
  <si>
    <t xml:space="preserve">REGION 1 AND 2-NORTHWEST SVC. COOP </t>
  </si>
  <si>
    <t xml:space="preserve">FERGUS FALLS AREA SP. ED. COOP.    </t>
  </si>
  <si>
    <t>MEEKER AND WRIGHT SPECIAL EDUCATION</t>
  </si>
  <si>
    <t xml:space="preserve">OAK LAND VOCATIONAL COOPERATVE     </t>
  </si>
  <si>
    <t xml:space="preserve">REGN 6 AND 8-SW/WC SRV COOPERATIVE </t>
  </si>
  <si>
    <t>BEMIDJI REGIONAL INTERDIST. COUNCIL</t>
  </si>
  <si>
    <t xml:space="preserve">FOND DU LAC OJIBWE                 </t>
  </si>
  <si>
    <t xml:space="preserve">BUG-O-NAY-GE-SHIG                  </t>
  </si>
  <si>
    <t xml:space="preserve">NAY-AH-SHING                       </t>
  </si>
  <si>
    <t xml:space="preserve">LAKE CRYSTAL-WELLCOME MEMORIAL     </t>
  </si>
  <si>
    <t xml:space="preserve">TRITON SCHOOL DISTRICT             </t>
  </si>
  <si>
    <t xml:space="preserve">UNITED SOUTH CENTRAL SCHOOL DIST.  </t>
  </si>
  <si>
    <t xml:space="preserve">MAPLE RIVER SCHOOL DISTRICT        </t>
  </si>
  <si>
    <t xml:space="preserve">KINGSLAND PUBLIC SCHOOL DISTRICT   </t>
  </si>
  <si>
    <t xml:space="preserve">ST. LOUIS COUNTY SCHOOL DISTRICT   </t>
  </si>
  <si>
    <t xml:space="preserve">WATERVILLE-ELYSIAN-MORRISTOWN      </t>
  </si>
  <si>
    <t xml:space="preserve">CHISAGO LAKES SCHOOL DISTRICT      </t>
  </si>
  <si>
    <t xml:space="preserve">MINNEWASKA SCHOOL DISTRICT         </t>
  </si>
  <si>
    <t xml:space="preserve">EVELETH-GILBERT SCHOOL DISTRICT    </t>
  </si>
  <si>
    <t xml:space="preserve">WADENA-DEER CREEK SCHOOL DISTRICT  </t>
  </si>
  <si>
    <t>BUFFALO LK-HECTOR-STEWART PUBLIC SC</t>
  </si>
  <si>
    <t xml:space="preserve">DILWORTH-GLYNDON-FELTON            </t>
  </si>
  <si>
    <t xml:space="preserve">HINCKLEY-FINLAYSON SCHOOL DISTRICT </t>
  </si>
  <si>
    <t xml:space="preserve">LAKEVIEW SCHOOL DISTRICT           </t>
  </si>
  <si>
    <t xml:space="preserve">NRHEG SCHOOL DISTRICT              </t>
  </si>
  <si>
    <t xml:space="preserve">MURRAY COUNTY CENTRAL SCHOOL DIST. </t>
  </si>
  <si>
    <t xml:space="preserve">STAPLES-MOTLEY SCHOOL DISTRICT     </t>
  </si>
  <si>
    <t xml:space="preserve">KITTSON CENTRAL SCHOOL DISTRICT    </t>
  </si>
  <si>
    <t xml:space="preserve">KENYON-WANAMINGO SCHOOL DISTRICT   </t>
  </si>
  <si>
    <t xml:space="preserve">PINE RIVER-BACKUS SCHOOL DISTRICT  </t>
  </si>
  <si>
    <t xml:space="preserve">WARREN-ALVARADO-OSLO SCHOOL DIST.  </t>
  </si>
  <si>
    <t xml:space="preserve">M.A.C.C.R.A.Y. SCHOOL DISTRICT     </t>
  </si>
  <si>
    <t xml:space="preserve">LUVERNE PUBLIC SCHOOL DISTRICT     </t>
  </si>
  <si>
    <t xml:space="preserve">YELLOW MEDICINE EAST               </t>
  </si>
  <si>
    <t xml:space="preserve">FILLMORE CENTRAL                   </t>
  </si>
  <si>
    <t xml:space="preserve">NORMAN COUNTY EAST SCHOOL DISTRICT </t>
  </si>
  <si>
    <t xml:space="preserve">SIBLEY EAST SCHOOL DISTRICT        </t>
  </si>
  <si>
    <t xml:space="preserve">CLEARBROOK-GONVICK SCHOOL DISTRICT </t>
  </si>
  <si>
    <t xml:space="preserve">WEST CENTRAL AREA                  </t>
  </si>
  <si>
    <t xml:space="preserve">TRI-COUNTY SCHOOL DISTRICT         </t>
  </si>
  <si>
    <t>BELGRADE-BROOTEN-ELROSA SCHOOL DIST</t>
  </si>
  <si>
    <t xml:space="preserve">G.F.W.                             </t>
  </si>
  <si>
    <t xml:space="preserve">A.C.G.C. PUBLIC SCHOOL DISTRICT    </t>
  </si>
  <si>
    <t xml:space="preserve">LE SUEUR-HENDERSON SCHOOL DISTRICT </t>
  </si>
  <si>
    <t xml:space="preserve">MARTIN COUNTY WEST SCHOOL DISTRICT </t>
  </si>
  <si>
    <t xml:space="preserve">NORMAN COUNTY WEST SCHOOL DISTRICT </t>
  </si>
  <si>
    <t xml:space="preserve">BIRD ISLAND-OLIVIA-LAKE LILLIAN    </t>
  </si>
  <si>
    <t xml:space="preserve">GRANADA HUNTLEY-EAST CHAIN         </t>
  </si>
  <si>
    <t xml:space="preserve">EAST CENTRAL SCHOOL DISTRICT       </t>
  </si>
  <si>
    <t xml:space="preserve">WIN-E-MAC SCHOOL DISTRICT          </t>
  </si>
  <si>
    <t>GREENBUSH-MIDDLE RIVER SCHOOL DIST.</t>
  </si>
  <si>
    <t xml:space="preserve">HOWARD LAKE-WAVERLY-WINSTED        </t>
  </si>
  <si>
    <t xml:space="preserve">PIPESTONE AREA SCHOOL DISTRICT     </t>
  </si>
  <si>
    <t xml:space="preserve">MESABI EAST SCHOOL DISTRICT        </t>
  </si>
  <si>
    <t xml:space="preserve">FAIRMONT AREA SCHOOL DISTRICT      </t>
  </si>
  <si>
    <t>LONG PRAIRIE-GREY EAGLE SCHOOL DIST</t>
  </si>
  <si>
    <t xml:space="preserve">CEDAR MOUNTAIN SCHOOL DISTRICT     </t>
  </si>
  <si>
    <t>EAGLE VALLEY PUBLIC SCHOOL DISTRICT</t>
  </si>
  <si>
    <t xml:space="preserve">MORRIS AREA PUBLIC SCHOOLS         </t>
  </si>
  <si>
    <t xml:space="preserve">ZUMBROTA-MAZEPPA SCHOOL DISTRICT   </t>
  </si>
  <si>
    <t xml:space="preserve">JANESVILLE-WALDORF-PEMBERTON       </t>
  </si>
  <si>
    <t xml:space="preserve">LAC QUI PARLE VALLEY SCHOOL DIST.  </t>
  </si>
  <si>
    <t xml:space="preserve">ADA-BORUP PUBLIC SCHOOL DISTRICT   </t>
  </si>
  <si>
    <t xml:space="preserve">STEPHEN-ARGYLE CENTRAL SCHOOLS     </t>
  </si>
  <si>
    <t>GLENCOE-SILVER LAKE SCHOOL DISTRICT</t>
  </si>
  <si>
    <t xml:space="preserve">BLUE EARTH AREA PUBLIC SCHOOL      </t>
  </si>
  <si>
    <t xml:space="preserve">RED ROCK CENTRAL SCHOOL DISTRICT   </t>
  </si>
  <si>
    <t xml:space="preserve">GLENVILLE-EMMONS SCHOOL DISTRICT   </t>
  </si>
  <si>
    <t xml:space="preserve">CLINTON-GRACEVILLE-BEARDSLEY       </t>
  </si>
  <si>
    <t xml:space="preserve">LAKE PARK AUDUBON SCHOOL DISTRICT  </t>
  </si>
  <si>
    <t xml:space="preserve">RENVILLE COUNTY WEST SCHOOL DIST.  </t>
  </si>
  <si>
    <t>JACKSON COUNTY CENTRAL SCHOOL DIST.</t>
  </si>
  <si>
    <t xml:space="preserve">REDWOOD AREA SCHOOL DISTRICT       </t>
  </si>
  <si>
    <t xml:space="preserve">WESTBROOK-WALNUT GROVE SCHOOLS     </t>
  </si>
  <si>
    <t xml:space="preserve">PLAINVIEW-ELGIN-MILLVILLE          </t>
  </si>
  <si>
    <t xml:space="preserve">RTR PUBLIC SCHOOLS                 </t>
  </si>
  <si>
    <t xml:space="preserve">ORTONVILLE PUBLIC SCHOOLS          </t>
  </si>
  <si>
    <t xml:space="preserve">TRACY AREA PUBLIC SCHOOL DISTRICT  </t>
  </si>
  <si>
    <t xml:space="preserve">TRI-CITY UNITED SCHOOL DISTRICT    </t>
  </si>
  <si>
    <t xml:space="preserve">RED LAKE COUNTY CENTRAL PUBLIC SCH </t>
  </si>
  <si>
    <t xml:space="preserve">ROUND LAKE-BREWSTER PUBLIC SCHOOLS </t>
  </si>
  <si>
    <t xml:space="preserve">BRANDON-EVANSVILLE PUBLIC SCHOOLS  </t>
  </si>
  <si>
    <t xml:space="preserve">CITY ACADEMY                       </t>
  </si>
  <si>
    <t xml:space="preserve">BLUFFVIEW MONTESSORI               </t>
  </si>
  <si>
    <t xml:space="preserve">NEW HEIGHTS SCHOOL, INC.           </t>
  </si>
  <si>
    <t xml:space="preserve">CEDAR RIVERSIDE COMMUNITY SCHOOL   </t>
  </si>
  <si>
    <t xml:space="preserve">METRO DEAF SCHOOL                  </t>
  </si>
  <si>
    <t xml:space="preserve">MINNESOTA NEW COUNTRY SCHOOL       </t>
  </si>
  <si>
    <t xml:space="preserve">PACT CHARTER SCHOOL                </t>
  </si>
  <si>
    <t xml:space="preserve">NEW VISIONS CHARTER SCHOOL         </t>
  </si>
  <si>
    <t xml:space="preserve">COMMUNITY OF PEACE ACADEMY         </t>
  </si>
  <si>
    <t xml:space="preserve">WORLD LEARNER CHARTER SCHOOL       </t>
  </si>
  <si>
    <t xml:space="preserve">MINNESOTA TRANSITIONS CHARTER SCH  </t>
  </si>
  <si>
    <t xml:space="preserve">ACHIEVE LANGUAGE ACADEMY           </t>
  </si>
  <si>
    <t xml:space="preserve">DULUTH PUBLIC SCHOOLS ACADEMY      </t>
  </si>
  <si>
    <t xml:space="preserve">CYBER VILLAGE ACADEMY              </t>
  </si>
  <si>
    <t xml:space="preserve">E.C.H.O. CHARTER SCHOOL            </t>
  </si>
  <si>
    <t xml:space="preserve">HIGHER GROUND ACADEMY              </t>
  </si>
  <si>
    <t xml:space="preserve">ST. PAUL CITY SCHOOL               </t>
  </si>
  <si>
    <t xml:space="preserve">ODYSSEY ACADEMY                    </t>
  </si>
  <si>
    <t xml:space="preserve">JENNINGS COMMUNITY LEARNING CENTER </t>
  </si>
  <si>
    <t xml:space="preserve">HARVEST PREP SCHOOL-SEED ACADEMY   </t>
  </si>
  <si>
    <t xml:space="preserve">LIFE PREP                          </t>
  </si>
  <si>
    <t xml:space="preserve">FACE TO FACE ACADEMY               </t>
  </si>
  <si>
    <t xml:space="preserve">SOJOURNER TRUTH ACADEMY            </t>
  </si>
  <si>
    <t xml:space="preserve">HIGH SCHOOL FOR RECORDING ARTS     </t>
  </si>
  <si>
    <t xml:space="preserve">TWIN CITIES ACADEMY                </t>
  </si>
  <si>
    <t xml:space="preserve">MATH AND SCIENCE ACADEMY           </t>
  </si>
  <si>
    <t xml:space="preserve">NORTHWEST PASSAGE HIGH SCHOOL      </t>
  </si>
  <si>
    <t xml:space="preserve">LAFAYETTE PUBLIC CHARTER SCHOOL    </t>
  </si>
  <si>
    <t xml:space="preserve">NORTH LAKES ACADEMY                </t>
  </si>
  <si>
    <t xml:space="preserve">LACRESCENT MONTESSORI ACADEMY      </t>
  </si>
  <si>
    <t xml:space="preserve">NERSTRAND CHARTER SCHOOL           </t>
  </si>
  <si>
    <t xml:space="preserve">ROCHESTER OFF-CAMPUS CHARTER HIGH  </t>
  </si>
  <si>
    <t xml:space="preserve">EL COLEGIO CHARTER SCHOOL          </t>
  </si>
  <si>
    <t>SCHOOLCRAFT LEARNING COMMUNITY CHTR</t>
  </si>
  <si>
    <t xml:space="preserve">CROSSLAKE COMMUNITY CHARTER SCHOOL </t>
  </si>
  <si>
    <t xml:space="preserve">RIVERWAY LEARNING COMMUNITY CHTR   </t>
  </si>
  <si>
    <t xml:space="preserve">RIVERBEND ACADEMY                  </t>
  </si>
  <si>
    <t xml:space="preserve">AURORA CHARTER SCHOOL              </t>
  </si>
  <si>
    <t xml:space="preserve">EXCELL ACADEMY CHARTER             </t>
  </si>
  <si>
    <t xml:space="preserve">HOPE COMMUNITY ACADEMY             </t>
  </si>
  <si>
    <t xml:space="preserve">ACADEMIA CESAR CHAVEZ CHARTER SCH. </t>
  </si>
  <si>
    <t xml:space="preserve">AFSA HIGH SCHOOL                   </t>
  </si>
  <si>
    <t xml:space="preserve">AVALON SCHOOL                      </t>
  </si>
  <si>
    <t>TWIN CITIES INTERNATIONAL ELEM SCH.</t>
  </si>
  <si>
    <t xml:space="preserve">MN INTERNATIONAL MIDDLE CHARTER    </t>
  </si>
  <si>
    <t>FRIENDSHIP ACDMY OF FINE ARTS CHTR.</t>
  </si>
  <si>
    <t xml:space="preserve">PILLAGER AREA CHARTER SCHOOL       </t>
  </si>
  <si>
    <t xml:space="preserve">DISCOVERY PUBLIC SCHOOL FARIBAULT  </t>
  </si>
  <si>
    <t xml:space="preserve">BLUESKY CHARTER SCHOOL             </t>
  </si>
  <si>
    <t xml:space="preserve">RIDGEWAY COMMUNITY SCHOOL          </t>
  </si>
  <si>
    <t xml:space="preserve">NORTH SHORE COMMUNITY SCHOOL       </t>
  </si>
  <si>
    <t xml:space="preserve">HARBOR CITY INTERNATIONAL CHARTER  </t>
  </si>
  <si>
    <t>WOODSON INSTITUTE FOR EXCELLENCE CH</t>
  </si>
  <si>
    <t xml:space="preserve">SAGE ACADEMY CHARTER SCHOOL        </t>
  </si>
  <si>
    <t xml:space="preserve">URBAN ACADEMY CHARTER SCHOOL       </t>
  </si>
  <si>
    <t xml:space="preserve">NEW CITY SCHOOL                    </t>
  </si>
  <si>
    <t xml:space="preserve">PRAIRIE CREEK COMMUNITY SCHOOL     </t>
  </si>
  <si>
    <t xml:space="preserve">ARCADIA CHARTER SCHOOL             </t>
  </si>
  <si>
    <t xml:space="preserve">WATERSHED HIGH SCHOOL              </t>
  </si>
  <si>
    <t xml:space="preserve">NEW CENTURY ACADEMY                </t>
  </si>
  <si>
    <t xml:space="preserve">TRIO WOLF CREEK DISTANCE LEARNING  </t>
  </si>
  <si>
    <t xml:space="preserve">PARTNERSHIP ACADEMY, INC.          </t>
  </si>
  <si>
    <t xml:space="preserve">NOVA CLASSICAL ACADEMY             </t>
  </si>
  <si>
    <t xml:space="preserve">GREAT EXPECTATIONS                 </t>
  </si>
  <si>
    <t xml:space="preserve">MINNESOTA INTERNSHIP CENTER        </t>
  </si>
  <si>
    <t xml:space="preserve">HMONG COLLEGE PREP ACADEMY         </t>
  </si>
  <si>
    <t xml:space="preserve">PALADIN ACADEMY                    </t>
  </si>
  <si>
    <t xml:space="preserve">GREAT RIVER SCHOOL                 </t>
  </si>
  <si>
    <t xml:space="preserve">TREKNORTH HIGH SCHOOL              </t>
  </si>
  <si>
    <t xml:space="preserve">VOYAGEURS EXPEDITIONARY            </t>
  </si>
  <si>
    <t xml:space="preserve">MAIN STREET SCHOOL PERFORMING ARTS </t>
  </si>
  <si>
    <t xml:space="preserve">AUGSBURG FAIRVIEW ACADEMY          </t>
  </si>
  <si>
    <t>ST PAUL CONSERVATORY PERFORMING ART</t>
  </si>
  <si>
    <t xml:space="preserve">FRASER ACADEMY                     </t>
  </si>
  <si>
    <t xml:space="preserve">MINNEAPOLIS ACADEMY CHARTER SCHOOL </t>
  </si>
  <si>
    <t xml:space="preserve">LAKES INTERNATIONAL LANGUAGE ADMY  </t>
  </si>
  <si>
    <t xml:space="preserve">KALEIDOSCOPE CHARTER SCHOOL        </t>
  </si>
  <si>
    <t xml:space="preserve">ACADEMIC ARTS HIGH SCHOOL          </t>
  </si>
  <si>
    <t xml:space="preserve">ST. CROIX PREPARATORY ACADEMY      </t>
  </si>
  <si>
    <t>UBAH MEDICAL ACADEMY CHARTER SCHOOL</t>
  </si>
  <si>
    <t xml:space="preserve">EAGLE RIDGE ACADEMY CHARTER SCHOOL </t>
  </si>
  <si>
    <t xml:space="preserve">DAKOTA AREA COMMUNITY CHARTER SCH  </t>
  </si>
  <si>
    <t xml:space="preserve">BEACON ACADEMY                     </t>
  </si>
  <si>
    <t xml:space="preserve">PRAIRIE SEEDS ACADEMY              </t>
  </si>
  <si>
    <t xml:space="preserve">TEAM ACADEMY                       </t>
  </si>
  <si>
    <t xml:space="preserve">METRO SCHOOLS CHARTER              </t>
  </si>
  <si>
    <t xml:space="preserve">TWIN CITIES ACADEMY HIGH SCHOOL    </t>
  </si>
  <si>
    <t xml:space="preserve">BEACON PREPARATORY SCHOOL          </t>
  </si>
  <si>
    <t xml:space="preserve">ROCHESTER MATH AND SCIENCE ACADEMY </t>
  </si>
  <si>
    <t xml:space="preserve">SWAN RIVER MONTESSORI CHARTER SCH  </t>
  </si>
  <si>
    <t xml:space="preserve">MILROY AREA CHARTER SCHOOL         </t>
  </si>
  <si>
    <t xml:space="preserve">LOVEWORKS ACADEMY FOR ARTS         </t>
  </si>
  <si>
    <t xml:space="preserve">YINGHUA ACADEMY                    </t>
  </si>
  <si>
    <t xml:space="preserve">PAIDEIA ACADEMY CHARTER SCHOOL     </t>
  </si>
  <si>
    <t xml:space="preserve">STRIDE ACADEMY CHARTER SCHOOL      </t>
  </si>
  <si>
    <t xml:space="preserve">NEW MILLENNIUM ACADEMY CHARTER SCH </t>
  </si>
  <si>
    <t xml:space="preserve">GREEN ISLE COMMUNITY SCHOOL        </t>
  </si>
  <si>
    <t xml:space="preserve">BIRCH GROVE COMMUNITY SCHOOL       </t>
  </si>
  <si>
    <t xml:space="preserve">NORTHERN LIGHTS COMMUNITY SCHOOL   </t>
  </si>
  <si>
    <t xml:space="preserve">MINNESOTA ONLINE HIGH SCHOOL       </t>
  </si>
  <si>
    <t xml:space="preserve">EDVISIONS OFF CAMPUS SCHOOL        </t>
  </si>
  <si>
    <t xml:space="preserve">TWIN CITIES GERMAN IMMERSION CHRTR </t>
  </si>
  <si>
    <t xml:space="preserve">DUGSI ACADEMY                      </t>
  </si>
  <si>
    <t xml:space="preserve">NAYTAHWAUSH COMMUNITY SCHOOL       </t>
  </si>
  <si>
    <t xml:space="preserve">SEVEN HILLS CLASSICAL ACADEMY      </t>
  </si>
  <si>
    <t xml:space="preserve">SPECTRUM HIGH SCHOOL               </t>
  </si>
  <si>
    <t xml:space="preserve">NEW DISCOVERIES MONTESSORI ACADEMY </t>
  </si>
  <si>
    <t xml:space="preserve">SOUTHSIDE FAMILY CHARTER SCHOOL    </t>
  </si>
  <si>
    <t xml:space="preserve">LEARNING FOR LEADERSHIP CHARTER    </t>
  </si>
  <si>
    <t xml:space="preserve">LAURA JEFFREY ACADEMY CHARTER      </t>
  </si>
  <si>
    <t xml:space="preserve">EAST RANGE ACADEMY OF TECH-SCIENCE </t>
  </si>
  <si>
    <t>INTERNATIONAL SPANISH LANGUAGE ACAD</t>
  </si>
  <si>
    <t xml:space="preserve">GLACIAL HILLS ELEMENTARY           </t>
  </si>
  <si>
    <t xml:space="preserve">STONEBRIDGE COMMUNITY SCHOOL       </t>
  </si>
  <si>
    <t xml:space="preserve">HIAWATHA ACADEMIES                 </t>
  </si>
  <si>
    <t xml:space="preserve">NOBLE ACADEMY                      </t>
  </si>
  <si>
    <t xml:space="preserve">CLARKFIELD CHARTER SCHOOL          </t>
  </si>
  <si>
    <t xml:space="preserve">MINISINAAKWAANG LEADERSHIP ACADEMY </t>
  </si>
  <si>
    <t xml:space="preserve">LINCOLN INTERNATIONAL SCHOOL       </t>
  </si>
  <si>
    <t xml:space="preserve">COMMUNITY SCHOOL OF EXCELLENCE     </t>
  </si>
  <si>
    <t xml:space="preserve">LIONSGATE ACADEMY                  </t>
  </si>
  <si>
    <t xml:space="preserve">ASPEN ACADEMY                      </t>
  </si>
  <si>
    <t xml:space="preserve">DAVINCI ACADEMY                    </t>
  </si>
  <si>
    <t xml:space="preserve">GLOBAL ACADEMY                     </t>
  </si>
  <si>
    <t xml:space="preserve">NATURAL SCIENCE ACADEMY            </t>
  </si>
  <si>
    <t xml:space="preserve">COLOGNE ACADEMY                    </t>
  </si>
  <si>
    <t xml:space="preserve">BRIGHT WATER ELEMENTARY            </t>
  </si>
  <si>
    <t xml:space="preserve">RIVERS EDGE ACADEMY                </t>
  </si>
  <si>
    <t xml:space="preserve">KIPP MINNESOTA CHARTER SCHOOL      </t>
  </si>
  <si>
    <t xml:space="preserve">BEST ACADEMY                       </t>
  </si>
  <si>
    <t xml:space="preserve">COLLEGE PREPARATORY ELEMENTARY     </t>
  </si>
  <si>
    <t xml:space="preserve">CANNON RIVER STEM SCHOOL           </t>
  </si>
  <si>
    <t xml:space="preserve">OSHKI OGIMAAG CHARTER SCHOOL       </t>
  </si>
  <si>
    <t xml:space="preserve">DISCOVERY WOODS MONTESSORI SCHOOL  </t>
  </si>
  <si>
    <t xml:space="preserve">PARNASSUS PREPARATORY CHARTER SCH  </t>
  </si>
  <si>
    <t xml:space="preserve">STEP ACADEMY CHARTER SCHOOL        </t>
  </si>
  <si>
    <t xml:space="preserve">CORNERSTONE MONTESSORI ELEMENTARY  </t>
  </si>
  <si>
    <t xml:space="preserve">MINNEAPOLIS COLLEGE PREPARATORY    </t>
  </si>
  <si>
    <t xml:space="preserve">ROCHESTER STEM ACADEMY             </t>
  </si>
  <si>
    <t xml:space="preserve">HENNEPIN ELEMENTARY SCHOOL         </t>
  </si>
  <si>
    <t xml:space="preserve">VERMILION COUNTRY SCHOOL           </t>
  </si>
  <si>
    <t xml:space="preserve">NASHA SHKOLA CHARTER SCHOOL        </t>
  </si>
  <si>
    <t xml:space="preserve">MASTERY SCHOOL                     </t>
  </si>
  <si>
    <t xml:space="preserve">UPPER MISSISSIPPI ACADEMY          </t>
  </si>
  <si>
    <t xml:space="preserve">ARC4H ACADEMY                      </t>
  </si>
  <si>
    <t xml:space="preserve">WEST SIDE SUMMIT CHARTER SCHOOL    </t>
  </si>
  <si>
    <t xml:space="preserve">PRODEO ACADEMY                     </t>
  </si>
  <si>
    <t xml:space="preserve">WEST CONCORD PUBLIC CHARTER SCHOOL </t>
  </si>
  <si>
    <t xml:space="preserve">VENTURE ACADEMY                    </t>
  </si>
  <si>
    <t xml:space="preserve">FRESHWATER ED. DIST.               </t>
  </si>
  <si>
    <t xml:space="preserve">ZUMBRO EDUCATION DISTRICT          </t>
  </si>
  <si>
    <t xml:space="preserve">HIAWATHA VALLEY ED. DISTRICT       </t>
  </si>
  <si>
    <t xml:space="preserve">RUNESTONE AREA ED. DISTRICT        </t>
  </si>
  <si>
    <t xml:space="preserve">MN RIVER VALLEY EDUCATION DISTRICT </t>
  </si>
  <si>
    <t xml:space="preserve">WEST CENTRAL EDUCATION DISTRICT    </t>
  </si>
  <si>
    <t xml:space="preserve">MN VALLEY EDUCATION DISTRICT       </t>
  </si>
  <si>
    <t xml:space="preserve">RIVER BEND EDUCATION DISTRICT      </t>
  </si>
  <si>
    <t xml:space="preserve">GOODHUE COUNTY EDUCATION DISTRICT  </t>
  </si>
  <si>
    <t xml:space="preserve">EAST METRO INTEGRATION DISTRICT    </t>
  </si>
  <si>
    <t xml:space="preserve">WEST METRO EDUCATION PROGRAM       </t>
  </si>
  <si>
    <t xml:space="preserve">VALLEY CROSSING COMMUNITY SCHOOL   </t>
  </si>
  <si>
    <t xml:space="preserve">NORTHLAND LEARNING CENTER          </t>
  </si>
  <si>
    <t xml:space="preserve">RUM RIVER SPECIAL EDUCATION COOP   </t>
  </si>
  <si>
    <t xml:space="preserve">SOUTHWEST METRO EDUCATIONAL COOP   </t>
  </si>
  <si>
    <t xml:space="preserve">BENTON-STEARNS ED. DISTRICT        </t>
  </si>
  <si>
    <t xml:space="preserve">MID STATE EDUCATION DISTRICT       </t>
  </si>
  <si>
    <t xml:space="preserve">LITERACY ACTION NETWORK            </t>
  </si>
  <si>
    <t xml:space="preserve"> DIST TYPE</t>
  </si>
  <si>
    <t>DIST NUMBER</t>
  </si>
  <si>
    <t>dist</t>
  </si>
  <si>
    <t>charters</t>
  </si>
  <si>
    <t>other</t>
  </si>
  <si>
    <t>TOTALS</t>
  </si>
  <si>
    <t>Change by Pay Period Beginning October 15 2013:  Sept 30 Entitlement estimates at 90% vs Sept 30 entitlement estimates at 86.4%</t>
  </si>
  <si>
    <t>FY 2014 Projected Property Tax Shift with Aid Reduction</t>
  </si>
  <si>
    <t>MDE, School Finance</t>
  </si>
  <si>
    <t>Based on End Of Session 2013 Forecast with October Referendum Data Updates</t>
  </si>
  <si>
    <t xml:space="preserve"> </t>
  </si>
  <si>
    <t>Amount of Tax Shift Payback @ 23.1%</t>
  </si>
  <si>
    <t>Projected 6/20/2014 Tax Shift Payback</t>
  </si>
  <si>
    <t xml:space="preserve">Remaining Amount Payable 6/20/15 </t>
  </si>
  <si>
    <t>Shift with Aid Reduction</t>
  </si>
  <si>
    <t>Net Change</t>
  </si>
  <si>
    <t>State Total</t>
  </si>
  <si>
    <t xml:space="preserve">AITKIN          </t>
  </si>
  <si>
    <t xml:space="preserve">MINNEAPOLIS     </t>
  </si>
  <si>
    <t xml:space="preserve">HILL CITY       </t>
  </si>
  <si>
    <t xml:space="preserve">MCGREGOR        </t>
  </si>
  <si>
    <t xml:space="preserve">SOUTH ST. PAUL  </t>
  </si>
  <si>
    <t xml:space="preserve">ANOKA-HENNEPIN  </t>
  </si>
  <si>
    <t xml:space="preserve">CENTENNIAL      </t>
  </si>
  <si>
    <t>COLUMBIA HEIGHTS</t>
  </si>
  <si>
    <t xml:space="preserve">FRIDLEY         </t>
  </si>
  <si>
    <t xml:space="preserve">ST. FRANCIS     </t>
  </si>
  <si>
    <t>SPRING LAKE PARK</t>
  </si>
  <si>
    <t xml:space="preserve">DETROIT LAKES   </t>
  </si>
  <si>
    <t xml:space="preserve">FRAZEE-VERGAS   </t>
  </si>
  <si>
    <t>PINE POINT</t>
  </si>
  <si>
    <t xml:space="preserve">BEMIDJI         </t>
  </si>
  <si>
    <t xml:space="preserve">BLACKDUCK       </t>
  </si>
  <si>
    <t xml:space="preserve">KELLIHER        </t>
  </si>
  <si>
    <t xml:space="preserve">RED LAKE        </t>
  </si>
  <si>
    <t xml:space="preserve">SAUK RAPIDS     </t>
  </si>
  <si>
    <t xml:space="preserve">FOLEY           </t>
  </si>
  <si>
    <t xml:space="preserve">ST. CLAIR       </t>
  </si>
  <si>
    <t xml:space="preserve">MANKATO         </t>
  </si>
  <si>
    <t xml:space="preserve">COMFREY         </t>
  </si>
  <si>
    <t xml:space="preserve">SLEEPY EYE      </t>
  </si>
  <si>
    <t xml:space="preserve">SPRINGFIELD     </t>
  </si>
  <si>
    <t xml:space="preserve">NEW ULM         </t>
  </si>
  <si>
    <t xml:space="preserve">BARNUM          </t>
  </si>
  <si>
    <t xml:space="preserve">CARLTON         </t>
  </si>
  <si>
    <t xml:space="preserve">CLOQUET         </t>
  </si>
  <si>
    <t xml:space="preserve">CROMWELL-WRIGHT </t>
  </si>
  <si>
    <t xml:space="preserve">MOOSE LAKE      </t>
  </si>
  <si>
    <t xml:space="preserve">ESKO            </t>
  </si>
  <si>
    <t xml:space="preserve">WRENSHALL       </t>
  </si>
  <si>
    <t xml:space="preserve">NORWOOD         </t>
  </si>
  <si>
    <t xml:space="preserve">WACONIA         </t>
  </si>
  <si>
    <t xml:space="preserve">WATERTOWN-MAYER </t>
  </si>
  <si>
    <t xml:space="preserve">CHASKA          </t>
  </si>
  <si>
    <t>WALKER-HACKENSAC</t>
  </si>
  <si>
    <t>CASS LAKE-BENA S</t>
  </si>
  <si>
    <t xml:space="preserve">PILLAGER        </t>
  </si>
  <si>
    <t>NORTHLAND COMMUN</t>
  </si>
  <si>
    <t xml:space="preserve">MONTEVIDEO      </t>
  </si>
  <si>
    <t xml:space="preserve">NORTH BRANCH    </t>
  </si>
  <si>
    <t xml:space="preserve">RUSH CITY       </t>
  </si>
  <si>
    <t xml:space="preserve">BARNESVILLE     </t>
  </si>
  <si>
    <t xml:space="preserve">HAWLEY          </t>
  </si>
  <si>
    <t xml:space="preserve">MOORHEAD        </t>
  </si>
  <si>
    <t xml:space="preserve">BAGLEY          </t>
  </si>
  <si>
    <t xml:space="preserve">COOK COUNTY     </t>
  </si>
  <si>
    <t xml:space="preserve">MOUNTAIN LAKE   </t>
  </si>
  <si>
    <t xml:space="preserve">WINDOM          </t>
  </si>
  <si>
    <t xml:space="preserve">BRAINERD        </t>
  </si>
  <si>
    <t xml:space="preserve">CROSBY-IRONTON  </t>
  </si>
  <si>
    <t xml:space="preserve">PEQUOT LAKES    </t>
  </si>
  <si>
    <t xml:space="preserve">BURNSVILLE      </t>
  </si>
  <si>
    <t xml:space="preserve">FARMINGTON      </t>
  </si>
  <si>
    <t xml:space="preserve">LAKEVILLE       </t>
  </si>
  <si>
    <t xml:space="preserve">RANDOLPH        </t>
  </si>
  <si>
    <t xml:space="preserve">ROSEMOUNT-APPLE </t>
  </si>
  <si>
    <t>WEST ST. PAUL-ME</t>
  </si>
  <si>
    <t>INVER GROVE HEIG</t>
  </si>
  <si>
    <t xml:space="preserve">HASTINGS        </t>
  </si>
  <si>
    <t xml:space="preserve">HAYFIELD        </t>
  </si>
  <si>
    <t>KASSON-MANTORVIL</t>
  </si>
  <si>
    <t xml:space="preserve">ALEXANDRIA      </t>
  </si>
  <si>
    <t xml:space="preserve">BRANDON         </t>
  </si>
  <si>
    <t xml:space="preserve">EVANSVILLE      </t>
  </si>
  <si>
    <t xml:space="preserve">OSAKIS          </t>
  </si>
  <si>
    <t xml:space="preserve">CHATFIELD       </t>
  </si>
  <si>
    <t xml:space="preserve">LANESBORO       </t>
  </si>
  <si>
    <t xml:space="preserve">MABEL-CANTON    </t>
  </si>
  <si>
    <t>RUSHFORD-PETERSO</t>
  </si>
  <si>
    <t xml:space="preserve">ALBERT LEA      </t>
  </si>
  <si>
    <t xml:space="preserve">ALDEN           </t>
  </si>
  <si>
    <t xml:space="preserve">CANNON FALLS    </t>
  </si>
  <si>
    <t xml:space="preserve">GOODHUE         </t>
  </si>
  <si>
    <t xml:space="preserve">PINE ISLAND     </t>
  </si>
  <si>
    <t xml:space="preserve">RED WING        </t>
  </si>
  <si>
    <t xml:space="preserve">ASHBY           </t>
  </si>
  <si>
    <t xml:space="preserve">HERMAN-NORCROSS </t>
  </si>
  <si>
    <t xml:space="preserve">HOPKINS         </t>
  </si>
  <si>
    <t xml:space="preserve">BLOOMINGTON     </t>
  </si>
  <si>
    <t xml:space="preserve">EDEN PRAIRIE    </t>
  </si>
  <si>
    <t xml:space="preserve">EDINA           </t>
  </si>
  <si>
    <t xml:space="preserve">MINNETONKA      </t>
  </si>
  <si>
    <t xml:space="preserve">WESTONKA        </t>
  </si>
  <si>
    <t xml:space="preserve">ORONO           </t>
  </si>
  <si>
    <t xml:space="preserve">OSSEO           </t>
  </si>
  <si>
    <t xml:space="preserve">RICHFIELD       </t>
  </si>
  <si>
    <t xml:space="preserve">ROBBINSDALE     </t>
  </si>
  <si>
    <t xml:space="preserve">ST. ANTHONY-NEW </t>
  </si>
  <si>
    <t xml:space="preserve">ST. LOUIS PARK  </t>
  </si>
  <si>
    <t xml:space="preserve">WAYZATA         </t>
  </si>
  <si>
    <t xml:space="preserve">BROOKLYN CENTER </t>
  </si>
  <si>
    <t xml:space="preserve">HOUSTON         </t>
  </si>
  <si>
    <t xml:space="preserve">SPRING GROVE    </t>
  </si>
  <si>
    <t xml:space="preserve">CALEDONIA       </t>
  </si>
  <si>
    <t>LACRESCENT-HOKAH</t>
  </si>
  <si>
    <t xml:space="preserve">LAPORTE         </t>
  </si>
  <si>
    <t xml:space="preserve">NEVIS           </t>
  </si>
  <si>
    <t xml:space="preserve">PARK RAPIDS     </t>
  </si>
  <si>
    <t xml:space="preserve">BRAHAM          </t>
  </si>
  <si>
    <t xml:space="preserve">GREENWAY        </t>
  </si>
  <si>
    <t xml:space="preserve">DEER RIVER      </t>
  </si>
  <si>
    <t xml:space="preserve">GRAND RAPIDS    </t>
  </si>
  <si>
    <t>NASHWAUK-KEEWATI</t>
  </si>
  <si>
    <t xml:space="preserve">FRANCONIA       </t>
  </si>
  <si>
    <t>HERON LAKE-OKABE</t>
  </si>
  <si>
    <t xml:space="preserve">MORA            </t>
  </si>
  <si>
    <t xml:space="preserve">OGILVIE         </t>
  </si>
  <si>
    <t>NEW LONDON-SPICE</t>
  </si>
  <si>
    <t xml:space="preserve">WILLMAR         </t>
  </si>
  <si>
    <t xml:space="preserve">LANCASTER       </t>
  </si>
  <si>
    <t>INTERNATIONAL FA</t>
  </si>
  <si>
    <t>LITTLEFORK-BIG F</t>
  </si>
  <si>
    <t>SOUTH KOOCHICHIN</t>
  </si>
  <si>
    <t xml:space="preserve">DAWSON-BOYD     </t>
  </si>
  <si>
    <t xml:space="preserve">LAKE SUPERIOR   </t>
  </si>
  <si>
    <t>LAKE OF THE WOOD</t>
  </si>
  <si>
    <t>CLEVELAND PUBLIC</t>
  </si>
  <si>
    <t xml:space="preserve">HENDRICKS       </t>
  </si>
  <si>
    <t xml:space="preserve">IVANHOE         </t>
  </si>
  <si>
    <t xml:space="preserve">LAKE BENTON     </t>
  </si>
  <si>
    <t xml:space="preserve">MARSHALL        </t>
  </si>
  <si>
    <t xml:space="preserve">MINNEOTA        </t>
  </si>
  <si>
    <t xml:space="preserve">LYND            </t>
  </si>
  <si>
    <t xml:space="preserve">HUTCHINSON      </t>
  </si>
  <si>
    <t xml:space="preserve">LESTER PRAIRIE  </t>
  </si>
  <si>
    <t xml:space="preserve">MAHNOMEN        </t>
  </si>
  <si>
    <t xml:space="preserve">WAUBUN          </t>
  </si>
  <si>
    <t xml:space="preserve">MARSHALL COUNTY </t>
  </si>
  <si>
    <t xml:space="preserve">GRYGLA          </t>
  </si>
  <si>
    <t xml:space="preserve">TRUMAN          </t>
  </si>
  <si>
    <t>EDEN VALLEY-WATK</t>
  </si>
  <si>
    <t xml:space="preserve">LITCHFIELD      </t>
  </si>
  <si>
    <t xml:space="preserve">DASSEL-COKATO   </t>
  </si>
  <si>
    <t xml:space="preserve">ISLE            </t>
  </si>
  <si>
    <t xml:space="preserve">PRINCETON       </t>
  </si>
  <si>
    <t xml:space="preserve">ONAMIA          </t>
  </si>
  <si>
    <t xml:space="preserve">LITTLE FALLS    </t>
  </si>
  <si>
    <t xml:space="preserve">PIERZ           </t>
  </si>
  <si>
    <t xml:space="preserve">ROYALTON        </t>
  </si>
  <si>
    <t xml:space="preserve">SWANVILLE       </t>
  </si>
  <si>
    <t xml:space="preserve">UPSALA          </t>
  </si>
  <si>
    <t xml:space="preserve">AUSTIN          </t>
  </si>
  <si>
    <t xml:space="preserve">GRAND MEADOW    </t>
  </si>
  <si>
    <t xml:space="preserve">LYLE            </t>
  </si>
  <si>
    <t xml:space="preserve">LEROY           </t>
  </si>
  <si>
    <t xml:space="preserve">SOUTHLAND       </t>
  </si>
  <si>
    <t xml:space="preserve">FULDA           </t>
  </si>
  <si>
    <t xml:space="preserve">NICOLLET        </t>
  </si>
  <si>
    <t xml:space="preserve">ST. PETER       </t>
  </si>
  <si>
    <t xml:space="preserve">ADRIAN          </t>
  </si>
  <si>
    <t xml:space="preserve">BREWSTER        </t>
  </si>
  <si>
    <t xml:space="preserve">ELLSWORTH       </t>
  </si>
  <si>
    <t xml:space="preserve">ROUND LAKE      </t>
  </si>
  <si>
    <t xml:space="preserve">WORTHINGTON     </t>
  </si>
  <si>
    <t xml:space="preserve">BYRON           </t>
  </si>
  <si>
    <t xml:space="preserve">DOVER-EYOTA     </t>
  </si>
  <si>
    <t xml:space="preserve">STEWARTVILLE    </t>
  </si>
  <si>
    <t xml:space="preserve">ROCHESTER       </t>
  </si>
  <si>
    <t xml:space="preserve">BATTLE LAKE     </t>
  </si>
  <si>
    <t xml:space="preserve">FERGUS FALLS    </t>
  </si>
  <si>
    <t xml:space="preserve">HENNING         </t>
  </si>
  <si>
    <t xml:space="preserve">PARKERS PRAIRIE </t>
  </si>
  <si>
    <t xml:space="preserve">PELICAN RAPIDS  </t>
  </si>
  <si>
    <t xml:space="preserve">PERHAM          </t>
  </si>
  <si>
    <t xml:space="preserve">UNDERWOOD       </t>
  </si>
  <si>
    <t xml:space="preserve">NEW YORK MILLS  </t>
  </si>
  <si>
    <t xml:space="preserve">GOODRIDGE       </t>
  </si>
  <si>
    <t>THIEF RIVER FALL</t>
  </si>
  <si>
    <t xml:space="preserve">WILLOW RIVER    </t>
  </si>
  <si>
    <t xml:space="preserve">PINE CITY       </t>
  </si>
  <si>
    <t xml:space="preserve">EDGERTON        </t>
  </si>
  <si>
    <t xml:space="preserve">CLIMAX          </t>
  </si>
  <si>
    <t xml:space="preserve">CROOKSTON       </t>
  </si>
  <si>
    <t>EAST GRAND FORKS</t>
  </si>
  <si>
    <t>FERTILE-BELTRAMI</t>
  </si>
  <si>
    <t xml:space="preserve">FISHER          </t>
  </si>
  <si>
    <t xml:space="preserve">FOSSTON         </t>
  </si>
  <si>
    <t xml:space="preserve">CYRUS           </t>
  </si>
  <si>
    <t xml:space="preserve">MOUNDS VIEW     </t>
  </si>
  <si>
    <t>NORTH ST PAUL-MA</t>
  </si>
  <si>
    <t xml:space="preserve">ROSEVILLE       </t>
  </si>
  <si>
    <t xml:space="preserve">WHITE BEAR LAKE </t>
  </si>
  <si>
    <t xml:space="preserve">ST. PAUL        </t>
  </si>
  <si>
    <t xml:space="preserve">OKLEE           </t>
  </si>
  <si>
    <t xml:space="preserve">PLUMMER         </t>
  </si>
  <si>
    <t xml:space="preserve">RED LAKE FALLS  </t>
  </si>
  <si>
    <t xml:space="preserve">MILROY          </t>
  </si>
  <si>
    <t xml:space="preserve">WABASSO         </t>
  </si>
  <si>
    <t xml:space="preserve">FARIBAULT       </t>
  </si>
  <si>
    <t xml:space="preserve">NORTHFIELD      </t>
  </si>
  <si>
    <t>HILLS-BEAVER CRE</t>
  </si>
  <si>
    <t xml:space="preserve">BADGER          </t>
  </si>
  <si>
    <t xml:space="preserve">ROSEAU          </t>
  </si>
  <si>
    <t xml:space="preserve">WARROAD         </t>
  </si>
  <si>
    <t xml:space="preserve">CHISHOLM        </t>
  </si>
  <si>
    <t xml:space="preserve">ELY             </t>
  </si>
  <si>
    <t xml:space="preserve">FLOODWOOD       </t>
  </si>
  <si>
    <t xml:space="preserve">HERMANTOWN      </t>
  </si>
  <si>
    <t xml:space="preserve">HIBBING         </t>
  </si>
  <si>
    <t xml:space="preserve">PROCTOR         </t>
  </si>
  <si>
    <t xml:space="preserve">VIRGINIA        </t>
  </si>
  <si>
    <t xml:space="preserve">NETT LAKE       </t>
  </si>
  <si>
    <t xml:space="preserve">DULUTH          </t>
  </si>
  <si>
    <t>MOUNTAIN IRON-BU</t>
  </si>
  <si>
    <t xml:space="preserve">BELLE PLAINE    </t>
  </si>
  <si>
    <t xml:space="preserve">JORDAN          </t>
  </si>
  <si>
    <t xml:space="preserve">PRIOR LAKE      </t>
  </si>
  <si>
    <t xml:space="preserve">SHAKOPEE        </t>
  </si>
  <si>
    <t xml:space="preserve">NEW PRAGUE AREA </t>
  </si>
  <si>
    <t xml:space="preserve">BECKER          </t>
  </si>
  <si>
    <t xml:space="preserve">BIG LAKE        </t>
  </si>
  <si>
    <t xml:space="preserve">ELK RIVER       </t>
  </si>
  <si>
    <t xml:space="preserve">HOLDINGFORD     </t>
  </si>
  <si>
    <t xml:space="preserve">KIMBALL         </t>
  </si>
  <si>
    <t xml:space="preserve">MELROSE         </t>
  </si>
  <si>
    <t xml:space="preserve">PAYNESVILLE     </t>
  </si>
  <si>
    <t xml:space="preserve">ST. CLOUD       </t>
  </si>
  <si>
    <t xml:space="preserve">SAUK CENTRE     </t>
  </si>
  <si>
    <t xml:space="preserve">ALBANY          </t>
  </si>
  <si>
    <t xml:space="preserve">SARTELL         </t>
  </si>
  <si>
    <t xml:space="preserve">ROCORI          </t>
  </si>
  <si>
    <t>BLOOMING PRAIRIE</t>
  </si>
  <si>
    <t xml:space="preserve">OWATONNA        </t>
  </si>
  <si>
    <t xml:space="preserve">MEDFORD         </t>
  </si>
  <si>
    <t xml:space="preserve">HANCOCK         </t>
  </si>
  <si>
    <t xml:space="preserve">MORRIS          </t>
  </si>
  <si>
    <t xml:space="preserve">CHOKIO-ALBERTA  </t>
  </si>
  <si>
    <t>KERKHOVEN-MURDOC</t>
  </si>
  <si>
    <t xml:space="preserve">BENSON          </t>
  </si>
  <si>
    <t xml:space="preserve">BERTHA-HEWITT   </t>
  </si>
  <si>
    <t xml:space="preserve">BROWERVILLE     </t>
  </si>
  <si>
    <t xml:space="preserve">BROWNS VALLEY   </t>
  </si>
  <si>
    <t>WHEATON AREA SCH</t>
  </si>
  <si>
    <t xml:space="preserve">WABASHA-KELLOGG </t>
  </si>
  <si>
    <t xml:space="preserve">LAKE CITY       </t>
  </si>
  <si>
    <t xml:space="preserve">PRINSBURG       </t>
  </si>
  <si>
    <t xml:space="preserve">VERNDALE        </t>
  </si>
  <si>
    <t xml:space="preserve">SEBEKA          </t>
  </si>
  <si>
    <t xml:space="preserve">MENAHGA         </t>
  </si>
  <si>
    <t xml:space="preserve">WASECA          </t>
  </si>
  <si>
    <t xml:space="preserve">FOREST LAKE     </t>
  </si>
  <si>
    <t xml:space="preserve">MAHTOMEDI       </t>
  </si>
  <si>
    <t>SOUTH WASHINGTON</t>
  </si>
  <si>
    <t xml:space="preserve">STILLWATER      </t>
  </si>
  <si>
    <t xml:space="preserve">BUTTERFIELD     </t>
  </si>
  <si>
    <t xml:space="preserve">MADELIA         </t>
  </si>
  <si>
    <t xml:space="preserve">ST. JAMES       </t>
  </si>
  <si>
    <t xml:space="preserve">BRECKENRIDGE    </t>
  </si>
  <si>
    <t xml:space="preserve">ROTHSAY         </t>
  </si>
  <si>
    <t xml:space="preserve">CAMPBELL-TINTAH </t>
  </si>
  <si>
    <t xml:space="preserve">LEWISTON-ALTURA </t>
  </si>
  <si>
    <t xml:space="preserve">ST. CHARLES     </t>
  </si>
  <si>
    <t>WINONA AREA PUBL</t>
  </si>
  <si>
    <t xml:space="preserve">ANNANDALE       </t>
  </si>
  <si>
    <t xml:space="preserve">BUFFALO         </t>
  </si>
  <si>
    <t xml:space="preserve">DELANO          </t>
  </si>
  <si>
    <t xml:space="preserve">MAPLE LAKE      </t>
  </si>
  <si>
    <t xml:space="preserve">MONTICELLO      </t>
  </si>
  <si>
    <t xml:space="preserve">ROCKFORD        </t>
  </si>
  <si>
    <t>ST. MICHAEL-ALBE</t>
  </si>
  <si>
    <t xml:space="preserve">CANBY           </t>
  </si>
  <si>
    <t>CAMBRIDGE-ISANTI</t>
  </si>
  <si>
    <t xml:space="preserve">MILACA          </t>
  </si>
  <si>
    <t xml:space="preserve">ULEN-HITTERDAL  </t>
  </si>
  <si>
    <t>LAKE CRYSTAL-WEL</t>
  </si>
  <si>
    <t xml:space="preserve">TRITON          </t>
  </si>
  <si>
    <t>UNITED SOUTH CEN</t>
  </si>
  <si>
    <t xml:space="preserve">MAPLE RIVER     </t>
  </si>
  <si>
    <t xml:space="preserve">KINGSLAND       </t>
  </si>
  <si>
    <t>ST. LOUIS COUNTY</t>
  </si>
  <si>
    <t>WATERVILLE-ELYSI</t>
  </si>
  <si>
    <t xml:space="preserve">CHISAGO LAKES   </t>
  </si>
  <si>
    <t xml:space="preserve">MINNEWASKA      </t>
  </si>
  <si>
    <t xml:space="preserve">EVELETH-GILBERT </t>
  </si>
  <si>
    <t>WADENA-DEER CREE</t>
  </si>
  <si>
    <t>BUFFALO LAKE-HEC</t>
  </si>
  <si>
    <t>DILWORTH-GLYNDON</t>
  </si>
  <si>
    <t>HINCKLEY-FINLAYS</t>
  </si>
  <si>
    <t xml:space="preserve">LAKEVIEW        </t>
  </si>
  <si>
    <t xml:space="preserve">N.R.H.E.G.      </t>
  </si>
  <si>
    <t>MURRAY COUNTY CE</t>
  </si>
  <si>
    <t xml:space="preserve">STAPLES-MOTLEY  </t>
  </si>
  <si>
    <t xml:space="preserve">KITTSON CENTRAL </t>
  </si>
  <si>
    <t>KENYON-WANAMINGO</t>
  </si>
  <si>
    <t>PINE RIVER-BACKU</t>
  </si>
  <si>
    <t>WARREN-ALVARADO-</t>
  </si>
  <si>
    <t xml:space="preserve">M.A.C.C.R.A.Y.  </t>
  </si>
  <si>
    <t xml:space="preserve">LUVERNE         </t>
  </si>
  <si>
    <t xml:space="preserve">YELLOW MEDICINE </t>
  </si>
  <si>
    <t>FILLMORE CENTRAL</t>
  </si>
  <si>
    <t>NORMAN COUNTY EA</t>
  </si>
  <si>
    <t xml:space="preserve">SIBLEY EAST     </t>
  </si>
  <si>
    <t>CLEARBROOK-GONVI</t>
  </si>
  <si>
    <t>WEST CENTRAL ARE</t>
  </si>
  <si>
    <t xml:space="preserve">TRI-COUNTY      </t>
  </si>
  <si>
    <t>BELGRADE-BROOTEN</t>
  </si>
  <si>
    <t xml:space="preserve">G.F.W.          </t>
  </si>
  <si>
    <t xml:space="preserve">A.C.G.C.        </t>
  </si>
  <si>
    <t>LESUEUR-HENDERSO</t>
  </si>
  <si>
    <t>MARTIN COUNTY WE</t>
  </si>
  <si>
    <t>NORMAN COUNTY WE</t>
  </si>
  <si>
    <t>BIRD ISLAND-OLIV</t>
  </si>
  <si>
    <t>GRANADA HUNTLEY-</t>
  </si>
  <si>
    <t xml:space="preserve">EAST CENTRAL    </t>
  </si>
  <si>
    <t xml:space="preserve">WIN-E-MAC       </t>
  </si>
  <si>
    <t>GREENBUSH-MIDDLE</t>
  </si>
  <si>
    <t>HOWARD LAKE-WAVE</t>
  </si>
  <si>
    <t>PIPESTONE AREA S</t>
  </si>
  <si>
    <t xml:space="preserve">MESABI EAST     </t>
  </si>
  <si>
    <t>FAIRMONT AREA SC</t>
  </si>
  <si>
    <t>LONG PRAIRIE-GRE</t>
  </si>
  <si>
    <t xml:space="preserve">CEDAR MOUNTAIN  </t>
  </si>
  <si>
    <t>EAGLE VALLEY PUB</t>
  </si>
  <si>
    <t>ZUMBROTA-MAZEPPA</t>
  </si>
  <si>
    <t>JANESVILLE-WALDO</t>
  </si>
  <si>
    <t>LAC QUI PARLE VA</t>
  </si>
  <si>
    <t xml:space="preserve">ADA-BORUP       </t>
  </si>
  <si>
    <t>STEPHEN-ARGYLE C</t>
  </si>
  <si>
    <t>GLENCOE-SILVER L</t>
  </si>
  <si>
    <t xml:space="preserve">BLUE EARTH AREA </t>
  </si>
  <si>
    <t>RED ROCK CENTRAL</t>
  </si>
  <si>
    <t>GLENVILLE-EMMONS</t>
  </si>
  <si>
    <t>CLINTON-GRACEVIL</t>
  </si>
  <si>
    <t>LAKE PARK AUDUBO</t>
  </si>
  <si>
    <t xml:space="preserve">RENVILLE COUNTY </t>
  </si>
  <si>
    <t>JACKSON COUNTY C</t>
  </si>
  <si>
    <t>REDWOOD AREA SCH</t>
  </si>
  <si>
    <t>WESTBROOK-WALNUT</t>
  </si>
  <si>
    <t>PLAINVIEW-ELGIN-MILLV</t>
  </si>
  <si>
    <t>RTR</t>
  </si>
  <si>
    <t>ORTONVILLE-BELLINGHAM</t>
  </si>
  <si>
    <t>TRACY AREA</t>
  </si>
  <si>
    <t>TRI-CITY UNITED</t>
  </si>
  <si>
    <t xml:space="preserve"> JUNE 20                                            </t>
  </si>
  <si>
    <t>PAYMENT SCHEDULE CHANGE ONLY</t>
  </si>
  <si>
    <t>July 1 to June 20 Total, pay sched change</t>
  </si>
  <si>
    <t>JUNE 20 TAX SHIFT CHANGE FROM 48.6% TO 23.1%</t>
  </si>
  <si>
    <t>COMBINED TOTAL, PAY SCHED &amp; TAX SHIFT</t>
  </si>
  <si>
    <t>COMBINED TOTAL</t>
  </si>
  <si>
    <t>TAX SHIFT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</si>
</sst>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5" formatCode="&quot;$&quot;#,##0_);\(&quot;$&quot;#,##0\)"/>
    <numFmt numFmtId="43" formatCode="_(* #,##0.00_);_(* \(#,##0.00\);_(* &quot;-&quot;??_);_(@_)"/>
    <numFmt numFmtId="164" formatCode="_(* #,##0_);_(* \(#,##0\);_(* &quot;-&quot;??_);_(@_)"/>
    <numFmt numFmtId="165" formatCode="0_);\(0\)"/>
    <numFmt numFmtId="166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.5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39" fontId="18" fillId="0" borderId="0"/>
    <xf numFmtId="9" fontId="18" fillId="0" borderId="0" applyFont="0" applyFill="0" applyBorder="0" applyAlignment="0" applyProtection="0"/>
    <xf numFmtId="39" fontId="20" fillId="0" borderId="0"/>
    <xf numFmtId="0" fontId="1" fillId="0" borderId="0"/>
  </cellStyleXfs>
  <cellXfs count="35">
    <xf numFmtId="0" fontId="0" fillId="0" borderId="0" xfId="0"/>
    <xf numFmtId="43" fontId="0" fillId="0" borderId="0" xfId="1" applyFont="1"/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43" fontId="16" fillId="0" borderId="11" xfId="1" applyFont="1" applyBorder="1" applyAlignment="1">
      <alignment wrapText="1"/>
    </xf>
    <xf numFmtId="164" fontId="0" fillId="0" borderId="0" xfId="1" applyNumberFormat="1" applyFont="1"/>
    <xf numFmtId="164" fontId="16" fillId="0" borderId="11" xfId="1" applyNumberFormat="1" applyFont="1" applyBorder="1" applyAlignment="1">
      <alignment wrapText="1"/>
    </xf>
    <xf numFmtId="164" fontId="16" fillId="0" borderId="0" xfId="1" applyNumberFormat="1" applyFont="1"/>
    <xf numFmtId="164" fontId="16" fillId="0" borderId="0" xfId="1" applyNumberFormat="1" applyFont="1" applyAlignment="1">
      <alignment wrapText="1"/>
    </xf>
    <xf numFmtId="165" fontId="19" fillId="0" borderId="0" xfId="43" applyNumberFormat="1" applyFont="1"/>
    <xf numFmtId="165" fontId="18" fillId="0" borderId="0" xfId="43" applyNumberFormat="1" applyFont="1"/>
    <xf numFmtId="39" fontId="18" fillId="0" borderId="0" xfId="43" applyFont="1"/>
    <xf numFmtId="39" fontId="18" fillId="0" borderId="0" xfId="43" applyFont="1" applyAlignment="1">
      <alignment horizontal="right"/>
    </xf>
    <xf numFmtId="14" fontId="18" fillId="0" borderId="0" xfId="43" applyNumberFormat="1" applyFont="1" applyAlignment="1">
      <alignment horizontal="right"/>
    </xf>
    <xf numFmtId="5" fontId="18" fillId="0" borderId="0" xfId="43" applyNumberFormat="1" applyFill="1"/>
    <xf numFmtId="37" fontId="18" fillId="0" borderId="0" xfId="43" applyNumberFormat="1" applyFont="1"/>
    <xf numFmtId="166" fontId="18" fillId="0" borderId="0" xfId="43" applyNumberFormat="1" applyFont="1" applyAlignment="1">
      <alignment wrapText="1"/>
    </xf>
    <xf numFmtId="166" fontId="18" fillId="0" borderId="0" xfId="43" applyNumberFormat="1" applyFont="1"/>
    <xf numFmtId="165" fontId="18" fillId="0" borderId="0" xfId="43" applyNumberFormat="1" applyFont="1" applyAlignment="1">
      <alignment horizontal="center" wrapText="1"/>
    </xf>
    <xf numFmtId="39" fontId="18" fillId="0" borderId="0" xfId="43" applyFont="1" applyAlignment="1">
      <alignment horizontal="center" wrapText="1"/>
    </xf>
    <xf numFmtId="166" fontId="18" fillId="0" borderId="0" xfId="44" applyNumberFormat="1" applyFont="1" applyAlignment="1">
      <alignment horizontal="center" wrapText="1"/>
    </xf>
    <xf numFmtId="43" fontId="18" fillId="0" borderId="0" xfId="43" applyNumberFormat="1" applyFont="1" applyFill="1"/>
    <xf numFmtId="43" fontId="18" fillId="0" borderId="0" xfId="43" applyNumberFormat="1" applyFont="1"/>
    <xf numFmtId="164" fontId="16" fillId="0" borderId="0" xfId="1" applyNumberFormat="1" applyFont="1" applyBorder="1" applyAlignment="1">
      <alignment wrapText="1"/>
    </xf>
    <xf numFmtId="164" fontId="0" fillId="0" borderId="10" xfId="1" applyNumberFormat="1" applyFont="1" applyBorder="1"/>
    <xf numFmtId="164" fontId="0" fillId="0" borderId="11" xfId="1" applyNumberFormat="1" applyFont="1" applyBorder="1"/>
    <xf numFmtId="164" fontId="21" fillId="0" borderId="11" xfId="1" applyNumberFormat="1" applyFont="1" applyBorder="1"/>
    <xf numFmtId="164" fontId="0" fillId="0" borderId="12" xfId="1" applyNumberFormat="1" applyFont="1" applyBorder="1"/>
    <xf numFmtId="164" fontId="16" fillId="0" borderId="13" xfId="1" applyNumberFormat="1" applyFont="1" applyBorder="1" applyAlignment="1">
      <alignment wrapText="1"/>
    </xf>
    <xf numFmtId="164" fontId="21" fillId="0" borderId="13" xfId="1" applyNumberFormat="1" applyFont="1" applyBorder="1" applyAlignment="1">
      <alignment wrapText="1"/>
    </xf>
    <xf numFmtId="39" fontId="18" fillId="0" borderId="13" xfId="43" applyFont="1" applyBorder="1" applyAlignment="1">
      <alignment horizontal="center" wrapText="1"/>
    </xf>
    <xf numFmtId="164" fontId="0" fillId="0" borderId="13" xfId="1" applyNumberFormat="1" applyFont="1" applyBorder="1"/>
    <xf numFmtId="39" fontId="19" fillId="0" borderId="0" xfId="43" applyFont="1" applyAlignment="1">
      <alignment horizont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/>
    <cellStyle name="Normal 3" xfId="45"/>
    <cellStyle name="Normal 4" xfId="46"/>
    <cellStyle name="Note" xfId="16" builtinId="10" customBuiltin="1"/>
    <cellStyle name="Output" xfId="11" builtinId="21" customBuiltin="1"/>
    <cellStyle name="Percent 2" xfId="44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MM\AppData\Local\Microsoft\Windows\Temporary%20Internet%20Files\Content.Outlook\QN3L21AC\Referendum%20existing%20renewals%20increases%2020131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 #3 (3)"/>
      <sheetName val="Report #3 (2)"/>
      <sheetName val="Report #1"/>
      <sheetName val="Report #2"/>
      <sheetName val="Report #3"/>
      <sheetName val="Report #4"/>
      <sheetName val="Report #5 renewals"/>
      <sheetName val="Simulation"/>
      <sheetName val="Pupil Units"/>
      <sheetName val="Dates"/>
      <sheetName val="Four Options"/>
      <sheetName val="Board-approved"/>
      <sheetName val="Inputs"/>
      <sheetName val="Outputs"/>
      <sheetName val="Essentials"/>
      <sheetName val="New Elections"/>
      <sheetName val="Proje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>
            <v>2908</v>
          </cell>
          <cell r="C1" t="str">
            <v>BRANDON-EVANSVILLE PUBLIC SCHOOLS #2908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49"/>
  <sheetViews>
    <sheetView workbookViewId="0">
      <pane xSplit="3" ySplit="13" topLeftCell="D14" activePane="bottomRight" state="frozen"/>
      <selection activeCell="F41" sqref="F41"/>
      <selection pane="topRight" activeCell="F41" sqref="F41"/>
      <selection pane="bottomLeft" activeCell="F41" sqref="F41"/>
      <selection pane="bottomRight" sqref="A1:F1048576"/>
    </sheetView>
  </sheetViews>
  <sheetFormatPr defaultRowHeight="11.25" x14ac:dyDescent="0.2"/>
  <cols>
    <col min="1" max="1" width="6.5703125" style="12" customWidth="1"/>
    <col min="2" max="2" width="5.85546875" style="12" customWidth="1"/>
    <col min="3" max="3" width="24.7109375" style="13" customWidth="1"/>
    <col min="4" max="5" width="12.7109375" style="13" customWidth="1"/>
    <col min="6" max="6" width="13.5703125" style="13" bestFit="1" customWidth="1"/>
    <col min="7" max="8" width="9.140625" style="13"/>
    <col min="9" max="9" width="8.7109375" style="13" bestFit="1" customWidth="1"/>
    <col min="10" max="16384" width="9.140625" style="13"/>
  </cols>
  <sheetData>
    <row r="1" spans="1:9" x14ac:dyDescent="0.2">
      <c r="A1" s="11" t="s">
        <v>549</v>
      </c>
      <c r="I1" s="14" t="s">
        <v>550</v>
      </c>
    </row>
    <row r="2" spans="1:9" x14ac:dyDescent="0.2">
      <c r="A2" s="12" t="s">
        <v>551</v>
      </c>
      <c r="I2" s="15">
        <v>41563</v>
      </c>
    </row>
    <row r="3" spans="1:9" x14ac:dyDescent="0.2">
      <c r="A3" s="12" t="s">
        <v>552</v>
      </c>
    </row>
    <row r="4" spans="1:9" x14ac:dyDescent="0.2">
      <c r="B4" s="13" t="s">
        <v>553</v>
      </c>
      <c r="E4" s="16">
        <v>343517000</v>
      </c>
    </row>
    <row r="5" spans="1:9" x14ac:dyDescent="0.2">
      <c r="B5" s="13" t="s">
        <v>554</v>
      </c>
      <c r="E5" s="17">
        <f>ROUNDUP(F12,-3)</f>
        <v>329082000</v>
      </c>
    </row>
    <row r="6" spans="1:9" x14ac:dyDescent="0.2">
      <c r="B6" s="13" t="s">
        <v>555</v>
      </c>
      <c r="E6" s="17">
        <f>E4-E5</f>
        <v>14435000</v>
      </c>
    </row>
    <row r="8" spans="1:9" x14ac:dyDescent="0.2">
      <c r="B8" s="18"/>
      <c r="D8" s="34" t="s">
        <v>556</v>
      </c>
      <c r="E8" s="34"/>
      <c r="F8" s="34"/>
    </row>
    <row r="9" spans="1:9" x14ac:dyDescent="0.2">
      <c r="B9" s="19"/>
    </row>
    <row r="10" spans="1:9" s="21" customFormat="1" x14ac:dyDescent="0.2">
      <c r="A10" s="20"/>
      <c r="D10" s="22">
        <v>0.48599999999999999</v>
      </c>
      <c r="E10" s="22">
        <v>0.23100000000000001</v>
      </c>
      <c r="F10" s="21" t="s">
        <v>557</v>
      </c>
    </row>
    <row r="12" spans="1:9" x14ac:dyDescent="0.2">
      <c r="C12" s="13" t="s">
        <v>558</v>
      </c>
      <c r="D12" s="23">
        <f t="shared" ref="D12" si="0">SUM(D14:D349)</f>
        <v>545006757.72000003</v>
      </c>
      <c r="E12" s="23">
        <f t="shared" ref="E12:F12" si="1">SUM(E14:E349)</f>
        <v>215925015.8900001</v>
      </c>
      <c r="F12" s="23">
        <f t="shared" si="1"/>
        <v>329081741.82999992</v>
      </c>
    </row>
    <row r="14" spans="1:9" x14ac:dyDescent="0.2">
      <c r="A14" s="12">
        <v>1</v>
      </c>
      <c r="B14" s="12">
        <v>1</v>
      </c>
      <c r="C14" s="13" t="s">
        <v>559</v>
      </c>
      <c r="D14" s="13">
        <v>370454.75</v>
      </c>
      <c r="E14" s="13">
        <v>176080.34</v>
      </c>
      <c r="F14" s="13">
        <f>D14-E14</f>
        <v>194374.41</v>
      </c>
    </row>
    <row r="15" spans="1:9" x14ac:dyDescent="0.2">
      <c r="A15" s="12">
        <v>1.2</v>
      </c>
      <c r="B15" s="12">
        <v>3</v>
      </c>
      <c r="C15" s="13" t="s">
        <v>560</v>
      </c>
      <c r="D15" s="13">
        <v>34947869.549999997</v>
      </c>
      <c r="E15" s="13">
        <v>11338072.24</v>
      </c>
      <c r="F15" s="13">
        <f t="shared" ref="F15:F78" si="2">D15-E15</f>
        <v>23609797.309999995</v>
      </c>
    </row>
    <row r="16" spans="1:9" x14ac:dyDescent="0.2">
      <c r="A16" s="12">
        <v>2</v>
      </c>
      <c r="B16" s="12">
        <v>1</v>
      </c>
      <c r="C16" s="13" t="s">
        <v>561</v>
      </c>
      <c r="D16" s="13">
        <v>101627.52</v>
      </c>
      <c r="E16" s="13">
        <v>48304.45</v>
      </c>
      <c r="F16" s="13">
        <f t="shared" si="2"/>
        <v>53323.070000000007</v>
      </c>
    </row>
    <row r="17" spans="1:6" x14ac:dyDescent="0.2">
      <c r="A17" s="12">
        <v>4</v>
      </c>
      <c r="B17" s="12">
        <v>1</v>
      </c>
      <c r="C17" s="13" t="s">
        <v>562</v>
      </c>
      <c r="D17" s="13">
        <v>196892.16</v>
      </c>
      <c r="E17" s="13">
        <v>93584.549999999988</v>
      </c>
      <c r="F17" s="13">
        <f t="shared" si="2"/>
        <v>103307.61000000002</v>
      </c>
    </row>
    <row r="18" spans="1:6" x14ac:dyDescent="0.2">
      <c r="A18" s="12">
        <v>6</v>
      </c>
      <c r="B18" s="12">
        <v>3</v>
      </c>
      <c r="C18" s="13" t="s">
        <v>563</v>
      </c>
      <c r="D18" s="13">
        <v>2327289.61</v>
      </c>
      <c r="E18" s="13">
        <v>1015224.49</v>
      </c>
      <c r="F18" s="13">
        <f t="shared" si="2"/>
        <v>1312065.1199999999</v>
      </c>
    </row>
    <row r="19" spans="1:6" x14ac:dyDescent="0.2">
      <c r="A19" s="12">
        <v>11</v>
      </c>
      <c r="B19" s="12">
        <v>1</v>
      </c>
      <c r="C19" s="13" t="s">
        <v>564</v>
      </c>
      <c r="D19" s="13">
        <v>28419474.469999999</v>
      </c>
      <c r="E19" s="13">
        <v>11663267.510000002</v>
      </c>
      <c r="F19" s="13">
        <f t="shared" si="2"/>
        <v>16756206.959999997</v>
      </c>
    </row>
    <row r="20" spans="1:6" x14ac:dyDescent="0.2">
      <c r="A20" s="12">
        <v>12</v>
      </c>
      <c r="B20" s="12">
        <v>1</v>
      </c>
      <c r="C20" s="13" t="s">
        <v>565</v>
      </c>
      <c r="D20" s="13">
        <v>3662891.06</v>
      </c>
      <c r="E20" s="13">
        <v>1573052.95</v>
      </c>
      <c r="F20" s="13">
        <f t="shared" si="2"/>
        <v>2089838.11</v>
      </c>
    </row>
    <row r="21" spans="1:6" x14ac:dyDescent="0.2">
      <c r="A21" s="12">
        <v>13</v>
      </c>
      <c r="B21" s="12">
        <v>1</v>
      </c>
      <c r="C21" s="13" t="s">
        <v>566</v>
      </c>
      <c r="D21" s="13">
        <v>1825934.3299999998</v>
      </c>
      <c r="E21" s="13">
        <v>867882.36</v>
      </c>
      <c r="F21" s="13">
        <f t="shared" si="2"/>
        <v>958051.96999999986</v>
      </c>
    </row>
    <row r="22" spans="1:6" x14ac:dyDescent="0.2">
      <c r="A22" s="12">
        <v>14</v>
      </c>
      <c r="B22" s="12">
        <v>1</v>
      </c>
      <c r="C22" s="13" t="s">
        <v>567</v>
      </c>
      <c r="D22" s="13">
        <v>1969040.14</v>
      </c>
      <c r="E22" s="13">
        <v>935901.79</v>
      </c>
      <c r="F22" s="13">
        <f t="shared" si="2"/>
        <v>1033138.3499999999</v>
      </c>
    </row>
    <row r="23" spans="1:6" x14ac:dyDescent="0.2">
      <c r="A23" s="12">
        <v>15</v>
      </c>
      <c r="B23" s="12">
        <v>1</v>
      </c>
      <c r="C23" s="13" t="s">
        <v>568</v>
      </c>
      <c r="D23" s="13">
        <v>2152961.1</v>
      </c>
      <c r="E23" s="13">
        <v>1012750.0900000001</v>
      </c>
      <c r="F23" s="13">
        <f t="shared" si="2"/>
        <v>1140211.01</v>
      </c>
    </row>
    <row r="24" spans="1:6" x14ac:dyDescent="0.2">
      <c r="A24" s="12">
        <v>16</v>
      </c>
      <c r="B24" s="12">
        <v>1</v>
      </c>
      <c r="C24" s="13" t="s">
        <v>569</v>
      </c>
      <c r="D24" s="13">
        <v>3954874.11</v>
      </c>
      <c r="E24" s="13">
        <v>1774292.78</v>
      </c>
      <c r="F24" s="13">
        <f t="shared" si="2"/>
        <v>2180581.33</v>
      </c>
    </row>
    <row r="25" spans="1:6" x14ac:dyDescent="0.2">
      <c r="A25" s="12">
        <v>22</v>
      </c>
      <c r="B25" s="12">
        <v>1</v>
      </c>
      <c r="C25" s="13" t="s">
        <v>570</v>
      </c>
      <c r="D25" s="13">
        <v>1198971.29</v>
      </c>
      <c r="E25" s="13">
        <v>524234.45999999996</v>
      </c>
      <c r="F25" s="13">
        <f t="shared" si="2"/>
        <v>674736.83000000007</v>
      </c>
    </row>
    <row r="26" spans="1:6" x14ac:dyDescent="0.2">
      <c r="A26" s="12">
        <v>23</v>
      </c>
      <c r="B26" s="12">
        <v>1</v>
      </c>
      <c r="C26" s="13" t="s">
        <v>571</v>
      </c>
      <c r="D26" s="13">
        <v>502853.95</v>
      </c>
      <c r="E26" s="13">
        <v>239010.83000000002</v>
      </c>
      <c r="F26" s="13">
        <f t="shared" si="2"/>
        <v>263843.12</v>
      </c>
    </row>
    <row r="27" spans="1:6" x14ac:dyDescent="0.2">
      <c r="A27" s="12">
        <v>25</v>
      </c>
      <c r="B27" s="12">
        <v>1</v>
      </c>
      <c r="C27" s="13" t="s">
        <v>572</v>
      </c>
      <c r="D27" s="13">
        <v>0</v>
      </c>
      <c r="E27" s="13">
        <v>0</v>
      </c>
      <c r="F27" s="13">
        <f t="shared" si="2"/>
        <v>0</v>
      </c>
    </row>
    <row r="28" spans="1:6" x14ac:dyDescent="0.2">
      <c r="A28" s="12">
        <v>31</v>
      </c>
      <c r="B28" s="12">
        <v>1</v>
      </c>
      <c r="C28" s="13" t="s">
        <v>573</v>
      </c>
      <c r="D28" s="13">
        <v>1897258.3</v>
      </c>
      <c r="E28" s="13">
        <v>799189.85</v>
      </c>
      <c r="F28" s="13">
        <f t="shared" si="2"/>
        <v>1098068.4500000002</v>
      </c>
    </row>
    <row r="29" spans="1:6" x14ac:dyDescent="0.2">
      <c r="A29" s="12">
        <v>32</v>
      </c>
      <c r="B29" s="12">
        <v>1</v>
      </c>
      <c r="C29" s="13" t="s">
        <v>574</v>
      </c>
      <c r="D29" s="13">
        <v>193212.72999999998</v>
      </c>
      <c r="E29" s="13">
        <v>91835.69</v>
      </c>
      <c r="F29" s="13">
        <f t="shared" si="2"/>
        <v>101377.03999999998</v>
      </c>
    </row>
    <row r="30" spans="1:6" x14ac:dyDescent="0.2">
      <c r="A30" s="12">
        <v>36</v>
      </c>
      <c r="B30" s="12">
        <v>1</v>
      </c>
      <c r="C30" s="13" t="s">
        <v>575</v>
      </c>
      <c r="D30" s="13">
        <v>47393.83</v>
      </c>
      <c r="E30" s="13">
        <v>22526.69</v>
      </c>
      <c r="F30" s="13">
        <f t="shared" si="2"/>
        <v>24867.140000000003</v>
      </c>
    </row>
    <row r="31" spans="1:6" x14ac:dyDescent="0.2">
      <c r="A31" s="12">
        <v>38</v>
      </c>
      <c r="B31" s="12">
        <v>1</v>
      </c>
      <c r="C31" s="13" t="s">
        <v>576</v>
      </c>
      <c r="D31" s="13">
        <v>20487.960000000003</v>
      </c>
      <c r="E31" s="13">
        <v>9659.8599999999988</v>
      </c>
      <c r="F31" s="13">
        <f t="shared" si="2"/>
        <v>10828.100000000004</v>
      </c>
    </row>
    <row r="32" spans="1:6" x14ac:dyDescent="0.2">
      <c r="A32" s="12">
        <v>47</v>
      </c>
      <c r="B32" s="12">
        <v>1</v>
      </c>
      <c r="C32" s="13" t="s">
        <v>577</v>
      </c>
      <c r="D32" s="13">
        <v>1190369.77</v>
      </c>
      <c r="E32" s="13">
        <v>513142.47</v>
      </c>
      <c r="F32" s="13">
        <f t="shared" si="2"/>
        <v>677227.3</v>
      </c>
    </row>
    <row r="33" spans="1:6" x14ac:dyDescent="0.2">
      <c r="A33" s="12">
        <v>51</v>
      </c>
      <c r="B33" s="12">
        <v>1</v>
      </c>
      <c r="C33" s="13" t="s">
        <v>578</v>
      </c>
      <c r="D33" s="13">
        <v>347987.02</v>
      </c>
      <c r="E33" s="13">
        <v>148535.26999999999</v>
      </c>
      <c r="F33" s="13">
        <f t="shared" si="2"/>
        <v>199451.75000000003</v>
      </c>
    </row>
    <row r="34" spans="1:6" x14ac:dyDescent="0.2">
      <c r="A34" s="12">
        <v>75</v>
      </c>
      <c r="B34" s="12">
        <v>1</v>
      </c>
      <c r="C34" s="13" t="s">
        <v>579</v>
      </c>
      <c r="D34" s="13">
        <v>238027.39</v>
      </c>
      <c r="E34" s="13">
        <v>81911.239999999991</v>
      </c>
      <c r="F34" s="13">
        <f t="shared" si="2"/>
        <v>156116.15000000002</v>
      </c>
    </row>
    <row r="35" spans="1:6" x14ac:dyDescent="0.2">
      <c r="A35" s="12">
        <v>77</v>
      </c>
      <c r="B35" s="12">
        <v>1</v>
      </c>
      <c r="C35" s="13" t="s">
        <v>580</v>
      </c>
      <c r="D35" s="13">
        <v>4650656.51</v>
      </c>
      <c r="E35" s="13">
        <v>1815943.45</v>
      </c>
      <c r="F35" s="13">
        <f t="shared" si="2"/>
        <v>2834713.0599999996</v>
      </c>
    </row>
    <row r="36" spans="1:6" x14ac:dyDescent="0.2">
      <c r="A36" s="12">
        <v>81</v>
      </c>
      <c r="B36" s="12">
        <v>1</v>
      </c>
      <c r="C36" s="13" t="s">
        <v>581</v>
      </c>
      <c r="D36" s="13">
        <v>111559.45000000001</v>
      </c>
      <c r="E36" s="13">
        <v>43190.409999999996</v>
      </c>
      <c r="F36" s="13">
        <f t="shared" si="2"/>
        <v>68369.040000000008</v>
      </c>
    </row>
    <row r="37" spans="1:6" x14ac:dyDescent="0.2">
      <c r="A37" s="12">
        <v>84</v>
      </c>
      <c r="B37" s="12">
        <v>1</v>
      </c>
      <c r="C37" s="13" t="s">
        <v>582</v>
      </c>
      <c r="D37" s="13">
        <v>198307.13</v>
      </c>
      <c r="E37" s="13">
        <v>94257.09</v>
      </c>
      <c r="F37" s="13">
        <f t="shared" si="2"/>
        <v>104050.04000000001</v>
      </c>
    </row>
    <row r="38" spans="1:6" x14ac:dyDescent="0.2">
      <c r="A38" s="12">
        <v>85</v>
      </c>
      <c r="B38" s="12">
        <v>1</v>
      </c>
      <c r="C38" s="13" t="s">
        <v>583</v>
      </c>
      <c r="D38" s="13">
        <v>207567.21</v>
      </c>
      <c r="E38" s="13">
        <v>98658.5</v>
      </c>
      <c r="F38" s="13">
        <f t="shared" si="2"/>
        <v>108908.70999999999</v>
      </c>
    </row>
    <row r="39" spans="1:6" x14ac:dyDescent="0.2">
      <c r="A39" s="12">
        <v>88</v>
      </c>
      <c r="B39" s="12">
        <v>1</v>
      </c>
      <c r="C39" s="13" t="s">
        <v>584</v>
      </c>
      <c r="D39" s="13">
        <v>1912134.19</v>
      </c>
      <c r="E39" s="13">
        <v>837881.01</v>
      </c>
      <c r="F39" s="13">
        <f t="shared" si="2"/>
        <v>1074253.18</v>
      </c>
    </row>
    <row r="40" spans="1:6" x14ac:dyDescent="0.2">
      <c r="A40" s="12">
        <v>91</v>
      </c>
      <c r="B40" s="12">
        <v>1</v>
      </c>
      <c r="C40" s="13" t="s">
        <v>585</v>
      </c>
      <c r="D40" s="13">
        <v>193362.87</v>
      </c>
      <c r="E40" s="13">
        <v>81514.19</v>
      </c>
      <c r="F40" s="13">
        <f t="shared" si="2"/>
        <v>111848.68</v>
      </c>
    </row>
    <row r="41" spans="1:6" x14ac:dyDescent="0.2">
      <c r="A41" s="12">
        <v>93</v>
      </c>
      <c r="B41" s="12">
        <v>1</v>
      </c>
      <c r="C41" s="13" t="s">
        <v>586</v>
      </c>
      <c r="D41" s="13">
        <v>372039.52999999997</v>
      </c>
      <c r="E41" s="13">
        <v>162415.54</v>
      </c>
      <c r="F41" s="13">
        <f t="shared" si="2"/>
        <v>209623.98999999996</v>
      </c>
    </row>
    <row r="42" spans="1:6" x14ac:dyDescent="0.2">
      <c r="A42" s="12">
        <v>94</v>
      </c>
      <c r="B42" s="12">
        <v>1</v>
      </c>
      <c r="C42" s="13" t="s">
        <v>587</v>
      </c>
      <c r="D42" s="13">
        <v>740429.51</v>
      </c>
      <c r="E42" s="13">
        <v>317356.46999999997</v>
      </c>
      <c r="F42" s="13">
        <f t="shared" si="2"/>
        <v>423073.04000000004</v>
      </c>
    </row>
    <row r="43" spans="1:6" ht="15" x14ac:dyDescent="0.25">
      <c r="A43" s="12">
        <v>95</v>
      </c>
      <c r="B43" s="12">
        <v>1</v>
      </c>
      <c r="C43" s="13" t="s">
        <v>588</v>
      </c>
      <c r="D43" s="13">
        <v>96326.68</v>
      </c>
      <c r="E43" s="13">
        <v>45784.9</v>
      </c>
      <c r="F43" s="13">
        <f t="shared" si="2"/>
        <v>50541.779999999992</v>
      </c>
    </row>
    <row r="44" spans="1:6" ht="15" x14ac:dyDescent="0.25">
      <c r="A44" s="12">
        <v>97</v>
      </c>
      <c r="B44" s="12">
        <v>1</v>
      </c>
      <c r="C44" s="13" t="s">
        <v>589</v>
      </c>
      <c r="D44" s="13">
        <v>261180.04</v>
      </c>
      <c r="E44" s="13">
        <v>107428.73999999999</v>
      </c>
      <c r="F44" s="13">
        <f t="shared" si="2"/>
        <v>153751.30000000002</v>
      </c>
    </row>
    <row r="45" spans="1:6" ht="15" x14ac:dyDescent="0.25">
      <c r="A45" s="12">
        <v>99</v>
      </c>
      <c r="B45" s="12">
        <v>1</v>
      </c>
      <c r="C45" s="13" t="s">
        <v>590</v>
      </c>
      <c r="D45" s="13">
        <v>254637.61</v>
      </c>
      <c r="E45" s="13">
        <v>105496.95000000001</v>
      </c>
      <c r="F45" s="13">
        <f t="shared" si="2"/>
        <v>149140.65999999997</v>
      </c>
    </row>
    <row r="46" spans="1:6" ht="15" x14ac:dyDescent="0.25">
      <c r="A46" s="12">
        <v>100</v>
      </c>
      <c r="B46" s="12">
        <v>1</v>
      </c>
      <c r="C46" s="13" t="s">
        <v>591</v>
      </c>
      <c r="D46" s="13">
        <v>152105.19</v>
      </c>
      <c r="E46" s="13">
        <v>64781.81</v>
      </c>
      <c r="F46" s="13">
        <f t="shared" si="2"/>
        <v>87323.38</v>
      </c>
    </row>
    <row r="47" spans="1:6" ht="15" x14ac:dyDescent="0.25">
      <c r="A47" s="12">
        <v>108</v>
      </c>
      <c r="B47" s="12">
        <v>1</v>
      </c>
      <c r="C47" s="13" t="s">
        <v>592</v>
      </c>
      <c r="D47" s="13">
        <v>639690.53</v>
      </c>
      <c r="E47" s="13">
        <v>286201.71000000002</v>
      </c>
      <c r="F47" s="13">
        <f t="shared" si="2"/>
        <v>353488.82</v>
      </c>
    </row>
    <row r="48" spans="1:6" ht="15" x14ac:dyDescent="0.25">
      <c r="A48" s="12">
        <v>110</v>
      </c>
      <c r="B48" s="12">
        <v>1</v>
      </c>
      <c r="C48" s="13" t="s">
        <v>593</v>
      </c>
      <c r="D48" s="13">
        <v>1798080.35</v>
      </c>
      <c r="E48" s="13">
        <v>854643.13</v>
      </c>
      <c r="F48" s="13">
        <f t="shared" si="2"/>
        <v>943437.22000000009</v>
      </c>
    </row>
    <row r="49" spans="1:6" ht="15" x14ac:dyDescent="0.25">
      <c r="A49" s="12">
        <v>111</v>
      </c>
      <c r="B49" s="12">
        <v>1</v>
      </c>
      <c r="C49" s="13" t="s">
        <v>594</v>
      </c>
      <c r="D49" s="13">
        <v>698593.76</v>
      </c>
      <c r="E49" s="13">
        <v>304533.62</v>
      </c>
      <c r="F49" s="13">
        <f t="shared" si="2"/>
        <v>394060.14</v>
      </c>
    </row>
    <row r="50" spans="1:6" ht="15" x14ac:dyDescent="0.25">
      <c r="A50" s="12">
        <v>112</v>
      </c>
      <c r="B50" s="12">
        <v>1</v>
      </c>
      <c r="C50" s="13" t="s">
        <v>595</v>
      </c>
      <c r="D50" s="13">
        <v>6864380.9199999999</v>
      </c>
      <c r="E50" s="13">
        <v>2448055.9699999997</v>
      </c>
      <c r="F50" s="13">
        <f t="shared" si="2"/>
        <v>4416324.95</v>
      </c>
    </row>
    <row r="51" spans="1:6" ht="15" x14ac:dyDescent="0.25">
      <c r="A51" s="12">
        <v>113</v>
      </c>
      <c r="B51" s="12">
        <v>1</v>
      </c>
      <c r="C51" s="13" t="s">
        <v>596</v>
      </c>
      <c r="D51" s="13">
        <v>499084.9</v>
      </c>
      <c r="E51" s="13">
        <v>237219.37000000002</v>
      </c>
      <c r="F51" s="13">
        <f t="shared" si="2"/>
        <v>261865.53</v>
      </c>
    </row>
    <row r="52" spans="1:6" ht="15" x14ac:dyDescent="0.25">
      <c r="A52" s="12">
        <v>115</v>
      </c>
      <c r="B52" s="12">
        <v>1</v>
      </c>
      <c r="C52" s="13" t="s">
        <v>597</v>
      </c>
      <c r="D52" s="13">
        <v>394880.14</v>
      </c>
      <c r="E52" s="13">
        <v>187689.95</v>
      </c>
      <c r="F52" s="13">
        <f t="shared" si="2"/>
        <v>207190.19</v>
      </c>
    </row>
    <row r="53" spans="1:6" ht="15" x14ac:dyDescent="0.25">
      <c r="A53" s="12">
        <v>116</v>
      </c>
      <c r="B53" s="12">
        <v>1</v>
      </c>
      <c r="C53" s="13" t="s">
        <v>598</v>
      </c>
      <c r="D53" s="13">
        <v>437813.20999999996</v>
      </c>
      <c r="E53" s="13">
        <v>208096.4</v>
      </c>
      <c r="F53" s="13">
        <f t="shared" si="2"/>
        <v>229716.80999999997</v>
      </c>
    </row>
    <row r="54" spans="1:6" ht="15" x14ac:dyDescent="0.25">
      <c r="A54" s="12">
        <v>118</v>
      </c>
      <c r="B54" s="12">
        <v>1</v>
      </c>
      <c r="C54" s="13" t="s">
        <v>599</v>
      </c>
      <c r="D54" s="13">
        <v>198868.40999999997</v>
      </c>
      <c r="E54" s="13">
        <v>57020.14</v>
      </c>
      <c r="F54" s="13">
        <f t="shared" si="2"/>
        <v>141848.26999999996</v>
      </c>
    </row>
    <row r="55" spans="1:6" ht="15" x14ac:dyDescent="0.25">
      <c r="A55" s="12">
        <v>129</v>
      </c>
      <c r="B55" s="12">
        <v>1</v>
      </c>
      <c r="C55" s="13" t="s">
        <v>600</v>
      </c>
      <c r="D55" s="13">
        <v>479587.97</v>
      </c>
      <c r="E55" s="13">
        <v>187738.66999999998</v>
      </c>
      <c r="F55" s="13">
        <f t="shared" si="2"/>
        <v>291849.3</v>
      </c>
    </row>
    <row r="56" spans="1:6" ht="15" x14ac:dyDescent="0.25">
      <c r="A56" s="12">
        <v>138</v>
      </c>
      <c r="B56" s="12">
        <v>1</v>
      </c>
      <c r="C56" s="13" t="s">
        <v>601</v>
      </c>
      <c r="D56" s="13">
        <v>984158.64999999991</v>
      </c>
      <c r="E56" s="13">
        <v>437675.11</v>
      </c>
      <c r="F56" s="13">
        <f t="shared" si="2"/>
        <v>546483.53999999992</v>
      </c>
    </row>
    <row r="57" spans="1:6" ht="15" x14ac:dyDescent="0.25">
      <c r="A57" s="12">
        <v>139</v>
      </c>
      <c r="B57" s="12">
        <v>1</v>
      </c>
      <c r="C57" s="13" t="s">
        <v>602</v>
      </c>
      <c r="D57" s="13">
        <v>316811.26</v>
      </c>
      <c r="E57" s="13">
        <v>150583.13</v>
      </c>
      <c r="F57" s="13">
        <f t="shared" si="2"/>
        <v>166228.13</v>
      </c>
    </row>
    <row r="58" spans="1:6" x14ac:dyDescent="0.2">
      <c r="A58" s="12">
        <v>146</v>
      </c>
      <c r="B58" s="12">
        <v>1</v>
      </c>
      <c r="C58" s="13" t="s">
        <v>603</v>
      </c>
      <c r="D58" s="13">
        <v>424377.89</v>
      </c>
      <c r="E58" s="13">
        <v>176879.13</v>
      </c>
      <c r="F58" s="13">
        <f t="shared" si="2"/>
        <v>247498.76</v>
      </c>
    </row>
    <row r="59" spans="1:6" x14ac:dyDescent="0.2">
      <c r="A59" s="12">
        <v>150</v>
      </c>
      <c r="B59" s="12">
        <v>1</v>
      </c>
      <c r="C59" s="13" t="s">
        <v>604</v>
      </c>
      <c r="D59" s="13">
        <v>202632.39</v>
      </c>
      <c r="E59" s="13">
        <v>81681.580000000016</v>
      </c>
      <c r="F59" s="13">
        <f t="shared" si="2"/>
        <v>120950.81</v>
      </c>
    </row>
    <row r="60" spans="1:6" x14ac:dyDescent="0.2">
      <c r="A60" s="12">
        <v>152</v>
      </c>
      <c r="B60" s="12">
        <v>1</v>
      </c>
      <c r="C60" s="13" t="s">
        <v>605</v>
      </c>
      <c r="D60" s="13">
        <v>2971169.3299999996</v>
      </c>
      <c r="E60" s="13">
        <v>1275383.3799999999</v>
      </c>
      <c r="F60" s="13">
        <f t="shared" si="2"/>
        <v>1695785.9499999997</v>
      </c>
    </row>
    <row r="61" spans="1:6" x14ac:dyDescent="0.2">
      <c r="A61" s="12">
        <v>162</v>
      </c>
      <c r="B61" s="12">
        <v>1</v>
      </c>
      <c r="C61" s="13" t="s">
        <v>606</v>
      </c>
      <c r="D61" s="13">
        <v>296765.75</v>
      </c>
      <c r="E61" s="13">
        <v>141055.32</v>
      </c>
      <c r="F61" s="13">
        <f t="shared" si="2"/>
        <v>155710.43</v>
      </c>
    </row>
    <row r="62" spans="1:6" x14ac:dyDescent="0.2">
      <c r="A62" s="12">
        <v>166</v>
      </c>
      <c r="B62" s="12">
        <v>1</v>
      </c>
      <c r="C62" s="13" t="s">
        <v>607</v>
      </c>
      <c r="D62" s="13">
        <v>224894.85</v>
      </c>
      <c r="E62" s="13">
        <v>90059.93</v>
      </c>
      <c r="F62" s="13">
        <f t="shared" si="2"/>
        <v>134834.92000000001</v>
      </c>
    </row>
    <row r="63" spans="1:6" x14ac:dyDescent="0.2">
      <c r="A63" s="12">
        <v>173</v>
      </c>
      <c r="B63" s="12">
        <v>1</v>
      </c>
      <c r="C63" s="13" t="s">
        <v>608</v>
      </c>
      <c r="D63" s="13">
        <v>300664.96999999997</v>
      </c>
      <c r="E63" s="13">
        <v>95302.810000000012</v>
      </c>
      <c r="F63" s="13">
        <f t="shared" si="2"/>
        <v>205362.15999999997</v>
      </c>
    </row>
    <row r="64" spans="1:6" x14ac:dyDescent="0.2">
      <c r="A64" s="12">
        <v>177</v>
      </c>
      <c r="B64" s="12">
        <v>1</v>
      </c>
      <c r="C64" s="13" t="s">
        <v>609</v>
      </c>
      <c r="D64" s="13">
        <v>668998.54</v>
      </c>
      <c r="E64" s="13">
        <v>276434.83999999997</v>
      </c>
      <c r="F64" s="13">
        <f t="shared" si="2"/>
        <v>392563.70000000007</v>
      </c>
    </row>
    <row r="65" spans="1:6" x14ac:dyDescent="0.2">
      <c r="A65" s="12">
        <v>181</v>
      </c>
      <c r="B65" s="12">
        <v>1</v>
      </c>
      <c r="C65" s="13" t="s">
        <v>610</v>
      </c>
      <c r="D65" s="13">
        <v>3233274.9</v>
      </c>
      <c r="E65" s="13">
        <v>1421299.94</v>
      </c>
      <c r="F65" s="13">
        <f t="shared" si="2"/>
        <v>1811974.96</v>
      </c>
    </row>
    <row r="66" spans="1:6" x14ac:dyDescent="0.2">
      <c r="A66" s="12">
        <v>182</v>
      </c>
      <c r="B66" s="12">
        <v>1</v>
      </c>
      <c r="C66" s="13" t="s">
        <v>611</v>
      </c>
      <c r="D66" s="13">
        <v>554813.67000000004</v>
      </c>
      <c r="E66" s="13">
        <v>241759.66</v>
      </c>
      <c r="F66" s="13">
        <f t="shared" si="2"/>
        <v>313054.01</v>
      </c>
    </row>
    <row r="67" spans="1:6" x14ac:dyDescent="0.2">
      <c r="A67" s="12">
        <v>186</v>
      </c>
      <c r="B67" s="12">
        <v>1</v>
      </c>
      <c r="C67" s="13" t="s">
        <v>612</v>
      </c>
      <c r="D67" s="13">
        <v>916660.27</v>
      </c>
      <c r="E67" s="13">
        <v>435696.54000000004</v>
      </c>
      <c r="F67" s="13">
        <f t="shared" si="2"/>
        <v>480963.73</v>
      </c>
    </row>
    <row r="68" spans="1:6" x14ac:dyDescent="0.2">
      <c r="A68" s="12">
        <v>191</v>
      </c>
      <c r="B68" s="12">
        <v>1</v>
      </c>
      <c r="C68" s="13" t="s">
        <v>613</v>
      </c>
      <c r="D68" s="13">
        <v>7882936.6100000003</v>
      </c>
      <c r="E68" s="13">
        <v>2499656.94</v>
      </c>
      <c r="F68" s="13">
        <f t="shared" si="2"/>
        <v>5383279.6699999999</v>
      </c>
    </row>
    <row r="69" spans="1:6" x14ac:dyDescent="0.2">
      <c r="A69" s="12">
        <v>192</v>
      </c>
      <c r="B69" s="12">
        <v>1</v>
      </c>
      <c r="C69" s="13" t="s">
        <v>614</v>
      </c>
      <c r="D69" s="13">
        <v>2308821.5499999998</v>
      </c>
      <c r="E69" s="13">
        <v>1097402.8400000001</v>
      </c>
      <c r="F69" s="13">
        <f t="shared" si="2"/>
        <v>1211418.7099999997</v>
      </c>
    </row>
    <row r="70" spans="1:6" x14ac:dyDescent="0.2">
      <c r="A70" s="12">
        <v>194</v>
      </c>
      <c r="B70" s="12">
        <v>1</v>
      </c>
      <c r="C70" s="13" t="s">
        <v>615</v>
      </c>
      <c r="D70" s="13">
        <v>6088983.0600000005</v>
      </c>
      <c r="E70" s="13">
        <v>2413461.58</v>
      </c>
      <c r="F70" s="13">
        <f t="shared" si="2"/>
        <v>3675521.4800000004</v>
      </c>
    </row>
    <row r="71" spans="1:6" x14ac:dyDescent="0.2">
      <c r="A71" s="12">
        <v>195</v>
      </c>
      <c r="B71" s="12">
        <v>1</v>
      </c>
      <c r="C71" s="13" t="s">
        <v>616</v>
      </c>
      <c r="D71" s="13">
        <v>286917.78999999998</v>
      </c>
      <c r="E71" s="13">
        <v>136374.51</v>
      </c>
      <c r="F71" s="13">
        <f t="shared" si="2"/>
        <v>150543.27999999997</v>
      </c>
    </row>
    <row r="72" spans="1:6" x14ac:dyDescent="0.2">
      <c r="A72" s="12">
        <v>196</v>
      </c>
      <c r="B72" s="12">
        <v>1</v>
      </c>
      <c r="C72" s="13" t="s">
        <v>617</v>
      </c>
      <c r="D72" s="13">
        <v>23419245.350000001</v>
      </c>
      <c r="E72" s="13">
        <v>9608305.2799999993</v>
      </c>
      <c r="F72" s="13">
        <f t="shared" si="2"/>
        <v>13810940.070000002</v>
      </c>
    </row>
    <row r="73" spans="1:6" x14ac:dyDescent="0.2">
      <c r="A73" s="12">
        <v>197</v>
      </c>
      <c r="B73" s="12">
        <v>1</v>
      </c>
      <c r="C73" s="13" t="s">
        <v>618</v>
      </c>
      <c r="D73" s="13">
        <v>5251054.7300000004</v>
      </c>
      <c r="E73" s="13">
        <v>1635095.94</v>
      </c>
      <c r="F73" s="13">
        <f t="shared" si="2"/>
        <v>3615958.7900000005</v>
      </c>
    </row>
    <row r="74" spans="1:6" x14ac:dyDescent="0.2">
      <c r="A74" s="12">
        <v>199</v>
      </c>
      <c r="B74" s="12">
        <v>1</v>
      </c>
      <c r="C74" s="13" t="s">
        <v>619</v>
      </c>
      <c r="D74" s="13">
        <v>2379927.94</v>
      </c>
      <c r="E74" s="13">
        <v>1115692.6100000001</v>
      </c>
      <c r="F74" s="13">
        <f t="shared" si="2"/>
        <v>1264235.3299999998</v>
      </c>
    </row>
    <row r="75" spans="1:6" x14ac:dyDescent="0.2">
      <c r="A75" s="12">
        <v>200</v>
      </c>
      <c r="B75" s="12">
        <v>1</v>
      </c>
      <c r="C75" s="13" t="s">
        <v>620</v>
      </c>
      <c r="D75" s="13">
        <v>4124935.74</v>
      </c>
      <c r="E75" s="13">
        <v>1670961.98</v>
      </c>
      <c r="F75" s="13">
        <f t="shared" si="2"/>
        <v>2453973.7600000002</v>
      </c>
    </row>
    <row r="76" spans="1:6" x14ac:dyDescent="0.2">
      <c r="A76" s="12">
        <v>203</v>
      </c>
      <c r="B76" s="12">
        <v>1</v>
      </c>
      <c r="C76" s="13" t="s">
        <v>621</v>
      </c>
      <c r="D76" s="13">
        <v>490365.97000000003</v>
      </c>
      <c r="E76" s="13">
        <v>233075.19</v>
      </c>
      <c r="F76" s="13">
        <f t="shared" si="2"/>
        <v>257290.78000000003</v>
      </c>
    </row>
    <row r="77" spans="1:6" x14ac:dyDescent="0.2">
      <c r="A77" s="12">
        <v>204</v>
      </c>
      <c r="B77" s="12">
        <v>1</v>
      </c>
      <c r="C77" s="13" t="s">
        <v>622</v>
      </c>
      <c r="D77" s="13">
        <v>379281.14999999997</v>
      </c>
      <c r="E77" s="13">
        <v>162493.49</v>
      </c>
      <c r="F77" s="13">
        <f t="shared" si="2"/>
        <v>216787.65999999997</v>
      </c>
    </row>
    <row r="78" spans="1:6" x14ac:dyDescent="0.2">
      <c r="A78" s="12">
        <v>206</v>
      </c>
      <c r="B78" s="12">
        <v>1</v>
      </c>
      <c r="C78" s="13" t="s">
        <v>623</v>
      </c>
      <c r="D78" s="13">
        <v>1669190.71</v>
      </c>
      <c r="E78" s="13">
        <v>730993.39</v>
      </c>
      <c r="F78" s="13">
        <f t="shared" si="2"/>
        <v>938197.32</v>
      </c>
    </row>
    <row r="79" spans="1:6" x14ac:dyDescent="0.2">
      <c r="A79" s="12">
        <v>207</v>
      </c>
      <c r="B79" s="12">
        <v>1</v>
      </c>
      <c r="C79" s="13" t="s">
        <v>624</v>
      </c>
      <c r="D79" s="13">
        <v>182639.69</v>
      </c>
      <c r="E79" s="13">
        <v>86810.23000000001</v>
      </c>
      <c r="F79" s="13">
        <f t="shared" ref="F79:F142" si="3">D79-E79</f>
        <v>95829.459999999992</v>
      </c>
    </row>
    <row r="80" spans="1:6" x14ac:dyDescent="0.2">
      <c r="A80" s="12">
        <v>208</v>
      </c>
      <c r="B80" s="12">
        <v>1</v>
      </c>
      <c r="C80" s="13" t="s">
        <v>625</v>
      </c>
      <c r="D80" s="13">
        <v>203983.64</v>
      </c>
      <c r="E80" s="13">
        <v>96955.19</v>
      </c>
      <c r="F80" s="13">
        <f t="shared" si="3"/>
        <v>107028.45000000001</v>
      </c>
    </row>
    <row r="81" spans="1:6" x14ac:dyDescent="0.2">
      <c r="A81" s="12">
        <v>213</v>
      </c>
      <c r="B81" s="12">
        <v>1</v>
      </c>
      <c r="C81" s="13" t="s">
        <v>626</v>
      </c>
      <c r="D81" s="13">
        <v>204911.52000000002</v>
      </c>
      <c r="E81" s="13">
        <v>89410.22</v>
      </c>
      <c r="F81" s="13">
        <f t="shared" si="3"/>
        <v>115501.30000000002</v>
      </c>
    </row>
    <row r="82" spans="1:6" x14ac:dyDescent="0.2">
      <c r="A82" s="12">
        <v>227</v>
      </c>
      <c r="B82" s="12">
        <v>1</v>
      </c>
      <c r="C82" s="13" t="s">
        <v>627</v>
      </c>
      <c r="D82" s="13">
        <v>312521.73</v>
      </c>
      <c r="E82" s="13">
        <v>125074.23</v>
      </c>
      <c r="F82" s="13">
        <f t="shared" si="3"/>
        <v>187447.5</v>
      </c>
    </row>
    <row r="83" spans="1:6" x14ac:dyDescent="0.2">
      <c r="A83" s="12">
        <v>229</v>
      </c>
      <c r="B83" s="12">
        <v>1</v>
      </c>
      <c r="C83" s="13" t="s">
        <v>628</v>
      </c>
      <c r="D83" s="13">
        <v>98769.63</v>
      </c>
      <c r="E83" s="13">
        <v>39623.72</v>
      </c>
      <c r="F83" s="13">
        <f t="shared" si="3"/>
        <v>59145.91</v>
      </c>
    </row>
    <row r="84" spans="1:6" x14ac:dyDescent="0.2">
      <c r="A84" s="12">
        <v>238</v>
      </c>
      <c r="B84" s="12">
        <v>1</v>
      </c>
      <c r="C84" s="13" t="s">
        <v>629</v>
      </c>
      <c r="D84" s="13">
        <v>156126.63999999998</v>
      </c>
      <c r="E84" s="13">
        <v>45654.079999999994</v>
      </c>
      <c r="F84" s="13">
        <f t="shared" si="3"/>
        <v>110472.56</v>
      </c>
    </row>
    <row r="85" spans="1:6" x14ac:dyDescent="0.2">
      <c r="A85" s="12">
        <v>239</v>
      </c>
      <c r="B85" s="12">
        <v>1</v>
      </c>
      <c r="C85" s="13" t="s">
        <v>630</v>
      </c>
      <c r="D85" s="13">
        <v>438757.71</v>
      </c>
      <c r="E85" s="13">
        <v>190029.69</v>
      </c>
      <c r="F85" s="13">
        <f t="shared" si="3"/>
        <v>248728.02000000002</v>
      </c>
    </row>
    <row r="86" spans="1:6" x14ac:dyDescent="0.2">
      <c r="A86" s="12">
        <v>241</v>
      </c>
      <c r="B86" s="12">
        <v>1</v>
      </c>
      <c r="C86" s="13" t="s">
        <v>631</v>
      </c>
      <c r="D86" s="13">
        <v>2096294.1400000001</v>
      </c>
      <c r="E86" s="13">
        <v>904980.49</v>
      </c>
      <c r="F86" s="13">
        <f t="shared" si="3"/>
        <v>1191313.6500000001</v>
      </c>
    </row>
    <row r="87" spans="1:6" x14ac:dyDescent="0.2">
      <c r="A87" s="12">
        <v>242</v>
      </c>
      <c r="B87" s="12">
        <v>1</v>
      </c>
      <c r="C87" s="13" t="s">
        <v>632</v>
      </c>
      <c r="D87" s="13">
        <v>107283.48999999999</v>
      </c>
      <c r="E87" s="13">
        <v>36762.97</v>
      </c>
      <c r="F87" s="13">
        <f t="shared" si="3"/>
        <v>70520.51999999999</v>
      </c>
    </row>
    <row r="88" spans="1:6" x14ac:dyDescent="0.2">
      <c r="A88" s="12">
        <v>252</v>
      </c>
      <c r="B88" s="12">
        <v>1</v>
      </c>
      <c r="C88" s="13" t="s">
        <v>633</v>
      </c>
      <c r="D88" s="13">
        <v>627619.43000000005</v>
      </c>
      <c r="E88" s="13">
        <v>290548.71999999997</v>
      </c>
      <c r="F88" s="13">
        <f t="shared" si="3"/>
        <v>337070.71000000008</v>
      </c>
    </row>
    <row r="89" spans="1:6" x14ac:dyDescent="0.2">
      <c r="A89" s="12">
        <v>253</v>
      </c>
      <c r="B89" s="12">
        <v>1</v>
      </c>
      <c r="C89" s="13" t="s">
        <v>634</v>
      </c>
      <c r="D89" s="13">
        <v>211231.22999999998</v>
      </c>
      <c r="E89" s="13">
        <v>83320.859999999986</v>
      </c>
      <c r="F89" s="13">
        <f t="shared" si="3"/>
        <v>127910.37</v>
      </c>
    </row>
    <row r="90" spans="1:6" x14ac:dyDescent="0.2">
      <c r="A90" s="12">
        <v>255</v>
      </c>
      <c r="B90" s="12">
        <v>1</v>
      </c>
      <c r="C90" s="13" t="s">
        <v>635</v>
      </c>
      <c r="D90" s="13">
        <v>561595.65</v>
      </c>
      <c r="E90" s="13">
        <v>239548.68</v>
      </c>
      <c r="F90" s="13">
        <f t="shared" si="3"/>
        <v>322046.97000000003</v>
      </c>
    </row>
    <row r="91" spans="1:6" x14ac:dyDescent="0.2">
      <c r="A91" s="12">
        <v>256</v>
      </c>
      <c r="B91" s="12">
        <v>1</v>
      </c>
      <c r="C91" s="13" t="s">
        <v>636</v>
      </c>
      <c r="D91" s="13">
        <v>2282931.2699999996</v>
      </c>
      <c r="E91" s="13">
        <v>858735.54</v>
      </c>
      <c r="F91" s="13">
        <f t="shared" si="3"/>
        <v>1424195.7299999995</v>
      </c>
    </row>
    <row r="92" spans="1:6" x14ac:dyDescent="0.2">
      <c r="A92" s="12">
        <v>261</v>
      </c>
      <c r="B92" s="12">
        <v>1</v>
      </c>
      <c r="C92" s="13" t="s">
        <v>637</v>
      </c>
      <c r="D92" s="13">
        <v>192524.58</v>
      </c>
      <c r="E92" s="13">
        <v>91508.609999999986</v>
      </c>
      <c r="F92" s="13">
        <f t="shared" si="3"/>
        <v>101015.97</v>
      </c>
    </row>
    <row r="93" spans="1:6" x14ac:dyDescent="0.2">
      <c r="A93" s="12">
        <v>264</v>
      </c>
      <c r="B93" s="12">
        <v>1</v>
      </c>
      <c r="C93" s="13" t="s">
        <v>638</v>
      </c>
      <c r="D93" s="13">
        <v>20303.87</v>
      </c>
      <c r="E93" s="13">
        <v>9650.61</v>
      </c>
      <c r="F93" s="13">
        <f t="shared" si="3"/>
        <v>10653.259999999998</v>
      </c>
    </row>
    <row r="94" spans="1:6" x14ac:dyDescent="0.2">
      <c r="A94" s="12">
        <v>270</v>
      </c>
      <c r="B94" s="12">
        <v>1</v>
      </c>
      <c r="C94" s="13" t="s">
        <v>639</v>
      </c>
      <c r="D94" s="13">
        <v>9992051.8300000001</v>
      </c>
      <c r="E94" s="13">
        <v>3816045.3200000003</v>
      </c>
      <c r="F94" s="13">
        <f t="shared" si="3"/>
        <v>6176006.5099999998</v>
      </c>
    </row>
    <row r="95" spans="1:6" x14ac:dyDescent="0.2">
      <c r="A95" s="12">
        <v>271</v>
      </c>
      <c r="B95" s="12">
        <v>1</v>
      </c>
      <c r="C95" s="13" t="s">
        <v>640</v>
      </c>
      <c r="D95" s="13">
        <v>14298779.76</v>
      </c>
      <c r="E95" s="13">
        <v>4896979.0999999996</v>
      </c>
      <c r="F95" s="13">
        <f t="shared" si="3"/>
        <v>9401800.6600000001</v>
      </c>
    </row>
    <row r="96" spans="1:6" x14ac:dyDescent="0.2">
      <c r="A96" s="12">
        <v>272</v>
      </c>
      <c r="B96" s="12">
        <v>1</v>
      </c>
      <c r="C96" s="13" t="s">
        <v>641</v>
      </c>
      <c r="D96" s="13">
        <v>11380593.1</v>
      </c>
      <c r="E96" s="13">
        <v>4109829.9000000004</v>
      </c>
      <c r="F96" s="13">
        <f t="shared" si="3"/>
        <v>7270763.1999999993</v>
      </c>
    </row>
    <row r="97" spans="1:6" x14ac:dyDescent="0.2">
      <c r="A97" s="12">
        <v>273</v>
      </c>
      <c r="B97" s="12">
        <v>1</v>
      </c>
      <c r="C97" s="13" t="s">
        <v>642</v>
      </c>
      <c r="D97" s="13">
        <v>12535783.039999999</v>
      </c>
      <c r="E97" s="13">
        <v>4621990.1500000004</v>
      </c>
      <c r="F97" s="13">
        <f t="shared" si="3"/>
        <v>7913792.8899999987</v>
      </c>
    </row>
    <row r="98" spans="1:6" x14ac:dyDescent="0.2">
      <c r="A98" s="12">
        <v>276</v>
      </c>
      <c r="B98" s="12">
        <v>1</v>
      </c>
      <c r="C98" s="13" t="s">
        <v>643</v>
      </c>
      <c r="D98" s="13">
        <v>10152301.890000001</v>
      </c>
      <c r="E98" s="13">
        <v>3672340.29</v>
      </c>
      <c r="F98" s="13">
        <f t="shared" si="3"/>
        <v>6479961.6000000006</v>
      </c>
    </row>
    <row r="99" spans="1:6" x14ac:dyDescent="0.2">
      <c r="A99" s="12">
        <v>277</v>
      </c>
      <c r="B99" s="12">
        <v>1</v>
      </c>
      <c r="C99" s="13" t="s">
        <v>644</v>
      </c>
      <c r="D99" s="13">
        <v>2625873.7800000003</v>
      </c>
      <c r="E99" s="13">
        <v>869247.49</v>
      </c>
      <c r="F99" s="13">
        <f t="shared" si="3"/>
        <v>1756626.2900000003</v>
      </c>
    </row>
    <row r="100" spans="1:6" x14ac:dyDescent="0.2">
      <c r="A100" s="12">
        <v>278</v>
      </c>
      <c r="B100" s="12">
        <v>1</v>
      </c>
      <c r="C100" s="13" t="s">
        <v>645</v>
      </c>
      <c r="D100" s="13">
        <v>3234518.36</v>
      </c>
      <c r="E100" s="13">
        <v>1104876.06</v>
      </c>
      <c r="F100" s="13">
        <f t="shared" si="3"/>
        <v>2129642.2999999998</v>
      </c>
    </row>
    <row r="101" spans="1:6" x14ac:dyDescent="0.2">
      <c r="A101" s="12">
        <v>279</v>
      </c>
      <c r="B101" s="12">
        <v>1</v>
      </c>
      <c r="C101" s="13" t="s">
        <v>646</v>
      </c>
      <c r="D101" s="13">
        <v>22142305.170000002</v>
      </c>
      <c r="E101" s="13">
        <v>8603688.2599999998</v>
      </c>
      <c r="F101" s="13">
        <f t="shared" si="3"/>
        <v>13538616.910000002</v>
      </c>
    </row>
    <row r="102" spans="1:6" x14ac:dyDescent="0.2">
      <c r="A102" s="12">
        <v>280</v>
      </c>
      <c r="B102" s="12">
        <v>1</v>
      </c>
      <c r="C102" s="13" t="s">
        <v>647</v>
      </c>
      <c r="D102" s="13">
        <v>4392153.46</v>
      </c>
      <c r="E102" s="13">
        <v>1778024.17</v>
      </c>
      <c r="F102" s="13">
        <f t="shared" si="3"/>
        <v>2614129.29</v>
      </c>
    </row>
    <row r="103" spans="1:6" x14ac:dyDescent="0.2">
      <c r="A103" s="12">
        <v>281</v>
      </c>
      <c r="B103" s="12">
        <v>1</v>
      </c>
      <c r="C103" s="13" t="s">
        <v>648</v>
      </c>
      <c r="D103" s="13">
        <v>12769732.770000001</v>
      </c>
      <c r="E103" s="13">
        <v>4289708.38</v>
      </c>
      <c r="F103" s="13">
        <f t="shared" si="3"/>
        <v>8480024.3900000006</v>
      </c>
    </row>
    <row r="104" spans="1:6" x14ac:dyDescent="0.2">
      <c r="A104" s="12">
        <v>282</v>
      </c>
      <c r="B104" s="12">
        <v>1</v>
      </c>
      <c r="C104" s="13" t="s">
        <v>649</v>
      </c>
      <c r="D104" s="13">
        <v>1677969.3399999999</v>
      </c>
      <c r="E104" s="13">
        <v>647800.85</v>
      </c>
      <c r="F104" s="13">
        <f t="shared" si="3"/>
        <v>1030168.4899999999</v>
      </c>
    </row>
    <row r="105" spans="1:6" x14ac:dyDescent="0.2">
      <c r="A105" s="12">
        <v>283</v>
      </c>
      <c r="B105" s="12">
        <v>1</v>
      </c>
      <c r="C105" s="13" t="s">
        <v>650</v>
      </c>
      <c r="D105" s="13">
        <v>5728596.4700000007</v>
      </c>
      <c r="E105" s="13">
        <v>1728113.72</v>
      </c>
      <c r="F105" s="13">
        <f t="shared" si="3"/>
        <v>4000482.7500000009</v>
      </c>
    </row>
    <row r="106" spans="1:6" x14ac:dyDescent="0.2">
      <c r="A106" s="12">
        <v>284</v>
      </c>
      <c r="B106" s="12">
        <v>1</v>
      </c>
      <c r="C106" s="13" t="s">
        <v>651</v>
      </c>
      <c r="D106" s="13">
        <v>15317655.700000001</v>
      </c>
      <c r="E106" s="13">
        <v>5412460.959999999</v>
      </c>
      <c r="F106" s="13">
        <f t="shared" si="3"/>
        <v>9905194.7400000021</v>
      </c>
    </row>
    <row r="107" spans="1:6" x14ac:dyDescent="0.2">
      <c r="A107" s="12">
        <v>286</v>
      </c>
      <c r="B107" s="12">
        <v>1</v>
      </c>
      <c r="C107" s="13" t="s">
        <v>652</v>
      </c>
      <c r="D107" s="13">
        <v>964914.46000000008</v>
      </c>
      <c r="E107" s="13">
        <v>458632.18000000005</v>
      </c>
      <c r="F107" s="13">
        <f t="shared" si="3"/>
        <v>506282.28</v>
      </c>
    </row>
    <row r="108" spans="1:6" x14ac:dyDescent="0.2">
      <c r="A108" s="12">
        <v>294</v>
      </c>
      <c r="B108" s="12">
        <v>1</v>
      </c>
      <c r="C108" s="13" t="s">
        <v>653</v>
      </c>
      <c r="D108" s="13">
        <v>433287.5</v>
      </c>
      <c r="E108" s="13">
        <v>189372.11000000002</v>
      </c>
      <c r="F108" s="13">
        <f t="shared" si="3"/>
        <v>243915.38999999998</v>
      </c>
    </row>
    <row r="109" spans="1:6" x14ac:dyDescent="0.2">
      <c r="A109" s="12">
        <v>297</v>
      </c>
      <c r="B109" s="12">
        <v>1</v>
      </c>
      <c r="C109" s="13" t="s">
        <v>654</v>
      </c>
      <c r="D109" s="13">
        <v>202668.19</v>
      </c>
      <c r="E109" s="13">
        <v>65717.98000000001</v>
      </c>
      <c r="F109" s="13">
        <f t="shared" si="3"/>
        <v>136950.21</v>
      </c>
    </row>
    <row r="110" spans="1:6" x14ac:dyDescent="0.2">
      <c r="A110" s="12">
        <v>299</v>
      </c>
      <c r="B110" s="12">
        <v>1</v>
      </c>
      <c r="C110" s="13" t="s">
        <v>655</v>
      </c>
      <c r="D110" s="13">
        <v>382922.35</v>
      </c>
      <c r="E110" s="13">
        <v>156398.39000000001</v>
      </c>
      <c r="F110" s="13">
        <f t="shared" si="3"/>
        <v>226523.95999999996</v>
      </c>
    </row>
    <row r="111" spans="1:6" x14ac:dyDescent="0.2">
      <c r="A111" s="12">
        <v>300</v>
      </c>
      <c r="B111" s="12">
        <v>1</v>
      </c>
      <c r="C111" s="13" t="s">
        <v>656</v>
      </c>
      <c r="D111" s="13">
        <v>629625.70000000007</v>
      </c>
      <c r="E111" s="13">
        <v>274937.5</v>
      </c>
      <c r="F111" s="13">
        <f t="shared" si="3"/>
        <v>354688.20000000007</v>
      </c>
    </row>
    <row r="112" spans="1:6" x14ac:dyDescent="0.2">
      <c r="A112" s="12">
        <v>306</v>
      </c>
      <c r="B112" s="12">
        <v>1</v>
      </c>
      <c r="C112" s="13" t="s">
        <v>657</v>
      </c>
      <c r="D112" s="13">
        <v>95879.140000000014</v>
      </c>
      <c r="E112" s="13">
        <v>40829.040000000001</v>
      </c>
      <c r="F112" s="13">
        <f t="shared" si="3"/>
        <v>55050.100000000013</v>
      </c>
    </row>
    <row r="113" spans="1:6" x14ac:dyDescent="0.2">
      <c r="A113" s="12">
        <v>308</v>
      </c>
      <c r="B113" s="12">
        <v>1</v>
      </c>
      <c r="C113" s="13" t="s">
        <v>658</v>
      </c>
      <c r="D113" s="13">
        <v>213853.31999999998</v>
      </c>
      <c r="E113" s="13">
        <v>101646.32999999999</v>
      </c>
      <c r="F113" s="13">
        <f t="shared" si="3"/>
        <v>112206.98999999999</v>
      </c>
    </row>
    <row r="114" spans="1:6" x14ac:dyDescent="0.2">
      <c r="A114" s="12">
        <v>309</v>
      </c>
      <c r="B114" s="12">
        <v>1</v>
      </c>
      <c r="C114" s="13" t="s">
        <v>659</v>
      </c>
      <c r="D114" s="13">
        <v>900087.31</v>
      </c>
      <c r="E114" s="13">
        <v>380595.47000000003</v>
      </c>
      <c r="F114" s="13">
        <f t="shared" si="3"/>
        <v>519491.84000000003</v>
      </c>
    </row>
    <row r="115" spans="1:6" x14ac:dyDescent="0.2">
      <c r="A115" s="12">
        <v>314</v>
      </c>
      <c r="B115" s="12">
        <v>1</v>
      </c>
      <c r="C115" s="13" t="s">
        <v>660</v>
      </c>
      <c r="D115" s="13">
        <v>244952.93</v>
      </c>
      <c r="E115" s="13">
        <v>93687.92</v>
      </c>
      <c r="F115" s="13">
        <f t="shared" si="3"/>
        <v>151265.01</v>
      </c>
    </row>
    <row r="116" spans="1:6" x14ac:dyDescent="0.2">
      <c r="A116" s="12">
        <v>316</v>
      </c>
      <c r="B116" s="12">
        <v>1</v>
      </c>
      <c r="C116" s="13" t="s">
        <v>661</v>
      </c>
      <c r="D116" s="13">
        <v>128713.74</v>
      </c>
      <c r="E116" s="13">
        <v>61178.75</v>
      </c>
      <c r="F116" s="13">
        <f t="shared" si="3"/>
        <v>67534.990000000005</v>
      </c>
    </row>
    <row r="117" spans="1:6" x14ac:dyDescent="0.2">
      <c r="A117" s="12">
        <v>317</v>
      </c>
      <c r="B117" s="12">
        <v>1</v>
      </c>
      <c r="C117" s="13" t="s">
        <v>662</v>
      </c>
      <c r="D117" s="13">
        <v>71704.48000000001</v>
      </c>
      <c r="E117" s="13">
        <v>30181.03</v>
      </c>
      <c r="F117" s="13">
        <f t="shared" si="3"/>
        <v>41523.450000000012</v>
      </c>
    </row>
    <row r="118" spans="1:6" x14ac:dyDescent="0.2">
      <c r="A118" s="12">
        <v>318</v>
      </c>
      <c r="B118" s="12">
        <v>1</v>
      </c>
      <c r="C118" s="13" t="s">
        <v>663</v>
      </c>
      <c r="D118" s="13">
        <v>2010886.4</v>
      </c>
      <c r="E118" s="13">
        <v>860692.84</v>
      </c>
      <c r="F118" s="13">
        <f t="shared" si="3"/>
        <v>1150193.56</v>
      </c>
    </row>
    <row r="119" spans="1:6" x14ac:dyDescent="0.2">
      <c r="A119" s="12">
        <v>319</v>
      </c>
      <c r="B119" s="12">
        <v>1</v>
      </c>
      <c r="C119" s="13" t="s">
        <v>664</v>
      </c>
      <c r="D119" s="13">
        <v>186721.85</v>
      </c>
      <c r="E119" s="13">
        <v>74900.209999999992</v>
      </c>
      <c r="F119" s="13">
        <f t="shared" si="3"/>
        <v>111821.64000000001</v>
      </c>
    </row>
    <row r="120" spans="1:6" x14ac:dyDescent="0.2">
      <c r="A120" s="12">
        <v>323</v>
      </c>
      <c r="B120" s="12">
        <v>2</v>
      </c>
      <c r="C120" s="13" t="s">
        <v>665</v>
      </c>
      <c r="D120" s="13">
        <v>11770.5</v>
      </c>
      <c r="E120" s="13">
        <v>1755.0999999999995</v>
      </c>
      <c r="F120" s="13">
        <f t="shared" si="3"/>
        <v>10015.400000000001</v>
      </c>
    </row>
    <row r="121" spans="1:6" x14ac:dyDescent="0.2">
      <c r="A121" s="12">
        <v>330</v>
      </c>
      <c r="B121" s="12">
        <v>1</v>
      </c>
      <c r="C121" s="13" t="s">
        <v>666</v>
      </c>
      <c r="D121" s="13">
        <v>238962.91999999998</v>
      </c>
      <c r="E121" s="13">
        <v>74327.61</v>
      </c>
      <c r="F121" s="13">
        <f t="shared" si="3"/>
        <v>164635.31</v>
      </c>
    </row>
    <row r="122" spans="1:6" x14ac:dyDescent="0.2">
      <c r="A122" s="12">
        <v>332</v>
      </c>
      <c r="B122" s="12">
        <v>1</v>
      </c>
      <c r="C122" s="13" t="s">
        <v>667</v>
      </c>
      <c r="D122" s="13">
        <v>422885.13</v>
      </c>
      <c r="E122" s="13">
        <v>201000.95</v>
      </c>
      <c r="F122" s="13">
        <f t="shared" si="3"/>
        <v>221884.18</v>
      </c>
    </row>
    <row r="123" spans="1:6" x14ac:dyDescent="0.2">
      <c r="A123" s="12">
        <v>333</v>
      </c>
      <c r="B123" s="12">
        <v>1</v>
      </c>
      <c r="C123" s="13" t="s">
        <v>668</v>
      </c>
      <c r="D123" s="13">
        <v>121703.87</v>
      </c>
      <c r="E123" s="13">
        <v>57846.9</v>
      </c>
      <c r="F123" s="13">
        <f t="shared" si="3"/>
        <v>63856.969999999994</v>
      </c>
    </row>
    <row r="124" spans="1:6" x14ac:dyDescent="0.2">
      <c r="A124" s="12">
        <v>345</v>
      </c>
      <c r="B124" s="12">
        <v>1</v>
      </c>
      <c r="C124" s="13" t="s">
        <v>669</v>
      </c>
      <c r="D124" s="13">
        <v>927031.94</v>
      </c>
      <c r="E124" s="13">
        <v>390529.18</v>
      </c>
      <c r="F124" s="13">
        <f t="shared" si="3"/>
        <v>536502.76</v>
      </c>
    </row>
    <row r="125" spans="1:6" x14ac:dyDescent="0.2">
      <c r="A125" s="12">
        <v>347</v>
      </c>
      <c r="B125" s="12">
        <v>1</v>
      </c>
      <c r="C125" s="13" t="s">
        <v>670</v>
      </c>
      <c r="D125" s="13">
        <v>1654068.69</v>
      </c>
      <c r="E125" s="13">
        <v>689569.57</v>
      </c>
      <c r="F125" s="13">
        <f t="shared" si="3"/>
        <v>964499.12</v>
      </c>
    </row>
    <row r="126" spans="1:6" x14ac:dyDescent="0.2">
      <c r="A126" s="12">
        <v>356</v>
      </c>
      <c r="B126" s="12">
        <v>1</v>
      </c>
      <c r="C126" s="13" t="s">
        <v>671</v>
      </c>
      <c r="D126" s="13">
        <v>73462.39</v>
      </c>
      <c r="E126" s="13">
        <v>18732.170000000002</v>
      </c>
      <c r="F126" s="13">
        <f t="shared" si="3"/>
        <v>54730.22</v>
      </c>
    </row>
    <row r="127" spans="1:6" x14ac:dyDescent="0.2">
      <c r="A127" s="12">
        <v>361</v>
      </c>
      <c r="B127" s="12">
        <v>1</v>
      </c>
      <c r="C127" s="13" t="s">
        <v>672</v>
      </c>
      <c r="D127" s="13">
        <v>716084.37</v>
      </c>
      <c r="E127" s="13">
        <v>300837.21999999997</v>
      </c>
      <c r="F127" s="13">
        <f t="shared" si="3"/>
        <v>415247.15</v>
      </c>
    </row>
    <row r="128" spans="1:6" x14ac:dyDescent="0.2">
      <c r="A128" s="12">
        <v>362</v>
      </c>
      <c r="B128" s="12">
        <v>1</v>
      </c>
      <c r="C128" s="13" t="s">
        <v>673</v>
      </c>
      <c r="D128" s="13">
        <v>98536.329999999987</v>
      </c>
      <c r="E128" s="13">
        <v>46835.16</v>
      </c>
      <c r="F128" s="13">
        <f t="shared" si="3"/>
        <v>51701.169999999984</v>
      </c>
    </row>
    <row r="129" spans="1:6" x14ac:dyDescent="0.2">
      <c r="A129" s="12">
        <v>363</v>
      </c>
      <c r="B129" s="12">
        <v>1</v>
      </c>
      <c r="C129" s="13" t="s">
        <v>674</v>
      </c>
      <c r="D129" s="13">
        <v>94420.079999999987</v>
      </c>
      <c r="E129" s="13">
        <v>44878.68</v>
      </c>
      <c r="F129" s="13">
        <f t="shared" si="3"/>
        <v>49541.399999999987</v>
      </c>
    </row>
    <row r="130" spans="1:6" x14ac:dyDescent="0.2">
      <c r="A130" s="12">
        <v>378</v>
      </c>
      <c r="B130" s="12">
        <v>1</v>
      </c>
      <c r="C130" s="13" t="s">
        <v>675</v>
      </c>
      <c r="D130" s="13">
        <v>341862.91</v>
      </c>
      <c r="E130" s="13">
        <v>141868.44</v>
      </c>
      <c r="F130" s="13">
        <f t="shared" si="3"/>
        <v>199994.46999999997</v>
      </c>
    </row>
    <row r="131" spans="1:6" x14ac:dyDescent="0.2">
      <c r="A131" s="12">
        <v>381</v>
      </c>
      <c r="B131" s="12">
        <v>1</v>
      </c>
      <c r="C131" s="13" t="s">
        <v>676</v>
      </c>
      <c r="D131" s="13">
        <v>125005.99999999999</v>
      </c>
      <c r="E131" s="13">
        <v>42468.25</v>
      </c>
      <c r="F131" s="13">
        <f t="shared" si="3"/>
        <v>82537.749999999985</v>
      </c>
    </row>
    <row r="132" spans="1:6" x14ac:dyDescent="0.2">
      <c r="A132" s="12">
        <v>390</v>
      </c>
      <c r="B132" s="12">
        <v>1</v>
      </c>
      <c r="C132" s="13" t="s">
        <v>677</v>
      </c>
      <c r="D132" s="13">
        <v>365621.28</v>
      </c>
      <c r="E132" s="13">
        <v>173782.94999999998</v>
      </c>
      <c r="F132" s="13">
        <f t="shared" si="3"/>
        <v>191838.33000000005</v>
      </c>
    </row>
    <row r="133" spans="1:6" x14ac:dyDescent="0.2">
      <c r="A133" s="12">
        <v>391</v>
      </c>
      <c r="B133" s="12">
        <v>1</v>
      </c>
      <c r="C133" s="13" t="s">
        <v>678</v>
      </c>
      <c r="D133" s="13">
        <v>318519.33</v>
      </c>
      <c r="E133" s="13">
        <v>129356.76000000001</v>
      </c>
      <c r="F133" s="13">
        <f t="shared" si="3"/>
        <v>189162.57</v>
      </c>
    </row>
    <row r="134" spans="1:6" x14ac:dyDescent="0.2">
      <c r="A134" s="12">
        <v>402</v>
      </c>
      <c r="B134" s="12">
        <v>1</v>
      </c>
      <c r="C134" s="13" t="s">
        <v>679</v>
      </c>
      <c r="D134" s="13">
        <v>134925.97</v>
      </c>
      <c r="E134" s="13">
        <v>58921.56</v>
      </c>
      <c r="F134" s="13">
        <f t="shared" si="3"/>
        <v>76004.41</v>
      </c>
    </row>
    <row r="135" spans="1:6" x14ac:dyDescent="0.2">
      <c r="A135" s="12">
        <v>403</v>
      </c>
      <c r="B135" s="12">
        <v>1</v>
      </c>
      <c r="C135" s="13" t="s">
        <v>680</v>
      </c>
      <c r="D135" s="13">
        <v>138432.44</v>
      </c>
      <c r="E135" s="13">
        <v>56777.93</v>
      </c>
      <c r="F135" s="13">
        <f t="shared" si="3"/>
        <v>81654.510000000009</v>
      </c>
    </row>
    <row r="136" spans="1:6" x14ac:dyDescent="0.2">
      <c r="A136" s="12">
        <v>404</v>
      </c>
      <c r="B136" s="12">
        <v>1</v>
      </c>
      <c r="C136" s="13" t="s">
        <v>681</v>
      </c>
      <c r="D136" s="13">
        <v>135807.71</v>
      </c>
      <c r="E136" s="13">
        <v>27355.21</v>
      </c>
      <c r="F136" s="13">
        <f t="shared" si="3"/>
        <v>108452.5</v>
      </c>
    </row>
    <row r="137" spans="1:6" x14ac:dyDescent="0.2">
      <c r="A137" s="12">
        <v>413</v>
      </c>
      <c r="B137" s="12">
        <v>1</v>
      </c>
      <c r="C137" s="13" t="s">
        <v>682</v>
      </c>
      <c r="D137" s="13">
        <v>1211135.75</v>
      </c>
      <c r="E137" s="13">
        <v>478262.36000000004</v>
      </c>
      <c r="F137" s="13">
        <f t="shared" si="3"/>
        <v>732873.3899999999</v>
      </c>
    </row>
    <row r="138" spans="1:6" x14ac:dyDescent="0.2">
      <c r="A138" s="12">
        <v>414</v>
      </c>
      <c r="B138" s="12">
        <v>1</v>
      </c>
      <c r="C138" s="13" t="s">
        <v>683</v>
      </c>
      <c r="D138" s="13">
        <v>169110.68</v>
      </c>
      <c r="E138" s="13">
        <v>65346.539999999994</v>
      </c>
      <c r="F138" s="13">
        <f t="shared" si="3"/>
        <v>103764.14</v>
      </c>
    </row>
    <row r="139" spans="1:6" x14ac:dyDescent="0.2">
      <c r="A139" s="12">
        <v>415</v>
      </c>
      <c r="B139" s="12">
        <v>1</v>
      </c>
      <c r="C139" s="13" t="s">
        <v>684</v>
      </c>
      <c r="D139" s="13">
        <v>176663.86</v>
      </c>
      <c r="E139" s="13">
        <v>73010.7</v>
      </c>
      <c r="F139" s="13">
        <f t="shared" si="3"/>
        <v>103653.15999999999</v>
      </c>
    </row>
    <row r="140" spans="1:6" x14ac:dyDescent="0.2">
      <c r="A140" s="12">
        <v>423</v>
      </c>
      <c r="B140" s="12">
        <v>1</v>
      </c>
      <c r="C140" s="13" t="s">
        <v>685</v>
      </c>
      <c r="D140" s="13">
        <v>1464603.69</v>
      </c>
      <c r="E140" s="13">
        <v>612582.26</v>
      </c>
      <c r="F140" s="13">
        <f t="shared" si="3"/>
        <v>852021.42999999993</v>
      </c>
    </row>
    <row r="141" spans="1:6" x14ac:dyDescent="0.2">
      <c r="A141" s="12">
        <v>424</v>
      </c>
      <c r="B141" s="12">
        <v>1</v>
      </c>
      <c r="C141" s="13" t="s">
        <v>686</v>
      </c>
      <c r="D141" s="13">
        <v>147440.97</v>
      </c>
      <c r="E141" s="13">
        <v>57367.3</v>
      </c>
      <c r="F141" s="13">
        <f t="shared" si="3"/>
        <v>90073.67</v>
      </c>
    </row>
    <row r="142" spans="1:6" x14ac:dyDescent="0.2">
      <c r="A142" s="12">
        <v>432</v>
      </c>
      <c r="B142" s="12">
        <v>1</v>
      </c>
      <c r="C142" s="13" t="s">
        <v>687</v>
      </c>
      <c r="D142" s="13">
        <v>88810.76</v>
      </c>
      <c r="E142" s="13">
        <v>42212.52</v>
      </c>
      <c r="F142" s="13">
        <f t="shared" si="3"/>
        <v>46598.239999999998</v>
      </c>
    </row>
    <row r="143" spans="1:6" x14ac:dyDescent="0.2">
      <c r="A143" s="12">
        <v>435</v>
      </c>
      <c r="B143" s="12">
        <v>1</v>
      </c>
      <c r="C143" s="13" t="s">
        <v>688</v>
      </c>
      <c r="D143" s="13">
        <v>153825.07</v>
      </c>
      <c r="E143" s="13">
        <v>73114.38</v>
      </c>
      <c r="F143" s="13">
        <f t="shared" ref="F143:F206" si="4">D143-E143</f>
        <v>80710.69</v>
      </c>
    </row>
    <row r="144" spans="1:6" x14ac:dyDescent="0.2">
      <c r="A144" s="12">
        <v>441</v>
      </c>
      <c r="B144" s="12">
        <v>1</v>
      </c>
      <c r="C144" s="13" t="s">
        <v>689</v>
      </c>
      <c r="D144" s="13">
        <v>337467.94999999995</v>
      </c>
      <c r="E144" s="13">
        <v>147326.39000000001</v>
      </c>
      <c r="F144" s="13">
        <f t="shared" si="4"/>
        <v>190141.55999999994</v>
      </c>
    </row>
    <row r="145" spans="1:6" x14ac:dyDescent="0.2">
      <c r="A145" s="12">
        <v>447</v>
      </c>
      <c r="B145" s="12">
        <v>1</v>
      </c>
      <c r="C145" s="13" t="s">
        <v>690</v>
      </c>
      <c r="D145" s="13">
        <v>64270.86</v>
      </c>
      <c r="E145" s="13">
        <v>27954.73</v>
      </c>
      <c r="F145" s="13">
        <f t="shared" si="4"/>
        <v>36316.130000000005</v>
      </c>
    </row>
    <row r="146" spans="1:6" x14ac:dyDescent="0.2">
      <c r="A146" s="12">
        <v>458</v>
      </c>
      <c r="B146" s="12">
        <v>1</v>
      </c>
      <c r="C146" s="13" t="s">
        <v>691</v>
      </c>
      <c r="D146" s="13">
        <v>99839.48</v>
      </c>
      <c r="E146" s="13">
        <v>32102.959999999999</v>
      </c>
      <c r="F146" s="13">
        <f t="shared" si="4"/>
        <v>67736.51999999999</v>
      </c>
    </row>
    <row r="147" spans="1:6" x14ac:dyDescent="0.2">
      <c r="A147" s="12">
        <v>463</v>
      </c>
      <c r="B147" s="12">
        <v>1</v>
      </c>
      <c r="C147" s="13" t="s">
        <v>692</v>
      </c>
      <c r="D147" s="13">
        <v>252725.28999999998</v>
      </c>
      <c r="E147" s="13">
        <v>103270.52000000002</v>
      </c>
      <c r="F147" s="13">
        <f t="shared" si="4"/>
        <v>149454.76999999996</v>
      </c>
    </row>
    <row r="148" spans="1:6" x14ac:dyDescent="0.2">
      <c r="A148" s="12">
        <v>465</v>
      </c>
      <c r="B148" s="12">
        <v>1</v>
      </c>
      <c r="C148" s="13" t="s">
        <v>693</v>
      </c>
      <c r="D148" s="13">
        <v>663335.24000000011</v>
      </c>
      <c r="E148" s="13">
        <v>264352.45</v>
      </c>
      <c r="F148" s="13">
        <f t="shared" si="4"/>
        <v>398982.7900000001</v>
      </c>
    </row>
    <row r="149" spans="1:6" x14ac:dyDescent="0.2">
      <c r="A149" s="12">
        <v>466</v>
      </c>
      <c r="B149" s="12">
        <v>1</v>
      </c>
      <c r="C149" s="13" t="s">
        <v>694</v>
      </c>
      <c r="D149" s="13">
        <v>644867.78</v>
      </c>
      <c r="E149" s="13">
        <v>262239.39</v>
      </c>
      <c r="F149" s="13">
        <f t="shared" si="4"/>
        <v>382628.39</v>
      </c>
    </row>
    <row r="150" spans="1:6" x14ac:dyDescent="0.2">
      <c r="A150" s="12">
        <v>473</v>
      </c>
      <c r="B150" s="12">
        <v>1</v>
      </c>
      <c r="C150" s="13" t="s">
        <v>695</v>
      </c>
      <c r="D150" s="13">
        <v>198096.3</v>
      </c>
      <c r="E150" s="13">
        <v>82411.960000000006</v>
      </c>
      <c r="F150" s="13">
        <f t="shared" si="4"/>
        <v>115684.33999999998</v>
      </c>
    </row>
    <row r="151" spans="1:6" x14ac:dyDescent="0.2">
      <c r="A151" s="12">
        <v>477</v>
      </c>
      <c r="B151" s="12">
        <v>1</v>
      </c>
      <c r="C151" s="13" t="s">
        <v>696</v>
      </c>
      <c r="D151" s="13">
        <v>1042626.25</v>
      </c>
      <c r="E151" s="13">
        <v>467493.6</v>
      </c>
      <c r="F151" s="13">
        <f t="shared" si="4"/>
        <v>575132.65</v>
      </c>
    </row>
    <row r="152" spans="1:6" x14ac:dyDescent="0.2">
      <c r="A152" s="12">
        <v>480</v>
      </c>
      <c r="B152" s="12">
        <v>1</v>
      </c>
      <c r="C152" s="13" t="s">
        <v>697</v>
      </c>
      <c r="D152" s="13">
        <v>590503.28</v>
      </c>
      <c r="E152" s="13">
        <v>280671.31</v>
      </c>
      <c r="F152" s="13">
        <f t="shared" si="4"/>
        <v>309831.97000000003</v>
      </c>
    </row>
    <row r="153" spans="1:6" x14ac:dyDescent="0.2">
      <c r="A153" s="12">
        <v>482</v>
      </c>
      <c r="B153" s="12">
        <v>1</v>
      </c>
      <c r="C153" s="13" t="s">
        <v>698</v>
      </c>
      <c r="D153" s="13">
        <v>971039.99</v>
      </c>
      <c r="E153" s="13">
        <v>409962.03</v>
      </c>
      <c r="F153" s="13">
        <f t="shared" si="4"/>
        <v>561077.96</v>
      </c>
    </row>
    <row r="154" spans="1:6" x14ac:dyDescent="0.2">
      <c r="A154" s="12">
        <v>484</v>
      </c>
      <c r="B154" s="12">
        <v>1</v>
      </c>
      <c r="C154" s="13" t="s">
        <v>699</v>
      </c>
      <c r="D154" s="13">
        <v>334081.14999999997</v>
      </c>
      <c r="E154" s="13">
        <v>142464.21000000002</v>
      </c>
      <c r="F154" s="13">
        <f t="shared" si="4"/>
        <v>191616.93999999994</v>
      </c>
    </row>
    <row r="155" spans="1:6" x14ac:dyDescent="0.2">
      <c r="A155" s="12">
        <v>485</v>
      </c>
      <c r="B155" s="12">
        <v>1</v>
      </c>
      <c r="C155" s="13" t="s">
        <v>700</v>
      </c>
      <c r="D155" s="13">
        <v>189209.46</v>
      </c>
      <c r="E155" s="13">
        <v>83085.549999999988</v>
      </c>
      <c r="F155" s="13">
        <f t="shared" si="4"/>
        <v>106123.91</v>
      </c>
    </row>
    <row r="156" spans="1:6" x14ac:dyDescent="0.2">
      <c r="A156" s="12">
        <v>486</v>
      </c>
      <c r="B156" s="12">
        <v>1</v>
      </c>
      <c r="C156" s="13" t="s">
        <v>701</v>
      </c>
      <c r="D156" s="13">
        <v>132310.45000000001</v>
      </c>
      <c r="E156" s="13">
        <v>54939.860000000008</v>
      </c>
      <c r="F156" s="13">
        <f t="shared" si="4"/>
        <v>77370.59</v>
      </c>
    </row>
    <row r="157" spans="1:6" x14ac:dyDescent="0.2">
      <c r="A157" s="12">
        <v>487</v>
      </c>
      <c r="B157" s="12">
        <v>1</v>
      </c>
      <c r="C157" s="13" t="s">
        <v>702</v>
      </c>
      <c r="D157" s="13">
        <v>111749.37</v>
      </c>
      <c r="E157" s="13">
        <v>36280.880000000005</v>
      </c>
      <c r="F157" s="13">
        <f t="shared" si="4"/>
        <v>75468.489999999991</v>
      </c>
    </row>
    <row r="158" spans="1:6" x14ac:dyDescent="0.2">
      <c r="A158" s="12">
        <v>492</v>
      </c>
      <c r="B158" s="12">
        <v>1</v>
      </c>
      <c r="C158" s="13" t="s">
        <v>703</v>
      </c>
      <c r="D158" s="13">
        <v>1396560.96</v>
      </c>
      <c r="E158" s="13">
        <v>568821.44999999995</v>
      </c>
      <c r="F158" s="13">
        <f t="shared" si="4"/>
        <v>827739.51</v>
      </c>
    </row>
    <row r="159" spans="1:6" x14ac:dyDescent="0.2">
      <c r="A159" s="12">
        <v>495</v>
      </c>
      <c r="B159" s="12">
        <v>1</v>
      </c>
      <c r="C159" s="13" t="s">
        <v>704</v>
      </c>
      <c r="D159" s="13">
        <v>188324.06000000003</v>
      </c>
      <c r="E159" s="13">
        <v>60636.87</v>
      </c>
      <c r="F159" s="13">
        <f t="shared" si="4"/>
        <v>127687.19000000003</v>
      </c>
    </row>
    <row r="160" spans="1:6" x14ac:dyDescent="0.2">
      <c r="A160" s="12">
        <v>497</v>
      </c>
      <c r="B160" s="12">
        <v>1</v>
      </c>
      <c r="C160" s="13" t="s">
        <v>705</v>
      </c>
      <c r="D160" s="13">
        <v>27590.489999999998</v>
      </c>
      <c r="E160" s="13">
        <v>13113.990000000002</v>
      </c>
      <c r="F160" s="13">
        <f t="shared" si="4"/>
        <v>14476.499999999996</v>
      </c>
    </row>
    <row r="161" spans="1:6" x14ac:dyDescent="0.2">
      <c r="A161" s="12">
        <v>499</v>
      </c>
      <c r="B161" s="12">
        <v>1</v>
      </c>
      <c r="C161" s="13" t="s">
        <v>706</v>
      </c>
      <c r="D161" s="13">
        <v>231758.41999999998</v>
      </c>
      <c r="E161" s="13">
        <v>54097.3</v>
      </c>
      <c r="F161" s="13">
        <f t="shared" si="4"/>
        <v>177661.12</v>
      </c>
    </row>
    <row r="162" spans="1:6" x14ac:dyDescent="0.2">
      <c r="A162" s="12">
        <v>500</v>
      </c>
      <c r="B162" s="12">
        <v>1</v>
      </c>
      <c r="C162" s="13" t="s">
        <v>707</v>
      </c>
      <c r="D162" s="13">
        <v>160743.27999999997</v>
      </c>
      <c r="E162" s="13">
        <v>74837.240000000005</v>
      </c>
      <c r="F162" s="13">
        <f t="shared" si="4"/>
        <v>85906.039999999964</v>
      </c>
    </row>
    <row r="163" spans="1:6" x14ac:dyDescent="0.2">
      <c r="A163" s="12">
        <v>505</v>
      </c>
      <c r="B163" s="12">
        <v>1</v>
      </c>
      <c r="C163" s="13" t="s">
        <v>708</v>
      </c>
      <c r="D163" s="13">
        <v>130876.46</v>
      </c>
      <c r="E163" s="13">
        <v>51944.649999999994</v>
      </c>
      <c r="F163" s="13">
        <f t="shared" si="4"/>
        <v>78931.810000000012</v>
      </c>
    </row>
    <row r="164" spans="1:6" x14ac:dyDescent="0.2">
      <c r="A164" s="12">
        <v>507</v>
      </c>
      <c r="B164" s="12">
        <v>1</v>
      </c>
      <c r="C164" s="13" t="s">
        <v>709</v>
      </c>
      <c r="D164" s="13">
        <v>162866.79999999999</v>
      </c>
      <c r="E164" s="13">
        <v>47818.62</v>
      </c>
      <c r="F164" s="13">
        <f t="shared" si="4"/>
        <v>115048.18</v>
      </c>
    </row>
    <row r="165" spans="1:6" x14ac:dyDescent="0.2">
      <c r="A165" s="12">
        <v>508</v>
      </c>
      <c r="B165" s="12">
        <v>1</v>
      </c>
      <c r="C165" s="13" t="s">
        <v>710</v>
      </c>
      <c r="D165" s="13">
        <v>1295864.8500000001</v>
      </c>
      <c r="E165" s="13">
        <v>525521.51</v>
      </c>
      <c r="F165" s="13">
        <f t="shared" si="4"/>
        <v>770343.34000000008</v>
      </c>
    </row>
    <row r="166" spans="1:6" x14ac:dyDescent="0.2">
      <c r="A166" s="12">
        <v>511</v>
      </c>
      <c r="B166" s="12">
        <v>1</v>
      </c>
      <c r="C166" s="13" t="s">
        <v>711</v>
      </c>
      <c r="D166" s="13">
        <v>294176.82999999996</v>
      </c>
      <c r="E166" s="13">
        <v>128551.68999999999</v>
      </c>
      <c r="F166" s="13">
        <f t="shared" si="4"/>
        <v>165625.13999999996</v>
      </c>
    </row>
    <row r="167" spans="1:6" x14ac:dyDescent="0.2">
      <c r="A167" s="12">
        <v>513</v>
      </c>
      <c r="B167" s="12">
        <v>1</v>
      </c>
      <c r="C167" s="13" t="s">
        <v>712</v>
      </c>
      <c r="D167" s="13">
        <v>155972.00999999998</v>
      </c>
      <c r="E167" s="13">
        <v>56580.029999999992</v>
      </c>
      <c r="F167" s="13">
        <f t="shared" si="4"/>
        <v>99391.979999999981</v>
      </c>
    </row>
    <row r="168" spans="1:6" x14ac:dyDescent="0.2">
      <c r="A168" s="12">
        <v>514</v>
      </c>
      <c r="B168" s="12">
        <v>1</v>
      </c>
      <c r="C168" s="13" t="s">
        <v>713</v>
      </c>
      <c r="D168" s="13">
        <v>37582.58</v>
      </c>
      <c r="E168" s="13">
        <v>13513.04</v>
      </c>
      <c r="F168" s="13">
        <f t="shared" si="4"/>
        <v>24069.54</v>
      </c>
    </row>
    <row r="169" spans="1:6" x14ac:dyDescent="0.2">
      <c r="A169" s="12">
        <v>516</v>
      </c>
      <c r="B169" s="12">
        <v>1</v>
      </c>
      <c r="C169" s="13" t="s">
        <v>714</v>
      </c>
      <c r="D169" s="13">
        <v>77206.119999999981</v>
      </c>
      <c r="E169" s="13">
        <v>31083.09</v>
      </c>
      <c r="F169" s="13">
        <f t="shared" si="4"/>
        <v>46123.029999999984</v>
      </c>
    </row>
    <row r="170" spans="1:6" x14ac:dyDescent="0.2">
      <c r="A170" s="12">
        <v>518</v>
      </c>
      <c r="B170" s="12">
        <v>1</v>
      </c>
      <c r="C170" s="13" t="s">
        <v>715</v>
      </c>
      <c r="D170" s="13">
        <v>1326101.24</v>
      </c>
      <c r="E170" s="13">
        <v>590497.67999999993</v>
      </c>
      <c r="F170" s="13">
        <f t="shared" si="4"/>
        <v>735603.56</v>
      </c>
    </row>
    <row r="171" spans="1:6" x14ac:dyDescent="0.2">
      <c r="A171" s="12">
        <v>531</v>
      </c>
      <c r="B171" s="12">
        <v>1</v>
      </c>
      <c r="C171" s="13" t="s">
        <v>716</v>
      </c>
      <c r="D171" s="13">
        <v>532660.41</v>
      </c>
      <c r="E171" s="13">
        <v>229236.89</v>
      </c>
      <c r="F171" s="13">
        <f t="shared" si="4"/>
        <v>303423.52</v>
      </c>
    </row>
    <row r="172" spans="1:6" x14ac:dyDescent="0.2">
      <c r="A172" s="12">
        <v>533</v>
      </c>
      <c r="B172" s="12">
        <v>1</v>
      </c>
      <c r="C172" s="13" t="s">
        <v>717</v>
      </c>
      <c r="D172" s="13">
        <v>258688.31999999998</v>
      </c>
      <c r="E172" s="13">
        <v>122956.79000000001</v>
      </c>
      <c r="F172" s="13">
        <f t="shared" si="4"/>
        <v>135731.52999999997</v>
      </c>
    </row>
    <row r="173" spans="1:6" x14ac:dyDescent="0.2">
      <c r="A173" s="12">
        <v>534</v>
      </c>
      <c r="B173" s="12">
        <v>1</v>
      </c>
      <c r="C173" s="13" t="s">
        <v>718</v>
      </c>
      <c r="D173" s="13">
        <v>1087803.94</v>
      </c>
      <c r="E173" s="13">
        <v>481871.51</v>
      </c>
      <c r="F173" s="13">
        <f t="shared" si="4"/>
        <v>605932.42999999993</v>
      </c>
    </row>
    <row r="174" spans="1:6" x14ac:dyDescent="0.2">
      <c r="A174" s="12">
        <v>535</v>
      </c>
      <c r="B174" s="12">
        <v>1</v>
      </c>
      <c r="C174" s="13" t="s">
        <v>719</v>
      </c>
      <c r="D174" s="13">
        <v>10456611.020000001</v>
      </c>
      <c r="E174" s="13">
        <v>4661566.92</v>
      </c>
      <c r="F174" s="13">
        <f t="shared" si="4"/>
        <v>5795044.1000000015</v>
      </c>
    </row>
    <row r="175" spans="1:6" x14ac:dyDescent="0.2">
      <c r="A175" s="12">
        <v>542</v>
      </c>
      <c r="B175" s="12">
        <v>1</v>
      </c>
      <c r="C175" s="13" t="s">
        <v>720</v>
      </c>
      <c r="D175" s="13">
        <v>433038.11</v>
      </c>
      <c r="E175" s="13">
        <v>205826.76</v>
      </c>
      <c r="F175" s="13">
        <f t="shared" si="4"/>
        <v>227211.34999999998</v>
      </c>
    </row>
    <row r="176" spans="1:6" x14ac:dyDescent="0.2">
      <c r="A176" s="12">
        <v>544</v>
      </c>
      <c r="B176" s="12">
        <v>1</v>
      </c>
      <c r="C176" s="13" t="s">
        <v>721</v>
      </c>
      <c r="D176" s="13">
        <v>1049620.7</v>
      </c>
      <c r="E176" s="13">
        <v>474356.70999999996</v>
      </c>
      <c r="F176" s="13">
        <f t="shared" si="4"/>
        <v>575263.99</v>
      </c>
    </row>
    <row r="177" spans="1:6" x14ac:dyDescent="0.2">
      <c r="A177" s="12">
        <v>545</v>
      </c>
      <c r="B177" s="12">
        <v>1</v>
      </c>
      <c r="C177" s="13" t="s">
        <v>722</v>
      </c>
      <c r="D177" s="13">
        <v>253817.48</v>
      </c>
      <c r="E177" s="13">
        <v>101155.99</v>
      </c>
      <c r="F177" s="13">
        <f t="shared" si="4"/>
        <v>152661.49</v>
      </c>
    </row>
    <row r="178" spans="1:6" x14ac:dyDescent="0.2">
      <c r="A178" s="12">
        <v>547</v>
      </c>
      <c r="B178" s="12">
        <v>1</v>
      </c>
      <c r="C178" s="13" t="s">
        <v>723</v>
      </c>
      <c r="D178" s="13">
        <v>279930.56000000006</v>
      </c>
      <c r="E178" s="13">
        <v>120385.10999999999</v>
      </c>
      <c r="F178" s="13">
        <f t="shared" si="4"/>
        <v>159545.45000000007</v>
      </c>
    </row>
    <row r="179" spans="1:6" x14ac:dyDescent="0.2">
      <c r="A179" s="12">
        <v>548</v>
      </c>
      <c r="B179" s="12">
        <v>1</v>
      </c>
      <c r="C179" s="13" t="s">
        <v>724</v>
      </c>
      <c r="D179" s="13">
        <v>577779.87</v>
      </c>
      <c r="E179" s="13">
        <v>274623.76</v>
      </c>
      <c r="F179" s="13">
        <f t="shared" si="4"/>
        <v>303156.11</v>
      </c>
    </row>
    <row r="180" spans="1:6" x14ac:dyDescent="0.2">
      <c r="A180" s="12">
        <v>549</v>
      </c>
      <c r="B180" s="12">
        <v>1</v>
      </c>
      <c r="C180" s="13" t="s">
        <v>725</v>
      </c>
      <c r="D180" s="13">
        <v>777131.83</v>
      </c>
      <c r="E180" s="13">
        <v>343106.21</v>
      </c>
      <c r="F180" s="13">
        <f t="shared" si="4"/>
        <v>434025.61999999994</v>
      </c>
    </row>
    <row r="181" spans="1:6" x14ac:dyDescent="0.2">
      <c r="A181" s="12">
        <v>550</v>
      </c>
      <c r="B181" s="12">
        <v>1</v>
      </c>
      <c r="C181" s="13" t="s">
        <v>726</v>
      </c>
      <c r="D181" s="13">
        <v>75175.649999999994</v>
      </c>
      <c r="E181" s="13">
        <v>35731.629999999997</v>
      </c>
      <c r="F181" s="13">
        <f t="shared" si="4"/>
        <v>39444.019999999997</v>
      </c>
    </row>
    <row r="182" spans="1:6" x14ac:dyDescent="0.2">
      <c r="A182" s="12">
        <v>553</v>
      </c>
      <c r="B182" s="12">
        <v>1</v>
      </c>
      <c r="C182" s="13" t="s">
        <v>727</v>
      </c>
      <c r="D182" s="13">
        <v>120079.60999999999</v>
      </c>
      <c r="E182" s="13">
        <v>46826.609999999993</v>
      </c>
      <c r="F182" s="13">
        <f t="shared" si="4"/>
        <v>73253</v>
      </c>
    </row>
    <row r="183" spans="1:6" x14ac:dyDescent="0.2">
      <c r="A183" s="12">
        <v>561</v>
      </c>
      <c r="B183" s="12">
        <v>1</v>
      </c>
      <c r="C183" s="13" t="s">
        <v>728</v>
      </c>
      <c r="D183" s="13">
        <v>98540.15</v>
      </c>
      <c r="E183" s="13">
        <v>40777.75</v>
      </c>
      <c r="F183" s="13">
        <f t="shared" si="4"/>
        <v>57762.399999999994</v>
      </c>
    </row>
    <row r="184" spans="1:6" x14ac:dyDescent="0.2">
      <c r="A184" s="12">
        <v>564</v>
      </c>
      <c r="B184" s="12">
        <v>1</v>
      </c>
      <c r="C184" s="13" t="s">
        <v>729</v>
      </c>
      <c r="D184" s="13">
        <v>888995.41000000015</v>
      </c>
      <c r="E184" s="13">
        <v>382326.70999999996</v>
      </c>
      <c r="F184" s="13">
        <f t="shared" si="4"/>
        <v>506668.70000000019</v>
      </c>
    </row>
    <row r="185" spans="1:6" x14ac:dyDescent="0.2">
      <c r="A185" s="12">
        <v>577</v>
      </c>
      <c r="B185" s="12">
        <v>1</v>
      </c>
      <c r="C185" s="13" t="s">
        <v>730</v>
      </c>
      <c r="D185" s="13">
        <v>152495.73000000001</v>
      </c>
      <c r="E185" s="13">
        <v>69433.73</v>
      </c>
      <c r="F185" s="13">
        <f t="shared" si="4"/>
        <v>83062.000000000015</v>
      </c>
    </row>
    <row r="186" spans="1:6" x14ac:dyDescent="0.2">
      <c r="A186" s="12">
        <v>578</v>
      </c>
      <c r="B186" s="12">
        <v>1</v>
      </c>
      <c r="C186" s="13" t="s">
        <v>731</v>
      </c>
      <c r="D186" s="13">
        <v>733870.14999999991</v>
      </c>
      <c r="E186" s="13">
        <v>298806.42</v>
      </c>
      <c r="F186" s="13">
        <f t="shared" si="4"/>
        <v>435063.72999999992</v>
      </c>
    </row>
    <row r="187" spans="1:6" x14ac:dyDescent="0.2">
      <c r="A187" s="12">
        <v>581</v>
      </c>
      <c r="B187" s="12">
        <v>1</v>
      </c>
      <c r="C187" s="13" t="s">
        <v>732</v>
      </c>
      <c r="D187" s="13">
        <v>170783.47</v>
      </c>
      <c r="E187" s="13">
        <v>53852.549999999996</v>
      </c>
      <c r="F187" s="13">
        <f t="shared" si="4"/>
        <v>116930.92000000001</v>
      </c>
    </row>
    <row r="188" spans="1:6" x14ac:dyDescent="0.2">
      <c r="A188" s="12">
        <v>592</v>
      </c>
      <c r="B188" s="12">
        <v>1</v>
      </c>
      <c r="C188" s="13" t="s">
        <v>733</v>
      </c>
      <c r="D188" s="13">
        <v>67503.360000000001</v>
      </c>
      <c r="E188" s="13">
        <v>32052.71</v>
      </c>
      <c r="F188" s="13">
        <f t="shared" si="4"/>
        <v>35450.65</v>
      </c>
    </row>
    <row r="189" spans="1:6" x14ac:dyDescent="0.2">
      <c r="A189" s="12">
        <v>593</v>
      </c>
      <c r="B189" s="12">
        <v>1</v>
      </c>
      <c r="C189" s="13" t="s">
        <v>734</v>
      </c>
      <c r="D189" s="13">
        <v>1056901.6599999999</v>
      </c>
      <c r="E189" s="13">
        <v>502354.49000000005</v>
      </c>
      <c r="F189" s="13">
        <f t="shared" si="4"/>
        <v>554547.16999999993</v>
      </c>
    </row>
    <row r="190" spans="1:6" x14ac:dyDescent="0.2">
      <c r="A190" s="12">
        <v>595</v>
      </c>
      <c r="B190" s="12">
        <v>1</v>
      </c>
      <c r="C190" s="13" t="s">
        <v>735</v>
      </c>
      <c r="D190" s="13">
        <v>613900.71</v>
      </c>
      <c r="E190" s="13">
        <v>291792.31000000006</v>
      </c>
      <c r="F190" s="13">
        <f t="shared" si="4"/>
        <v>322108.39999999991</v>
      </c>
    </row>
    <row r="191" spans="1:6" x14ac:dyDescent="0.2">
      <c r="A191" s="12">
        <v>599</v>
      </c>
      <c r="B191" s="12">
        <v>1</v>
      </c>
      <c r="C191" s="13" t="s">
        <v>736</v>
      </c>
      <c r="D191" s="13">
        <v>285832.03000000003</v>
      </c>
      <c r="E191" s="13">
        <v>116162.78999999998</v>
      </c>
      <c r="F191" s="13">
        <f t="shared" si="4"/>
        <v>169669.24000000005</v>
      </c>
    </row>
    <row r="192" spans="1:6" x14ac:dyDescent="0.2">
      <c r="A192" s="12">
        <v>600</v>
      </c>
      <c r="B192" s="12">
        <v>1</v>
      </c>
      <c r="C192" s="13" t="s">
        <v>737</v>
      </c>
      <c r="D192" s="13">
        <v>57205.54</v>
      </c>
      <c r="E192" s="13">
        <v>27190.29</v>
      </c>
      <c r="F192" s="13">
        <f t="shared" si="4"/>
        <v>30015.25</v>
      </c>
    </row>
    <row r="193" spans="1:6" x14ac:dyDescent="0.2">
      <c r="A193" s="12">
        <v>601</v>
      </c>
      <c r="B193" s="12">
        <v>1</v>
      </c>
      <c r="C193" s="13" t="s">
        <v>738</v>
      </c>
      <c r="D193" s="13">
        <v>287503.04000000004</v>
      </c>
      <c r="E193" s="13">
        <v>131258.51999999999</v>
      </c>
      <c r="F193" s="13">
        <f t="shared" si="4"/>
        <v>156244.52000000005</v>
      </c>
    </row>
    <row r="194" spans="1:6" x14ac:dyDescent="0.2">
      <c r="A194" s="12">
        <v>611</v>
      </c>
      <c r="B194" s="12">
        <v>1</v>
      </c>
      <c r="C194" s="13" t="s">
        <v>739</v>
      </c>
      <c r="D194" s="13">
        <v>37714.270000000004</v>
      </c>
      <c r="E194" s="13">
        <v>17925.919999999998</v>
      </c>
      <c r="F194" s="13">
        <f t="shared" si="4"/>
        <v>19788.350000000006</v>
      </c>
    </row>
    <row r="195" spans="1:6" x14ac:dyDescent="0.2">
      <c r="A195" s="12">
        <v>621</v>
      </c>
      <c r="B195" s="12">
        <v>1</v>
      </c>
      <c r="C195" s="13" t="s">
        <v>740</v>
      </c>
      <c r="D195" s="13">
        <v>10770034.050000001</v>
      </c>
      <c r="E195" s="13">
        <v>3821586.0100000002</v>
      </c>
      <c r="F195" s="13">
        <f t="shared" si="4"/>
        <v>6948448.040000001</v>
      </c>
    </row>
    <row r="196" spans="1:6" x14ac:dyDescent="0.2">
      <c r="A196" s="12">
        <v>622</v>
      </c>
      <c r="B196" s="12">
        <v>1</v>
      </c>
      <c r="C196" s="13" t="s">
        <v>741</v>
      </c>
      <c r="D196" s="13">
        <v>7186900.7999999998</v>
      </c>
      <c r="E196" s="13">
        <v>3415996.06</v>
      </c>
      <c r="F196" s="13">
        <f t="shared" si="4"/>
        <v>3770904.7399999998</v>
      </c>
    </row>
    <row r="197" spans="1:6" x14ac:dyDescent="0.2">
      <c r="A197" s="12">
        <v>623</v>
      </c>
      <c r="B197" s="12">
        <v>1</v>
      </c>
      <c r="C197" s="13" t="s">
        <v>742</v>
      </c>
      <c r="D197" s="13">
        <v>5496705.3600000003</v>
      </c>
      <c r="E197" s="13">
        <v>1940154.02</v>
      </c>
      <c r="F197" s="13">
        <f t="shared" si="4"/>
        <v>3556551.3400000003</v>
      </c>
    </row>
    <row r="198" spans="1:6" x14ac:dyDescent="0.2">
      <c r="A198" s="12">
        <v>624</v>
      </c>
      <c r="B198" s="12">
        <v>1</v>
      </c>
      <c r="C198" s="13" t="s">
        <v>743</v>
      </c>
      <c r="D198" s="13">
        <v>9967696.2100000009</v>
      </c>
      <c r="E198" s="13">
        <v>3907592.2499999995</v>
      </c>
      <c r="F198" s="13">
        <f t="shared" si="4"/>
        <v>6060103.9600000009</v>
      </c>
    </row>
    <row r="199" spans="1:6" x14ac:dyDescent="0.2">
      <c r="A199" s="12">
        <v>625</v>
      </c>
      <c r="B199" s="12">
        <v>1</v>
      </c>
      <c r="C199" s="13" t="s">
        <v>744</v>
      </c>
      <c r="D199" s="13">
        <v>28834425.990000002</v>
      </c>
      <c r="E199" s="13">
        <v>12407510.649999999</v>
      </c>
      <c r="F199" s="13">
        <f t="shared" si="4"/>
        <v>16426915.340000004</v>
      </c>
    </row>
    <row r="200" spans="1:6" x14ac:dyDescent="0.2">
      <c r="A200" s="12">
        <v>627</v>
      </c>
      <c r="B200" s="12">
        <v>1</v>
      </c>
      <c r="C200" s="13" t="s">
        <v>745</v>
      </c>
      <c r="D200" s="13">
        <v>60455.280000000013</v>
      </c>
      <c r="E200" s="13">
        <v>26189.47</v>
      </c>
      <c r="F200" s="13">
        <f t="shared" si="4"/>
        <v>34265.810000000012</v>
      </c>
    </row>
    <row r="201" spans="1:6" x14ac:dyDescent="0.2">
      <c r="A201" s="12">
        <v>628</v>
      </c>
      <c r="B201" s="12">
        <v>1</v>
      </c>
      <c r="C201" s="13" t="s">
        <v>746</v>
      </c>
      <c r="D201" s="13">
        <v>116232.94999999998</v>
      </c>
      <c r="E201" s="13">
        <v>42966.01</v>
      </c>
      <c r="F201" s="13">
        <f t="shared" si="4"/>
        <v>73266.939999999973</v>
      </c>
    </row>
    <row r="202" spans="1:6" x14ac:dyDescent="0.2">
      <c r="A202" s="12">
        <v>630</v>
      </c>
      <c r="B202" s="12">
        <v>1</v>
      </c>
      <c r="C202" s="13" t="s">
        <v>747</v>
      </c>
      <c r="D202" s="13">
        <v>195488.8</v>
      </c>
      <c r="E202" s="13">
        <v>84567.329999999987</v>
      </c>
      <c r="F202" s="13">
        <f t="shared" si="4"/>
        <v>110921.47</v>
      </c>
    </row>
    <row r="203" spans="1:6" x14ac:dyDescent="0.2">
      <c r="A203" s="12">
        <v>635</v>
      </c>
      <c r="B203" s="12">
        <v>1</v>
      </c>
      <c r="C203" s="13" t="s">
        <v>748</v>
      </c>
      <c r="D203" s="13">
        <v>67861.240000000005</v>
      </c>
      <c r="E203" s="13">
        <v>17191.41</v>
      </c>
      <c r="F203" s="13">
        <f t="shared" si="4"/>
        <v>50669.83</v>
      </c>
    </row>
    <row r="204" spans="1:6" x14ac:dyDescent="0.2">
      <c r="A204" s="12">
        <v>640</v>
      </c>
      <c r="B204" s="12">
        <v>1</v>
      </c>
      <c r="C204" s="13" t="s">
        <v>749</v>
      </c>
      <c r="D204" s="13">
        <v>197869.84999999998</v>
      </c>
      <c r="E204" s="13">
        <v>82895.47</v>
      </c>
      <c r="F204" s="13">
        <f t="shared" si="4"/>
        <v>114974.37999999998</v>
      </c>
    </row>
    <row r="205" spans="1:6" x14ac:dyDescent="0.2">
      <c r="A205" s="12">
        <v>656</v>
      </c>
      <c r="B205" s="12">
        <v>1</v>
      </c>
      <c r="C205" s="13" t="s">
        <v>750</v>
      </c>
      <c r="D205" s="13">
        <v>1778542.0299999998</v>
      </c>
      <c r="E205" s="13">
        <v>672222.84999999986</v>
      </c>
      <c r="F205" s="13">
        <f t="shared" si="4"/>
        <v>1106319.18</v>
      </c>
    </row>
    <row r="206" spans="1:6" x14ac:dyDescent="0.2">
      <c r="A206" s="12">
        <v>659</v>
      </c>
      <c r="B206" s="12">
        <v>1</v>
      </c>
      <c r="C206" s="13" t="s">
        <v>751</v>
      </c>
      <c r="D206" s="13">
        <v>4081548.35</v>
      </c>
      <c r="E206" s="13">
        <v>1743516.17</v>
      </c>
      <c r="F206" s="13">
        <f t="shared" si="4"/>
        <v>2338032.1800000002</v>
      </c>
    </row>
    <row r="207" spans="1:6" x14ac:dyDescent="0.2">
      <c r="A207" s="12">
        <v>671</v>
      </c>
      <c r="B207" s="12">
        <v>1</v>
      </c>
      <c r="C207" s="13" t="s">
        <v>752</v>
      </c>
      <c r="D207" s="13">
        <v>211889.74</v>
      </c>
      <c r="E207" s="13">
        <v>66663.260000000009</v>
      </c>
      <c r="F207" s="13">
        <f t="shared" ref="F207:F270" si="5">D207-E207</f>
        <v>145226.47999999998</v>
      </c>
    </row>
    <row r="208" spans="1:6" x14ac:dyDescent="0.2">
      <c r="A208" s="12">
        <v>676</v>
      </c>
      <c r="B208" s="12">
        <v>1</v>
      </c>
      <c r="C208" s="13" t="s">
        <v>753</v>
      </c>
      <c r="D208" s="13">
        <v>65220.100000000006</v>
      </c>
      <c r="E208" s="13">
        <v>24984.31</v>
      </c>
      <c r="F208" s="13">
        <f t="shared" si="5"/>
        <v>40235.790000000008</v>
      </c>
    </row>
    <row r="209" spans="1:6" x14ac:dyDescent="0.2">
      <c r="A209" s="12">
        <v>682</v>
      </c>
      <c r="B209" s="12">
        <v>1</v>
      </c>
      <c r="C209" s="13" t="s">
        <v>754</v>
      </c>
      <c r="D209" s="13">
        <v>368809.16</v>
      </c>
      <c r="E209" s="13">
        <v>151397.91999999998</v>
      </c>
      <c r="F209" s="13">
        <f t="shared" si="5"/>
        <v>217411.24</v>
      </c>
    </row>
    <row r="210" spans="1:6" x14ac:dyDescent="0.2">
      <c r="A210" s="12">
        <v>690</v>
      </c>
      <c r="B210" s="12">
        <v>1</v>
      </c>
      <c r="C210" s="13" t="s">
        <v>755</v>
      </c>
      <c r="D210" s="13">
        <v>377374.89999999997</v>
      </c>
      <c r="E210" s="13">
        <v>159963.97999999998</v>
      </c>
      <c r="F210" s="13">
        <f t="shared" si="5"/>
        <v>217410.91999999998</v>
      </c>
    </row>
    <row r="211" spans="1:6" x14ac:dyDescent="0.2">
      <c r="A211" s="12">
        <v>695</v>
      </c>
      <c r="B211" s="12">
        <v>1</v>
      </c>
      <c r="C211" s="13" t="s">
        <v>756</v>
      </c>
      <c r="D211" s="13">
        <v>133497.41</v>
      </c>
      <c r="E211" s="13">
        <v>48924.78</v>
      </c>
      <c r="F211" s="13">
        <f t="shared" si="5"/>
        <v>84572.63</v>
      </c>
    </row>
    <row r="212" spans="1:6" x14ac:dyDescent="0.2">
      <c r="A212" s="12">
        <v>696</v>
      </c>
      <c r="B212" s="12">
        <v>1</v>
      </c>
      <c r="C212" s="13" t="s">
        <v>757</v>
      </c>
      <c r="D212" s="13">
        <v>624462.49</v>
      </c>
      <c r="E212" s="13">
        <v>264562.53999999998</v>
      </c>
      <c r="F212" s="13">
        <f t="shared" si="5"/>
        <v>359899.95</v>
      </c>
    </row>
    <row r="213" spans="1:6" x14ac:dyDescent="0.2">
      <c r="A213" s="12">
        <v>698</v>
      </c>
      <c r="B213" s="12">
        <v>1</v>
      </c>
      <c r="C213" s="13" t="s">
        <v>758</v>
      </c>
      <c r="D213" s="13">
        <v>170355.84</v>
      </c>
      <c r="E213" s="13">
        <v>73158.17</v>
      </c>
      <c r="F213" s="13">
        <f t="shared" si="5"/>
        <v>97197.67</v>
      </c>
    </row>
    <row r="214" spans="1:6" x14ac:dyDescent="0.2">
      <c r="A214" s="12">
        <v>700</v>
      </c>
      <c r="B214" s="12">
        <v>1</v>
      </c>
      <c r="C214" s="13" t="s">
        <v>759</v>
      </c>
      <c r="D214" s="13">
        <v>1094389.1000000001</v>
      </c>
      <c r="E214" s="13">
        <v>476516.92</v>
      </c>
      <c r="F214" s="13">
        <f t="shared" si="5"/>
        <v>617872.18000000017</v>
      </c>
    </row>
    <row r="215" spans="1:6" x14ac:dyDescent="0.2">
      <c r="A215" s="12">
        <v>701</v>
      </c>
      <c r="B215" s="12">
        <v>1</v>
      </c>
      <c r="C215" s="13" t="s">
        <v>760</v>
      </c>
      <c r="D215" s="13">
        <v>571042.86</v>
      </c>
      <c r="E215" s="13">
        <v>214192.88</v>
      </c>
      <c r="F215" s="13">
        <f t="shared" si="5"/>
        <v>356849.98</v>
      </c>
    </row>
    <row r="216" spans="1:6" x14ac:dyDescent="0.2">
      <c r="A216" s="12">
        <v>704</v>
      </c>
      <c r="B216" s="12">
        <v>1</v>
      </c>
      <c r="C216" s="13" t="s">
        <v>761</v>
      </c>
      <c r="D216" s="13">
        <v>781775.75</v>
      </c>
      <c r="E216" s="13">
        <v>343251.51</v>
      </c>
      <c r="F216" s="13">
        <f t="shared" si="5"/>
        <v>438524.24</v>
      </c>
    </row>
    <row r="217" spans="1:6" x14ac:dyDescent="0.2">
      <c r="A217" s="12">
        <v>706</v>
      </c>
      <c r="B217" s="12">
        <v>1</v>
      </c>
      <c r="C217" s="13" t="s">
        <v>762</v>
      </c>
      <c r="D217" s="13">
        <v>406134.87000000005</v>
      </c>
      <c r="E217" s="13">
        <v>158314.59</v>
      </c>
      <c r="F217" s="13">
        <f t="shared" si="5"/>
        <v>247820.28000000006</v>
      </c>
    </row>
    <row r="218" spans="1:6" x14ac:dyDescent="0.2">
      <c r="A218" s="12">
        <v>707</v>
      </c>
      <c r="B218" s="12">
        <v>1</v>
      </c>
      <c r="C218" s="13" t="s">
        <v>763</v>
      </c>
      <c r="D218" s="13">
        <v>19309.07</v>
      </c>
      <c r="E218" s="13">
        <v>9157.4499999999989</v>
      </c>
      <c r="F218" s="13">
        <f t="shared" si="5"/>
        <v>10151.620000000001</v>
      </c>
    </row>
    <row r="219" spans="1:6" x14ac:dyDescent="0.2">
      <c r="A219" s="12">
        <v>709</v>
      </c>
      <c r="B219" s="12">
        <v>1</v>
      </c>
      <c r="C219" s="13" t="s">
        <v>764</v>
      </c>
      <c r="D219" s="13">
        <v>5072811.53</v>
      </c>
      <c r="E219" s="13">
        <v>2115621.37</v>
      </c>
      <c r="F219" s="13">
        <f t="shared" si="5"/>
        <v>2957190.16</v>
      </c>
    </row>
    <row r="220" spans="1:6" x14ac:dyDescent="0.2">
      <c r="A220" s="12">
        <v>712</v>
      </c>
      <c r="B220" s="12">
        <v>1</v>
      </c>
      <c r="C220" s="13" t="s">
        <v>765</v>
      </c>
      <c r="D220" s="13">
        <v>88839.5</v>
      </c>
      <c r="E220" s="13">
        <v>28230.140000000003</v>
      </c>
      <c r="F220" s="13">
        <f t="shared" si="5"/>
        <v>60609.36</v>
      </c>
    </row>
    <row r="221" spans="1:6" x14ac:dyDescent="0.2">
      <c r="A221" s="12">
        <v>716</v>
      </c>
      <c r="B221" s="12">
        <v>1</v>
      </c>
      <c r="C221" s="13" t="s">
        <v>766</v>
      </c>
      <c r="D221" s="13">
        <v>713353.59</v>
      </c>
      <c r="E221" s="13">
        <v>324501</v>
      </c>
      <c r="F221" s="13">
        <f t="shared" si="5"/>
        <v>388852.58999999997</v>
      </c>
    </row>
    <row r="222" spans="1:6" x14ac:dyDescent="0.2">
      <c r="A222" s="12">
        <v>717</v>
      </c>
      <c r="B222" s="12">
        <v>1</v>
      </c>
      <c r="C222" s="13" t="s">
        <v>767</v>
      </c>
      <c r="D222" s="13">
        <v>857904.25</v>
      </c>
      <c r="E222" s="13">
        <v>378886.24</v>
      </c>
      <c r="F222" s="13">
        <f t="shared" si="5"/>
        <v>479018.01</v>
      </c>
    </row>
    <row r="223" spans="1:6" x14ac:dyDescent="0.2">
      <c r="A223" s="12">
        <v>719</v>
      </c>
      <c r="B223" s="12">
        <v>1</v>
      </c>
      <c r="C223" s="13" t="s">
        <v>768</v>
      </c>
      <c r="D223" s="13">
        <v>4890571.3199999994</v>
      </c>
      <c r="E223" s="13">
        <v>1855823.21</v>
      </c>
      <c r="F223" s="13">
        <f t="shared" si="5"/>
        <v>3034748.1099999994</v>
      </c>
    </row>
    <row r="224" spans="1:6" x14ac:dyDescent="0.2">
      <c r="A224" s="12">
        <v>720</v>
      </c>
      <c r="B224" s="12">
        <v>1</v>
      </c>
      <c r="C224" s="13" t="s">
        <v>769</v>
      </c>
      <c r="D224" s="13">
        <v>4029829.71</v>
      </c>
      <c r="E224" s="13">
        <v>1915412.89</v>
      </c>
      <c r="F224" s="13">
        <f t="shared" si="5"/>
        <v>2114416.8200000003</v>
      </c>
    </row>
    <row r="225" spans="1:6" x14ac:dyDescent="0.2">
      <c r="A225" s="12">
        <v>721</v>
      </c>
      <c r="B225" s="12">
        <v>1</v>
      </c>
      <c r="C225" s="13" t="s">
        <v>770</v>
      </c>
      <c r="D225" s="13">
        <v>1875313.04</v>
      </c>
      <c r="E225" s="13">
        <v>806519.77999999991</v>
      </c>
      <c r="F225" s="13">
        <f t="shared" si="5"/>
        <v>1068793.2600000002</v>
      </c>
    </row>
    <row r="226" spans="1:6" x14ac:dyDescent="0.2">
      <c r="A226" s="12">
        <v>726</v>
      </c>
      <c r="B226" s="12">
        <v>1</v>
      </c>
      <c r="C226" s="13" t="s">
        <v>771</v>
      </c>
      <c r="D226" s="13">
        <v>1165027.22</v>
      </c>
      <c r="E226" s="13">
        <v>553747.5</v>
      </c>
      <c r="F226" s="13">
        <f t="shared" si="5"/>
        <v>611279.72</v>
      </c>
    </row>
    <row r="227" spans="1:6" x14ac:dyDescent="0.2">
      <c r="A227" s="12">
        <v>727</v>
      </c>
      <c r="B227" s="12">
        <v>1</v>
      </c>
      <c r="C227" s="13" t="s">
        <v>772</v>
      </c>
      <c r="D227" s="13">
        <v>974366.07</v>
      </c>
      <c r="E227" s="13">
        <v>411081.62</v>
      </c>
      <c r="F227" s="13">
        <f t="shared" si="5"/>
        <v>563284.44999999995</v>
      </c>
    </row>
    <row r="228" spans="1:6" x14ac:dyDescent="0.2">
      <c r="A228" s="12">
        <v>728</v>
      </c>
      <c r="B228" s="12">
        <v>1</v>
      </c>
      <c r="C228" s="13" t="s">
        <v>773</v>
      </c>
      <c r="D228" s="13">
        <v>7248289.1299999999</v>
      </c>
      <c r="E228" s="13">
        <v>3445174.46</v>
      </c>
      <c r="F228" s="13">
        <f t="shared" si="5"/>
        <v>3803114.67</v>
      </c>
    </row>
    <row r="229" spans="1:6" x14ac:dyDescent="0.2">
      <c r="A229" s="12">
        <v>738</v>
      </c>
      <c r="B229" s="12">
        <v>1</v>
      </c>
      <c r="C229" s="13" t="s">
        <v>774</v>
      </c>
      <c r="D229" s="13">
        <v>168891.13</v>
      </c>
      <c r="E229" s="13">
        <v>62030.67</v>
      </c>
      <c r="F229" s="13">
        <f t="shared" si="5"/>
        <v>106860.46</v>
      </c>
    </row>
    <row r="230" spans="1:6" x14ac:dyDescent="0.2">
      <c r="A230" s="12">
        <v>739</v>
      </c>
      <c r="B230" s="12">
        <v>1</v>
      </c>
      <c r="C230" s="13" t="s">
        <v>775</v>
      </c>
      <c r="D230" s="13">
        <v>402700.19999999995</v>
      </c>
      <c r="E230" s="13">
        <v>168510.39</v>
      </c>
      <c r="F230" s="13">
        <f t="shared" si="5"/>
        <v>234189.80999999994</v>
      </c>
    </row>
    <row r="231" spans="1:6" x14ac:dyDescent="0.2">
      <c r="A231" s="12">
        <v>740</v>
      </c>
      <c r="B231" s="12">
        <v>1</v>
      </c>
      <c r="C231" s="13" t="s">
        <v>776</v>
      </c>
      <c r="D231" s="13">
        <v>551008.01</v>
      </c>
      <c r="E231" s="13">
        <v>234472.82</v>
      </c>
      <c r="F231" s="13">
        <f t="shared" si="5"/>
        <v>316535.19</v>
      </c>
    </row>
    <row r="232" spans="1:6" x14ac:dyDescent="0.2">
      <c r="A232" s="12">
        <v>741</v>
      </c>
      <c r="B232" s="12">
        <v>1</v>
      </c>
      <c r="C232" s="13" t="s">
        <v>777</v>
      </c>
      <c r="D232" s="13">
        <v>530966.97000000009</v>
      </c>
      <c r="E232" s="13">
        <v>225933.84000000003</v>
      </c>
      <c r="F232" s="13">
        <f t="shared" si="5"/>
        <v>305033.13000000006</v>
      </c>
    </row>
    <row r="233" spans="1:6" x14ac:dyDescent="0.2">
      <c r="A233" s="12">
        <v>742</v>
      </c>
      <c r="B233" s="12">
        <v>1</v>
      </c>
      <c r="C233" s="13" t="s">
        <v>778</v>
      </c>
      <c r="D233" s="13">
        <v>6918737.9000000004</v>
      </c>
      <c r="E233" s="13">
        <v>2960859.33</v>
      </c>
      <c r="F233" s="13">
        <f t="shared" si="5"/>
        <v>3957878.5700000003</v>
      </c>
    </row>
    <row r="234" spans="1:6" x14ac:dyDescent="0.2">
      <c r="A234" s="12">
        <v>743</v>
      </c>
      <c r="B234" s="12">
        <v>1</v>
      </c>
      <c r="C234" s="13" t="s">
        <v>779</v>
      </c>
      <c r="D234" s="13">
        <v>613511.1399999999</v>
      </c>
      <c r="E234" s="13">
        <v>273028.99</v>
      </c>
      <c r="F234" s="13">
        <f t="shared" si="5"/>
        <v>340482.14999999991</v>
      </c>
    </row>
    <row r="235" spans="1:6" x14ac:dyDescent="0.2">
      <c r="A235" s="12">
        <v>745</v>
      </c>
      <c r="B235" s="12">
        <v>1</v>
      </c>
      <c r="C235" s="13" t="s">
        <v>780</v>
      </c>
      <c r="D235" s="13">
        <v>382284.14</v>
      </c>
      <c r="E235" s="13">
        <v>150051.19</v>
      </c>
      <c r="F235" s="13">
        <f t="shared" si="5"/>
        <v>232232.95</v>
      </c>
    </row>
    <row r="236" spans="1:6" x14ac:dyDescent="0.2">
      <c r="A236" s="12">
        <v>748</v>
      </c>
      <c r="B236" s="12">
        <v>1</v>
      </c>
      <c r="C236" s="13" t="s">
        <v>781</v>
      </c>
      <c r="D236" s="13">
        <v>1234993.43</v>
      </c>
      <c r="E236" s="13">
        <v>538387.30000000005</v>
      </c>
      <c r="F236" s="13">
        <f t="shared" si="5"/>
        <v>696606.12999999989</v>
      </c>
    </row>
    <row r="237" spans="1:6" x14ac:dyDescent="0.2">
      <c r="A237" s="12">
        <v>750</v>
      </c>
      <c r="B237" s="12">
        <v>1</v>
      </c>
      <c r="C237" s="13" t="s">
        <v>782</v>
      </c>
      <c r="D237" s="13">
        <v>866940.64</v>
      </c>
      <c r="E237" s="13">
        <v>383186.17</v>
      </c>
      <c r="F237" s="13">
        <f t="shared" si="5"/>
        <v>483754.47000000003</v>
      </c>
    </row>
    <row r="238" spans="1:6" x14ac:dyDescent="0.2">
      <c r="A238" s="12">
        <v>756</v>
      </c>
      <c r="B238" s="12">
        <v>1</v>
      </c>
      <c r="C238" s="13" t="s">
        <v>783</v>
      </c>
      <c r="D238" s="13">
        <v>252793.28000000003</v>
      </c>
      <c r="E238" s="13">
        <v>94249.55</v>
      </c>
      <c r="F238" s="13">
        <f t="shared" si="5"/>
        <v>158543.73000000004</v>
      </c>
    </row>
    <row r="239" spans="1:6" x14ac:dyDescent="0.2">
      <c r="A239" s="12">
        <v>761</v>
      </c>
      <c r="B239" s="12">
        <v>1</v>
      </c>
      <c r="C239" s="13" t="s">
        <v>784</v>
      </c>
      <c r="D239" s="13">
        <v>2181422.83</v>
      </c>
      <c r="E239" s="13">
        <v>858813.27999999991</v>
      </c>
      <c r="F239" s="13">
        <f t="shared" si="5"/>
        <v>1322609.5500000003</v>
      </c>
    </row>
    <row r="240" spans="1:6" x14ac:dyDescent="0.2">
      <c r="A240" s="12">
        <v>763</v>
      </c>
      <c r="B240" s="12">
        <v>1</v>
      </c>
      <c r="C240" s="13" t="s">
        <v>785</v>
      </c>
      <c r="D240" s="13">
        <v>115495.73</v>
      </c>
      <c r="E240" s="13">
        <v>54896.119999999995</v>
      </c>
      <c r="F240" s="13">
        <f t="shared" si="5"/>
        <v>60599.61</v>
      </c>
    </row>
    <row r="241" spans="1:6" x14ac:dyDescent="0.2">
      <c r="A241" s="12">
        <v>768</v>
      </c>
      <c r="B241" s="12">
        <v>1</v>
      </c>
      <c r="C241" s="13" t="s">
        <v>786</v>
      </c>
      <c r="D241" s="13">
        <v>105437.51000000001</v>
      </c>
      <c r="E241" s="13">
        <v>41238.300000000003</v>
      </c>
      <c r="F241" s="13">
        <f t="shared" si="5"/>
        <v>64199.210000000006</v>
      </c>
    </row>
    <row r="242" spans="1:6" x14ac:dyDescent="0.2">
      <c r="A242" s="12">
        <v>769</v>
      </c>
      <c r="B242" s="12">
        <v>1</v>
      </c>
      <c r="C242" s="13" t="s">
        <v>787</v>
      </c>
      <c r="D242" s="13">
        <v>348800.44</v>
      </c>
      <c r="E242" s="13">
        <v>111501.98000000001</v>
      </c>
      <c r="F242" s="13">
        <f t="shared" si="5"/>
        <v>237298.46</v>
      </c>
    </row>
    <row r="243" spans="1:6" x14ac:dyDescent="0.2">
      <c r="A243" s="12">
        <v>771</v>
      </c>
      <c r="B243" s="12">
        <v>1</v>
      </c>
      <c r="C243" s="13" t="s">
        <v>788</v>
      </c>
      <c r="D243" s="13">
        <v>164106.48000000001</v>
      </c>
      <c r="E243" s="13">
        <v>29997.609999999997</v>
      </c>
      <c r="F243" s="13">
        <f t="shared" si="5"/>
        <v>134108.87000000002</v>
      </c>
    </row>
    <row r="244" spans="1:6" x14ac:dyDescent="0.2">
      <c r="A244" s="12">
        <v>775</v>
      </c>
      <c r="B244" s="12">
        <v>1</v>
      </c>
      <c r="C244" s="13" t="s">
        <v>789</v>
      </c>
      <c r="D244" s="13">
        <v>171421.06</v>
      </c>
      <c r="E244" s="13">
        <v>81477.91</v>
      </c>
      <c r="F244" s="13">
        <f t="shared" si="5"/>
        <v>89943.15</v>
      </c>
    </row>
    <row r="245" spans="1:6" x14ac:dyDescent="0.2">
      <c r="A245" s="12">
        <v>777</v>
      </c>
      <c r="B245" s="12">
        <v>1</v>
      </c>
      <c r="C245" s="13" t="s">
        <v>790</v>
      </c>
      <c r="D245" s="13">
        <v>444372.22</v>
      </c>
      <c r="E245" s="13">
        <v>180958.3</v>
      </c>
      <c r="F245" s="13">
        <f t="shared" si="5"/>
        <v>263413.92</v>
      </c>
    </row>
    <row r="246" spans="1:6" x14ac:dyDescent="0.2">
      <c r="A246" s="12">
        <v>786</v>
      </c>
      <c r="B246" s="12">
        <v>1</v>
      </c>
      <c r="C246" s="13" t="s">
        <v>791</v>
      </c>
      <c r="D246" s="13">
        <v>112741.48</v>
      </c>
      <c r="E246" s="13">
        <v>48819.79</v>
      </c>
      <c r="F246" s="13">
        <f t="shared" si="5"/>
        <v>63921.689999999995</v>
      </c>
    </row>
    <row r="247" spans="1:6" x14ac:dyDescent="0.2">
      <c r="A247" s="12">
        <v>787</v>
      </c>
      <c r="B247" s="12">
        <v>1</v>
      </c>
      <c r="C247" s="13" t="s">
        <v>792</v>
      </c>
      <c r="D247" s="13">
        <v>66913.94</v>
      </c>
      <c r="E247" s="13">
        <v>28448.44</v>
      </c>
      <c r="F247" s="13">
        <f t="shared" si="5"/>
        <v>38465.5</v>
      </c>
    </row>
    <row r="248" spans="1:6" x14ac:dyDescent="0.2">
      <c r="A248" s="12">
        <v>801</v>
      </c>
      <c r="B248" s="12">
        <v>1</v>
      </c>
      <c r="C248" s="13" t="s">
        <v>793</v>
      </c>
      <c r="D248" s="13">
        <v>25700.71</v>
      </c>
      <c r="E248" s="13">
        <v>12215.77</v>
      </c>
      <c r="F248" s="13">
        <f t="shared" si="5"/>
        <v>13484.939999999999</v>
      </c>
    </row>
    <row r="249" spans="1:6" x14ac:dyDescent="0.2">
      <c r="A249" s="12">
        <v>803</v>
      </c>
      <c r="B249" s="12">
        <v>1</v>
      </c>
      <c r="C249" s="13" t="s">
        <v>794</v>
      </c>
      <c r="D249" s="13">
        <v>202895.63999999998</v>
      </c>
      <c r="E249" s="13">
        <v>50440.81</v>
      </c>
      <c r="F249" s="13">
        <f t="shared" si="5"/>
        <v>152454.82999999999</v>
      </c>
    </row>
    <row r="250" spans="1:6" x14ac:dyDescent="0.2">
      <c r="A250" s="12">
        <v>811</v>
      </c>
      <c r="B250" s="12">
        <v>1</v>
      </c>
      <c r="C250" s="13" t="s">
        <v>795</v>
      </c>
      <c r="D250" s="13">
        <v>361498.06</v>
      </c>
      <c r="E250" s="13">
        <v>140859.33000000002</v>
      </c>
      <c r="F250" s="13">
        <f t="shared" si="5"/>
        <v>220638.72999999998</v>
      </c>
    </row>
    <row r="251" spans="1:6" x14ac:dyDescent="0.2">
      <c r="A251" s="12">
        <v>813</v>
      </c>
      <c r="B251" s="12">
        <v>1</v>
      </c>
      <c r="C251" s="13" t="s">
        <v>796</v>
      </c>
      <c r="D251" s="13">
        <v>775054.19000000006</v>
      </c>
      <c r="E251" s="13">
        <v>368389.94999999995</v>
      </c>
      <c r="F251" s="13">
        <f t="shared" si="5"/>
        <v>406664.24000000011</v>
      </c>
    </row>
    <row r="252" spans="1:6" x14ac:dyDescent="0.2">
      <c r="A252" s="12">
        <v>815</v>
      </c>
      <c r="B252" s="12">
        <v>2</v>
      </c>
      <c r="C252" s="13" t="s">
        <v>797</v>
      </c>
      <c r="D252" s="13">
        <v>5216.0599999999995</v>
      </c>
      <c r="E252" s="13">
        <v>2479.23</v>
      </c>
      <c r="F252" s="13">
        <f t="shared" si="5"/>
        <v>2736.8299999999995</v>
      </c>
    </row>
    <row r="253" spans="1:6" x14ac:dyDescent="0.2">
      <c r="A253" s="12">
        <v>818</v>
      </c>
      <c r="B253" s="12">
        <v>1</v>
      </c>
      <c r="C253" s="13" t="s">
        <v>798</v>
      </c>
      <c r="D253" s="13">
        <v>78423.539999999994</v>
      </c>
      <c r="E253" s="13">
        <v>32080.62</v>
      </c>
      <c r="F253" s="13">
        <f t="shared" si="5"/>
        <v>46342.92</v>
      </c>
    </row>
    <row r="254" spans="1:6" x14ac:dyDescent="0.2">
      <c r="A254" s="12">
        <v>820</v>
      </c>
      <c r="B254" s="12">
        <v>1</v>
      </c>
      <c r="C254" s="13" t="s">
        <v>799</v>
      </c>
      <c r="D254" s="13">
        <v>149978.80000000002</v>
      </c>
      <c r="E254" s="13">
        <v>62794.340000000004</v>
      </c>
      <c r="F254" s="13">
        <f t="shared" si="5"/>
        <v>87184.460000000021</v>
      </c>
    </row>
    <row r="255" spans="1:6" x14ac:dyDescent="0.2">
      <c r="A255" s="12">
        <v>821</v>
      </c>
      <c r="B255" s="12">
        <v>1</v>
      </c>
      <c r="C255" s="13" t="s">
        <v>800</v>
      </c>
      <c r="D255" s="13">
        <v>223156.41</v>
      </c>
      <c r="E255" s="13">
        <v>106068.17</v>
      </c>
      <c r="F255" s="13">
        <f t="shared" si="5"/>
        <v>117088.24</v>
      </c>
    </row>
    <row r="256" spans="1:6" x14ac:dyDescent="0.2">
      <c r="A256" s="12">
        <v>829</v>
      </c>
      <c r="B256" s="12">
        <v>1</v>
      </c>
      <c r="C256" s="13" t="s">
        <v>801</v>
      </c>
      <c r="D256" s="13">
        <v>733438.85</v>
      </c>
      <c r="E256" s="13">
        <v>297837.88</v>
      </c>
      <c r="F256" s="13">
        <f t="shared" si="5"/>
        <v>435600.97</v>
      </c>
    </row>
    <row r="257" spans="1:6" x14ac:dyDescent="0.2">
      <c r="A257" s="12">
        <v>831</v>
      </c>
      <c r="B257" s="12">
        <v>1</v>
      </c>
      <c r="C257" s="13" t="s">
        <v>802</v>
      </c>
      <c r="D257" s="13">
        <v>5037381.5999999996</v>
      </c>
      <c r="E257" s="13">
        <v>2187893.06</v>
      </c>
      <c r="F257" s="13">
        <f t="shared" si="5"/>
        <v>2849488.5399999996</v>
      </c>
    </row>
    <row r="258" spans="1:6" x14ac:dyDescent="0.2">
      <c r="A258" s="12">
        <v>832</v>
      </c>
      <c r="B258" s="12">
        <v>1</v>
      </c>
      <c r="C258" s="13" t="s">
        <v>803</v>
      </c>
      <c r="D258" s="13">
        <v>2465120.4700000002</v>
      </c>
      <c r="E258" s="13">
        <v>1052137.93</v>
      </c>
      <c r="F258" s="13">
        <f t="shared" si="5"/>
        <v>1412982.5400000003</v>
      </c>
    </row>
    <row r="259" spans="1:6" x14ac:dyDescent="0.2">
      <c r="A259" s="12">
        <v>833</v>
      </c>
      <c r="B259" s="12">
        <v>1</v>
      </c>
      <c r="C259" s="13" t="s">
        <v>804</v>
      </c>
      <c r="D259" s="13">
        <v>10581402.74</v>
      </c>
      <c r="E259" s="13">
        <v>4157450.29</v>
      </c>
      <c r="F259" s="13">
        <f t="shared" si="5"/>
        <v>6423952.4500000002</v>
      </c>
    </row>
    <row r="260" spans="1:6" x14ac:dyDescent="0.2">
      <c r="A260" s="12">
        <v>834</v>
      </c>
      <c r="B260" s="12">
        <v>1</v>
      </c>
      <c r="C260" s="13" t="s">
        <v>805</v>
      </c>
      <c r="D260" s="13">
        <v>8672508.4600000009</v>
      </c>
      <c r="E260" s="13">
        <v>3261720.0100000002</v>
      </c>
      <c r="F260" s="13">
        <f t="shared" si="5"/>
        <v>5410788.4500000011</v>
      </c>
    </row>
    <row r="261" spans="1:6" x14ac:dyDescent="0.2">
      <c r="A261" s="12">
        <v>836</v>
      </c>
      <c r="B261" s="12">
        <v>1</v>
      </c>
      <c r="C261" s="13" t="s">
        <v>806</v>
      </c>
      <c r="D261" s="13">
        <v>104548.29</v>
      </c>
      <c r="E261" s="13">
        <v>49692.71</v>
      </c>
      <c r="F261" s="13">
        <f t="shared" si="5"/>
        <v>54855.579999999994</v>
      </c>
    </row>
    <row r="262" spans="1:6" x14ac:dyDescent="0.2">
      <c r="A262" s="12">
        <v>837</v>
      </c>
      <c r="B262" s="12">
        <v>1</v>
      </c>
      <c r="C262" s="13" t="s">
        <v>807</v>
      </c>
      <c r="D262" s="13">
        <v>286832.88</v>
      </c>
      <c r="E262" s="13">
        <v>95033.159999999989</v>
      </c>
      <c r="F262" s="13">
        <f t="shared" si="5"/>
        <v>191799.72000000003</v>
      </c>
    </row>
    <row r="263" spans="1:6" x14ac:dyDescent="0.2">
      <c r="A263" s="12">
        <v>840</v>
      </c>
      <c r="B263" s="12">
        <v>1</v>
      </c>
      <c r="C263" s="13" t="s">
        <v>808</v>
      </c>
      <c r="D263" s="13">
        <v>521228.67000000004</v>
      </c>
      <c r="E263" s="13">
        <v>212647.86000000002</v>
      </c>
      <c r="F263" s="13">
        <f t="shared" si="5"/>
        <v>308580.81000000006</v>
      </c>
    </row>
    <row r="264" spans="1:6" x14ac:dyDescent="0.2">
      <c r="A264" s="12">
        <v>846</v>
      </c>
      <c r="B264" s="12">
        <v>1</v>
      </c>
      <c r="C264" s="13" t="s">
        <v>809</v>
      </c>
      <c r="D264" s="13">
        <v>389419.61000000004</v>
      </c>
      <c r="E264" s="13">
        <v>175314.76</v>
      </c>
      <c r="F264" s="13">
        <f t="shared" si="5"/>
        <v>214104.85000000003</v>
      </c>
    </row>
    <row r="265" spans="1:6" x14ac:dyDescent="0.2">
      <c r="A265" s="12">
        <v>850</v>
      </c>
      <c r="B265" s="12">
        <v>1</v>
      </c>
      <c r="C265" s="13" t="s">
        <v>810</v>
      </c>
      <c r="D265" s="13">
        <v>207077.9</v>
      </c>
      <c r="E265" s="13">
        <v>61416.929999999993</v>
      </c>
      <c r="F265" s="13">
        <f t="shared" si="5"/>
        <v>145660.97</v>
      </c>
    </row>
    <row r="266" spans="1:6" x14ac:dyDescent="0.2">
      <c r="A266" s="12">
        <v>852</v>
      </c>
      <c r="B266" s="12">
        <v>1</v>
      </c>
      <c r="C266" s="13" t="s">
        <v>811</v>
      </c>
      <c r="D266" s="13">
        <v>82759.969999999987</v>
      </c>
      <c r="E266" s="13">
        <v>33762.19</v>
      </c>
      <c r="F266" s="13">
        <f t="shared" si="5"/>
        <v>48997.779999999984</v>
      </c>
    </row>
    <row r="267" spans="1:6" x14ac:dyDescent="0.2">
      <c r="A267" s="12">
        <v>857</v>
      </c>
      <c r="B267" s="12">
        <v>1</v>
      </c>
      <c r="C267" s="13" t="s">
        <v>812</v>
      </c>
      <c r="D267" s="13">
        <v>278525.42</v>
      </c>
      <c r="E267" s="13">
        <v>132385.54</v>
      </c>
      <c r="F267" s="13">
        <f t="shared" si="5"/>
        <v>146139.87999999998</v>
      </c>
    </row>
    <row r="268" spans="1:6" x14ac:dyDescent="0.2">
      <c r="A268" s="12">
        <v>858</v>
      </c>
      <c r="B268" s="12">
        <v>1</v>
      </c>
      <c r="C268" s="13" t="s">
        <v>813</v>
      </c>
      <c r="D268" s="13">
        <v>247413.93000000002</v>
      </c>
      <c r="E268" s="13">
        <v>117597.97999999998</v>
      </c>
      <c r="F268" s="13">
        <f t="shared" si="5"/>
        <v>129815.95000000004</v>
      </c>
    </row>
    <row r="269" spans="1:6" x14ac:dyDescent="0.2">
      <c r="A269" s="12">
        <v>861</v>
      </c>
      <c r="B269" s="12">
        <v>1</v>
      </c>
      <c r="C269" s="13" t="s">
        <v>814</v>
      </c>
      <c r="D269" s="13">
        <v>3961006.8800000004</v>
      </c>
      <c r="E269" s="13">
        <v>1797031.5</v>
      </c>
      <c r="F269" s="13">
        <f t="shared" si="5"/>
        <v>2163975.3800000004</v>
      </c>
    </row>
    <row r="270" spans="1:6" x14ac:dyDescent="0.2">
      <c r="A270" s="12">
        <v>876</v>
      </c>
      <c r="B270" s="12">
        <v>1</v>
      </c>
      <c r="C270" s="13" t="s">
        <v>815</v>
      </c>
      <c r="D270" s="13">
        <v>870163.39000000013</v>
      </c>
      <c r="E270" s="13">
        <v>304702.3</v>
      </c>
      <c r="F270" s="13">
        <f t="shared" si="5"/>
        <v>565461.09000000008</v>
      </c>
    </row>
    <row r="271" spans="1:6" x14ac:dyDescent="0.2">
      <c r="A271" s="12">
        <v>877</v>
      </c>
      <c r="B271" s="12">
        <v>1</v>
      </c>
      <c r="C271" s="13" t="s">
        <v>816</v>
      </c>
      <c r="D271" s="13">
        <v>2467272.31</v>
      </c>
      <c r="E271" s="13">
        <v>1172715.8500000001</v>
      </c>
      <c r="F271" s="13">
        <f t="shared" ref="F271:F334" si="6">D271-E271</f>
        <v>1294556.46</v>
      </c>
    </row>
    <row r="272" spans="1:6" x14ac:dyDescent="0.2">
      <c r="A272" s="12">
        <v>879</v>
      </c>
      <c r="B272" s="12">
        <v>1</v>
      </c>
      <c r="C272" s="13" t="s">
        <v>817</v>
      </c>
      <c r="D272" s="13">
        <v>1428561.3299999998</v>
      </c>
      <c r="E272" s="13">
        <v>617116.32000000007</v>
      </c>
      <c r="F272" s="13">
        <f t="shared" si="6"/>
        <v>811445.00999999978</v>
      </c>
    </row>
    <row r="273" spans="1:6" x14ac:dyDescent="0.2">
      <c r="A273" s="12">
        <v>881</v>
      </c>
      <c r="B273" s="12">
        <v>1</v>
      </c>
      <c r="C273" s="13" t="s">
        <v>818</v>
      </c>
      <c r="D273" s="13">
        <v>313573.64</v>
      </c>
      <c r="E273" s="13">
        <v>98227.19</v>
      </c>
      <c r="F273" s="13">
        <f t="shared" si="6"/>
        <v>215346.45</v>
      </c>
    </row>
    <row r="274" spans="1:6" x14ac:dyDescent="0.2">
      <c r="A274" s="12">
        <v>882</v>
      </c>
      <c r="B274" s="12">
        <v>1</v>
      </c>
      <c r="C274" s="13" t="s">
        <v>819</v>
      </c>
      <c r="D274" s="13">
        <v>2031515.75</v>
      </c>
      <c r="E274" s="13">
        <v>713469.39999999991</v>
      </c>
      <c r="F274" s="13">
        <f t="shared" si="6"/>
        <v>1318046.3500000001</v>
      </c>
    </row>
    <row r="275" spans="1:6" x14ac:dyDescent="0.2">
      <c r="A275" s="12">
        <v>883</v>
      </c>
      <c r="B275" s="12">
        <v>1</v>
      </c>
      <c r="C275" s="13" t="s">
        <v>820</v>
      </c>
      <c r="D275" s="13">
        <v>757007.21</v>
      </c>
      <c r="E275" s="13">
        <v>345833.55</v>
      </c>
      <c r="F275" s="13">
        <f t="shared" si="6"/>
        <v>411173.66</v>
      </c>
    </row>
    <row r="276" spans="1:6" x14ac:dyDescent="0.2">
      <c r="A276" s="12">
        <v>885</v>
      </c>
      <c r="B276" s="12">
        <v>1</v>
      </c>
      <c r="C276" s="13" t="s">
        <v>821</v>
      </c>
      <c r="D276" s="13">
        <v>1495371.3800000001</v>
      </c>
      <c r="E276" s="13">
        <v>641956.74</v>
      </c>
      <c r="F276" s="13">
        <f t="shared" si="6"/>
        <v>853414.64000000013</v>
      </c>
    </row>
    <row r="277" spans="1:6" x14ac:dyDescent="0.2">
      <c r="A277" s="12">
        <v>891</v>
      </c>
      <c r="B277" s="12">
        <v>1</v>
      </c>
      <c r="C277" s="13" t="s">
        <v>822</v>
      </c>
      <c r="D277" s="13">
        <v>209096.9</v>
      </c>
      <c r="E277" s="13">
        <v>82485.569999999992</v>
      </c>
      <c r="F277" s="13">
        <f t="shared" si="6"/>
        <v>126611.33</v>
      </c>
    </row>
    <row r="278" spans="1:6" x14ac:dyDescent="0.2">
      <c r="A278" s="12">
        <v>911</v>
      </c>
      <c r="B278" s="12">
        <v>1</v>
      </c>
      <c r="C278" s="13" t="s">
        <v>823</v>
      </c>
      <c r="D278" s="13">
        <v>1338402.5199999998</v>
      </c>
      <c r="E278" s="13">
        <v>600114.55000000005</v>
      </c>
      <c r="F278" s="13">
        <f t="shared" si="6"/>
        <v>738287.96999999974</v>
      </c>
    </row>
    <row r="279" spans="1:6" x14ac:dyDescent="0.2">
      <c r="A279" s="12">
        <v>912</v>
      </c>
      <c r="B279" s="12">
        <v>1</v>
      </c>
      <c r="C279" s="13" t="s">
        <v>824</v>
      </c>
      <c r="D279" s="13">
        <v>213791.74</v>
      </c>
      <c r="E279" s="13">
        <v>90215.02</v>
      </c>
      <c r="F279" s="13">
        <f t="shared" si="6"/>
        <v>123576.71999999999</v>
      </c>
    </row>
    <row r="280" spans="1:6" x14ac:dyDescent="0.2">
      <c r="A280" s="12">
        <v>914</v>
      </c>
      <c r="B280" s="12">
        <v>1</v>
      </c>
      <c r="C280" s="13" t="s">
        <v>825</v>
      </c>
      <c r="D280" s="13">
        <v>197410.55999999997</v>
      </c>
      <c r="E280" s="13">
        <v>47474.46</v>
      </c>
      <c r="F280" s="13">
        <f t="shared" si="6"/>
        <v>149936.09999999998</v>
      </c>
    </row>
    <row r="281" spans="1:6" x14ac:dyDescent="0.2">
      <c r="A281" s="12">
        <v>2071</v>
      </c>
      <c r="B281" s="12">
        <v>1</v>
      </c>
      <c r="C281" s="13" t="s">
        <v>826</v>
      </c>
      <c r="D281" s="13">
        <v>404691.91</v>
      </c>
      <c r="E281" s="13">
        <v>192353.56</v>
      </c>
      <c r="F281" s="13">
        <f t="shared" si="6"/>
        <v>212338.34999999998</v>
      </c>
    </row>
    <row r="282" spans="1:6" x14ac:dyDescent="0.2">
      <c r="A282" s="12">
        <v>2125</v>
      </c>
      <c r="B282" s="12">
        <v>1</v>
      </c>
      <c r="C282" s="13" t="s">
        <v>827</v>
      </c>
      <c r="D282" s="13">
        <v>384238.33</v>
      </c>
      <c r="E282" s="13">
        <v>166767.69</v>
      </c>
      <c r="F282" s="13">
        <f t="shared" si="6"/>
        <v>217470.64</v>
      </c>
    </row>
    <row r="283" spans="1:6" x14ac:dyDescent="0.2">
      <c r="A283" s="12">
        <v>2134</v>
      </c>
      <c r="B283" s="12">
        <v>1</v>
      </c>
      <c r="C283" s="13" t="s">
        <v>828</v>
      </c>
      <c r="D283" s="13">
        <v>365936.85</v>
      </c>
      <c r="E283" s="13">
        <v>93469.97</v>
      </c>
      <c r="F283" s="13">
        <f t="shared" si="6"/>
        <v>272466.88</v>
      </c>
    </row>
    <row r="284" spans="1:6" x14ac:dyDescent="0.2">
      <c r="A284" s="12">
        <v>2135</v>
      </c>
      <c r="B284" s="12">
        <v>1</v>
      </c>
      <c r="C284" s="13" t="s">
        <v>829</v>
      </c>
      <c r="D284" s="13">
        <v>369066.58</v>
      </c>
      <c r="E284" s="13">
        <v>129144.35</v>
      </c>
      <c r="F284" s="13">
        <f t="shared" si="6"/>
        <v>239922.23</v>
      </c>
    </row>
    <row r="285" spans="1:6" x14ac:dyDescent="0.2">
      <c r="A285" s="12">
        <v>2137</v>
      </c>
      <c r="B285" s="12">
        <v>1</v>
      </c>
      <c r="C285" s="13" t="s">
        <v>830</v>
      </c>
      <c r="D285" s="13">
        <v>331135.10000000003</v>
      </c>
      <c r="E285" s="13">
        <v>124281.93999999999</v>
      </c>
      <c r="F285" s="13">
        <f t="shared" si="6"/>
        <v>206853.16000000003</v>
      </c>
    </row>
    <row r="286" spans="1:6" x14ac:dyDescent="0.2">
      <c r="A286" s="12">
        <v>2142</v>
      </c>
      <c r="B286" s="12">
        <v>1</v>
      </c>
      <c r="C286" s="13" t="s">
        <v>831</v>
      </c>
      <c r="D286" s="13">
        <v>903151.58000000007</v>
      </c>
      <c r="E286" s="13">
        <v>421230.95</v>
      </c>
      <c r="F286" s="13">
        <f t="shared" si="6"/>
        <v>481920.63000000006</v>
      </c>
    </row>
    <row r="287" spans="1:6" x14ac:dyDescent="0.2">
      <c r="A287" s="12">
        <v>2143</v>
      </c>
      <c r="B287" s="12">
        <v>1</v>
      </c>
      <c r="C287" s="13" t="s">
        <v>832</v>
      </c>
      <c r="D287" s="13">
        <v>776968.7</v>
      </c>
      <c r="E287" s="13">
        <v>331463.75</v>
      </c>
      <c r="F287" s="13">
        <f t="shared" si="6"/>
        <v>445504.94999999995</v>
      </c>
    </row>
    <row r="288" spans="1:6" x14ac:dyDescent="0.2">
      <c r="A288" s="12">
        <v>2144</v>
      </c>
      <c r="B288" s="12">
        <v>1</v>
      </c>
      <c r="C288" s="13" t="s">
        <v>833</v>
      </c>
      <c r="D288" s="13">
        <v>1973021.48</v>
      </c>
      <c r="E288" s="13">
        <v>826079.64999999991</v>
      </c>
      <c r="F288" s="13">
        <f t="shared" si="6"/>
        <v>1146941.83</v>
      </c>
    </row>
    <row r="289" spans="1:6" x14ac:dyDescent="0.2">
      <c r="A289" s="12">
        <v>2149</v>
      </c>
      <c r="B289" s="12">
        <v>1</v>
      </c>
      <c r="C289" s="13" t="s">
        <v>834</v>
      </c>
      <c r="D289" s="13">
        <v>690670.6</v>
      </c>
      <c r="E289" s="13">
        <v>272847.26</v>
      </c>
      <c r="F289" s="13">
        <f t="shared" si="6"/>
        <v>417823.33999999997</v>
      </c>
    </row>
    <row r="290" spans="1:6" x14ac:dyDescent="0.2">
      <c r="A290" s="12">
        <v>2154</v>
      </c>
      <c r="B290" s="12">
        <v>1</v>
      </c>
      <c r="C290" s="13" t="s">
        <v>835</v>
      </c>
      <c r="D290" s="13">
        <v>186163.17</v>
      </c>
      <c r="E290" s="13">
        <v>61056.08</v>
      </c>
      <c r="F290" s="13">
        <f t="shared" si="6"/>
        <v>125107.09000000001</v>
      </c>
    </row>
    <row r="291" spans="1:6" x14ac:dyDescent="0.2">
      <c r="A291" s="12">
        <v>2155</v>
      </c>
      <c r="B291" s="12">
        <v>1</v>
      </c>
      <c r="C291" s="13" t="s">
        <v>836</v>
      </c>
      <c r="D291" s="13">
        <v>346926.98</v>
      </c>
      <c r="E291" s="13">
        <v>144876.57999999999</v>
      </c>
      <c r="F291" s="13">
        <f t="shared" si="6"/>
        <v>202050.4</v>
      </c>
    </row>
    <row r="292" spans="1:6" x14ac:dyDescent="0.2">
      <c r="A292" s="12">
        <v>2159</v>
      </c>
      <c r="B292" s="12">
        <v>1</v>
      </c>
      <c r="C292" s="13" t="s">
        <v>837</v>
      </c>
      <c r="D292" s="13">
        <v>224608.19</v>
      </c>
      <c r="E292" s="13">
        <v>77405.88</v>
      </c>
      <c r="F292" s="13">
        <f t="shared" si="6"/>
        <v>147202.31</v>
      </c>
    </row>
    <row r="293" spans="1:6" x14ac:dyDescent="0.2">
      <c r="A293" s="12">
        <v>2164</v>
      </c>
      <c r="B293" s="12">
        <v>1</v>
      </c>
      <c r="C293" s="13" t="s">
        <v>838</v>
      </c>
      <c r="D293" s="13">
        <v>322633.26</v>
      </c>
      <c r="E293" s="13">
        <v>124224.58</v>
      </c>
      <c r="F293" s="13">
        <f t="shared" si="6"/>
        <v>198408.68</v>
      </c>
    </row>
    <row r="294" spans="1:6" x14ac:dyDescent="0.2">
      <c r="A294" s="12">
        <v>2165</v>
      </c>
      <c r="B294" s="12">
        <v>1</v>
      </c>
      <c r="C294" s="13" t="s">
        <v>839</v>
      </c>
      <c r="D294" s="13">
        <v>212738.88999999998</v>
      </c>
      <c r="E294" s="13">
        <v>89977.180000000008</v>
      </c>
      <c r="F294" s="13">
        <f t="shared" si="6"/>
        <v>122761.70999999998</v>
      </c>
    </row>
    <row r="295" spans="1:6" x14ac:dyDescent="0.2">
      <c r="A295" s="12">
        <v>2167</v>
      </c>
      <c r="B295" s="12">
        <v>1</v>
      </c>
      <c r="C295" s="13" t="s">
        <v>840</v>
      </c>
      <c r="D295" s="13">
        <v>222313.15</v>
      </c>
      <c r="E295" s="13">
        <v>88961.09</v>
      </c>
      <c r="F295" s="13">
        <f t="shared" si="6"/>
        <v>133352.06</v>
      </c>
    </row>
    <row r="296" spans="1:6" x14ac:dyDescent="0.2">
      <c r="A296" s="12">
        <v>2168</v>
      </c>
      <c r="B296" s="12">
        <v>1</v>
      </c>
      <c r="C296" s="13" t="s">
        <v>841</v>
      </c>
      <c r="D296" s="13">
        <v>205711.21000000002</v>
      </c>
      <c r="E296" s="13">
        <v>86492.37</v>
      </c>
      <c r="F296" s="13">
        <f t="shared" si="6"/>
        <v>119218.84000000003</v>
      </c>
    </row>
    <row r="297" spans="1:6" x14ac:dyDescent="0.2">
      <c r="A297" s="12">
        <v>2169</v>
      </c>
      <c r="B297" s="12">
        <v>1</v>
      </c>
      <c r="C297" s="13" t="s">
        <v>842</v>
      </c>
      <c r="D297" s="13">
        <v>529669.24</v>
      </c>
      <c r="E297" s="13">
        <v>219602.94</v>
      </c>
      <c r="F297" s="13">
        <f t="shared" si="6"/>
        <v>310066.3</v>
      </c>
    </row>
    <row r="298" spans="1:6" x14ac:dyDescent="0.2">
      <c r="A298" s="12">
        <v>2170</v>
      </c>
      <c r="B298" s="12">
        <v>1</v>
      </c>
      <c r="C298" s="13" t="s">
        <v>843</v>
      </c>
      <c r="D298" s="13">
        <v>426397.20999999996</v>
      </c>
      <c r="E298" s="13">
        <v>161454.01</v>
      </c>
      <c r="F298" s="13">
        <f t="shared" si="6"/>
        <v>264943.19999999995</v>
      </c>
    </row>
    <row r="299" spans="1:6" x14ac:dyDescent="0.2">
      <c r="A299" s="12">
        <v>2171</v>
      </c>
      <c r="B299" s="12">
        <v>1</v>
      </c>
      <c r="C299" s="13" t="s">
        <v>844</v>
      </c>
      <c r="D299" s="13">
        <v>107033.25</v>
      </c>
      <c r="E299" s="13">
        <v>50873.83</v>
      </c>
      <c r="F299" s="13">
        <f t="shared" si="6"/>
        <v>56159.42</v>
      </c>
    </row>
    <row r="300" spans="1:6" x14ac:dyDescent="0.2">
      <c r="A300" s="12">
        <v>2172</v>
      </c>
      <c r="B300" s="12">
        <v>1</v>
      </c>
      <c r="C300" s="13" t="s">
        <v>845</v>
      </c>
      <c r="D300" s="13">
        <v>484124.10000000003</v>
      </c>
      <c r="E300" s="13">
        <v>192352.01</v>
      </c>
      <c r="F300" s="13">
        <f t="shared" si="6"/>
        <v>291772.09000000003</v>
      </c>
    </row>
    <row r="301" spans="1:6" x14ac:dyDescent="0.2">
      <c r="A301" s="12">
        <v>2174</v>
      </c>
      <c r="B301" s="12">
        <v>1</v>
      </c>
      <c r="C301" s="13" t="s">
        <v>846</v>
      </c>
      <c r="D301" s="13">
        <v>338957.88</v>
      </c>
      <c r="E301" s="13">
        <v>161109.61000000002</v>
      </c>
      <c r="F301" s="13">
        <f t="shared" si="6"/>
        <v>177848.27</v>
      </c>
    </row>
    <row r="302" spans="1:6" x14ac:dyDescent="0.2">
      <c r="A302" s="12">
        <v>2176</v>
      </c>
      <c r="B302" s="12">
        <v>1</v>
      </c>
      <c r="C302" s="13" t="s">
        <v>847</v>
      </c>
      <c r="D302" s="13">
        <v>115191.07999999999</v>
      </c>
      <c r="E302" s="13">
        <v>50346.25</v>
      </c>
      <c r="F302" s="13">
        <f t="shared" si="6"/>
        <v>64844.829999999987</v>
      </c>
    </row>
    <row r="303" spans="1:6" x14ac:dyDescent="0.2">
      <c r="A303" s="12">
        <v>2180</v>
      </c>
      <c r="B303" s="12">
        <v>1</v>
      </c>
      <c r="C303" s="13" t="s">
        <v>848</v>
      </c>
      <c r="D303" s="13">
        <v>507826.98000000004</v>
      </c>
      <c r="E303" s="13">
        <v>150279.03</v>
      </c>
      <c r="F303" s="13">
        <f t="shared" si="6"/>
        <v>357547.95000000007</v>
      </c>
    </row>
    <row r="304" spans="1:6" x14ac:dyDescent="0.2">
      <c r="A304" s="12">
        <v>2184</v>
      </c>
      <c r="B304" s="12">
        <v>1</v>
      </c>
      <c r="C304" s="13" t="s">
        <v>849</v>
      </c>
      <c r="D304" s="13">
        <v>615816.58000000007</v>
      </c>
      <c r="E304" s="13">
        <v>269061.11</v>
      </c>
      <c r="F304" s="13">
        <f t="shared" si="6"/>
        <v>346755.47000000009</v>
      </c>
    </row>
    <row r="305" spans="1:6" x14ac:dyDescent="0.2">
      <c r="A305" s="12">
        <v>2190</v>
      </c>
      <c r="B305" s="12">
        <v>1</v>
      </c>
      <c r="C305" s="13" t="s">
        <v>850</v>
      </c>
      <c r="D305" s="13">
        <v>487845.66999999993</v>
      </c>
      <c r="E305" s="13">
        <v>176193.13999999996</v>
      </c>
      <c r="F305" s="13">
        <f t="shared" si="6"/>
        <v>311652.52999999997</v>
      </c>
    </row>
    <row r="306" spans="1:6" x14ac:dyDescent="0.2">
      <c r="A306" s="12">
        <v>2198</v>
      </c>
      <c r="B306" s="12">
        <v>1</v>
      </c>
      <c r="C306" s="13" t="s">
        <v>851</v>
      </c>
      <c r="D306" s="13">
        <v>302640.77</v>
      </c>
      <c r="E306" s="13">
        <v>115487.26000000001</v>
      </c>
      <c r="F306" s="13">
        <f t="shared" si="6"/>
        <v>187153.51</v>
      </c>
    </row>
    <row r="307" spans="1:6" x14ac:dyDescent="0.2">
      <c r="A307" s="12">
        <v>2215</v>
      </c>
      <c r="B307" s="12">
        <v>1</v>
      </c>
      <c r="C307" s="13" t="s">
        <v>852</v>
      </c>
      <c r="D307" s="13">
        <v>166107.87</v>
      </c>
      <c r="E307" s="13">
        <v>64996.649999999994</v>
      </c>
      <c r="F307" s="13">
        <f t="shared" si="6"/>
        <v>101111.22</v>
      </c>
    </row>
    <row r="308" spans="1:6" x14ac:dyDescent="0.2">
      <c r="A308" s="12">
        <v>2310</v>
      </c>
      <c r="B308" s="12">
        <v>1</v>
      </c>
      <c r="C308" s="13" t="s">
        <v>853</v>
      </c>
      <c r="D308" s="13">
        <v>470702.34</v>
      </c>
      <c r="E308" s="13">
        <v>187183.85000000003</v>
      </c>
      <c r="F308" s="13">
        <f t="shared" si="6"/>
        <v>283518.49</v>
      </c>
    </row>
    <row r="309" spans="1:6" x14ac:dyDescent="0.2">
      <c r="A309" s="12">
        <v>2311</v>
      </c>
      <c r="B309" s="12">
        <v>1</v>
      </c>
      <c r="C309" s="13" t="s">
        <v>854</v>
      </c>
      <c r="D309" s="13">
        <v>201790.13</v>
      </c>
      <c r="E309" s="13">
        <v>65823.31</v>
      </c>
      <c r="F309" s="13">
        <f t="shared" si="6"/>
        <v>135966.82</v>
      </c>
    </row>
    <row r="310" spans="1:6" x14ac:dyDescent="0.2">
      <c r="A310" s="12">
        <v>2342</v>
      </c>
      <c r="B310" s="12">
        <v>1</v>
      </c>
      <c r="C310" s="13" t="s">
        <v>855</v>
      </c>
      <c r="D310" s="13">
        <v>653317.90999999992</v>
      </c>
      <c r="E310" s="13">
        <v>270585.99000000005</v>
      </c>
      <c r="F310" s="13">
        <f t="shared" si="6"/>
        <v>382731.91999999987</v>
      </c>
    </row>
    <row r="311" spans="1:6" x14ac:dyDescent="0.2">
      <c r="A311" s="12">
        <v>2358</v>
      </c>
      <c r="B311" s="12">
        <v>1</v>
      </c>
      <c r="C311" s="13" t="s">
        <v>856</v>
      </c>
      <c r="D311" s="13">
        <v>118884.72</v>
      </c>
      <c r="E311" s="13">
        <v>37553.300000000003</v>
      </c>
      <c r="F311" s="13">
        <f t="shared" si="6"/>
        <v>81331.42</v>
      </c>
    </row>
    <row r="312" spans="1:6" x14ac:dyDescent="0.2">
      <c r="A312" s="12">
        <v>2364</v>
      </c>
      <c r="B312" s="12">
        <v>1</v>
      </c>
      <c r="C312" s="13" t="s">
        <v>857</v>
      </c>
      <c r="D312" s="13">
        <v>304526.09999999998</v>
      </c>
      <c r="E312" s="13">
        <v>127223.11000000002</v>
      </c>
      <c r="F312" s="13">
        <f t="shared" si="6"/>
        <v>177302.98999999996</v>
      </c>
    </row>
    <row r="313" spans="1:6" x14ac:dyDescent="0.2">
      <c r="A313" s="12">
        <v>2365</v>
      </c>
      <c r="B313" s="12">
        <v>1</v>
      </c>
      <c r="C313" s="13" t="s">
        <v>858</v>
      </c>
      <c r="D313" s="13">
        <v>372496.62</v>
      </c>
      <c r="E313" s="13">
        <v>134220.22999999998</v>
      </c>
      <c r="F313" s="13">
        <f t="shared" si="6"/>
        <v>238276.39</v>
      </c>
    </row>
    <row r="314" spans="1:6" x14ac:dyDescent="0.2">
      <c r="A314" s="12">
        <v>2396</v>
      </c>
      <c r="B314" s="12">
        <v>1</v>
      </c>
      <c r="C314" s="13" t="s">
        <v>859</v>
      </c>
      <c r="D314" s="13">
        <v>582221.68999999994</v>
      </c>
      <c r="E314" s="13">
        <v>223038.75999999998</v>
      </c>
      <c r="F314" s="13">
        <f t="shared" si="6"/>
        <v>359182.92999999993</v>
      </c>
    </row>
    <row r="315" spans="1:6" x14ac:dyDescent="0.2">
      <c r="A315" s="12">
        <v>2397</v>
      </c>
      <c r="B315" s="12">
        <v>1</v>
      </c>
      <c r="C315" s="13" t="s">
        <v>860</v>
      </c>
      <c r="D315" s="13">
        <v>559688.11</v>
      </c>
      <c r="E315" s="13">
        <v>227504.97</v>
      </c>
      <c r="F315" s="13">
        <f t="shared" si="6"/>
        <v>332183.14</v>
      </c>
    </row>
    <row r="316" spans="1:6" x14ac:dyDescent="0.2">
      <c r="A316" s="12">
        <v>2448</v>
      </c>
      <c r="B316" s="12">
        <v>1</v>
      </c>
      <c r="C316" s="13" t="s">
        <v>861</v>
      </c>
      <c r="D316" s="13">
        <v>556467.34</v>
      </c>
      <c r="E316" s="13">
        <v>148345.43</v>
      </c>
      <c r="F316" s="13">
        <f t="shared" si="6"/>
        <v>408121.91</v>
      </c>
    </row>
    <row r="317" spans="1:6" x14ac:dyDescent="0.2">
      <c r="A317" s="12">
        <v>2527</v>
      </c>
      <c r="B317" s="12">
        <v>1</v>
      </c>
      <c r="C317" s="13" t="s">
        <v>862</v>
      </c>
      <c r="D317" s="13">
        <v>201012.47999999998</v>
      </c>
      <c r="E317" s="13">
        <v>71465.48</v>
      </c>
      <c r="F317" s="13">
        <f t="shared" si="6"/>
        <v>129546.99999999999</v>
      </c>
    </row>
    <row r="318" spans="1:6" x14ac:dyDescent="0.2">
      <c r="A318" s="12">
        <v>2534</v>
      </c>
      <c r="B318" s="12">
        <v>1</v>
      </c>
      <c r="C318" s="13" t="s">
        <v>863</v>
      </c>
      <c r="D318" s="13">
        <v>269801.25</v>
      </c>
      <c r="E318" s="13">
        <v>103623.05</v>
      </c>
      <c r="F318" s="13">
        <f t="shared" si="6"/>
        <v>166178.20000000001</v>
      </c>
    </row>
    <row r="319" spans="1:6" x14ac:dyDescent="0.2">
      <c r="A319" s="12">
        <v>2536</v>
      </c>
      <c r="B319" s="12">
        <v>1</v>
      </c>
      <c r="C319" s="13" t="s">
        <v>864</v>
      </c>
      <c r="D319" s="13">
        <v>261147.19</v>
      </c>
      <c r="E319" s="13">
        <v>65077.33</v>
      </c>
      <c r="F319" s="13">
        <f t="shared" si="6"/>
        <v>196069.86</v>
      </c>
    </row>
    <row r="320" spans="1:6" x14ac:dyDescent="0.2">
      <c r="A320" s="12">
        <v>2580</v>
      </c>
      <c r="B320" s="12">
        <v>1</v>
      </c>
      <c r="C320" s="13" t="s">
        <v>865</v>
      </c>
      <c r="D320" s="13">
        <v>189303.59999999998</v>
      </c>
      <c r="E320" s="13">
        <v>89977.64</v>
      </c>
      <c r="F320" s="13">
        <f t="shared" si="6"/>
        <v>99325.959999999977</v>
      </c>
    </row>
    <row r="321" spans="1:6" x14ac:dyDescent="0.2">
      <c r="A321" s="12">
        <v>2609</v>
      </c>
      <c r="B321" s="12">
        <v>1</v>
      </c>
      <c r="C321" s="13" t="s">
        <v>866</v>
      </c>
      <c r="D321" s="13">
        <v>267310.39</v>
      </c>
      <c r="E321" s="13">
        <v>118563.96</v>
      </c>
      <c r="F321" s="13">
        <f t="shared" si="6"/>
        <v>148746.43</v>
      </c>
    </row>
    <row r="322" spans="1:6" x14ac:dyDescent="0.2">
      <c r="A322" s="12">
        <v>2683</v>
      </c>
      <c r="B322" s="12">
        <v>1</v>
      </c>
      <c r="C322" s="13" t="s">
        <v>867</v>
      </c>
      <c r="D322" s="13">
        <v>112380.39</v>
      </c>
      <c r="E322" s="13">
        <v>31315.27</v>
      </c>
      <c r="F322" s="13">
        <f t="shared" si="6"/>
        <v>81065.119999999995</v>
      </c>
    </row>
    <row r="323" spans="1:6" x14ac:dyDescent="0.2">
      <c r="A323" s="12">
        <v>2687</v>
      </c>
      <c r="B323" s="12">
        <v>1</v>
      </c>
      <c r="C323" s="13" t="s">
        <v>868</v>
      </c>
      <c r="D323" s="13">
        <v>540054.32000000007</v>
      </c>
      <c r="E323" s="13">
        <v>256692.49</v>
      </c>
      <c r="F323" s="13">
        <f t="shared" si="6"/>
        <v>283361.83000000007</v>
      </c>
    </row>
    <row r="324" spans="1:6" x14ac:dyDescent="0.2">
      <c r="A324" s="12">
        <v>2689</v>
      </c>
      <c r="B324" s="12">
        <v>1</v>
      </c>
      <c r="C324" s="13" t="s">
        <v>869</v>
      </c>
      <c r="D324" s="13">
        <v>625217.64</v>
      </c>
      <c r="E324" s="13">
        <v>275564.42</v>
      </c>
      <c r="F324" s="13">
        <f t="shared" si="6"/>
        <v>349653.22000000003</v>
      </c>
    </row>
    <row r="325" spans="1:6" x14ac:dyDescent="0.2">
      <c r="A325" s="12">
        <v>2711</v>
      </c>
      <c r="B325" s="12">
        <v>1</v>
      </c>
      <c r="C325" s="13" t="s">
        <v>870</v>
      </c>
      <c r="D325" s="13">
        <v>0</v>
      </c>
      <c r="E325" s="13">
        <v>0</v>
      </c>
      <c r="F325" s="13">
        <f t="shared" si="6"/>
        <v>0</v>
      </c>
    </row>
    <row r="326" spans="1:6" x14ac:dyDescent="0.2">
      <c r="A326" s="12">
        <v>2752</v>
      </c>
      <c r="B326" s="12">
        <v>1</v>
      </c>
      <c r="C326" s="13" t="s">
        <v>871</v>
      </c>
      <c r="D326" s="13">
        <v>1255690.27</v>
      </c>
      <c r="E326" s="13">
        <v>568273.40999999992</v>
      </c>
      <c r="F326" s="13">
        <f t="shared" si="6"/>
        <v>687416.8600000001</v>
      </c>
    </row>
    <row r="327" spans="1:6" x14ac:dyDescent="0.2">
      <c r="A327" s="12">
        <v>2753</v>
      </c>
      <c r="B327" s="12">
        <v>1</v>
      </c>
      <c r="C327" s="13" t="s">
        <v>872</v>
      </c>
      <c r="D327" s="13">
        <v>411963.26</v>
      </c>
      <c r="E327" s="13">
        <v>163582.84</v>
      </c>
      <c r="F327" s="13">
        <f t="shared" si="6"/>
        <v>248380.42</v>
      </c>
    </row>
    <row r="328" spans="1:6" x14ac:dyDescent="0.2">
      <c r="A328" s="12">
        <v>2754</v>
      </c>
      <c r="B328" s="12">
        <v>1</v>
      </c>
      <c r="C328" s="13" t="s">
        <v>873</v>
      </c>
      <c r="D328" s="13">
        <v>182061.86000000002</v>
      </c>
      <c r="E328" s="13">
        <v>86535.58</v>
      </c>
      <c r="F328" s="13">
        <f t="shared" si="6"/>
        <v>95526.280000000013</v>
      </c>
    </row>
    <row r="329" spans="1:6" x14ac:dyDescent="0.2">
      <c r="A329" s="12">
        <v>2759</v>
      </c>
      <c r="B329" s="12">
        <v>1</v>
      </c>
      <c r="C329" s="13" t="s">
        <v>874</v>
      </c>
      <c r="D329" s="13">
        <v>165479.88</v>
      </c>
      <c r="E329" s="13">
        <v>71915.02</v>
      </c>
      <c r="F329" s="13">
        <f t="shared" si="6"/>
        <v>93564.86</v>
      </c>
    </row>
    <row r="330" spans="1:6" x14ac:dyDescent="0.2">
      <c r="A330" s="12">
        <v>2805</v>
      </c>
      <c r="B330" s="12">
        <v>1</v>
      </c>
      <c r="C330" s="13" t="s">
        <v>875</v>
      </c>
      <c r="D330" s="13">
        <v>710820.19</v>
      </c>
      <c r="E330" s="13">
        <v>257742.07</v>
      </c>
      <c r="F330" s="13">
        <f t="shared" si="6"/>
        <v>453078.11999999994</v>
      </c>
    </row>
    <row r="331" spans="1:6" x14ac:dyDescent="0.2">
      <c r="A331" s="12">
        <v>2835</v>
      </c>
      <c r="B331" s="12">
        <v>1</v>
      </c>
      <c r="C331" s="13" t="s">
        <v>876</v>
      </c>
      <c r="D331" s="13">
        <v>573238.93999999983</v>
      </c>
      <c r="E331" s="13">
        <v>187856.11000000002</v>
      </c>
      <c r="F331" s="13">
        <f t="shared" si="6"/>
        <v>385382.82999999984</v>
      </c>
    </row>
    <row r="332" spans="1:6" x14ac:dyDescent="0.2">
      <c r="A332" s="12">
        <v>2853</v>
      </c>
      <c r="B332" s="12">
        <v>1</v>
      </c>
      <c r="C332" s="13" t="s">
        <v>877</v>
      </c>
      <c r="D332" s="13">
        <v>555524.39999999991</v>
      </c>
      <c r="E332" s="13">
        <v>217674.27</v>
      </c>
      <c r="F332" s="13">
        <f t="shared" si="6"/>
        <v>337850.12999999989</v>
      </c>
    </row>
    <row r="333" spans="1:6" x14ac:dyDescent="0.2">
      <c r="A333" s="12">
        <v>2854</v>
      </c>
      <c r="B333" s="12">
        <v>1</v>
      </c>
      <c r="C333" s="13" t="s">
        <v>878</v>
      </c>
      <c r="D333" s="13">
        <v>167154.6</v>
      </c>
      <c r="E333" s="13">
        <v>63589.63</v>
      </c>
      <c r="F333" s="13">
        <f t="shared" si="6"/>
        <v>103564.97</v>
      </c>
    </row>
    <row r="334" spans="1:6" x14ac:dyDescent="0.2">
      <c r="A334" s="12">
        <v>2856</v>
      </c>
      <c r="B334" s="12">
        <v>1</v>
      </c>
      <c r="C334" s="13" t="s">
        <v>879</v>
      </c>
      <c r="D334" s="13">
        <v>189582.51</v>
      </c>
      <c r="E334" s="13">
        <v>90110.209999999992</v>
      </c>
      <c r="F334" s="13">
        <f t="shared" si="6"/>
        <v>99472.300000000017</v>
      </c>
    </row>
    <row r="335" spans="1:6" x14ac:dyDescent="0.2">
      <c r="A335" s="12">
        <v>2859</v>
      </c>
      <c r="B335" s="12">
        <v>1</v>
      </c>
      <c r="C335" s="13" t="s">
        <v>880</v>
      </c>
      <c r="D335" s="13">
        <v>725888.5</v>
      </c>
      <c r="E335" s="13">
        <v>334893.67</v>
      </c>
      <c r="F335" s="13">
        <f t="shared" ref="F335:F349" si="7">D335-E335</f>
        <v>390994.83</v>
      </c>
    </row>
    <row r="336" spans="1:6" x14ac:dyDescent="0.2">
      <c r="A336" s="12">
        <v>2860</v>
      </c>
      <c r="B336" s="12">
        <v>1</v>
      </c>
      <c r="C336" s="13" t="s">
        <v>881</v>
      </c>
      <c r="D336" s="13">
        <v>372800.42999999993</v>
      </c>
      <c r="E336" s="13">
        <v>163803.01999999999</v>
      </c>
      <c r="F336" s="13">
        <f t="shared" si="7"/>
        <v>208997.40999999995</v>
      </c>
    </row>
    <row r="337" spans="1:6" x14ac:dyDescent="0.2">
      <c r="A337" s="12">
        <v>2884</v>
      </c>
      <c r="B337" s="12">
        <v>1</v>
      </c>
      <c r="C337" s="13" t="s">
        <v>882</v>
      </c>
      <c r="D337" s="13">
        <v>324472.33999999997</v>
      </c>
      <c r="E337" s="13">
        <v>124791.97</v>
      </c>
      <c r="F337" s="13">
        <f t="shared" si="7"/>
        <v>199680.36999999997</v>
      </c>
    </row>
    <row r="338" spans="1:6" x14ac:dyDescent="0.2">
      <c r="A338" s="12">
        <v>2886</v>
      </c>
      <c r="B338" s="12">
        <v>1</v>
      </c>
      <c r="C338" s="13" t="s">
        <v>883</v>
      </c>
      <c r="D338" s="13">
        <v>74139.61</v>
      </c>
      <c r="E338" s="13">
        <v>35239.199999999997</v>
      </c>
      <c r="F338" s="13">
        <f t="shared" si="7"/>
        <v>38900.410000000003</v>
      </c>
    </row>
    <row r="339" spans="1:6" x14ac:dyDescent="0.2">
      <c r="A339" s="12">
        <v>2888</v>
      </c>
      <c r="B339" s="12">
        <v>1</v>
      </c>
      <c r="C339" s="13" t="s">
        <v>884</v>
      </c>
      <c r="D339" s="13">
        <v>139829.88</v>
      </c>
      <c r="E339" s="13">
        <v>46227.9</v>
      </c>
      <c r="F339" s="13">
        <f t="shared" si="7"/>
        <v>93601.98000000001</v>
      </c>
    </row>
    <row r="340" spans="1:6" x14ac:dyDescent="0.2">
      <c r="A340" s="12">
        <v>2889</v>
      </c>
      <c r="B340" s="12">
        <v>1</v>
      </c>
      <c r="C340" s="13" t="s">
        <v>885</v>
      </c>
      <c r="D340" s="13">
        <v>456346.67</v>
      </c>
      <c r="E340" s="13">
        <v>179932.90999999997</v>
      </c>
      <c r="F340" s="13">
        <f t="shared" si="7"/>
        <v>276413.76</v>
      </c>
    </row>
    <row r="341" spans="1:6" x14ac:dyDescent="0.2">
      <c r="A341" s="12">
        <v>2890</v>
      </c>
      <c r="B341" s="12">
        <v>1</v>
      </c>
      <c r="C341" s="13" t="s">
        <v>886</v>
      </c>
      <c r="D341" s="13">
        <v>544048.41999999993</v>
      </c>
      <c r="E341" s="13">
        <v>152416.97000000003</v>
      </c>
      <c r="F341" s="13">
        <f t="shared" si="7"/>
        <v>391631.4499999999</v>
      </c>
    </row>
    <row r="342" spans="1:6" x14ac:dyDescent="0.2">
      <c r="A342" s="12">
        <v>2895</v>
      </c>
      <c r="B342" s="12">
        <v>1</v>
      </c>
      <c r="C342" s="13" t="s">
        <v>887</v>
      </c>
      <c r="D342" s="13">
        <v>720817.12</v>
      </c>
      <c r="E342" s="13">
        <v>321188.75</v>
      </c>
      <c r="F342" s="13">
        <f t="shared" si="7"/>
        <v>399628.37</v>
      </c>
    </row>
    <row r="343" spans="1:6" x14ac:dyDescent="0.2">
      <c r="A343" s="12">
        <v>2897</v>
      </c>
      <c r="B343" s="12">
        <v>1</v>
      </c>
      <c r="C343" s="13" t="s">
        <v>888</v>
      </c>
      <c r="D343" s="13">
        <v>595788.99</v>
      </c>
      <c r="E343" s="13">
        <v>283183.65000000002</v>
      </c>
      <c r="F343" s="13">
        <f t="shared" si="7"/>
        <v>312605.33999999997</v>
      </c>
    </row>
    <row r="344" spans="1:6" x14ac:dyDescent="0.2">
      <c r="A344" s="12">
        <v>2898</v>
      </c>
      <c r="B344" s="12">
        <v>1</v>
      </c>
      <c r="C344" s="13" t="s">
        <v>889</v>
      </c>
      <c r="D344" s="13">
        <v>135980.81</v>
      </c>
      <c r="E344" s="13">
        <v>64632.86</v>
      </c>
      <c r="F344" s="13">
        <f t="shared" si="7"/>
        <v>71347.95</v>
      </c>
    </row>
    <row r="345" spans="1:6" x14ac:dyDescent="0.2">
      <c r="A345" s="12">
        <v>2899</v>
      </c>
      <c r="B345" s="12">
        <v>1</v>
      </c>
      <c r="C345" s="13" t="s">
        <v>890</v>
      </c>
      <c r="D345" s="13">
        <v>451425.8</v>
      </c>
      <c r="E345" s="13">
        <v>201856.02999999997</v>
      </c>
      <c r="F345" s="13">
        <f t="shared" si="7"/>
        <v>249569.77000000002</v>
      </c>
    </row>
    <row r="346" spans="1:6" x14ac:dyDescent="0.2">
      <c r="A346" s="12">
        <v>2902</v>
      </c>
      <c r="B346" s="12">
        <v>1</v>
      </c>
      <c r="C346" s="13" t="s">
        <v>891</v>
      </c>
      <c r="D346" s="13">
        <v>257092.38</v>
      </c>
      <c r="E346" s="13">
        <v>104172.01</v>
      </c>
      <c r="F346" s="13">
        <f t="shared" si="7"/>
        <v>152920.37</v>
      </c>
    </row>
    <row r="347" spans="1:6" x14ac:dyDescent="0.2">
      <c r="A347" s="12">
        <v>2903</v>
      </c>
      <c r="B347" s="12">
        <v>1</v>
      </c>
      <c r="C347" s="13" t="s">
        <v>892</v>
      </c>
      <c r="D347" s="13">
        <v>278503.19000000006</v>
      </c>
      <c r="E347" s="13">
        <v>90974.760000000009</v>
      </c>
      <c r="F347" s="13">
        <f t="shared" si="7"/>
        <v>187528.43000000005</v>
      </c>
    </row>
    <row r="348" spans="1:6" x14ac:dyDescent="0.2">
      <c r="A348" s="12">
        <v>2904</v>
      </c>
      <c r="B348" s="12">
        <v>1</v>
      </c>
      <c r="C348" s="13" t="s">
        <v>893</v>
      </c>
      <c r="D348" s="13">
        <v>390066.88</v>
      </c>
      <c r="E348" s="13">
        <v>133355.30000000002</v>
      </c>
      <c r="F348" s="13">
        <f t="shared" si="7"/>
        <v>256711.58</v>
      </c>
    </row>
    <row r="349" spans="1:6" x14ac:dyDescent="0.2">
      <c r="A349" s="12">
        <v>2905</v>
      </c>
      <c r="B349" s="12">
        <v>1</v>
      </c>
      <c r="C349" s="24" t="s">
        <v>894</v>
      </c>
      <c r="D349" s="13">
        <v>881420.97000000009</v>
      </c>
      <c r="E349" s="13">
        <v>405950.2</v>
      </c>
      <c r="F349" s="13">
        <f t="shared" si="7"/>
        <v>475470.77000000008</v>
      </c>
    </row>
  </sheetData>
  <mergeCells count="1">
    <mergeCell ref="D8:F8"/>
  </mergeCells>
  <pageMargins left="0.75" right="0.75" top="1" bottom="0.75" header="0.5" footer="0.5"/>
  <pageSetup scale="96" fitToHeight="7" orientation="portrait" r:id="rId1"/>
  <headerFooter alignWithMargins="0"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532"/>
  <sheetViews>
    <sheetView tabSelected="1" zoomScale="75" zoomScaleNormal="75" workbookViewId="0">
      <pane xSplit="4" ySplit="7" topLeftCell="Q8" activePane="bottomRight" state="frozenSplit"/>
      <selection pane="topRight" activeCell="C4" sqref="C4"/>
      <selection pane="bottomLeft" activeCell="A7" sqref="A7"/>
      <selection pane="bottomRight" activeCell="AA17" sqref="AA17"/>
    </sheetView>
  </sheetViews>
  <sheetFormatPr defaultRowHeight="15" x14ac:dyDescent="0.25"/>
  <cols>
    <col min="1" max="1" width="6.140625" customWidth="1"/>
    <col min="2" max="2" width="5.28515625" bestFit="1" customWidth="1"/>
    <col min="3" max="3" width="5.28515625" hidden="1" customWidth="1"/>
    <col min="4" max="4" width="37.7109375" style="1" customWidth="1"/>
    <col min="5" max="5" width="14.140625" style="7" customWidth="1"/>
    <col min="6" max="6" width="13.7109375" style="7" customWidth="1"/>
    <col min="7" max="8" width="15.5703125" style="7" customWidth="1"/>
    <col min="9" max="9" width="14.5703125" style="7" customWidth="1"/>
    <col min="10" max="10" width="14.28515625" style="7" customWidth="1"/>
    <col min="11" max="12" width="13.5703125" style="7" customWidth="1"/>
    <col min="13" max="13" width="14.85546875" style="7" customWidth="1"/>
    <col min="14" max="14" width="14.42578125" style="7" customWidth="1"/>
    <col min="15" max="15" width="13.7109375" style="7" customWidth="1"/>
    <col min="16" max="16" width="12.5703125" style="7" customWidth="1"/>
    <col min="17" max="17" width="13.28515625" style="7" customWidth="1"/>
    <col min="18" max="18" width="13.140625" style="7" customWidth="1"/>
    <col min="19" max="19" width="13" style="7" customWidth="1"/>
    <col min="20" max="20" width="13.28515625" style="7" customWidth="1"/>
    <col min="21" max="21" width="12.5703125" style="7" customWidth="1"/>
    <col min="22" max="22" width="13.28515625" style="7" customWidth="1"/>
    <col min="23" max="23" width="15.140625" style="9" customWidth="1"/>
    <col min="24" max="25" width="15.140625" style="9" hidden="1" customWidth="1"/>
    <col min="26" max="26" width="15.140625" style="9" customWidth="1"/>
    <col min="27" max="27" width="17.42578125" style="9" customWidth="1"/>
    <col min="28" max="28" width="11.42578125" style="7" hidden="1" customWidth="1"/>
    <col min="29" max="29" width="6.5703125" style="12" hidden="1" customWidth="1"/>
    <col min="30" max="32" width="5.85546875" style="12" hidden="1" customWidth="1"/>
    <col min="33" max="33" width="24.7109375" style="13" hidden="1" customWidth="1"/>
    <col min="34" max="35" width="12.7109375" style="13" hidden="1" customWidth="1"/>
    <col min="36" max="36" width="13.5703125" style="13" hidden="1" customWidth="1"/>
    <col min="37" max="39" width="0" hidden="1" customWidth="1"/>
    <col min="40" max="41" width="12.7109375" hidden="1" customWidth="1"/>
    <col min="42" max="42" width="13.5703125" hidden="1" customWidth="1"/>
  </cols>
  <sheetData>
    <row r="1" spans="1:39" ht="15.75" thickBot="1" x14ac:dyDescent="0.3">
      <c r="A1" s="2" t="s">
        <v>548</v>
      </c>
      <c r="W1" s="7"/>
      <c r="X1" s="22">
        <v>0.48599999999999999</v>
      </c>
      <c r="Y1" s="22">
        <v>0.23100000000000001</v>
      </c>
      <c r="Z1" s="21"/>
      <c r="AA1" s="7"/>
      <c r="AK1" s="1"/>
    </row>
    <row r="2" spans="1:39" ht="16.5" thickBot="1" x14ac:dyDescent="0.3">
      <c r="A2" s="2"/>
      <c r="E2" s="26"/>
      <c r="F2" s="27"/>
      <c r="G2" s="27"/>
      <c r="H2" s="27"/>
      <c r="I2" s="27"/>
      <c r="J2" s="27"/>
      <c r="K2" s="28" t="s">
        <v>896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9"/>
      <c r="X2" s="22"/>
      <c r="Y2" s="22"/>
      <c r="Z2" s="32" t="s">
        <v>901</v>
      </c>
      <c r="AA2" s="33" t="s">
        <v>900</v>
      </c>
      <c r="AK2" s="1"/>
    </row>
    <row r="3" spans="1:39" ht="18" customHeight="1" x14ac:dyDescent="0.25">
      <c r="D3" s="1" t="s">
        <v>544</v>
      </c>
      <c r="E3" s="7">
        <v>62352616.780000001</v>
      </c>
      <c r="F3" s="7">
        <v>5014048.9899999974</v>
      </c>
      <c r="G3" s="7">
        <v>-2262348.6500000013</v>
      </c>
      <c r="H3" s="7">
        <v>8123801.6599999983</v>
      </c>
      <c r="I3" s="7">
        <v>19348909.109999992</v>
      </c>
      <c r="J3" s="7">
        <v>7352221.5799999963</v>
      </c>
      <c r="K3" s="7">
        <v>11484743.200000005</v>
      </c>
      <c r="L3" s="7">
        <v>9641052.6900000069</v>
      </c>
      <c r="M3" s="7">
        <v>8717353.040000001</v>
      </c>
      <c r="N3" s="7">
        <v>10752080.370000003</v>
      </c>
      <c r="O3" s="7">
        <v>11364903.739999995</v>
      </c>
      <c r="P3" s="7">
        <v>11173757.569999991</v>
      </c>
      <c r="Q3" s="7">
        <v>8750100.1900000032</v>
      </c>
      <c r="R3" s="7">
        <v>18192038.25</v>
      </c>
      <c r="S3" s="7">
        <v>16403375.370000003</v>
      </c>
      <c r="T3" s="7">
        <v>6527713.7500000037</v>
      </c>
      <c r="U3" s="7">
        <v>7042551.8600000003</v>
      </c>
      <c r="V3" s="7">
        <v>-5575470.3099999987</v>
      </c>
      <c r="W3" s="7">
        <v>214403449.19000003</v>
      </c>
      <c r="X3" s="7">
        <f>SUM(X8:X339)</f>
        <v>545006757.72000003</v>
      </c>
      <c r="Y3" s="7">
        <f t="shared" ref="Y3" si="0">SUM(Y8:Y339)</f>
        <v>215925015.8900001</v>
      </c>
      <c r="Z3" s="7">
        <f>Z6</f>
        <v>329081741.83000004</v>
      </c>
      <c r="AA3" s="7">
        <f>W3+Z3</f>
        <v>543485191.0200001</v>
      </c>
      <c r="AD3" s="18"/>
      <c r="AE3" s="18"/>
      <c r="AF3" s="18"/>
      <c r="AH3" s="34" t="s">
        <v>556</v>
      </c>
      <c r="AI3" s="34"/>
      <c r="AJ3" s="34"/>
      <c r="AK3" s="1"/>
    </row>
    <row r="4" spans="1:39" ht="18" customHeight="1" x14ac:dyDescent="0.25">
      <c r="D4" s="1" t="s">
        <v>545</v>
      </c>
      <c r="E4" s="7">
        <v>-13960305.670000002</v>
      </c>
      <c r="F4" s="7">
        <v>-18665192.670000002</v>
      </c>
      <c r="G4" s="7">
        <v>-15140168.24</v>
      </c>
      <c r="H4" s="7">
        <v>-5497412.4300000016</v>
      </c>
      <c r="I4" s="7">
        <v>-3496480.9900000016</v>
      </c>
      <c r="J4" s="7">
        <v>-5310059.8900000006</v>
      </c>
      <c r="K4" s="7">
        <v>-5018255.9000000004</v>
      </c>
      <c r="L4" s="7">
        <v>-4939876.6399999969</v>
      </c>
      <c r="M4" s="7">
        <v>-5241537.9300000016</v>
      </c>
      <c r="N4" s="7">
        <v>-4841700.9999999991</v>
      </c>
      <c r="O4" s="7">
        <v>17966916.409999993</v>
      </c>
      <c r="P4" s="7">
        <v>13476433.109999998</v>
      </c>
      <c r="Q4" s="7">
        <v>14673766.159999996</v>
      </c>
      <c r="R4" s="7">
        <v>15017676.379999997</v>
      </c>
      <c r="S4" s="7">
        <v>16301832.10999999</v>
      </c>
      <c r="T4" s="7">
        <v>14492667.779999999</v>
      </c>
      <c r="U4" s="7">
        <v>14156354.319999995</v>
      </c>
      <c r="V4" s="7">
        <v>12966616.759999996</v>
      </c>
      <c r="W4" s="7">
        <v>36941271.669999994</v>
      </c>
      <c r="X4" s="7"/>
      <c r="Y4" s="7"/>
      <c r="Z4" s="7">
        <v>0</v>
      </c>
      <c r="AA4" s="7">
        <f t="shared" ref="AA4:AA6" si="1">W4+Z4</f>
        <v>36941271.669999994</v>
      </c>
      <c r="AD4" s="19"/>
      <c r="AE4" s="19"/>
      <c r="AF4" s="19"/>
      <c r="AK4" s="1"/>
    </row>
    <row r="5" spans="1:39" ht="18" customHeight="1" x14ac:dyDescent="0.25">
      <c r="D5" s="1" t="s">
        <v>546</v>
      </c>
      <c r="E5" s="7">
        <v>-3485213.7099999487</v>
      </c>
      <c r="F5" s="7">
        <v>-4046073.5400000066</v>
      </c>
      <c r="G5" s="7">
        <v>-3118820.1999999899</v>
      </c>
      <c r="H5" s="7">
        <v>-1173684.7799999975</v>
      </c>
      <c r="I5" s="7">
        <v>-1014246.4399999664</v>
      </c>
      <c r="J5" s="7">
        <v>-1194497.3899999987</v>
      </c>
      <c r="K5" s="7">
        <v>-1153598.1799999997</v>
      </c>
      <c r="L5" s="7">
        <v>-1179094.9400000051</v>
      </c>
      <c r="M5" s="7">
        <v>-1176185.6699999915</v>
      </c>
      <c r="N5" s="7">
        <v>-1149468.3000000035</v>
      </c>
      <c r="O5" s="7">
        <v>2880595.0600000024</v>
      </c>
      <c r="P5" s="7">
        <v>3012159.9100000113</v>
      </c>
      <c r="Q5" s="7">
        <v>2962124.9600000083</v>
      </c>
      <c r="R5" s="7">
        <v>3014670.9999999832</v>
      </c>
      <c r="S5" s="7">
        <v>2962294.9199999962</v>
      </c>
      <c r="T5" s="7">
        <v>2962773.0200000014</v>
      </c>
      <c r="U5" s="7">
        <v>2955453.5399999861</v>
      </c>
      <c r="V5" s="7">
        <v>2846771.1900000069</v>
      </c>
      <c r="W5" s="7">
        <v>4905960.4500001594</v>
      </c>
      <c r="X5" s="7"/>
      <c r="Y5" s="7"/>
      <c r="Z5" s="7">
        <v>0</v>
      </c>
      <c r="AA5" s="7">
        <f t="shared" si="1"/>
        <v>4905960.4500001594</v>
      </c>
      <c r="AC5" s="20"/>
      <c r="AD5" s="21"/>
      <c r="AE5" s="21"/>
      <c r="AF5" s="21"/>
      <c r="AG5" s="21"/>
      <c r="AH5" s="22">
        <v>0.48599999999999999</v>
      </c>
      <c r="AI5" s="22">
        <v>0.23100000000000001</v>
      </c>
      <c r="AJ5" s="21" t="s">
        <v>557</v>
      </c>
      <c r="AK5" s="1"/>
    </row>
    <row r="6" spans="1:39" ht="18" customHeight="1" thickBot="1" x14ac:dyDescent="0.3">
      <c r="D6" s="1" t="s">
        <v>547</v>
      </c>
      <c r="E6" s="7">
        <f t="shared" ref="E6:U6" si="2">SUM(E8:E532)</f>
        <v>44907097.400000021</v>
      </c>
      <c r="F6" s="7">
        <f t="shared" si="2"/>
        <v>-17697217.220000003</v>
      </c>
      <c r="G6" s="7">
        <f t="shared" si="2"/>
        <v>-20521337.089999992</v>
      </c>
      <c r="H6" s="7">
        <f t="shared" si="2"/>
        <v>1452704.4499999995</v>
      </c>
      <c r="I6" s="7">
        <f t="shared" si="2"/>
        <v>14838181.680000024</v>
      </c>
      <c r="J6" s="7">
        <f t="shared" si="2"/>
        <v>847664.29999999516</v>
      </c>
      <c r="K6" s="7">
        <f t="shared" si="2"/>
        <v>5312889.1200000048</v>
      </c>
      <c r="L6" s="7">
        <f t="shared" si="2"/>
        <v>3522081.1100000087</v>
      </c>
      <c r="M6" s="7">
        <f t="shared" si="2"/>
        <v>2299629.4400000079</v>
      </c>
      <c r="N6" s="7">
        <f t="shared" si="2"/>
        <v>4760911.0699999928</v>
      </c>
      <c r="O6" s="7">
        <f t="shared" si="2"/>
        <v>32212415.209999986</v>
      </c>
      <c r="P6" s="7">
        <f t="shared" si="2"/>
        <v>27662350.590000004</v>
      </c>
      <c r="Q6" s="7">
        <f t="shared" si="2"/>
        <v>26385991.31000001</v>
      </c>
      <c r="R6" s="7">
        <f t="shared" si="2"/>
        <v>36224385.62999998</v>
      </c>
      <c r="S6" s="7">
        <f t="shared" si="2"/>
        <v>35667502.399999984</v>
      </c>
      <c r="T6" s="7">
        <f t="shared" si="2"/>
        <v>23983154.550000004</v>
      </c>
      <c r="U6" s="7">
        <f t="shared" si="2"/>
        <v>24154359.71999998</v>
      </c>
      <c r="V6" s="7">
        <f>SUM(V8:V532)</f>
        <v>10237917.640000004</v>
      </c>
      <c r="W6" s="7">
        <f>SUM(W8:W532)</f>
        <v>256250681.31000018</v>
      </c>
      <c r="X6" s="7">
        <f t="shared" ref="X6:Z6" si="3">SUM(X8:X532)</f>
        <v>545006757.72000003</v>
      </c>
      <c r="Y6" s="7">
        <f t="shared" si="3"/>
        <v>215925015.8900001</v>
      </c>
      <c r="Z6" s="7">
        <f t="shared" si="3"/>
        <v>329081741.83000004</v>
      </c>
      <c r="AA6" s="7">
        <f t="shared" si="1"/>
        <v>585332423.14000022</v>
      </c>
      <c r="AG6" s="13" t="s">
        <v>558</v>
      </c>
      <c r="AH6" s="23">
        <f>SUM(AH8:AH343)</f>
        <v>545006757.72000003</v>
      </c>
      <c r="AI6" s="23">
        <f>SUM(AI8:AI343)</f>
        <v>215925015.8900001</v>
      </c>
      <c r="AJ6" s="23">
        <f>SUM(AJ8:AJ343)</f>
        <v>329081741.82999992</v>
      </c>
      <c r="AK6" s="1"/>
    </row>
    <row r="7" spans="1:39" s="3" customFormat="1" ht="60.75" thickBot="1" x14ac:dyDescent="0.3">
      <c r="A7" s="4" t="s">
        <v>543</v>
      </c>
      <c r="B7" s="5" t="s">
        <v>542</v>
      </c>
      <c r="C7" s="5" t="s">
        <v>542</v>
      </c>
      <c r="D7" s="6" t="s">
        <v>0</v>
      </c>
      <c r="E7" s="8" t="s">
        <v>1</v>
      </c>
      <c r="F7" s="8" t="s">
        <v>2</v>
      </c>
      <c r="G7" s="8" t="s">
        <v>3</v>
      </c>
      <c r="H7" s="8" t="s">
        <v>4</v>
      </c>
      <c r="I7" s="8" t="s">
        <v>5</v>
      </c>
      <c r="J7" s="8" t="s">
        <v>6</v>
      </c>
      <c r="K7" s="8" t="s">
        <v>7</v>
      </c>
      <c r="L7" s="8" t="s">
        <v>8</v>
      </c>
      <c r="M7" s="8" t="s">
        <v>9</v>
      </c>
      <c r="N7" s="8" t="s">
        <v>10</v>
      </c>
      <c r="O7" s="8" t="s">
        <v>11</v>
      </c>
      <c r="P7" s="8" t="s">
        <v>12</v>
      </c>
      <c r="Q7" s="8" t="s">
        <v>13</v>
      </c>
      <c r="R7" s="8" t="s">
        <v>14</v>
      </c>
      <c r="S7" s="8" t="s">
        <v>15</v>
      </c>
      <c r="T7" s="8" t="s">
        <v>16</v>
      </c>
      <c r="U7" s="8" t="s">
        <v>17</v>
      </c>
      <c r="V7" s="8" t="s">
        <v>895</v>
      </c>
      <c r="W7" s="31" t="s">
        <v>897</v>
      </c>
      <c r="X7" s="25"/>
      <c r="Y7" s="25"/>
      <c r="Z7" s="30" t="s">
        <v>898</v>
      </c>
      <c r="AA7" s="30" t="s">
        <v>899</v>
      </c>
      <c r="AB7" s="10"/>
      <c r="AC7" s="12"/>
      <c r="AD7" s="12"/>
      <c r="AE7" s="12"/>
      <c r="AF7" s="12"/>
      <c r="AG7" s="13"/>
      <c r="AH7" s="13"/>
      <c r="AI7" s="13"/>
      <c r="AJ7" s="13"/>
      <c r="AK7" s="1"/>
    </row>
    <row r="8" spans="1:39" s="1" customFormat="1" x14ac:dyDescent="0.25">
      <c r="A8">
        <v>1</v>
      </c>
      <c r="B8">
        <v>1</v>
      </c>
      <c r="C8">
        <f>B8</f>
        <v>1</v>
      </c>
      <c r="D8" s="1" t="s">
        <v>18</v>
      </c>
      <c r="E8" s="7">
        <v>93620.680000000022</v>
      </c>
      <c r="F8" s="7">
        <v>10533.800000000003</v>
      </c>
      <c r="G8" s="7">
        <v>8668.5799999999872</v>
      </c>
      <c r="H8" s="7">
        <v>13907.51999999996</v>
      </c>
      <c r="I8" s="7">
        <v>19070.880000000005</v>
      </c>
      <c r="J8" s="7">
        <v>10295.5</v>
      </c>
      <c r="K8" s="7">
        <v>17337.170000000042</v>
      </c>
      <c r="L8" s="7">
        <v>13984.889999999956</v>
      </c>
      <c r="M8" s="7">
        <v>13869.729999999981</v>
      </c>
      <c r="N8" s="7">
        <v>17241.190000000002</v>
      </c>
      <c r="O8" s="7">
        <v>17342.630000000005</v>
      </c>
      <c r="P8" s="7">
        <v>20769.300000000047</v>
      </c>
      <c r="Q8" s="7">
        <v>13869.719999999972</v>
      </c>
      <c r="R8" s="7">
        <v>24276.45000000007</v>
      </c>
      <c r="S8" s="7">
        <v>17337.170000000042</v>
      </c>
      <c r="T8" s="7">
        <v>17341.949999999983</v>
      </c>
      <c r="U8" s="7">
        <v>17337.160000000033</v>
      </c>
      <c r="V8" s="7">
        <v>-0.28999999999999204</v>
      </c>
      <c r="W8" s="9">
        <f t="shared" ref="W8:W71" si="4">SUM(E8:V8)</f>
        <v>346804.03000000009</v>
      </c>
      <c r="X8" s="9">
        <v>370454.75</v>
      </c>
      <c r="Y8" s="9">
        <v>176080.34</v>
      </c>
      <c r="Z8" s="9">
        <v>194374.41</v>
      </c>
      <c r="AA8" s="9">
        <f>W8+Z8</f>
        <v>541178.44000000006</v>
      </c>
      <c r="AB8" s="7" t="e">
        <f>W8-#REF!</f>
        <v>#REF!</v>
      </c>
      <c r="AC8" s="12">
        <v>1</v>
      </c>
      <c r="AD8" s="12">
        <v>1</v>
      </c>
      <c r="AE8" s="12">
        <f>SUMIF($AM$8:$AM$15,AC8,$AL$8:$AL$15)</f>
        <v>0</v>
      </c>
      <c r="AF8" s="12">
        <f>IF(AE8=0,AC8,AE8)</f>
        <v>1</v>
      </c>
      <c r="AG8" s="13" t="s">
        <v>559</v>
      </c>
      <c r="AH8" s="13">
        <v>370454.75</v>
      </c>
      <c r="AI8" s="13">
        <v>176080.34</v>
      </c>
      <c r="AJ8" s="13">
        <f>AH8-AI8</f>
        <v>194374.41</v>
      </c>
      <c r="AL8" s="1">
        <v>2769</v>
      </c>
      <c r="AM8" s="1">
        <v>769</v>
      </c>
    </row>
    <row r="9" spans="1:39" s="1" customFormat="1" x14ac:dyDescent="0.25">
      <c r="A9">
        <v>1.2</v>
      </c>
      <c r="B9">
        <v>3</v>
      </c>
      <c r="C9">
        <v>1</v>
      </c>
      <c r="D9" s="1" t="s">
        <v>19</v>
      </c>
      <c r="E9" s="7">
        <v>3399193.8599999994</v>
      </c>
      <c r="F9" s="7">
        <v>966629.21000000008</v>
      </c>
      <c r="G9" s="7">
        <v>-10343.520000000019</v>
      </c>
      <c r="H9" s="7">
        <v>241657.32999999996</v>
      </c>
      <c r="I9" s="7">
        <v>1882694.6399999997</v>
      </c>
      <c r="J9" s="7">
        <v>591609.20000000112</v>
      </c>
      <c r="K9" s="7">
        <v>627564.86999999732</v>
      </c>
      <c r="L9" s="7">
        <v>757485.08000000194</v>
      </c>
      <c r="M9" s="7">
        <v>502051.89999999851</v>
      </c>
      <c r="N9" s="7">
        <v>846583.96999999881</v>
      </c>
      <c r="O9" s="7">
        <v>670806.3599999994</v>
      </c>
      <c r="P9" s="7">
        <v>-839842.33999999985</v>
      </c>
      <c r="Q9" s="7">
        <v>504411.66000000015</v>
      </c>
      <c r="R9" s="7">
        <v>629902.39999999851</v>
      </c>
      <c r="S9" s="7">
        <v>1882694.6399999997</v>
      </c>
      <c r="T9" s="7">
        <v>316441.54000000004</v>
      </c>
      <c r="U9" s="7">
        <v>0</v>
      </c>
      <c r="V9" s="7">
        <v>-736485.09</v>
      </c>
      <c r="W9" s="9">
        <f t="shared" si="4"/>
        <v>12233055.709999993</v>
      </c>
      <c r="X9" s="9">
        <v>34947869.549999997</v>
      </c>
      <c r="Y9" s="9">
        <v>11338072.24</v>
      </c>
      <c r="Z9" s="9">
        <v>23609797.309999995</v>
      </c>
      <c r="AA9" s="9">
        <f t="shared" ref="AA9:AA72" si="5">W9+Z9</f>
        <v>35842853.019999988</v>
      </c>
      <c r="AB9" s="7" t="e">
        <f>W9-#REF!</f>
        <v>#REF!</v>
      </c>
      <c r="AC9" s="12">
        <v>1.2</v>
      </c>
      <c r="AD9" s="12">
        <v>3</v>
      </c>
      <c r="AE9" s="12">
        <f t="shared" ref="AE9:AE72" si="6">SUMIF($AM$8:$AM$15,AC9,$AL$8:$AL$15)</f>
        <v>0</v>
      </c>
      <c r="AF9" s="12">
        <f t="shared" ref="AF9:AF72" si="7">IF(AE9=0,AC9,AE9)</f>
        <v>1.2</v>
      </c>
      <c r="AG9" s="13" t="s">
        <v>560</v>
      </c>
      <c r="AH9" s="13">
        <v>34947869.549999997</v>
      </c>
      <c r="AI9" s="13">
        <v>11338072.24</v>
      </c>
      <c r="AJ9" s="13">
        <f t="shared" ref="AJ9:AJ72" si="8">AH9-AI9</f>
        <v>23609797.309999995</v>
      </c>
      <c r="AL9" s="1">
        <v>2769</v>
      </c>
      <c r="AM9" s="1">
        <v>611</v>
      </c>
    </row>
    <row r="10" spans="1:39" s="1" customFormat="1" x14ac:dyDescent="0.25">
      <c r="A10">
        <v>2</v>
      </c>
      <c r="B10">
        <v>1</v>
      </c>
      <c r="C10">
        <f>B10</f>
        <v>1</v>
      </c>
      <c r="D10" s="1" t="s">
        <v>20</v>
      </c>
      <c r="E10" s="7">
        <v>28166.400000000009</v>
      </c>
      <c r="F10" s="7">
        <v>3809.0399999999936</v>
      </c>
      <c r="G10" s="7">
        <v>2608</v>
      </c>
      <c r="H10" s="7">
        <v>4354.0399999999936</v>
      </c>
      <c r="I10" s="7">
        <v>5737.5999999999767</v>
      </c>
      <c r="J10" s="7">
        <v>2577.9300000000076</v>
      </c>
      <c r="K10" s="7">
        <v>5216</v>
      </c>
      <c r="L10" s="7">
        <v>4764.6399999999994</v>
      </c>
      <c r="M10" s="7">
        <v>4172.8000000000029</v>
      </c>
      <c r="N10" s="7">
        <v>4723.3800000000047</v>
      </c>
      <c r="O10" s="7">
        <v>5216</v>
      </c>
      <c r="P10" s="7">
        <v>6076.6199999999953</v>
      </c>
      <c r="Q10" s="7">
        <v>4172.8000000000029</v>
      </c>
      <c r="R10" s="7">
        <v>7202.4700000000012</v>
      </c>
      <c r="S10" s="7">
        <v>5216</v>
      </c>
      <c r="T10" s="7">
        <v>5363.5599999999977</v>
      </c>
      <c r="U10" s="7">
        <v>5216</v>
      </c>
      <c r="V10" s="7">
        <v>12.470000000000027</v>
      </c>
      <c r="W10" s="9">
        <f t="shared" si="4"/>
        <v>104605.74999999999</v>
      </c>
      <c r="X10" s="9">
        <v>101627.52</v>
      </c>
      <c r="Y10" s="9">
        <v>48304.45</v>
      </c>
      <c r="Z10" s="9">
        <v>53323.070000000007</v>
      </c>
      <c r="AA10" s="9">
        <f t="shared" si="5"/>
        <v>157928.82</v>
      </c>
      <c r="AB10" s="7" t="e">
        <f>W10-#REF!</f>
        <v>#REF!</v>
      </c>
      <c r="AC10" s="12">
        <v>2</v>
      </c>
      <c r="AD10" s="12">
        <v>1</v>
      </c>
      <c r="AE10" s="12">
        <f t="shared" si="6"/>
        <v>0</v>
      </c>
      <c r="AF10" s="12">
        <f t="shared" si="7"/>
        <v>2</v>
      </c>
      <c r="AG10" s="13" t="s">
        <v>561</v>
      </c>
      <c r="AH10" s="13">
        <v>101627.52</v>
      </c>
      <c r="AI10" s="13">
        <v>48304.45</v>
      </c>
      <c r="AJ10" s="13">
        <f t="shared" si="8"/>
        <v>53323.070000000007</v>
      </c>
      <c r="AL10" s="1">
        <v>2906</v>
      </c>
      <c r="AM10" s="1">
        <v>628</v>
      </c>
    </row>
    <row r="11" spans="1:39" s="1" customFormat="1" x14ac:dyDescent="0.25">
      <c r="A11">
        <v>4</v>
      </c>
      <c r="B11">
        <v>1</v>
      </c>
      <c r="C11">
        <f>B11</f>
        <v>1</v>
      </c>
      <c r="D11" s="1" t="s">
        <v>21</v>
      </c>
      <c r="E11" s="7">
        <v>39000.839999999997</v>
      </c>
      <c r="F11" s="7">
        <v>5613.3700000000026</v>
      </c>
      <c r="G11" s="7">
        <v>3611.1900000000005</v>
      </c>
      <c r="H11" s="7">
        <v>6180.3500000000058</v>
      </c>
      <c r="I11" s="7">
        <v>7944.6199999999953</v>
      </c>
      <c r="J11" s="7">
        <v>3294.0899999999965</v>
      </c>
      <c r="K11" s="7">
        <v>7222.3699999999953</v>
      </c>
      <c r="L11" s="7">
        <v>6899.0299999999988</v>
      </c>
      <c r="M11" s="7">
        <v>5777.8999999999942</v>
      </c>
      <c r="N11" s="7">
        <v>6288.109999999986</v>
      </c>
      <c r="O11" s="7">
        <v>7233.320000000007</v>
      </c>
      <c r="P11" s="7">
        <v>8323.0299999999988</v>
      </c>
      <c r="Q11" s="7">
        <v>5777.8999999999942</v>
      </c>
      <c r="R11" s="7">
        <v>10043.73000000004</v>
      </c>
      <c r="S11" s="7">
        <v>7222.3800000000047</v>
      </c>
      <c r="T11" s="7">
        <v>7379.6800000000076</v>
      </c>
      <c r="U11" s="7">
        <v>7222.3799999999901</v>
      </c>
      <c r="V11" s="7">
        <v>-37.619999999999891</v>
      </c>
      <c r="W11" s="9">
        <f t="shared" si="4"/>
        <v>144996.67000000004</v>
      </c>
      <c r="X11" s="9">
        <v>196892.16</v>
      </c>
      <c r="Y11" s="9">
        <v>93584.549999999988</v>
      </c>
      <c r="Z11" s="9">
        <v>103307.61000000002</v>
      </c>
      <c r="AA11" s="9">
        <f t="shared" si="5"/>
        <v>248304.28000000006</v>
      </c>
      <c r="AB11" s="7" t="e">
        <f>W11-#REF!</f>
        <v>#REF!</v>
      </c>
      <c r="AC11" s="12">
        <v>4</v>
      </c>
      <c r="AD11" s="12">
        <v>1</v>
      </c>
      <c r="AE11" s="12">
        <f t="shared" si="6"/>
        <v>0</v>
      </c>
      <c r="AF11" s="12">
        <f t="shared" si="7"/>
        <v>4</v>
      </c>
      <c r="AG11" s="13" t="s">
        <v>562</v>
      </c>
      <c r="AH11" s="13">
        <v>196892.16</v>
      </c>
      <c r="AI11" s="13">
        <v>93584.549999999988</v>
      </c>
      <c r="AJ11" s="13">
        <f t="shared" si="8"/>
        <v>103307.61000000002</v>
      </c>
      <c r="AL11" s="1">
        <v>2906</v>
      </c>
      <c r="AM11" s="1">
        <v>627</v>
      </c>
    </row>
    <row r="12" spans="1:39" s="1" customFormat="1" x14ac:dyDescent="0.25">
      <c r="A12">
        <v>6</v>
      </c>
      <c r="B12">
        <v>3</v>
      </c>
      <c r="C12">
        <v>1</v>
      </c>
      <c r="D12" s="1" t="s">
        <v>22</v>
      </c>
      <c r="E12" s="7">
        <v>274299.44999999995</v>
      </c>
      <c r="F12" s="7">
        <v>6.67</v>
      </c>
      <c r="G12" s="7">
        <v>-365.67999999999938</v>
      </c>
      <c r="H12" s="7">
        <v>1.6500000000000909</v>
      </c>
      <c r="I12" s="7">
        <v>152185.42999999993</v>
      </c>
      <c r="J12" s="7">
        <v>30431.260000000009</v>
      </c>
      <c r="K12" s="7">
        <v>50728.469999999972</v>
      </c>
      <c r="L12" s="7">
        <v>40587.780000000028</v>
      </c>
      <c r="M12" s="7">
        <v>40582.770000000019</v>
      </c>
      <c r="N12" s="7">
        <v>50724.320000000065</v>
      </c>
      <c r="O12" s="7">
        <v>51494.739999999991</v>
      </c>
      <c r="P12" s="7">
        <v>60872.660000000149</v>
      </c>
      <c r="Q12" s="7">
        <v>40582.780000000028</v>
      </c>
      <c r="R12" s="7">
        <v>71020.050000000279</v>
      </c>
      <c r="S12" s="7">
        <v>128520.48999999999</v>
      </c>
      <c r="T12" s="7">
        <v>3043.96</v>
      </c>
      <c r="U12" s="7">
        <v>20621.189999999999</v>
      </c>
      <c r="V12" s="7">
        <v>-47338.91</v>
      </c>
      <c r="W12" s="9">
        <f t="shared" si="4"/>
        <v>967999.08000000031</v>
      </c>
      <c r="X12" s="9">
        <v>2327289.61</v>
      </c>
      <c r="Y12" s="9">
        <v>1015224.49</v>
      </c>
      <c r="Z12" s="9">
        <v>1312065.1199999999</v>
      </c>
      <c r="AA12" s="9">
        <f t="shared" si="5"/>
        <v>2280064.2000000002</v>
      </c>
      <c r="AB12" s="7" t="e">
        <f>W12-#REF!</f>
        <v>#REF!</v>
      </c>
      <c r="AC12" s="12">
        <v>6</v>
      </c>
      <c r="AD12" s="12">
        <v>3</v>
      </c>
      <c r="AE12" s="12">
        <f t="shared" si="6"/>
        <v>0</v>
      </c>
      <c r="AF12" s="12">
        <f t="shared" si="7"/>
        <v>6</v>
      </c>
      <c r="AG12" s="13" t="s">
        <v>563</v>
      </c>
      <c r="AH12" s="13">
        <v>2327289.61</v>
      </c>
      <c r="AI12" s="13">
        <v>1015224.49</v>
      </c>
      <c r="AJ12" s="13">
        <f t="shared" si="8"/>
        <v>1312065.1199999999</v>
      </c>
      <c r="AL12" s="1">
        <v>2907</v>
      </c>
      <c r="AM12" s="1">
        <v>516</v>
      </c>
    </row>
    <row r="13" spans="1:39" s="1" customFormat="1" x14ac:dyDescent="0.25">
      <c r="A13">
        <v>11</v>
      </c>
      <c r="B13">
        <v>1</v>
      </c>
      <c r="C13">
        <f t="shared" ref="C13:C44" si="9">B13</f>
        <v>1</v>
      </c>
      <c r="D13" s="1" t="s">
        <v>23</v>
      </c>
      <c r="E13" s="7">
        <v>3080700.3200000003</v>
      </c>
      <c r="F13" s="7">
        <v>61443.239999999991</v>
      </c>
      <c r="G13" s="7">
        <v>-42105.440000000002</v>
      </c>
      <c r="H13" s="7">
        <v>15360.800000000003</v>
      </c>
      <c r="I13" s="7">
        <v>1688108.2800000012</v>
      </c>
      <c r="J13" s="7">
        <v>352542.86999999918</v>
      </c>
      <c r="K13" s="7">
        <v>562702.76000000164</v>
      </c>
      <c r="L13" s="7">
        <v>465781.69999999925</v>
      </c>
      <c r="M13" s="7">
        <v>450162.19999999925</v>
      </c>
      <c r="N13" s="7">
        <v>577658.33000000194</v>
      </c>
      <c r="O13" s="7">
        <v>572809.31999999657</v>
      </c>
      <c r="P13" s="7">
        <v>569551.30999999866</v>
      </c>
      <c r="Q13" s="7">
        <v>450162.21000000089</v>
      </c>
      <c r="R13" s="7">
        <v>789629.25</v>
      </c>
      <c r="S13" s="7">
        <v>1688108.2699999996</v>
      </c>
      <c r="T13" s="7">
        <v>1845.3400000000038</v>
      </c>
      <c r="U13" s="7">
        <v>0</v>
      </c>
      <c r="V13" s="7">
        <v>-428102.91000000003</v>
      </c>
      <c r="W13" s="9">
        <f t="shared" si="4"/>
        <v>10856357.849999998</v>
      </c>
      <c r="X13" s="9">
        <v>28419474.469999999</v>
      </c>
      <c r="Y13" s="9">
        <v>11663267.510000002</v>
      </c>
      <c r="Z13" s="9">
        <v>16756206.959999997</v>
      </c>
      <c r="AA13" s="9">
        <f t="shared" si="5"/>
        <v>27612564.809999995</v>
      </c>
      <c r="AB13" s="7" t="e">
        <f>W13-#REF!</f>
        <v>#REF!</v>
      </c>
      <c r="AC13" s="12">
        <v>11</v>
      </c>
      <c r="AD13" s="12">
        <v>1</v>
      </c>
      <c r="AE13" s="12">
        <f t="shared" si="6"/>
        <v>0</v>
      </c>
      <c r="AF13" s="12">
        <f t="shared" si="7"/>
        <v>11</v>
      </c>
      <c r="AG13" s="13" t="s">
        <v>564</v>
      </c>
      <c r="AH13" s="13">
        <v>28419474.469999999</v>
      </c>
      <c r="AI13" s="13">
        <v>11663267.510000002</v>
      </c>
      <c r="AJ13" s="13">
        <f t="shared" si="8"/>
        <v>16756206.959999997</v>
      </c>
      <c r="AL13" s="1">
        <v>2907</v>
      </c>
      <c r="AM13" s="1">
        <v>513</v>
      </c>
    </row>
    <row r="14" spans="1:39" s="1" customFormat="1" x14ac:dyDescent="0.25">
      <c r="A14">
        <v>12</v>
      </c>
      <c r="B14">
        <v>1</v>
      </c>
      <c r="C14">
        <f t="shared" si="9"/>
        <v>1</v>
      </c>
      <c r="D14" s="1" t="s">
        <v>24</v>
      </c>
      <c r="E14" s="7">
        <v>520058.3600000001</v>
      </c>
      <c r="F14" s="7">
        <v>10238.149999999998</v>
      </c>
      <c r="G14" s="7">
        <v>-7313.6</v>
      </c>
      <c r="H14" s="7">
        <v>182969.73000000004</v>
      </c>
      <c r="I14" s="7">
        <v>104448.00999999978</v>
      </c>
      <c r="J14" s="7">
        <v>48659.119999999879</v>
      </c>
      <c r="K14" s="7">
        <v>94952.729999999981</v>
      </c>
      <c r="L14" s="7">
        <v>76635.479999999981</v>
      </c>
      <c r="M14" s="7">
        <v>75962.189999999944</v>
      </c>
      <c r="N14" s="7">
        <v>95774.489999999758</v>
      </c>
      <c r="O14" s="7">
        <v>95039.810000000056</v>
      </c>
      <c r="P14" s="7">
        <v>111192.37000000011</v>
      </c>
      <c r="Q14" s="7">
        <v>75962.189999999944</v>
      </c>
      <c r="R14" s="7">
        <v>133292.65000000037</v>
      </c>
      <c r="S14" s="7">
        <v>94952.729999999981</v>
      </c>
      <c r="T14" s="7">
        <v>95311.549999999988</v>
      </c>
      <c r="U14" s="7">
        <v>94952.729999999981</v>
      </c>
      <c r="V14" s="7">
        <v>358.78999999999905</v>
      </c>
      <c r="W14" s="9">
        <f t="shared" si="4"/>
        <v>1903447.48</v>
      </c>
      <c r="X14" s="9">
        <v>3662891.06</v>
      </c>
      <c r="Y14" s="9">
        <v>1573052.95</v>
      </c>
      <c r="Z14" s="9">
        <v>2089838.11</v>
      </c>
      <c r="AA14" s="9">
        <f t="shared" si="5"/>
        <v>3993285.59</v>
      </c>
      <c r="AB14" s="7" t="e">
        <f>W14-#REF!</f>
        <v>#REF!</v>
      </c>
      <c r="AC14" s="12">
        <v>12</v>
      </c>
      <c r="AD14" s="12">
        <v>1</v>
      </c>
      <c r="AE14" s="12">
        <f t="shared" si="6"/>
        <v>0</v>
      </c>
      <c r="AF14" s="12">
        <f t="shared" si="7"/>
        <v>12</v>
      </c>
      <c r="AG14" s="13" t="s">
        <v>565</v>
      </c>
      <c r="AH14" s="13">
        <v>3662891.06</v>
      </c>
      <c r="AI14" s="13">
        <v>1573052.95</v>
      </c>
      <c r="AJ14" s="13">
        <f t="shared" si="8"/>
        <v>2089838.11</v>
      </c>
      <c r="AL14" s="1">
        <v>2908</v>
      </c>
      <c r="AM14" s="1">
        <v>208</v>
      </c>
    </row>
    <row r="15" spans="1:39" s="1" customFormat="1" x14ac:dyDescent="0.25">
      <c r="A15">
        <v>13</v>
      </c>
      <c r="B15">
        <v>1</v>
      </c>
      <c r="C15">
        <f t="shared" si="9"/>
        <v>1</v>
      </c>
      <c r="D15" s="1" t="s">
        <v>26</v>
      </c>
      <c r="E15" s="7">
        <v>288371.42000000004</v>
      </c>
      <c r="F15" s="7">
        <v>7.35</v>
      </c>
      <c r="G15" s="7">
        <v>-940.32</v>
      </c>
      <c r="H15" s="7">
        <v>28175.51</v>
      </c>
      <c r="I15" s="7">
        <v>131510.29000000004</v>
      </c>
      <c r="J15" s="7">
        <v>31930.810000000056</v>
      </c>
      <c r="K15" s="7">
        <v>53227.989999999991</v>
      </c>
      <c r="L15" s="7">
        <v>42588.820000000065</v>
      </c>
      <c r="M15" s="7">
        <v>42582.380000000121</v>
      </c>
      <c r="N15" s="7">
        <v>53222.630000000121</v>
      </c>
      <c r="O15" s="7">
        <v>53241.639999999898</v>
      </c>
      <c r="P15" s="7">
        <v>63871.59999999986</v>
      </c>
      <c r="Q15" s="7">
        <v>42582.389999999898</v>
      </c>
      <c r="R15" s="7">
        <v>74516.850000000093</v>
      </c>
      <c r="S15" s="7">
        <v>53227.989999999991</v>
      </c>
      <c r="T15" s="7">
        <v>53230.810000000005</v>
      </c>
      <c r="U15" s="7">
        <v>53227.979999999996</v>
      </c>
      <c r="V15" s="7">
        <v>-45424.21</v>
      </c>
      <c r="W15" s="9">
        <f t="shared" si="4"/>
        <v>1019151.9300000002</v>
      </c>
      <c r="X15" s="9">
        <v>1825934.3299999998</v>
      </c>
      <c r="Y15" s="9">
        <v>867882.36</v>
      </c>
      <c r="Z15" s="9">
        <v>958051.96999999986</v>
      </c>
      <c r="AA15" s="9">
        <f t="shared" si="5"/>
        <v>1977203.9</v>
      </c>
      <c r="AB15" s="7" t="e">
        <f>W15-#REF!</f>
        <v>#REF!</v>
      </c>
      <c r="AC15" s="12">
        <v>13</v>
      </c>
      <c r="AD15" s="12">
        <v>1</v>
      </c>
      <c r="AE15" s="12">
        <f t="shared" si="6"/>
        <v>0</v>
      </c>
      <c r="AF15" s="12">
        <f t="shared" si="7"/>
        <v>13</v>
      </c>
      <c r="AG15" s="13" t="s">
        <v>566</v>
      </c>
      <c r="AH15" s="13">
        <v>1825934.3299999998</v>
      </c>
      <c r="AI15" s="13">
        <v>867882.36</v>
      </c>
      <c r="AJ15" s="13">
        <f t="shared" si="8"/>
        <v>958051.96999999986</v>
      </c>
      <c r="AL15" s="1">
        <v>2908</v>
      </c>
      <c r="AM15" s="1">
        <v>207</v>
      </c>
    </row>
    <row r="16" spans="1:39" s="1" customFormat="1" x14ac:dyDescent="0.25">
      <c r="A16">
        <v>14</v>
      </c>
      <c r="B16">
        <v>1</v>
      </c>
      <c r="C16">
        <f t="shared" si="9"/>
        <v>1</v>
      </c>
      <c r="D16" s="1" t="s">
        <v>27</v>
      </c>
      <c r="E16" s="7">
        <v>277381.77</v>
      </c>
      <c r="F16" s="7">
        <v>0</v>
      </c>
      <c r="G16" s="7">
        <v>-156.72000000000116</v>
      </c>
      <c r="H16" s="7">
        <v>97542.139999999985</v>
      </c>
      <c r="I16" s="7">
        <v>56471.760000000009</v>
      </c>
      <c r="J16" s="7">
        <v>30802.790000000037</v>
      </c>
      <c r="K16" s="7">
        <v>51337.969999999972</v>
      </c>
      <c r="L16" s="7">
        <v>41070.369999999879</v>
      </c>
      <c r="M16" s="7">
        <v>41070.39000000013</v>
      </c>
      <c r="N16" s="7">
        <v>51337.959999999963</v>
      </c>
      <c r="O16" s="7">
        <v>63016.120000000112</v>
      </c>
      <c r="P16" s="7">
        <v>61605.560000000056</v>
      </c>
      <c r="Q16" s="7">
        <v>41070.379999999888</v>
      </c>
      <c r="R16" s="7">
        <v>71873.159999999916</v>
      </c>
      <c r="S16" s="7">
        <v>51337.969999999972</v>
      </c>
      <c r="T16" s="7">
        <v>51337.97</v>
      </c>
      <c r="U16" s="7">
        <v>51337.97</v>
      </c>
      <c r="V16" s="7">
        <v>-46006.53</v>
      </c>
      <c r="W16" s="9">
        <f t="shared" si="4"/>
        <v>992431.02999999991</v>
      </c>
      <c r="X16" s="9">
        <v>1969040.14</v>
      </c>
      <c r="Y16" s="9">
        <v>935901.79</v>
      </c>
      <c r="Z16" s="9">
        <v>1033138.3499999999</v>
      </c>
      <c r="AA16" s="9">
        <f t="shared" si="5"/>
        <v>2025569.38</v>
      </c>
      <c r="AB16" s="7" t="e">
        <f>W16-#REF!</f>
        <v>#REF!</v>
      </c>
      <c r="AC16" s="12">
        <v>14</v>
      </c>
      <c r="AD16" s="12">
        <v>1</v>
      </c>
      <c r="AE16" s="12">
        <f t="shared" si="6"/>
        <v>0</v>
      </c>
      <c r="AF16" s="12">
        <f t="shared" si="7"/>
        <v>14</v>
      </c>
      <c r="AG16" s="13" t="s">
        <v>567</v>
      </c>
      <c r="AH16" s="13">
        <v>1969040.14</v>
      </c>
      <c r="AI16" s="13">
        <v>935901.79</v>
      </c>
      <c r="AJ16" s="13">
        <f t="shared" si="8"/>
        <v>1033138.3499999999</v>
      </c>
    </row>
    <row r="17" spans="1:36" s="1" customFormat="1" x14ac:dyDescent="0.25">
      <c r="A17">
        <v>15</v>
      </c>
      <c r="B17">
        <v>1</v>
      </c>
      <c r="C17">
        <f t="shared" si="9"/>
        <v>1</v>
      </c>
      <c r="D17" s="1" t="s">
        <v>28</v>
      </c>
      <c r="E17" s="7">
        <v>413163.80999999994</v>
      </c>
      <c r="F17" s="7">
        <v>45840.070000000007</v>
      </c>
      <c r="G17" s="7">
        <v>-15201.84</v>
      </c>
      <c r="H17" s="7">
        <v>96211.179999999935</v>
      </c>
      <c r="I17" s="7">
        <v>81066.330000000075</v>
      </c>
      <c r="J17" s="7">
        <v>42901.010000000009</v>
      </c>
      <c r="K17" s="7">
        <v>73696.660000000149</v>
      </c>
      <c r="L17" s="7">
        <v>60378.549999999814</v>
      </c>
      <c r="M17" s="7">
        <v>58957.329999999842</v>
      </c>
      <c r="N17" s="7">
        <v>72512.320000000065</v>
      </c>
      <c r="O17" s="7">
        <v>74339.669999999925</v>
      </c>
      <c r="P17" s="7">
        <v>88000.160000000149</v>
      </c>
      <c r="Q17" s="7">
        <v>58957.319999999832</v>
      </c>
      <c r="R17" s="7">
        <v>103232.1799999997</v>
      </c>
      <c r="S17" s="7">
        <v>73696.670000000158</v>
      </c>
      <c r="T17" s="7">
        <v>73753.489999999991</v>
      </c>
      <c r="U17" s="7">
        <v>73696.670000000042</v>
      </c>
      <c r="V17" s="7">
        <v>56.860000000000127</v>
      </c>
      <c r="W17" s="9">
        <f t="shared" si="4"/>
        <v>1475258.4399999997</v>
      </c>
      <c r="X17" s="9">
        <v>2152961.1</v>
      </c>
      <c r="Y17" s="9">
        <v>1012750.0900000001</v>
      </c>
      <c r="Z17" s="9">
        <v>1140211.01</v>
      </c>
      <c r="AA17" s="9">
        <f t="shared" si="5"/>
        <v>2615469.4499999997</v>
      </c>
      <c r="AB17" s="7" t="e">
        <f>W17-#REF!</f>
        <v>#REF!</v>
      </c>
      <c r="AC17" s="12">
        <v>15</v>
      </c>
      <c r="AD17" s="12">
        <v>1</v>
      </c>
      <c r="AE17" s="12">
        <f t="shared" si="6"/>
        <v>0</v>
      </c>
      <c r="AF17" s="12">
        <f t="shared" si="7"/>
        <v>15</v>
      </c>
      <c r="AG17" s="13" t="s">
        <v>568</v>
      </c>
      <c r="AH17" s="13">
        <v>2152961.1</v>
      </c>
      <c r="AI17" s="13">
        <v>1012750.0900000001</v>
      </c>
      <c r="AJ17" s="13">
        <f t="shared" si="8"/>
        <v>1140211.01</v>
      </c>
    </row>
    <row r="18" spans="1:36" s="1" customFormat="1" x14ac:dyDescent="0.25">
      <c r="A18">
        <v>16</v>
      </c>
      <c r="B18">
        <v>1</v>
      </c>
      <c r="C18">
        <f t="shared" si="9"/>
        <v>1</v>
      </c>
      <c r="D18" s="1" t="s">
        <v>29</v>
      </c>
      <c r="E18" s="7">
        <v>387172.86999999988</v>
      </c>
      <c r="F18" s="7">
        <v>0</v>
      </c>
      <c r="G18" s="7">
        <v>-208.95999999999913</v>
      </c>
      <c r="H18" s="7">
        <v>0</v>
      </c>
      <c r="I18" s="7">
        <v>214979.94999999995</v>
      </c>
      <c r="J18" s="7">
        <v>42995.979999999981</v>
      </c>
      <c r="K18" s="7">
        <v>71659.979999999981</v>
      </c>
      <c r="L18" s="7">
        <v>57327.989999999991</v>
      </c>
      <c r="M18" s="7">
        <v>57327.979999999981</v>
      </c>
      <c r="N18" s="7">
        <v>71659.989999999758</v>
      </c>
      <c r="O18" s="7">
        <v>73803.169999999925</v>
      </c>
      <c r="P18" s="7">
        <v>85991.979999999981</v>
      </c>
      <c r="Q18" s="7">
        <v>57327.989999999991</v>
      </c>
      <c r="R18" s="7">
        <v>100323.9700000002</v>
      </c>
      <c r="S18" s="7">
        <v>214979.94999999995</v>
      </c>
      <c r="T18" s="7">
        <v>0</v>
      </c>
      <c r="U18" s="7">
        <v>0</v>
      </c>
      <c r="V18" s="7">
        <v>-51732.9</v>
      </c>
      <c r="W18" s="9">
        <f t="shared" si="4"/>
        <v>1383609.9399999997</v>
      </c>
      <c r="X18" s="9">
        <v>3954874.11</v>
      </c>
      <c r="Y18" s="9">
        <v>1774292.78</v>
      </c>
      <c r="Z18" s="9">
        <v>2180581.33</v>
      </c>
      <c r="AA18" s="9">
        <f t="shared" si="5"/>
        <v>3564191.2699999996</v>
      </c>
      <c r="AB18" s="7" t="e">
        <f>W18-#REF!</f>
        <v>#REF!</v>
      </c>
      <c r="AC18" s="12">
        <v>16</v>
      </c>
      <c r="AD18" s="12">
        <v>1</v>
      </c>
      <c r="AE18" s="12">
        <f t="shared" si="6"/>
        <v>0</v>
      </c>
      <c r="AF18" s="12">
        <f t="shared" si="7"/>
        <v>16</v>
      </c>
      <c r="AG18" s="13" t="s">
        <v>569</v>
      </c>
      <c r="AH18" s="13">
        <v>3954874.11</v>
      </c>
      <c r="AI18" s="13">
        <v>1774292.78</v>
      </c>
      <c r="AJ18" s="13">
        <f t="shared" si="8"/>
        <v>2180581.33</v>
      </c>
    </row>
    <row r="19" spans="1:36" s="1" customFormat="1" x14ac:dyDescent="0.25">
      <c r="A19">
        <v>22</v>
      </c>
      <c r="B19">
        <v>1</v>
      </c>
      <c r="C19">
        <f t="shared" si="9"/>
        <v>1</v>
      </c>
      <c r="D19" s="1" t="s">
        <v>30</v>
      </c>
      <c r="E19" s="7">
        <v>248378.57000000007</v>
      </c>
      <c r="F19" s="7">
        <v>27061.58</v>
      </c>
      <c r="G19" s="7">
        <v>-8462.880000000001</v>
      </c>
      <c r="H19" s="7">
        <v>57858.569999999949</v>
      </c>
      <c r="I19" s="7">
        <v>48871.719999999972</v>
      </c>
      <c r="J19" s="7">
        <v>26329.030000000028</v>
      </c>
      <c r="K19" s="7">
        <v>44428.829999999842</v>
      </c>
      <c r="L19" s="7">
        <v>35897.290000000037</v>
      </c>
      <c r="M19" s="7">
        <v>35543.060000000056</v>
      </c>
      <c r="N19" s="7">
        <v>44133.639999999898</v>
      </c>
      <c r="O19" s="7">
        <v>45059</v>
      </c>
      <c r="P19" s="7">
        <v>53205.969999999972</v>
      </c>
      <c r="Q19" s="7">
        <v>35543.060000000056</v>
      </c>
      <c r="R19" s="7">
        <v>62206.119999999879</v>
      </c>
      <c r="S19" s="7">
        <v>44428.829999999842</v>
      </c>
      <c r="T19" s="7">
        <v>44451.399999999965</v>
      </c>
      <c r="U19" s="7">
        <v>44428.830000000016</v>
      </c>
      <c r="V19" s="7">
        <v>-20204.53</v>
      </c>
      <c r="W19" s="9">
        <f t="shared" si="4"/>
        <v>869158.08999999962</v>
      </c>
      <c r="X19" s="9">
        <v>1198971.29</v>
      </c>
      <c r="Y19" s="9">
        <v>524234.45999999996</v>
      </c>
      <c r="Z19" s="9">
        <v>674736.83000000007</v>
      </c>
      <c r="AA19" s="9">
        <f t="shared" si="5"/>
        <v>1543894.9199999997</v>
      </c>
      <c r="AB19" s="7" t="e">
        <f>W19-#REF!</f>
        <v>#REF!</v>
      </c>
      <c r="AC19" s="12">
        <v>22</v>
      </c>
      <c r="AD19" s="12">
        <v>1</v>
      </c>
      <c r="AE19" s="12">
        <f t="shared" si="6"/>
        <v>0</v>
      </c>
      <c r="AF19" s="12">
        <f t="shared" si="7"/>
        <v>22</v>
      </c>
      <c r="AG19" s="13" t="s">
        <v>570</v>
      </c>
      <c r="AH19" s="13">
        <v>1198971.29</v>
      </c>
      <c r="AI19" s="13">
        <v>524234.45999999996</v>
      </c>
      <c r="AJ19" s="13">
        <f t="shared" si="8"/>
        <v>674736.83000000007</v>
      </c>
    </row>
    <row r="20" spans="1:36" s="1" customFormat="1" x14ac:dyDescent="0.25">
      <c r="A20">
        <v>23</v>
      </c>
      <c r="B20">
        <v>1</v>
      </c>
      <c r="C20">
        <f t="shared" si="9"/>
        <v>1</v>
      </c>
      <c r="D20" s="1" t="s">
        <v>31</v>
      </c>
      <c r="E20" s="7">
        <v>74410.010000000009</v>
      </c>
      <c r="F20" s="7">
        <v>1535.69</v>
      </c>
      <c r="G20" s="7">
        <v>0</v>
      </c>
      <c r="H20" s="7">
        <v>26565.209999999992</v>
      </c>
      <c r="I20" s="7">
        <v>15157.600000000035</v>
      </c>
      <c r="J20" s="7">
        <v>7020.929999999993</v>
      </c>
      <c r="K20" s="7">
        <v>13779.630000000005</v>
      </c>
      <c r="L20" s="7">
        <v>12369.219999999972</v>
      </c>
      <c r="M20" s="7">
        <v>11023.710000000021</v>
      </c>
      <c r="N20" s="7">
        <v>12658.369999999995</v>
      </c>
      <c r="O20" s="7">
        <v>13890.309999999998</v>
      </c>
      <c r="P20" s="7">
        <v>16122.929999999993</v>
      </c>
      <c r="Q20" s="7">
        <v>11023.700000000012</v>
      </c>
      <c r="R20" s="7">
        <v>19345.300000000047</v>
      </c>
      <c r="S20" s="7">
        <v>13779.640000000014</v>
      </c>
      <c r="T20" s="7">
        <v>13833.430000000008</v>
      </c>
      <c r="U20" s="7">
        <v>13779.640000000014</v>
      </c>
      <c r="V20" s="7">
        <v>-4365.9500000000007</v>
      </c>
      <c r="W20" s="9">
        <f t="shared" si="4"/>
        <v>271929.37000000011</v>
      </c>
      <c r="X20" s="9">
        <v>502853.95</v>
      </c>
      <c r="Y20" s="9">
        <v>239010.83000000002</v>
      </c>
      <c r="Z20" s="9">
        <v>263843.12</v>
      </c>
      <c r="AA20" s="9">
        <f t="shared" si="5"/>
        <v>535772.49000000011</v>
      </c>
      <c r="AB20" s="7" t="e">
        <f>W20-#REF!</f>
        <v>#REF!</v>
      </c>
      <c r="AC20" s="12">
        <v>23</v>
      </c>
      <c r="AD20" s="12">
        <v>1</v>
      </c>
      <c r="AE20" s="12">
        <f t="shared" si="6"/>
        <v>0</v>
      </c>
      <c r="AF20" s="12">
        <f t="shared" si="7"/>
        <v>23</v>
      </c>
      <c r="AG20" s="13" t="s">
        <v>571</v>
      </c>
      <c r="AH20" s="13">
        <v>502853.95</v>
      </c>
      <c r="AI20" s="13">
        <v>239010.83000000002</v>
      </c>
      <c r="AJ20" s="13">
        <f t="shared" si="8"/>
        <v>263843.12</v>
      </c>
    </row>
    <row r="21" spans="1:36" s="1" customFormat="1" x14ac:dyDescent="0.25">
      <c r="A21">
        <v>25</v>
      </c>
      <c r="B21">
        <v>1</v>
      </c>
      <c r="C21">
        <f t="shared" si="9"/>
        <v>1</v>
      </c>
      <c r="D21" s="1" t="s">
        <v>32</v>
      </c>
      <c r="E21" s="7">
        <v>9159.869999999999</v>
      </c>
      <c r="F21" s="7">
        <v>1017.7599999999984</v>
      </c>
      <c r="G21" s="7">
        <v>848.13000000000102</v>
      </c>
      <c r="H21" s="7">
        <v>1357.0299999999988</v>
      </c>
      <c r="I21" s="7">
        <v>1865.8899999999994</v>
      </c>
      <c r="J21" s="7">
        <v>1017.7699999999968</v>
      </c>
      <c r="K21" s="7">
        <v>1696.2699999999968</v>
      </c>
      <c r="L21" s="7">
        <v>1357.0099999999948</v>
      </c>
      <c r="M21" s="7">
        <v>1357.0299999999988</v>
      </c>
      <c r="N21" s="7">
        <v>1696.2699999999968</v>
      </c>
      <c r="O21" s="7">
        <v>1696.260000000002</v>
      </c>
      <c r="P21" s="7">
        <v>2035.5399999999936</v>
      </c>
      <c r="Q21" s="7">
        <v>1357.0099999999948</v>
      </c>
      <c r="R21" s="7">
        <v>2374.7799999999988</v>
      </c>
      <c r="S21" s="7">
        <v>1696.2699999999968</v>
      </c>
      <c r="T21" s="7">
        <v>1696.2799999999988</v>
      </c>
      <c r="U21" s="7">
        <v>1696.2699999999968</v>
      </c>
      <c r="V21" s="7">
        <v>0</v>
      </c>
      <c r="W21" s="9">
        <f t="shared" si="4"/>
        <v>33925.439999999959</v>
      </c>
      <c r="X21" s="9">
        <v>0</v>
      </c>
      <c r="Y21" s="9">
        <v>0</v>
      </c>
      <c r="Z21" s="9">
        <v>0</v>
      </c>
      <c r="AA21" s="9">
        <f t="shared" si="5"/>
        <v>33925.439999999959</v>
      </c>
      <c r="AB21" s="7" t="e">
        <f>W21-#REF!</f>
        <v>#REF!</v>
      </c>
      <c r="AC21" s="12">
        <v>25</v>
      </c>
      <c r="AD21" s="12">
        <v>1</v>
      </c>
      <c r="AE21" s="12">
        <f t="shared" si="6"/>
        <v>0</v>
      </c>
      <c r="AF21" s="12">
        <f t="shared" si="7"/>
        <v>25</v>
      </c>
      <c r="AG21" s="13" t="s">
        <v>572</v>
      </c>
      <c r="AH21" s="13">
        <v>0</v>
      </c>
      <c r="AI21" s="13">
        <v>0</v>
      </c>
      <c r="AJ21" s="13">
        <f t="shared" si="8"/>
        <v>0</v>
      </c>
    </row>
    <row r="22" spans="1:36" s="1" customFormat="1" x14ac:dyDescent="0.25">
      <c r="A22">
        <v>31</v>
      </c>
      <c r="B22">
        <v>1</v>
      </c>
      <c r="C22">
        <f t="shared" si="9"/>
        <v>1</v>
      </c>
      <c r="D22" s="1" t="s">
        <v>33</v>
      </c>
      <c r="E22" s="7">
        <v>518587.4800000001</v>
      </c>
      <c r="F22" s="7">
        <v>53203.130000000005</v>
      </c>
      <c r="G22" s="7">
        <v>-56169.739999999991</v>
      </c>
      <c r="H22" s="7">
        <v>102414.81000000006</v>
      </c>
      <c r="I22" s="7">
        <v>92623.659999999683</v>
      </c>
      <c r="J22" s="7">
        <v>48344.929999999935</v>
      </c>
      <c r="K22" s="7">
        <v>84203.330000000075</v>
      </c>
      <c r="L22" s="7">
        <v>69711.340000000084</v>
      </c>
      <c r="M22" s="7">
        <v>67362.670000000158</v>
      </c>
      <c r="N22" s="7">
        <v>82246.069999999832</v>
      </c>
      <c r="O22" s="7">
        <v>86098.410000000149</v>
      </c>
      <c r="P22" s="7">
        <v>100323.75999999978</v>
      </c>
      <c r="Q22" s="7">
        <v>67362.65000000014</v>
      </c>
      <c r="R22" s="7">
        <v>117978.61000000034</v>
      </c>
      <c r="S22" s="7">
        <v>84203.319999999832</v>
      </c>
      <c r="T22" s="7">
        <v>84297.269999999902</v>
      </c>
      <c r="U22" s="7">
        <v>84203.320000000065</v>
      </c>
      <c r="V22" s="7">
        <v>93.950000000000273</v>
      </c>
      <c r="W22" s="9">
        <f t="shared" si="4"/>
        <v>1687088.9700000002</v>
      </c>
      <c r="X22" s="9">
        <v>1897258.3</v>
      </c>
      <c r="Y22" s="9">
        <v>799189.85</v>
      </c>
      <c r="Z22" s="9">
        <v>1098068.4500000002</v>
      </c>
      <c r="AA22" s="9">
        <f t="shared" si="5"/>
        <v>2785157.4200000004</v>
      </c>
      <c r="AB22" s="7" t="e">
        <f>W22-#REF!</f>
        <v>#REF!</v>
      </c>
      <c r="AC22" s="12">
        <v>31</v>
      </c>
      <c r="AD22" s="12">
        <v>1</v>
      </c>
      <c r="AE22" s="12">
        <f t="shared" si="6"/>
        <v>0</v>
      </c>
      <c r="AF22" s="12">
        <f t="shared" si="7"/>
        <v>31</v>
      </c>
      <c r="AG22" s="13" t="s">
        <v>573</v>
      </c>
      <c r="AH22" s="13">
        <v>1897258.3</v>
      </c>
      <c r="AI22" s="13">
        <v>799189.85</v>
      </c>
      <c r="AJ22" s="13">
        <f t="shared" si="8"/>
        <v>1098068.4500000002</v>
      </c>
    </row>
    <row r="23" spans="1:36" s="1" customFormat="1" x14ac:dyDescent="0.25">
      <c r="A23">
        <v>32</v>
      </c>
      <c r="B23">
        <v>1</v>
      </c>
      <c r="C23">
        <f t="shared" si="9"/>
        <v>1</v>
      </c>
      <c r="D23" s="1" t="s">
        <v>34</v>
      </c>
      <c r="E23" s="7">
        <v>61539.459999999992</v>
      </c>
      <c r="F23" s="7">
        <v>8128.6900000000023</v>
      </c>
      <c r="G23" s="7">
        <v>3643.3300000000017</v>
      </c>
      <c r="H23" s="7">
        <v>9213.3099999999977</v>
      </c>
      <c r="I23" s="7">
        <v>12152.719999999972</v>
      </c>
      <c r="J23" s="7">
        <v>5410.2699999999895</v>
      </c>
      <c r="K23" s="7">
        <v>11047.929999999993</v>
      </c>
      <c r="L23" s="7">
        <v>10151.220000000001</v>
      </c>
      <c r="M23" s="7">
        <v>8838.3399999999965</v>
      </c>
      <c r="N23" s="7">
        <v>9953.8699999999953</v>
      </c>
      <c r="O23" s="7">
        <v>11053.400000000023</v>
      </c>
      <c r="P23" s="7">
        <v>12854.899999999965</v>
      </c>
      <c r="Q23" s="7">
        <v>8838.3499999999767</v>
      </c>
      <c r="R23" s="7">
        <v>15392.26999999996</v>
      </c>
      <c r="S23" s="7">
        <v>11047.929999999993</v>
      </c>
      <c r="T23" s="7">
        <v>11227.790000000008</v>
      </c>
      <c r="U23" s="7">
        <v>11047.929999999993</v>
      </c>
      <c r="V23" s="7">
        <v>52.520000000000209</v>
      </c>
      <c r="W23" s="9">
        <f t="shared" si="4"/>
        <v>221594.22999999986</v>
      </c>
      <c r="X23" s="9">
        <v>193212.72999999998</v>
      </c>
      <c r="Y23" s="9">
        <v>91835.69</v>
      </c>
      <c r="Z23" s="9">
        <v>101377.03999999998</v>
      </c>
      <c r="AA23" s="9">
        <f t="shared" si="5"/>
        <v>322971.26999999984</v>
      </c>
      <c r="AB23" s="7" t="e">
        <f>W23-#REF!</f>
        <v>#REF!</v>
      </c>
      <c r="AC23" s="12">
        <v>32</v>
      </c>
      <c r="AD23" s="12">
        <v>1</v>
      </c>
      <c r="AE23" s="12">
        <f t="shared" si="6"/>
        <v>0</v>
      </c>
      <c r="AF23" s="12">
        <f t="shared" si="7"/>
        <v>32</v>
      </c>
      <c r="AG23" s="13" t="s">
        <v>574</v>
      </c>
      <c r="AH23" s="13">
        <v>193212.72999999998</v>
      </c>
      <c r="AI23" s="13">
        <v>91835.69</v>
      </c>
      <c r="AJ23" s="13">
        <f t="shared" si="8"/>
        <v>101377.03999999998</v>
      </c>
    </row>
    <row r="24" spans="1:36" s="1" customFormat="1" x14ac:dyDescent="0.25">
      <c r="A24">
        <v>36</v>
      </c>
      <c r="B24">
        <v>1</v>
      </c>
      <c r="C24">
        <f t="shared" si="9"/>
        <v>1</v>
      </c>
      <c r="D24" s="1" t="s">
        <v>35</v>
      </c>
      <c r="E24" s="7">
        <v>33297.86</v>
      </c>
      <c r="F24" s="7">
        <v>5890.5299999999988</v>
      </c>
      <c r="G24" s="7">
        <v>3083.1399999999994</v>
      </c>
      <c r="H24" s="7">
        <v>5480.7100000000064</v>
      </c>
      <c r="I24" s="7">
        <v>6782.9000000000233</v>
      </c>
      <c r="J24" s="7">
        <v>1921.0200000000041</v>
      </c>
      <c r="K24" s="7">
        <v>6166.2799999999988</v>
      </c>
      <c r="L24" s="7">
        <v>5762.1999999999971</v>
      </c>
      <c r="M24" s="7">
        <v>4933.0200000000041</v>
      </c>
      <c r="N24" s="7">
        <v>5657</v>
      </c>
      <c r="O24" s="7">
        <v>6166.2699999999895</v>
      </c>
      <c r="P24" s="7">
        <v>6810.8799999999756</v>
      </c>
      <c r="Q24" s="7">
        <v>4933.0200000000041</v>
      </c>
      <c r="R24" s="7">
        <v>8709.5599999999977</v>
      </c>
      <c r="S24" s="7">
        <v>6166.2700000000186</v>
      </c>
      <c r="T24" s="7">
        <v>6243.0499999999884</v>
      </c>
      <c r="U24" s="7">
        <v>6166.2700000000186</v>
      </c>
      <c r="V24" s="7">
        <v>76.799999999999955</v>
      </c>
      <c r="W24" s="9">
        <f t="shared" si="4"/>
        <v>124246.78000000003</v>
      </c>
      <c r="X24" s="9">
        <v>47393.83</v>
      </c>
      <c r="Y24" s="9">
        <v>22526.69</v>
      </c>
      <c r="Z24" s="9">
        <v>24867.140000000003</v>
      </c>
      <c r="AA24" s="9">
        <f t="shared" si="5"/>
        <v>149113.92000000004</v>
      </c>
      <c r="AB24" s="7" t="e">
        <f>W24-#REF!</f>
        <v>#REF!</v>
      </c>
      <c r="AC24" s="12">
        <v>36</v>
      </c>
      <c r="AD24" s="12">
        <v>1</v>
      </c>
      <c r="AE24" s="12">
        <f t="shared" si="6"/>
        <v>0</v>
      </c>
      <c r="AF24" s="12">
        <f t="shared" si="7"/>
        <v>36</v>
      </c>
      <c r="AG24" s="13" t="s">
        <v>575</v>
      </c>
      <c r="AH24" s="13">
        <v>47393.83</v>
      </c>
      <c r="AI24" s="13">
        <v>22526.69</v>
      </c>
      <c r="AJ24" s="13">
        <f t="shared" si="8"/>
        <v>24867.140000000003</v>
      </c>
    </row>
    <row r="25" spans="1:36" s="1" customFormat="1" x14ac:dyDescent="0.25">
      <c r="A25">
        <v>38</v>
      </c>
      <c r="B25">
        <v>1</v>
      </c>
      <c r="C25">
        <f t="shared" si="9"/>
        <v>1</v>
      </c>
      <c r="D25" s="1" t="s">
        <v>36</v>
      </c>
      <c r="E25" s="7">
        <v>164015.95999999996</v>
      </c>
      <c r="F25" s="7">
        <v>18044.410000000033</v>
      </c>
      <c r="G25" s="7">
        <v>11762.030000000028</v>
      </c>
      <c r="H25" s="7">
        <v>23876.479999999981</v>
      </c>
      <c r="I25" s="7">
        <v>32772.169999999925</v>
      </c>
      <c r="J25" s="7">
        <v>17738.77999999997</v>
      </c>
      <c r="K25" s="7">
        <v>29792.880000000005</v>
      </c>
      <c r="L25" s="7">
        <v>23844.160000000033</v>
      </c>
      <c r="M25" s="7">
        <v>23834.309999999939</v>
      </c>
      <c r="N25" s="7">
        <v>29807.650000000023</v>
      </c>
      <c r="O25" s="7">
        <v>29792.890000000014</v>
      </c>
      <c r="P25" s="7">
        <v>35706.140000000014</v>
      </c>
      <c r="Q25" s="7">
        <v>23834.29999999993</v>
      </c>
      <c r="R25" s="7">
        <v>41715.95000000007</v>
      </c>
      <c r="S25" s="7">
        <v>29792.880000000005</v>
      </c>
      <c r="T25" s="7">
        <v>29798.790000000037</v>
      </c>
      <c r="U25" s="7">
        <v>29792.880000000005</v>
      </c>
      <c r="V25" s="7">
        <v>5.9099999999999966</v>
      </c>
      <c r="W25" s="9">
        <f t="shared" si="4"/>
        <v>595928.57000000007</v>
      </c>
      <c r="X25" s="9">
        <v>20487.960000000003</v>
      </c>
      <c r="Y25" s="9">
        <v>9659.8599999999988</v>
      </c>
      <c r="Z25" s="9">
        <v>10828.100000000004</v>
      </c>
      <c r="AA25" s="9">
        <f t="shared" si="5"/>
        <v>606756.67000000004</v>
      </c>
      <c r="AB25" s="7" t="e">
        <f>W25-#REF!</f>
        <v>#REF!</v>
      </c>
      <c r="AC25" s="12">
        <v>38</v>
      </c>
      <c r="AD25" s="12">
        <v>1</v>
      </c>
      <c r="AE25" s="12">
        <f t="shared" si="6"/>
        <v>0</v>
      </c>
      <c r="AF25" s="12">
        <f t="shared" si="7"/>
        <v>38</v>
      </c>
      <c r="AG25" s="13" t="s">
        <v>576</v>
      </c>
      <c r="AH25" s="13">
        <v>20487.960000000003</v>
      </c>
      <c r="AI25" s="13">
        <v>9659.8599999999988</v>
      </c>
      <c r="AJ25" s="13">
        <f t="shared" si="8"/>
        <v>10828.100000000004</v>
      </c>
    </row>
    <row r="26" spans="1:36" s="1" customFormat="1" x14ac:dyDescent="0.25">
      <c r="A26">
        <v>47</v>
      </c>
      <c r="B26">
        <v>1</v>
      </c>
      <c r="C26">
        <f t="shared" si="9"/>
        <v>1</v>
      </c>
      <c r="D26" s="1" t="s">
        <v>37</v>
      </c>
      <c r="E26" s="7">
        <v>318597.80000000005</v>
      </c>
      <c r="F26" s="7">
        <v>94425.639999999956</v>
      </c>
      <c r="G26" s="7">
        <v>14260.229999999996</v>
      </c>
      <c r="H26" s="7">
        <v>60277.219999999972</v>
      </c>
      <c r="I26" s="7">
        <v>62058.270000000019</v>
      </c>
      <c r="J26" s="7">
        <v>-15332.380000000005</v>
      </c>
      <c r="K26" s="7">
        <v>56416.620000000112</v>
      </c>
      <c r="L26" s="7">
        <v>50375.929999999935</v>
      </c>
      <c r="M26" s="7">
        <v>45133.300000000047</v>
      </c>
      <c r="N26" s="7">
        <v>60019.709999999963</v>
      </c>
      <c r="O26" s="7">
        <v>56567.040000000037</v>
      </c>
      <c r="P26" s="7">
        <v>51423.770000000019</v>
      </c>
      <c r="Q26" s="7">
        <v>45133.280000000028</v>
      </c>
      <c r="R26" s="7">
        <v>81058.790000000037</v>
      </c>
      <c r="S26" s="7">
        <v>56416.620000000112</v>
      </c>
      <c r="T26" s="7">
        <v>58587.040000000037</v>
      </c>
      <c r="U26" s="7">
        <v>56416.619999999995</v>
      </c>
      <c r="V26" s="7">
        <v>-22832.959999999999</v>
      </c>
      <c r="W26" s="9">
        <f t="shared" si="4"/>
        <v>1129002.5400000005</v>
      </c>
      <c r="X26" s="9">
        <v>1190369.77</v>
      </c>
      <c r="Y26" s="9">
        <v>513142.47</v>
      </c>
      <c r="Z26" s="9">
        <v>677227.3</v>
      </c>
      <c r="AA26" s="9">
        <f t="shared" si="5"/>
        <v>1806229.8400000005</v>
      </c>
      <c r="AB26" s="7" t="e">
        <f>W26-#REF!</f>
        <v>#REF!</v>
      </c>
      <c r="AC26" s="12">
        <v>47</v>
      </c>
      <c r="AD26" s="12">
        <v>1</v>
      </c>
      <c r="AE26" s="12">
        <f t="shared" si="6"/>
        <v>0</v>
      </c>
      <c r="AF26" s="12">
        <f t="shared" si="7"/>
        <v>47</v>
      </c>
      <c r="AG26" s="13" t="s">
        <v>577</v>
      </c>
      <c r="AH26" s="13">
        <v>1190369.77</v>
      </c>
      <c r="AI26" s="13">
        <v>513142.47</v>
      </c>
      <c r="AJ26" s="13">
        <f t="shared" si="8"/>
        <v>677227.3</v>
      </c>
    </row>
    <row r="27" spans="1:36" s="1" customFormat="1" x14ac:dyDescent="0.25">
      <c r="A27">
        <v>51</v>
      </c>
      <c r="B27">
        <v>1</v>
      </c>
      <c r="C27">
        <f t="shared" si="9"/>
        <v>1</v>
      </c>
      <c r="D27" s="1" t="s">
        <v>38</v>
      </c>
      <c r="E27" s="7">
        <v>213344.81</v>
      </c>
      <c r="F27" s="7">
        <v>33573.750000000029</v>
      </c>
      <c r="G27" s="7">
        <v>-63407.090000000026</v>
      </c>
      <c r="H27" s="7">
        <v>24912</v>
      </c>
      <c r="I27" s="7">
        <v>27954.479999999981</v>
      </c>
      <c r="J27" s="7">
        <v>368.86999999999534</v>
      </c>
      <c r="K27" s="7">
        <v>25413.170000000042</v>
      </c>
      <c r="L27" s="7">
        <v>28177.169999999925</v>
      </c>
      <c r="M27" s="7">
        <v>20330.540000000037</v>
      </c>
      <c r="N27" s="7">
        <v>20242.619999999995</v>
      </c>
      <c r="O27" s="7">
        <v>26042.729999999981</v>
      </c>
      <c r="P27" s="7">
        <v>25571.810000000056</v>
      </c>
      <c r="Q27" s="7">
        <v>20330.539999999979</v>
      </c>
      <c r="R27" s="7">
        <v>36211.210000000079</v>
      </c>
      <c r="S27" s="7">
        <v>25413.179999999935</v>
      </c>
      <c r="T27" s="7">
        <v>26064.920000000042</v>
      </c>
      <c r="U27" s="7">
        <v>25413.169999999984</v>
      </c>
      <c r="V27" s="7">
        <v>-8661.08</v>
      </c>
      <c r="W27" s="9">
        <f t="shared" si="4"/>
        <v>507296.8</v>
      </c>
      <c r="X27" s="9">
        <v>347987.02</v>
      </c>
      <c r="Y27" s="9">
        <v>148535.26999999999</v>
      </c>
      <c r="Z27" s="9">
        <v>199451.75000000003</v>
      </c>
      <c r="AA27" s="9">
        <f t="shared" si="5"/>
        <v>706748.55</v>
      </c>
      <c r="AB27" s="7" t="e">
        <f>W27-#REF!</f>
        <v>#REF!</v>
      </c>
      <c r="AC27" s="12">
        <v>51</v>
      </c>
      <c r="AD27" s="12">
        <v>1</v>
      </c>
      <c r="AE27" s="12">
        <f t="shared" si="6"/>
        <v>0</v>
      </c>
      <c r="AF27" s="12">
        <f t="shared" si="7"/>
        <v>51</v>
      </c>
      <c r="AG27" s="13" t="s">
        <v>578</v>
      </c>
      <c r="AH27" s="13">
        <v>347987.02</v>
      </c>
      <c r="AI27" s="13">
        <v>148535.26999999999</v>
      </c>
      <c r="AJ27" s="13">
        <f t="shared" si="8"/>
        <v>199451.75000000003</v>
      </c>
    </row>
    <row r="28" spans="1:36" s="1" customFormat="1" x14ac:dyDescent="0.25">
      <c r="A28">
        <v>75</v>
      </c>
      <c r="B28">
        <v>1</v>
      </c>
      <c r="C28">
        <f t="shared" si="9"/>
        <v>1</v>
      </c>
      <c r="D28" s="1" t="s">
        <v>39</v>
      </c>
      <c r="E28" s="7">
        <v>46109.280000000013</v>
      </c>
      <c r="F28" s="7">
        <v>6107.9499999999971</v>
      </c>
      <c r="G28" s="7">
        <v>4269.380000000001</v>
      </c>
      <c r="H28" s="7">
        <v>7077.179999999993</v>
      </c>
      <c r="I28" s="7">
        <v>9392.6300000000047</v>
      </c>
      <c r="J28" s="7">
        <v>4323.7699999999895</v>
      </c>
      <c r="K28" s="7">
        <v>8538.75</v>
      </c>
      <c r="L28" s="7">
        <v>7693.7600000000093</v>
      </c>
      <c r="M28" s="7">
        <v>6831.0100000000093</v>
      </c>
      <c r="N28" s="7">
        <v>7819.7799999999988</v>
      </c>
      <c r="O28" s="7">
        <v>8538.7599999999802</v>
      </c>
      <c r="P28" s="7">
        <v>9981.9400000000023</v>
      </c>
      <c r="Q28" s="7">
        <v>6831.0100000000093</v>
      </c>
      <c r="R28" s="7">
        <v>11987.830000000016</v>
      </c>
      <c r="S28" s="7">
        <v>8538.75</v>
      </c>
      <c r="T28" s="7">
        <v>8574.1999999999971</v>
      </c>
      <c r="U28" s="7">
        <v>8538.7599999999948</v>
      </c>
      <c r="V28" s="7">
        <v>34.5</v>
      </c>
      <c r="W28" s="9">
        <f t="shared" si="4"/>
        <v>171189.24000000005</v>
      </c>
      <c r="X28" s="9">
        <v>238027.39</v>
      </c>
      <c r="Y28" s="9">
        <v>81911.239999999991</v>
      </c>
      <c r="Z28" s="9">
        <v>156116.15000000002</v>
      </c>
      <c r="AA28" s="9">
        <f t="shared" si="5"/>
        <v>327305.39000000007</v>
      </c>
      <c r="AB28" s="7" t="e">
        <f>W28-#REF!</f>
        <v>#REF!</v>
      </c>
      <c r="AC28" s="12">
        <v>75</v>
      </c>
      <c r="AD28" s="12">
        <v>1</v>
      </c>
      <c r="AE28" s="12">
        <f t="shared" si="6"/>
        <v>0</v>
      </c>
      <c r="AF28" s="12">
        <f t="shared" si="7"/>
        <v>75</v>
      </c>
      <c r="AG28" s="13" t="s">
        <v>579</v>
      </c>
      <c r="AH28" s="13">
        <v>238027.39</v>
      </c>
      <c r="AI28" s="13">
        <v>81911.239999999991</v>
      </c>
      <c r="AJ28" s="13">
        <f t="shared" si="8"/>
        <v>156116.15000000002</v>
      </c>
    </row>
    <row r="29" spans="1:36" s="1" customFormat="1" x14ac:dyDescent="0.25">
      <c r="A29">
        <v>77</v>
      </c>
      <c r="B29">
        <v>1</v>
      </c>
      <c r="C29">
        <f t="shared" si="9"/>
        <v>1</v>
      </c>
      <c r="D29" s="1" t="s">
        <v>40</v>
      </c>
      <c r="E29" s="7">
        <v>674705.08999999985</v>
      </c>
      <c r="F29" s="7">
        <v>3102.8</v>
      </c>
      <c r="G29" s="7">
        <v>-46127.919999999991</v>
      </c>
      <c r="H29" s="7">
        <v>221941.76000000001</v>
      </c>
      <c r="I29" s="7">
        <v>128043.5</v>
      </c>
      <c r="J29" s="7">
        <v>67322.680000000168</v>
      </c>
      <c r="K29" s="7">
        <v>116403.16999999993</v>
      </c>
      <c r="L29" s="7">
        <v>95841.120000000112</v>
      </c>
      <c r="M29" s="7">
        <v>93122.540000000037</v>
      </c>
      <c r="N29" s="7">
        <v>114137.71999999974</v>
      </c>
      <c r="O29" s="7">
        <v>123347.33999999985</v>
      </c>
      <c r="P29" s="7">
        <v>138850.12000000011</v>
      </c>
      <c r="Q29" s="7">
        <v>93122.539999999572</v>
      </c>
      <c r="R29" s="7">
        <v>162587.51000000071</v>
      </c>
      <c r="S29" s="7">
        <v>116403.18000000017</v>
      </c>
      <c r="T29" s="7">
        <v>116997.61000000004</v>
      </c>
      <c r="U29" s="7">
        <v>116403.18</v>
      </c>
      <c r="V29" s="7">
        <v>108.71000000000004</v>
      </c>
      <c r="W29" s="9">
        <f t="shared" si="4"/>
        <v>2336312.6500000004</v>
      </c>
      <c r="X29" s="9">
        <v>4650656.51</v>
      </c>
      <c r="Y29" s="9">
        <v>1815943.45</v>
      </c>
      <c r="Z29" s="9">
        <v>2834713.0599999996</v>
      </c>
      <c r="AA29" s="9">
        <f t="shared" si="5"/>
        <v>5171025.71</v>
      </c>
      <c r="AB29" s="7" t="e">
        <f>W29-#REF!</f>
        <v>#REF!</v>
      </c>
      <c r="AC29" s="12">
        <v>77</v>
      </c>
      <c r="AD29" s="12">
        <v>1</v>
      </c>
      <c r="AE29" s="12">
        <f t="shared" si="6"/>
        <v>0</v>
      </c>
      <c r="AF29" s="12">
        <f t="shared" si="7"/>
        <v>77</v>
      </c>
      <c r="AG29" s="13" t="s">
        <v>580</v>
      </c>
      <c r="AH29" s="13">
        <v>4650656.51</v>
      </c>
      <c r="AI29" s="13">
        <v>1815943.45</v>
      </c>
      <c r="AJ29" s="13">
        <f t="shared" si="8"/>
        <v>2834713.0599999996</v>
      </c>
    </row>
    <row r="30" spans="1:36" s="1" customFormat="1" x14ac:dyDescent="0.25">
      <c r="A30">
        <v>81</v>
      </c>
      <c r="B30">
        <v>1</v>
      </c>
      <c r="C30">
        <f t="shared" si="9"/>
        <v>1</v>
      </c>
      <c r="D30" s="1" t="s">
        <v>41</v>
      </c>
      <c r="E30" s="7">
        <v>15040.490000000005</v>
      </c>
      <c r="F30" s="7">
        <v>1671.17</v>
      </c>
      <c r="G30" s="7">
        <v>1250.04</v>
      </c>
      <c r="H30" s="7">
        <v>0</v>
      </c>
      <c r="I30" s="7">
        <v>5434.6199999999953</v>
      </c>
      <c r="J30" s="7">
        <v>1671.1699999999983</v>
      </c>
      <c r="K30" s="7">
        <v>2785.2799999999988</v>
      </c>
      <c r="L30" s="7">
        <v>2228.2200000000012</v>
      </c>
      <c r="M30" s="7">
        <v>2228.2200000000012</v>
      </c>
      <c r="N30" s="7">
        <v>2785.2699999999895</v>
      </c>
      <c r="O30" s="7">
        <v>2785.2799999999988</v>
      </c>
      <c r="P30" s="7">
        <v>3342.3300000000017</v>
      </c>
      <c r="Q30" s="7">
        <v>2228.2300000000105</v>
      </c>
      <c r="R30" s="7">
        <v>3899.3800000000047</v>
      </c>
      <c r="S30" s="7">
        <v>8355.8300000000017</v>
      </c>
      <c r="T30" s="7">
        <v>0</v>
      </c>
      <c r="U30" s="7">
        <v>0</v>
      </c>
      <c r="V30" s="7">
        <v>-884.3</v>
      </c>
      <c r="W30" s="9">
        <f t="shared" si="4"/>
        <v>54821.23</v>
      </c>
      <c r="X30" s="9">
        <v>111559.45000000001</v>
      </c>
      <c r="Y30" s="9">
        <v>43190.409999999996</v>
      </c>
      <c r="Z30" s="9">
        <v>68369.040000000008</v>
      </c>
      <c r="AA30" s="9">
        <f t="shared" si="5"/>
        <v>123190.27000000002</v>
      </c>
      <c r="AB30" s="7" t="e">
        <f>W30-#REF!</f>
        <v>#REF!</v>
      </c>
      <c r="AC30" s="12">
        <v>81</v>
      </c>
      <c r="AD30" s="12">
        <v>1</v>
      </c>
      <c r="AE30" s="12">
        <f t="shared" si="6"/>
        <v>0</v>
      </c>
      <c r="AF30" s="12">
        <f t="shared" si="7"/>
        <v>81</v>
      </c>
      <c r="AG30" s="13" t="s">
        <v>581</v>
      </c>
      <c r="AH30" s="13">
        <v>111559.45000000001</v>
      </c>
      <c r="AI30" s="13">
        <v>43190.409999999996</v>
      </c>
      <c r="AJ30" s="13">
        <f t="shared" si="8"/>
        <v>68369.040000000008</v>
      </c>
    </row>
    <row r="31" spans="1:36" s="1" customFormat="1" x14ac:dyDescent="0.25">
      <c r="A31">
        <v>84</v>
      </c>
      <c r="B31">
        <v>1</v>
      </c>
      <c r="C31">
        <f t="shared" si="9"/>
        <v>1</v>
      </c>
      <c r="D31" s="1" t="s">
        <v>42</v>
      </c>
      <c r="E31" s="7">
        <v>71027.98</v>
      </c>
      <c r="F31" s="7">
        <v>6288.8199999999924</v>
      </c>
      <c r="G31" s="7">
        <v>-17852.299999999988</v>
      </c>
      <c r="H31" s="7">
        <v>7430.5400000000009</v>
      </c>
      <c r="I31" s="7">
        <v>9914.1100000000151</v>
      </c>
      <c r="J31" s="7">
        <v>4692.289999999979</v>
      </c>
      <c r="K31" s="7">
        <v>9012.820000000007</v>
      </c>
      <c r="L31" s="7">
        <v>7982.2799999999988</v>
      </c>
      <c r="M31" s="7">
        <v>7210.2600000000093</v>
      </c>
      <c r="N31" s="7">
        <v>8369.4800000000105</v>
      </c>
      <c r="O31" s="7">
        <v>11894.609999999986</v>
      </c>
      <c r="P31" s="7">
        <v>10578.650000000023</v>
      </c>
      <c r="Q31" s="7">
        <v>7210.2600000000093</v>
      </c>
      <c r="R31" s="7">
        <v>12593.909999999974</v>
      </c>
      <c r="S31" s="7">
        <v>9012.820000000007</v>
      </c>
      <c r="T31" s="7">
        <v>9098.6300000000047</v>
      </c>
      <c r="U31" s="7">
        <v>9012.8299999999872</v>
      </c>
      <c r="V31" s="7">
        <v>-7320.59</v>
      </c>
      <c r="W31" s="9">
        <f t="shared" si="4"/>
        <v>176157.40000000002</v>
      </c>
      <c r="X31" s="9">
        <v>198307.13</v>
      </c>
      <c r="Y31" s="9">
        <v>94257.09</v>
      </c>
      <c r="Z31" s="9">
        <v>104050.04000000001</v>
      </c>
      <c r="AA31" s="9">
        <f t="shared" si="5"/>
        <v>280207.44000000006</v>
      </c>
      <c r="AB31" s="7" t="e">
        <f>W31-#REF!</f>
        <v>#REF!</v>
      </c>
      <c r="AC31" s="12">
        <v>84</v>
      </c>
      <c r="AD31" s="12">
        <v>1</v>
      </c>
      <c r="AE31" s="12">
        <f t="shared" si="6"/>
        <v>0</v>
      </c>
      <c r="AF31" s="12">
        <f t="shared" si="7"/>
        <v>84</v>
      </c>
      <c r="AG31" s="13" t="s">
        <v>582</v>
      </c>
      <c r="AH31" s="13">
        <v>198307.13</v>
      </c>
      <c r="AI31" s="13">
        <v>94257.09</v>
      </c>
      <c r="AJ31" s="13">
        <f t="shared" si="8"/>
        <v>104050.04000000001</v>
      </c>
    </row>
    <row r="32" spans="1:36" s="1" customFormat="1" x14ac:dyDescent="0.25">
      <c r="A32">
        <v>85</v>
      </c>
      <c r="B32">
        <v>1</v>
      </c>
      <c r="C32">
        <f t="shared" si="9"/>
        <v>1</v>
      </c>
      <c r="D32" s="1" t="s">
        <v>43</v>
      </c>
      <c r="E32" s="7">
        <v>50596.58</v>
      </c>
      <c r="F32" s="7">
        <v>5424.4900000000052</v>
      </c>
      <c r="G32" s="7">
        <v>2744.25</v>
      </c>
      <c r="H32" s="7">
        <v>7232.6499999999942</v>
      </c>
      <c r="I32" s="7">
        <v>9944.8999999999942</v>
      </c>
      <c r="J32" s="7">
        <v>5424.4899999999907</v>
      </c>
      <c r="K32" s="7">
        <v>9040.820000000007</v>
      </c>
      <c r="L32" s="7">
        <v>7232.6499999999942</v>
      </c>
      <c r="M32" s="7">
        <v>7232.6600000000035</v>
      </c>
      <c r="N32" s="7">
        <v>9040.820000000007</v>
      </c>
      <c r="O32" s="7">
        <v>9174.5500000000175</v>
      </c>
      <c r="P32" s="7">
        <v>10848.979999999981</v>
      </c>
      <c r="Q32" s="7">
        <v>7232.6499999999942</v>
      </c>
      <c r="R32" s="7">
        <v>12657.150000000023</v>
      </c>
      <c r="S32" s="7">
        <v>9040.820000000007</v>
      </c>
      <c r="T32" s="7">
        <v>9040.8099999999977</v>
      </c>
      <c r="U32" s="7">
        <v>9040.820000000007</v>
      </c>
      <c r="V32" s="7">
        <v>-3679.92</v>
      </c>
      <c r="W32" s="9">
        <f t="shared" si="4"/>
        <v>177270.17</v>
      </c>
      <c r="X32" s="9">
        <v>207567.21</v>
      </c>
      <c r="Y32" s="9">
        <v>98658.5</v>
      </c>
      <c r="Z32" s="9">
        <v>108908.70999999999</v>
      </c>
      <c r="AA32" s="9">
        <f t="shared" si="5"/>
        <v>286178.88</v>
      </c>
      <c r="AB32" s="7" t="e">
        <f>W32-#REF!</f>
        <v>#REF!</v>
      </c>
      <c r="AC32" s="12">
        <v>85</v>
      </c>
      <c r="AD32" s="12">
        <v>1</v>
      </c>
      <c r="AE32" s="12">
        <f t="shared" si="6"/>
        <v>0</v>
      </c>
      <c r="AF32" s="12">
        <f t="shared" si="7"/>
        <v>85</v>
      </c>
      <c r="AG32" s="13" t="s">
        <v>583</v>
      </c>
      <c r="AH32" s="13">
        <v>207567.21</v>
      </c>
      <c r="AI32" s="13">
        <v>98658.5</v>
      </c>
      <c r="AJ32" s="13">
        <f t="shared" si="8"/>
        <v>108908.70999999999</v>
      </c>
    </row>
    <row r="33" spans="1:36" s="1" customFormat="1" x14ac:dyDescent="0.25">
      <c r="A33">
        <v>88</v>
      </c>
      <c r="B33">
        <v>1</v>
      </c>
      <c r="C33">
        <f t="shared" si="9"/>
        <v>1</v>
      </c>
      <c r="D33" s="1" t="s">
        <v>44</v>
      </c>
      <c r="E33" s="7">
        <v>181437.61000000004</v>
      </c>
      <c r="F33" s="7">
        <v>2938.3600000000006</v>
      </c>
      <c r="G33" s="7">
        <v>-29358.880000000005</v>
      </c>
      <c r="H33" s="7">
        <v>734.59000000000015</v>
      </c>
      <c r="I33" s="7">
        <v>84488.19</v>
      </c>
      <c r="J33" s="7">
        <v>14511.919999999925</v>
      </c>
      <c r="K33" s="7">
        <v>28162.739999999991</v>
      </c>
      <c r="L33" s="7">
        <v>25104.680000000051</v>
      </c>
      <c r="M33" s="7">
        <v>22530.179999999935</v>
      </c>
      <c r="N33" s="7">
        <v>26017.319999999949</v>
      </c>
      <c r="O33" s="7">
        <v>33882.539999999921</v>
      </c>
      <c r="P33" s="7">
        <v>33005.770000000019</v>
      </c>
      <c r="Q33" s="7">
        <v>22530.180000000051</v>
      </c>
      <c r="R33" s="7">
        <v>39081.64000000013</v>
      </c>
      <c r="S33" s="7">
        <v>84207.839999999967</v>
      </c>
      <c r="T33" s="7">
        <v>552.1400000000001</v>
      </c>
      <c r="U33" s="7">
        <v>0</v>
      </c>
      <c r="V33" s="7">
        <v>-11553.82</v>
      </c>
      <c r="W33" s="9">
        <f t="shared" si="4"/>
        <v>558273</v>
      </c>
      <c r="X33" s="9">
        <v>1912134.19</v>
      </c>
      <c r="Y33" s="9">
        <v>837881.01</v>
      </c>
      <c r="Z33" s="9">
        <v>1074253.18</v>
      </c>
      <c r="AA33" s="9">
        <f t="shared" si="5"/>
        <v>1632526.18</v>
      </c>
      <c r="AB33" s="7" t="e">
        <f>W33-#REF!</f>
        <v>#REF!</v>
      </c>
      <c r="AC33" s="12">
        <v>88</v>
      </c>
      <c r="AD33" s="12">
        <v>1</v>
      </c>
      <c r="AE33" s="12">
        <f t="shared" si="6"/>
        <v>0</v>
      </c>
      <c r="AF33" s="12">
        <f t="shared" si="7"/>
        <v>88</v>
      </c>
      <c r="AG33" s="13" t="s">
        <v>584</v>
      </c>
      <c r="AH33" s="13">
        <v>1912134.19</v>
      </c>
      <c r="AI33" s="13">
        <v>837881.01</v>
      </c>
      <c r="AJ33" s="13">
        <f t="shared" si="8"/>
        <v>1074253.18</v>
      </c>
    </row>
    <row r="34" spans="1:36" s="1" customFormat="1" x14ac:dyDescent="0.25">
      <c r="A34">
        <v>91</v>
      </c>
      <c r="B34">
        <v>1</v>
      </c>
      <c r="C34">
        <f t="shared" si="9"/>
        <v>1</v>
      </c>
      <c r="D34" s="1" t="s">
        <v>45</v>
      </c>
      <c r="E34" s="7">
        <v>67350.680000000008</v>
      </c>
      <c r="F34" s="7">
        <v>8285.8699999999953</v>
      </c>
      <c r="G34" s="7">
        <v>1898.320000000007</v>
      </c>
      <c r="H34" s="7">
        <v>9889.5100000000093</v>
      </c>
      <c r="I34" s="7">
        <v>12910.830000000016</v>
      </c>
      <c r="J34" s="7">
        <v>6032.570000000007</v>
      </c>
      <c r="K34" s="7">
        <v>11737.119999999995</v>
      </c>
      <c r="L34" s="7">
        <v>10454.24000000002</v>
      </c>
      <c r="M34" s="7">
        <v>9389.6900000000023</v>
      </c>
      <c r="N34" s="7">
        <v>10854.150000000023</v>
      </c>
      <c r="O34" s="7">
        <v>11758.390000000014</v>
      </c>
      <c r="P34" s="7">
        <v>13750.450000000012</v>
      </c>
      <c r="Q34" s="7">
        <v>9389.6900000000023</v>
      </c>
      <c r="R34" s="7">
        <v>16377.609999999986</v>
      </c>
      <c r="S34" s="7">
        <v>11737.119999999995</v>
      </c>
      <c r="T34" s="7">
        <v>11878.609999999986</v>
      </c>
      <c r="U34" s="7">
        <v>11737.119999999995</v>
      </c>
      <c r="V34" s="7">
        <v>-145.33000000000004</v>
      </c>
      <c r="W34" s="9">
        <f t="shared" si="4"/>
        <v>235286.6400000001</v>
      </c>
      <c r="X34" s="9">
        <v>193362.87</v>
      </c>
      <c r="Y34" s="9">
        <v>81514.19</v>
      </c>
      <c r="Z34" s="9">
        <v>111848.68</v>
      </c>
      <c r="AA34" s="9">
        <f t="shared" si="5"/>
        <v>347135.32000000007</v>
      </c>
      <c r="AB34" s="7" t="e">
        <f>W34-#REF!</f>
        <v>#REF!</v>
      </c>
      <c r="AC34" s="12">
        <v>91</v>
      </c>
      <c r="AD34" s="12">
        <v>1</v>
      </c>
      <c r="AE34" s="12">
        <f t="shared" si="6"/>
        <v>0</v>
      </c>
      <c r="AF34" s="12">
        <f t="shared" si="7"/>
        <v>91</v>
      </c>
      <c r="AG34" s="13" t="s">
        <v>585</v>
      </c>
      <c r="AH34" s="13">
        <v>193362.87</v>
      </c>
      <c r="AI34" s="13">
        <v>81514.19</v>
      </c>
      <c r="AJ34" s="13">
        <f t="shared" si="8"/>
        <v>111848.68</v>
      </c>
    </row>
    <row r="35" spans="1:36" s="1" customFormat="1" x14ac:dyDescent="0.25">
      <c r="A35">
        <v>93</v>
      </c>
      <c r="B35">
        <v>1</v>
      </c>
      <c r="C35">
        <f t="shared" si="9"/>
        <v>1</v>
      </c>
      <c r="D35" s="1" t="s">
        <v>46</v>
      </c>
      <c r="E35" s="7">
        <v>33155.710000000006</v>
      </c>
      <c r="F35" s="7">
        <v>2012</v>
      </c>
      <c r="G35" s="7">
        <v>0</v>
      </c>
      <c r="H35" s="7">
        <v>538.28</v>
      </c>
      <c r="I35" s="7">
        <v>18419.830000000002</v>
      </c>
      <c r="J35" s="7">
        <v>2050.3899999999994</v>
      </c>
      <c r="K35" s="7">
        <v>6139.9400000000023</v>
      </c>
      <c r="L35" s="7">
        <v>6674.8000000000175</v>
      </c>
      <c r="M35" s="7">
        <v>4911.960000000021</v>
      </c>
      <c r="N35" s="7">
        <v>4670.9000000000233</v>
      </c>
      <c r="O35" s="7">
        <v>6139.9499999999825</v>
      </c>
      <c r="P35" s="7">
        <v>6827.3099999999977</v>
      </c>
      <c r="Q35" s="7">
        <v>4911.960000000021</v>
      </c>
      <c r="R35" s="7">
        <v>8536.570000000007</v>
      </c>
      <c r="S35" s="7">
        <v>18419.830000000002</v>
      </c>
      <c r="T35" s="7">
        <v>200.39999999999986</v>
      </c>
      <c r="U35" s="7">
        <v>0</v>
      </c>
      <c r="V35" s="7">
        <v>35.25</v>
      </c>
      <c r="W35" s="9">
        <f t="shared" si="4"/>
        <v>123645.08000000007</v>
      </c>
      <c r="X35" s="9">
        <v>372039.52999999997</v>
      </c>
      <c r="Y35" s="9">
        <v>162415.54</v>
      </c>
      <c r="Z35" s="9">
        <v>209623.98999999996</v>
      </c>
      <c r="AA35" s="9">
        <f t="shared" si="5"/>
        <v>333269.07000000007</v>
      </c>
      <c r="AB35" s="7" t="e">
        <f>W35-#REF!</f>
        <v>#REF!</v>
      </c>
      <c r="AC35" s="12">
        <v>93</v>
      </c>
      <c r="AD35" s="12">
        <v>1</v>
      </c>
      <c r="AE35" s="12">
        <f t="shared" si="6"/>
        <v>0</v>
      </c>
      <c r="AF35" s="12">
        <f t="shared" si="7"/>
        <v>93</v>
      </c>
      <c r="AG35" s="13" t="s">
        <v>586</v>
      </c>
      <c r="AH35" s="13">
        <v>372039.52999999997</v>
      </c>
      <c r="AI35" s="13">
        <v>162415.54</v>
      </c>
      <c r="AJ35" s="13">
        <f t="shared" si="8"/>
        <v>209623.98999999996</v>
      </c>
    </row>
    <row r="36" spans="1:36" s="1" customFormat="1" x14ac:dyDescent="0.25">
      <c r="A36">
        <v>94</v>
      </c>
      <c r="B36">
        <v>1</v>
      </c>
      <c r="C36">
        <f t="shared" si="9"/>
        <v>1</v>
      </c>
      <c r="D36" s="1" t="s">
        <v>47</v>
      </c>
      <c r="E36" s="7">
        <v>211446.29000000004</v>
      </c>
      <c r="F36" s="7">
        <v>37734.869999999995</v>
      </c>
      <c r="G36" s="7">
        <v>19407.130000000005</v>
      </c>
      <c r="H36" s="7">
        <v>35814.470000000088</v>
      </c>
      <c r="I36" s="7">
        <v>43040.470000000205</v>
      </c>
      <c r="J36" s="7">
        <v>11900.119999999995</v>
      </c>
      <c r="K36" s="7">
        <v>39127.710000000079</v>
      </c>
      <c r="L36" s="7">
        <v>43794.760000000009</v>
      </c>
      <c r="M36" s="7">
        <v>31302.150000000023</v>
      </c>
      <c r="N36" s="7">
        <v>28717.170000000042</v>
      </c>
      <c r="O36" s="7">
        <v>39457.280000000028</v>
      </c>
      <c r="P36" s="7">
        <v>43122.199999999953</v>
      </c>
      <c r="Q36" s="7">
        <v>31302.169999999925</v>
      </c>
      <c r="R36" s="7">
        <v>51923.199999999953</v>
      </c>
      <c r="S36" s="7">
        <v>39127.70000000007</v>
      </c>
      <c r="T36" s="7">
        <v>42982.680000000051</v>
      </c>
      <c r="U36" s="7">
        <v>39127.699999999953</v>
      </c>
      <c r="V36" s="7">
        <v>-448.06999999999971</v>
      </c>
      <c r="W36" s="9">
        <f t="shared" si="4"/>
        <v>788880.00000000047</v>
      </c>
      <c r="X36" s="9">
        <v>740429.51</v>
      </c>
      <c r="Y36" s="9">
        <v>317356.46999999997</v>
      </c>
      <c r="Z36" s="9">
        <v>423073.04000000004</v>
      </c>
      <c r="AA36" s="9">
        <f t="shared" si="5"/>
        <v>1211953.0400000005</v>
      </c>
      <c r="AB36" s="7" t="e">
        <f>W36-#REF!</f>
        <v>#REF!</v>
      </c>
      <c r="AC36" s="12">
        <v>94</v>
      </c>
      <c r="AD36" s="12">
        <v>1</v>
      </c>
      <c r="AE36" s="12">
        <f t="shared" si="6"/>
        <v>0</v>
      </c>
      <c r="AF36" s="12">
        <f t="shared" si="7"/>
        <v>94</v>
      </c>
      <c r="AG36" s="13" t="s">
        <v>587</v>
      </c>
      <c r="AH36" s="13">
        <v>740429.51</v>
      </c>
      <c r="AI36" s="13">
        <v>317356.46999999997</v>
      </c>
      <c r="AJ36" s="13">
        <f t="shared" si="8"/>
        <v>423073.04000000004</v>
      </c>
    </row>
    <row r="37" spans="1:36" s="1" customFormat="1" x14ac:dyDescent="0.25">
      <c r="A37">
        <v>95</v>
      </c>
      <c r="B37">
        <v>1</v>
      </c>
      <c r="C37">
        <f t="shared" si="9"/>
        <v>1</v>
      </c>
      <c r="D37" s="1" t="s">
        <v>48</v>
      </c>
      <c r="E37" s="7">
        <v>28172.80999999999</v>
      </c>
      <c r="F37" s="7">
        <v>5754.010000000002</v>
      </c>
      <c r="G37" s="7">
        <v>2608.5999999999985</v>
      </c>
      <c r="H37" s="7">
        <v>4980.9599999999919</v>
      </c>
      <c r="I37" s="7">
        <v>5738.9100000000035</v>
      </c>
      <c r="J37" s="7">
        <v>999.7100000000064</v>
      </c>
      <c r="K37" s="7">
        <v>5217.1900000000023</v>
      </c>
      <c r="L37" s="7">
        <v>5338.3099999999977</v>
      </c>
      <c r="M37" s="7">
        <v>4173.75</v>
      </c>
      <c r="N37" s="7">
        <v>4435.6300000000047</v>
      </c>
      <c r="O37" s="7">
        <v>5217.2000000000116</v>
      </c>
      <c r="P37" s="7">
        <v>5555.8699999999953</v>
      </c>
      <c r="Q37" s="7">
        <v>4173.7399999999907</v>
      </c>
      <c r="R37" s="7">
        <v>7335.4499999999825</v>
      </c>
      <c r="S37" s="7">
        <v>5217.179999999993</v>
      </c>
      <c r="T37" s="7">
        <v>5369.6800000000076</v>
      </c>
      <c r="U37" s="7">
        <v>5217.179999999993</v>
      </c>
      <c r="V37" s="7">
        <v>-59.390000000000327</v>
      </c>
      <c r="W37" s="9">
        <f t="shared" si="4"/>
        <v>105446.78999999998</v>
      </c>
      <c r="X37" s="9">
        <v>96326.68</v>
      </c>
      <c r="Y37" s="9">
        <v>45784.9</v>
      </c>
      <c r="Z37" s="9">
        <v>50541.779999999992</v>
      </c>
      <c r="AA37" s="9">
        <f t="shared" si="5"/>
        <v>155988.56999999998</v>
      </c>
      <c r="AB37" s="7" t="e">
        <f>W37-#REF!</f>
        <v>#REF!</v>
      </c>
      <c r="AC37" s="12">
        <v>95</v>
      </c>
      <c r="AD37" s="12">
        <v>1</v>
      </c>
      <c r="AE37" s="12">
        <f t="shared" si="6"/>
        <v>0</v>
      </c>
      <c r="AF37" s="12">
        <f t="shared" si="7"/>
        <v>95</v>
      </c>
      <c r="AG37" s="13" t="s">
        <v>588</v>
      </c>
      <c r="AH37" s="13">
        <v>96326.68</v>
      </c>
      <c r="AI37" s="13">
        <v>45784.9</v>
      </c>
      <c r="AJ37" s="13">
        <f t="shared" si="8"/>
        <v>50541.779999999992</v>
      </c>
    </row>
    <row r="38" spans="1:36" s="1" customFormat="1" x14ac:dyDescent="0.25">
      <c r="A38">
        <v>97</v>
      </c>
      <c r="B38">
        <v>1</v>
      </c>
      <c r="C38">
        <f t="shared" si="9"/>
        <v>1</v>
      </c>
      <c r="D38" s="1" t="s">
        <v>49</v>
      </c>
      <c r="E38" s="7">
        <v>54432.290000000008</v>
      </c>
      <c r="F38" s="7">
        <v>5618.5</v>
      </c>
      <c r="G38" s="7">
        <v>-3865.76</v>
      </c>
      <c r="H38" s="7">
        <v>12173.429999999993</v>
      </c>
      <c r="I38" s="7">
        <v>10300.589999999967</v>
      </c>
      <c r="J38" s="7">
        <v>5618.4899999999907</v>
      </c>
      <c r="K38" s="7">
        <v>9364.179999999993</v>
      </c>
      <c r="L38" s="7">
        <v>7491.3299999999872</v>
      </c>
      <c r="M38" s="7">
        <v>7491.3399999999965</v>
      </c>
      <c r="N38" s="7">
        <v>9364.1699999999837</v>
      </c>
      <c r="O38" s="7">
        <v>9364.179999999993</v>
      </c>
      <c r="P38" s="7">
        <v>11237.010000000009</v>
      </c>
      <c r="Q38" s="7">
        <v>7491.3299999999872</v>
      </c>
      <c r="R38" s="7">
        <v>13109.849999999977</v>
      </c>
      <c r="S38" s="7">
        <v>9364.1699999999837</v>
      </c>
      <c r="T38" s="7">
        <v>9364.1700000000128</v>
      </c>
      <c r="U38" s="7">
        <v>9364.1699999999983</v>
      </c>
      <c r="V38" s="7">
        <v>0</v>
      </c>
      <c r="W38" s="9">
        <f t="shared" si="4"/>
        <v>187283.43999999989</v>
      </c>
      <c r="X38" s="9">
        <v>261180.04</v>
      </c>
      <c r="Y38" s="9">
        <v>107428.73999999999</v>
      </c>
      <c r="Z38" s="9">
        <v>153751.30000000002</v>
      </c>
      <c r="AA38" s="9">
        <f t="shared" si="5"/>
        <v>341034.73999999987</v>
      </c>
      <c r="AB38" s="7" t="e">
        <f>W38-#REF!</f>
        <v>#REF!</v>
      </c>
      <c r="AC38" s="12">
        <v>97</v>
      </c>
      <c r="AD38" s="12">
        <v>1</v>
      </c>
      <c r="AE38" s="12">
        <f t="shared" si="6"/>
        <v>0</v>
      </c>
      <c r="AF38" s="12">
        <f t="shared" si="7"/>
        <v>97</v>
      </c>
      <c r="AG38" s="13" t="s">
        <v>589</v>
      </c>
      <c r="AH38" s="13">
        <v>261180.04</v>
      </c>
      <c r="AI38" s="13">
        <v>107428.73999999999</v>
      </c>
      <c r="AJ38" s="13">
        <f t="shared" si="8"/>
        <v>153751.30000000002</v>
      </c>
    </row>
    <row r="39" spans="1:36" s="1" customFormat="1" x14ac:dyDescent="0.25">
      <c r="A39">
        <v>99</v>
      </c>
      <c r="B39">
        <v>1</v>
      </c>
      <c r="C39">
        <f t="shared" si="9"/>
        <v>1</v>
      </c>
      <c r="D39" s="1" t="s">
        <v>50</v>
      </c>
      <c r="E39" s="7">
        <v>101807.29999999999</v>
      </c>
      <c r="F39" s="7">
        <v>14435.87999999999</v>
      </c>
      <c r="G39" s="7">
        <v>-9294.6599999999962</v>
      </c>
      <c r="H39" s="7">
        <v>14110.48000000004</v>
      </c>
      <c r="I39" s="7">
        <v>17248.109999999986</v>
      </c>
      <c r="J39" s="7">
        <v>5325.929999999993</v>
      </c>
      <c r="K39" s="7">
        <v>15680.099999999977</v>
      </c>
      <c r="L39" s="7">
        <v>14440.580000000016</v>
      </c>
      <c r="M39" s="7">
        <v>12544.089999999967</v>
      </c>
      <c r="N39" s="7">
        <v>14517.799999999988</v>
      </c>
      <c r="O39" s="7">
        <v>15727.839999999967</v>
      </c>
      <c r="P39" s="7">
        <v>17465.199999999953</v>
      </c>
      <c r="Q39" s="7">
        <v>12544.090000000026</v>
      </c>
      <c r="R39" s="7">
        <v>21693.920000000042</v>
      </c>
      <c r="S39" s="7">
        <v>15680.099999999977</v>
      </c>
      <c r="T39" s="7">
        <v>16290.74000000002</v>
      </c>
      <c r="U39" s="7">
        <v>15680.100000000006</v>
      </c>
      <c r="V39" s="7">
        <v>-133.2199999999998</v>
      </c>
      <c r="W39" s="9">
        <f t="shared" si="4"/>
        <v>315764.37999999989</v>
      </c>
      <c r="X39" s="9">
        <v>254637.61</v>
      </c>
      <c r="Y39" s="9">
        <v>105496.95000000001</v>
      </c>
      <c r="Z39" s="9">
        <v>149140.65999999997</v>
      </c>
      <c r="AA39" s="9">
        <f t="shared" si="5"/>
        <v>464905.03999999986</v>
      </c>
      <c r="AB39" s="7" t="e">
        <f>W39-#REF!</f>
        <v>#REF!</v>
      </c>
      <c r="AC39" s="12">
        <v>99</v>
      </c>
      <c r="AD39" s="12">
        <v>1</v>
      </c>
      <c r="AE39" s="12">
        <f t="shared" si="6"/>
        <v>0</v>
      </c>
      <c r="AF39" s="12">
        <f t="shared" si="7"/>
        <v>99</v>
      </c>
      <c r="AG39" s="13" t="s">
        <v>590</v>
      </c>
      <c r="AH39" s="13">
        <v>254637.61</v>
      </c>
      <c r="AI39" s="13">
        <v>105496.95000000001</v>
      </c>
      <c r="AJ39" s="13">
        <f t="shared" si="8"/>
        <v>149140.65999999997</v>
      </c>
    </row>
    <row r="40" spans="1:36" s="1" customFormat="1" x14ac:dyDescent="0.25">
      <c r="A40">
        <v>100</v>
      </c>
      <c r="B40">
        <v>1</v>
      </c>
      <c r="C40">
        <f t="shared" si="9"/>
        <v>1</v>
      </c>
      <c r="D40" s="1" t="s">
        <v>51</v>
      </c>
      <c r="E40" s="7">
        <v>25986.92</v>
      </c>
      <c r="F40" s="7">
        <v>3378.5</v>
      </c>
      <c r="G40" s="7">
        <v>0</v>
      </c>
      <c r="H40" s="7">
        <v>6460.5299999999988</v>
      </c>
      <c r="I40" s="7">
        <v>5293.640000000014</v>
      </c>
      <c r="J40" s="7">
        <v>2488.7200000000012</v>
      </c>
      <c r="K40" s="7">
        <v>4812.3800000000047</v>
      </c>
      <c r="L40" s="7">
        <v>4280.1900000000023</v>
      </c>
      <c r="M40" s="7">
        <v>3849.9100000000035</v>
      </c>
      <c r="N40" s="7">
        <v>4453.8499999999767</v>
      </c>
      <c r="O40" s="7">
        <v>4812.390000000014</v>
      </c>
      <c r="P40" s="7">
        <v>5642.9200000000128</v>
      </c>
      <c r="Q40" s="7">
        <v>3849.9100000000035</v>
      </c>
      <c r="R40" s="7">
        <v>6705.8199999999779</v>
      </c>
      <c r="S40" s="7">
        <v>4812.390000000014</v>
      </c>
      <c r="T40" s="7">
        <v>4878.3499999999985</v>
      </c>
      <c r="U40" s="7">
        <v>4812.3899999999994</v>
      </c>
      <c r="V40" s="7">
        <v>-64.430000000000007</v>
      </c>
      <c r="W40" s="9">
        <f t="shared" si="4"/>
        <v>96454.380000000019</v>
      </c>
      <c r="X40" s="9">
        <v>152105.19</v>
      </c>
      <c r="Y40" s="9">
        <v>64781.81</v>
      </c>
      <c r="Z40" s="9">
        <v>87323.38</v>
      </c>
      <c r="AA40" s="9">
        <f t="shared" si="5"/>
        <v>183777.76</v>
      </c>
      <c r="AB40" s="7" t="e">
        <f>W40-#REF!</f>
        <v>#REF!</v>
      </c>
      <c r="AC40" s="12">
        <v>100</v>
      </c>
      <c r="AD40" s="12">
        <v>1</v>
      </c>
      <c r="AE40" s="12">
        <f t="shared" si="6"/>
        <v>0</v>
      </c>
      <c r="AF40" s="12">
        <f t="shared" si="7"/>
        <v>100</v>
      </c>
      <c r="AG40" s="13" t="s">
        <v>591</v>
      </c>
      <c r="AH40" s="13">
        <v>152105.19</v>
      </c>
      <c r="AI40" s="13">
        <v>64781.81</v>
      </c>
      <c r="AJ40" s="13">
        <f t="shared" si="8"/>
        <v>87323.38</v>
      </c>
    </row>
    <row r="41" spans="1:36" s="1" customFormat="1" x14ac:dyDescent="0.25">
      <c r="A41">
        <v>108</v>
      </c>
      <c r="B41">
        <v>1</v>
      </c>
      <c r="C41">
        <f t="shared" si="9"/>
        <v>1</v>
      </c>
      <c r="D41" s="1" t="s">
        <v>57</v>
      </c>
      <c r="E41" s="7">
        <v>78116.310000000027</v>
      </c>
      <c r="F41" s="7">
        <v>1570.44</v>
      </c>
      <c r="G41" s="7">
        <v>-2612</v>
      </c>
      <c r="H41" s="7">
        <v>26958.940000000002</v>
      </c>
      <c r="I41" s="7">
        <v>15380.510000000009</v>
      </c>
      <c r="J41" s="7">
        <v>7113.9899999999907</v>
      </c>
      <c r="K41" s="7">
        <v>13982.26999999996</v>
      </c>
      <c r="L41" s="7">
        <v>12561.149999999965</v>
      </c>
      <c r="M41" s="7">
        <v>11185.820000000007</v>
      </c>
      <c r="N41" s="7">
        <v>12836.190000000002</v>
      </c>
      <c r="O41" s="7">
        <v>15393</v>
      </c>
      <c r="P41" s="7">
        <v>16356.98000000004</v>
      </c>
      <c r="Q41" s="7">
        <v>11185.820000000007</v>
      </c>
      <c r="R41" s="7">
        <v>19614.420000000042</v>
      </c>
      <c r="S41" s="7">
        <v>13982.26999999996</v>
      </c>
      <c r="T41" s="7">
        <v>14053.100000000002</v>
      </c>
      <c r="U41" s="7">
        <v>13982.270000000004</v>
      </c>
      <c r="V41" s="7">
        <v>55</v>
      </c>
      <c r="W41" s="9">
        <f t="shared" si="4"/>
        <v>281716.48000000004</v>
      </c>
      <c r="X41" s="9">
        <v>639690.53</v>
      </c>
      <c r="Y41" s="9">
        <v>286201.71000000002</v>
      </c>
      <c r="Z41" s="9">
        <v>353488.82</v>
      </c>
      <c r="AA41" s="9">
        <f t="shared" si="5"/>
        <v>635205.30000000005</v>
      </c>
      <c r="AB41" s="7" t="e">
        <f>W41-#REF!</f>
        <v>#REF!</v>
      </c>
      <c r="AC41" s="12">
        <v>108</v>
      </c>
      <c r="AD41" s="12">
        <v>1</v>
      </c>
      <c r="AE41" s="12">
        <f t="shared" si="6"/>
        <v>0</v>
      </c>
      <c r="AF41" s="12">
        <f t="shared" si="7"/>
        <v>108</v>
      </c>
      <c r="AG41" s="13" t="s">
        <v>592</v>
      </c>
      <c r="AH41" s="13">
        <v>639690.53</v>
      </c>
      <c r="AI41" s="13">
        <v>286201.71000000002</v>
      </c>
      <c r="AJ41" s="13">
        <f t="shared" si="8"/>
        <v>353488.82</v>
      </c>
    </row>
    <row r="42" spans="1:36" s="1" customFormat="1" x14ac:dyDescent="0.25">
      <c r="A42">
        <v>110</v>
      </c>
      <c r="B42">
        <v>1</v>
      </c>
      <c r="C42">
        <f t="shared" si="9"/>
        <v>1</v>
      </c>
      <c r="D42" s="1" t="s">
        <v>58</v>
      </c>
      <c r="E42" s="7">
        <v>274115.33999999997</v>
      </c>
      <c r="F42" s="7">
        <v>4087.23</v>
      </c>
      <c r="G42" s="7">
        <v>-9821.1200000000026</v>
      </c>
      <c r="H42" s="7">
        <v>94014.270000000019</v>
      </c>
      <c r="I42" s="7">
        <v>53837.709999999963</v>
      </c>
      <c r="J42" s="7">
        <v>26047.080000000075</v>
      </c>
      <c r="K42" s="7">
        <v>48943.370000000112</v>
      </c>
      <c r="L42" s="7">
        <v>42734.979999999981</v>
      </c>
      <c r="M42" s="7">
        <v>39154.699999999953</v>
      </c>
      <c r="N42" s="7">
        <v>45959.820000000065</v>
      </c>
      <c r="O42" s="7">
        <v>51426.550000000047</v>
      </c>
      <c r="P42" s="7">
        <v>57634.070000000065</v>
      </c>
      <c r="Q42" s="7">
        <v>39154.699999999953</v>
      </c>
      <c r="R42" s="7">
        <v>68655.040000000037</v>
      </c>
      <c r="S42" s="7">
        <v>48943.380000000121</v>
      </c>
      <c r="T42" s="7">
        <v>49095.5</v>
      </c>
      <c r="U42" s="7">
        <v>48943.380000000005</v>
      </c>
      <c r="V42" s="7">
        <v>143.21000000000004</v>
      </c>
      <c r="W42" s="9">
        <f t="shared" si="4"/>
        <v>983069.21000000031</v>
      </c>
      <c r="X42" s="9">
        <v>1798080.35</v>
      </c>
      <c r="Y42" s="9">
        <v>854643.13</v>
      </c>
      <c r="Z42" s="9">
        <v>943437.22000000009</v>
      </c>
      <c r="AA42" s="9">
        <f t="shared" si="5"/>
        <v>1926506.4300000004</v>
      </c>
      <c r="AB42" s="7" t="e">
        <f>W42-#REF!</f>
        <v>#REF!</v>
      </c>
      <c r="AC42" s="12">
        <v>110</v>
      </c>
      <c r="AD42" s="12">
        <v>1</v>
      </c>
      <c r="AE42" s="12">
        <f t="shared" si="6"/>
        <v>0</v>
      </c>
      <c r="AF42" s="12">
        <f t="shared" si="7"/>
        <v>110</v>
      </c>
      <c r="AG42" s="13" t="s">
        <v>593</v>
      </c>
      <c r="AH42" s="13">
        <v>1798080.35</v>
      </c>
      <c r="AI42" s="13">
        <v>854643.13</v>
      </c>
      <c r="AJ42" s="13">
        <f t="shared" si="8"/>
        <v>943437.22000000009</v>
      </c>
    </row>
    <row r="43" spans="1:36" s="1" customFormat="1" x14ac:dyDescent="0.25">
      <c r="A43">
        <v>111</v>
      </c>
      <c r="B43">
        <v>1</v>
      </c>
      <c r="C43">
        <f t="shared" si="9"/>
        <v>1</v>
      </c>
      <c r="D43" s="1" t="s">
        <v>59</v>
      </c>
      <c r="E43" s="7">
        <v>127334.91000000003</v>
      </c>
      <c r="F43" s="7">
        <v>54570.080000000002</v>
      </c>
      <c r="G43" s="7">
        <v>-3970.2400000000016</v>
      </c>
      <c r="H43" s="7">
        <v>39914.619999999995</v>
      </c>
      <c r="I43" s="7">
        <v>25129.840000000084</v>
      </c>
      <c r="J43" s="7">
        <v>-19470.869999999995</v>
      </c>
      <c r="K43" s="7">
        <v>22845.309999999939</v>
      </c>
      <c r="L43" s="7">
        <v>26640.719999999972</v>
      </c>
      <c r="M43" s="7">
        <v>18276.25</v>
      </c>
      <c r="N43" s="7">
        <v>20447.679999999935</v>
      </c>
      <c r="O43" s="7">
        <v>26361.709999999963</v>
      </c>
      <c r="P43" s="7">
        <v>16435.380000000005</v>
      </c>
      <c r="Q43" s="7">
        <v>18276.25</v>
      </c>
      <c r="R43" s="7">
        <v>33390.810000000056</v>
      </c>
      <c r="S43" s="7">
        <v>22845.309999999939</v>
      </c>
      <c r="T43" s="7">
        <v>24302.010000000038</v>
      </c>
      <c r="U43" s="7">
        <v>22845.309999999998</v>
      </c>
      <c r="V43" s="7">
        <v>1432.0499999999956</v>
      </c>
      <c r="W43" s="9">
        <f t="shared" si="4"/>
        <v>477607.13</v>
      </c>
      <c r="X43" s="9">
        <v>698593.76</v>
      </c>
      <c r="Y43" s="9">
        <v>304533.62</v>
      </c>
      <c r="Z43" s="9">
        <v>394060.14</v>
      </c>
      <c r="AA43" s="9">
        <f t="shared" si="5"/>
        <v>871667.27</v>
      </c>
      <c r="AB43" s="7" t="e">
        <f>W43-#REF!</f>
        <v>#REF!</v>
      </c>
      <c r="AC43" s="12">
        <v>111</v>
      </c>
      <c r="AD43" s="12">
        <v>1</v>
      </c>
      <c r="AE43" s="12">
        <f t="shared" si="6"/>
        <v>0</v>
      </c>
      <c r="AF43" s="12">
        <f t="shared" si="7"/>
        <v>111</v>
      </c>
      <c r="AG43" s="13" t="s">
        <v>594</v>
      </c>
      <c r="AH43" s="13">
        <v>698593.76</v>
      </c>
      <c r="AI43" s="13">
        <v>304533.62</v>
      </c>
      <c r="AJ43" s="13">
        <f t="shared" si="8"/>
        <v>394060.14</v>
      </c>
    </row>
    <row r="44" spans="1:36" s="1" customFormat="1" x14ac:dyDescent="0.25">
      <c r="A44">
        <v>112</v>
      </c>
      <c r="B44">
        <v>1</v>
      </c>
      <c r="C44">
        <f t="shared" si="9"/>
        <v>1</v>
      </c>
      <c r="D44" s="1" t="s">
        <v>61</v>
      </c>
      <c r="E44" s="7">
        <v>685176.79999999981</v>
      </c>
      <c r="F44" s="7">
        <v>95037.65</v>
      </c>
      <c r="G44" s="7">
        <v>-32650</v>
      </c>
      <c r="H44" s="7">
        <v>23759.410000000003</v>
      </c>
      <c r="I44" s="7">
        <v>362514.89999999991</v>
      </c>
      <c r="J44" s="7">
        <v>-4660.4799999999814</v>
      </c>
      <c r="K44" s="7">
        <v>120838.29999999981</v>
      </c>
      <c r="L44" s="7">
        <v>104089.36000000034</v>
      </c>
      <c r="M44" s="7">
        <v>96670.639999999665</v>
      </c>
      <c r="N44" s="7">
        <v>127297.41000000015</v>
      </c>
      <c r="O44" s="7">
        <v>136984.49000000022</v>
      </c>
      <c r="P44" s="7">
        <v>119470.72000000067</v>
      </c>
      <c r="Q44" s="7">
        <v>96670.64000000013</v>
      </c>
      <c r="R44" s="7">
        <v>172492.62999999989</v>
      </c>
      <c r="S44" s="7">
        <v>362514.89999999967</v>
      </c>
      <c r="T44" s="7">
        <v>3342.3299999999872</v>
      </c>
      <c r="U44" s="7">
        <v>0</v>
      </c>
      <c r="V44" s="7">
        <v>3330.679999999993</v>
      </c>
      <c r="W44" s="9">
        <f t="shared" si="4"/>
        <v>2472880.3800000004</v>
      </c>
      <c r="X44" s="9">
        <v>6864380.9199999999</v>
      </c>
      <c r="Y44" s="9">
        <v>2448055.9699999997</v>
      </c>
      <c r="Z44" s="9">
        <v>4416324.95</v>
      </c>
      <c r="AA44" s="9">
        <f t="shared" si="5"/>
        <v>6889205.3300000001</v>
      </c>
      <c r="AB44" s="7" t="e">
        <f>W44-#REF!</f>
        <v>#REF!</v>
      </c>
      <c r="AC44" s="12">
        <v>112</v>
      </c>
      <c r="AD44" s="12">
        <v>1</v>
      </c>
      <c r="AE44" s="12">
        <f t="shared" si="6"/>
        <v>0</v>
      </c>
      <c r="AF44" s="12">
        <f t="shared" si="7"/>
        <v>112</v>
      </c>
      <c r="AG44" s="13" t="s">
        <v>595</v>
      </c>
      <c r="AH44" s="13">
        <v>6864380.9199999999</v>
      </c>
      <c r="AI44" s="13">
        <v>2448055.9699999997</v>
      </c>
      <c r="AJ44" s="13">
        <f t="shared" si="8"/>
        <v>4416324.95</v>
      </c>
    </row>
    <row r="45" spans="1:36" s="1" customFormat="1" x14ac:dyDescent="0.25">
      <c r="A45">
        <v>113</v>
      </c>
      <c r="B45">
        <v>1</v>
      </c>
      <c r="C45">
        <f t="shared" ref="C45:C76" si="10">B45</f>
        <v>1</v>
      </c>
      <c r="D45" s="1" t="s">
        <v>63</v>
      </c>
      <c r="E45" s="7">
        <v>67556.84</v>
      </c>
      <c r="F45" s="7">
        <v>7376.6900000000005</v>
      </c>
      <c r="G45" s="7">
        <v>-4649.3600000000006</v>
      </c>
      <c r="H45" s="7">
        <v>15241.139999999985</v>
      </c>
      <c r="I45" s="7">
        <v>12814.489999999991</v>
      </c>
      <c r="J45" s="7">
        <v>6675.5199999999895</v>
      </c>
      <c r="K45" s="7">
        <v>11649.52999999997</v>
      </c>
      <c r="L45" s="7">
        <v>9658.6699999999837</v>
      </c>
      <c r="M45" s="7">
        <v>9319.6299999999756</v>
      </c>
      <c r="N45" s="7">
        <v>11367</v>
      </c>
      <c r="O45" s="7">
        <v>11815.209999999963</v>
      </c>
      <c r="P45" s="7">
        <v>13875.479999999981</v>
      </c>
      <c r="Q45" s="7">
        <v>9319.6199999999953</v>
      </c>
      <c r="R45" s="7">
        <v>16272.27999999997</v>
      </c>
      <c r="S45" s="7">
        <v>11649.51999999996</v>
      </c>
      <c r="T45" s="7">
        <v>11713.739999999991</v>
      </c>
      <c r="U45" s="7">
        <v>11649.529999999999</v>
      </c>
      <c r="V45" s="7">
        <v>13.560000000000002</v>
      </c>
      <c r="W45" s="9">
        <f t="shared" si="4"/>
        <v>233319.08999999976</v>
      </c>
      <c r="X45" s="9">
        <v>499084.9</v>
      </c>
      <c r="Y45" s="9">
        <v>237219.37000000002</v>
      </c>
      <c r="Z45" s="9">
        <v>261865.53</v>
      </c>
      <c r="AA45" s="9">
        <f t="shared" si="5"/>
        <v>495184.61999999976</v>
      </c>
      <c r="AB45" s="7" t="e">
        <f>W45-#REF!</f>
        <v>#REF!</v>
      </c>
      <c r="AC45" s="12">
        <v>113</v>
      </c>
      <c r="AD45" s="12">
        <v>1</v>
      </c>
      <c r="AE45" s="12">
        <f t="shared" si="6"/>
        <v>0</v>
      </c>
      <c r="AF45" s="12">
        <f t="shared" si="7"/>
        <v>113</v>
      </c>
      <c r="AG45" s="13" t="s">
        <v>596</v>
      </c>
      <c r="AH45" s="13">
        <v>499084.9</v>
      </c>
      <c r="AI45" s="13">
        <v>237219.37000000002</v>
      </c>
      <c r="AJ45" s="13">
        <f t="shared" si="8"/>
        <v>261865.53</v>
      </c>
    </row>
    <row r="46" spans="1:36" s="1" customFormat="1" x14ac:dyDescent="0.25">
      <c r="A46">
        <v>115</v>
      </c>
      <c r="B46">
        <v>1</v>
      </c>
      <c r="C46">
        <f t="shared" si="10"/>
        <v>1</v>
      </c>
      <c r="D46" s="1" t="s">
        <v>64</v>
      </c>
      <c r="E46" s="7">
        <v>121048.17000000004</v>
      </c>
      <c r="F46" s="7">
        <v>20550.069999999978</v>
      </c>
      <c r="G46" s="7">
        <v>11208.149999999994</v>
      </c>
      <c r="H46" s="7">
        <v>19708.150000000023</v>
      </c>
      <c r="I46" s="7">
        <v>24657.959999999963</v>
      </c>
      <c r="J46" s="7">
        <v>7684.9499999999534</v>
      </c>
      <c r="K46" s="7">
        <v>22416.339999999967</v>
      </c>
      <c r="L46" s="7">
        <v>18841.669999999984</v>
      </c>
      <c r="M46" s="7">
        <v>17933.059999999998</v>
      </c>
      <c r="N46" s="7">
        <v>22544.550000000047</v>
      </c>
      <c r="O46" s="7">
        <v>22416.329999999958</v>
      </c>
      <c r="P46" s="7">
        <v>24991.829999999958</v>
      </c>
      <c r="Q46" s="7">
        <v>17933.060000000056</v>
      </c>
      <c r="R46" s="7">
        <v>31507.060000000056</v>
      </c>
      <c r="S46" s="7">
        <v>22416.329999999958</v>
      </c>
      <c r="T46" s="7">
        <v>22789.789999999979</v>
      </c>
      <c r="U46" s="7">
        <v>22416.329999999958</v>
      </c>
      <c r="V46" s="7">
        <v>248.84999999999945</v>
      </c>
      <c r="W46" s="9">
        <f t="shared" si="4"/>
        <v>451312.64999999985</v>
      </c>
      <c r="X46" s="9">
        <v>394880.14</v>
      </c>
      <c r="Y46" s="9">
        <v>187689.95</v>
      </c>
      <c r="Z46" s="9">
        <v>207190.19</v>
      </c>
      <c r="AA46" s="9">
        <f t="shared" si="5"/>
        <v>658502.83999999985</v>
      </c>
      <c r="AB46" s="7" t="e">
        <f>W46-#REF!</f>
        <v>#REF!</v>
      </c>
      <c r="AC46" s="12">
        <v>115</v>
      </c>
      <c r="AD46" s="12">
        <v>1</v>
      </c>
      <c r="AE46" s="12">
        <f t="shared" si="6"/>
        <v>0</v>
      </c>
      <c r="AF46" s="12">
        <f t="shared" si="7"/>
        <v>115</v>
      </c>
      <c r="AG46" s="13" t="s">
        <v>597</v>
      </c>
      <c r="AH46" s="13">
        <v>394880.14</v>
      </c>
      <c r="AI46" s="13">
        <v>187689.95</v>
      </c>
      <c r="AJ46" s="13">
        <f t="shared" si="8"/>
        <v>207190.19</v>
      </c>
    </row>
    <row r="47" spans="1:36" s="1" customFormat="1" x14ac:dyDescent="0.25">
      <c r="A47">
        <v>116</v>
      </c>
      <c r="B47">
        <v>1</v>
      </c>
      <c r="C47">
        <f t="shared" si="10"/>
        <v>1</v>
      </c>
      <c r="D47" s="1" t="s">
        <v>66</v>
      </c>
      <c r="E47" s="7">
        <v>69036.19</v>
      </c>
      <c r="F47" s="7">
        <v>8235.4399999999951</v>
      </c>
      <c r="G47" s="7">
        <v>6392.24</v>
      </c>
      <c r="H47" s="7">
        <v>10368.75999999998</v>
      </c>
      <c r="I47" s="7">
        <v>14062.929999999993</v>
      </c>
      <c r="J47" s="7">
        <v>7212.1699999999837</v>
      </c>
      <c r="K47" s="7">
        <v>12784.48000000004</v>
      </c>
      <c r="L47" s="7">
        <v>10722.400000000023</v>
      </c>
      <c r="M47" s="7">
        <v>10227.590000000026</v>
      </c>
      <c r="N47" s="7">
        <v>12372.119999999995</v>
      </c>
      <c r="O47" s="7">
        <v>12832.739999999991</v>
      </c>
      <c r="P47" s="7">
        <v>15189.639999999956</v>
      </c>
      <c r="Q47" s="7">
        <v>10227.580000000016</v>
      </c>
      <c r="R47" s="7">
        <v>17911.539999999979</v>
      </c>
      <c r="S47" s="7">
        <v>12784.48000000004</v>
      </c>
      <c r="T47" s="7">
        <v>12810.799999999988</v>
      </c>
      <c r="U47" s="7">
        <v>12784.479999999981</v>
      </c>
      <c r="V47" s="7">
        <v>19.800000000000011</v>
      </c>
      <c r="W47" s="9">
        <f t="shared" si="4"/>
        <v>255975.38</v>
      </c>
      <c r="X47" s="9">
        <v>437813.20999999996</v>
      </c>
      <c r="Y47" s="9">
        <v>208096.4</v>
      </c>
      <c r="Z47" s="9">
        <v>229716.80999999997</v>
      </c>
      <c r="AA47" s="9">
        <f t="shared" si="5"/>
        <v>485692.18999999994</v>
      </c>
      <c r="AB47" s="7" t="e">
        <f>W47-#REF!</f>
        <v>#REF!</v>
      </c>
      <c r="AC47" s="12">
        <v>116</v>
      </c>
      <c r="AD47" s="12">
        <v>1</v>
      </c>
      <c r="AE47" s="12">
        <f t="shared" si="6"/>
        <v>0</v>
      </c>
      <c r="AF47" s="12">
        <f t="shared" si="7"/>
        <v>116</v>
      </c>
      <c r="AG47" s="13" t="s">
        <v>598</v>
      </c>
      <c r="AH47" s="13">
        <v>437813.20999999996</v>
      </c>
      <c r="AI47" s="13">
        <v>208096.4</v>
      </c>
      <c r="AJ47" s="13">
        <f t="shared" si="8"/>
        <v>229716.80999999997</v>
      </c>
    </row>
    <row r="48" spans="1:36" s="1" customFormat="1" x14ac:dyDescent="0.25">
      <c r="A48">
        <v>118</v>
      </c>
      <c r="B48">
        <v>1</v>
      </c>
      <c r="C48">
        <f t="shared" si="10"/>
        <v>1</v>
      </c>
      <c r="D48" s="1" t="s">
        <v>67</v>
      </c>
      <c r="E48" s="7">
        <v>41898.81</v>
      </c>
      <c r="F48" s="7">
        <v>504.32</v>
      </c>
      <c r="G48" s="7">
        <v>0</v>
      </c>
      <c r="H48" s="7">
        <v>14296.600000000006</v>
      </c>
      <c r="I48" s="7">
        <v>8534.9499999999825</v>
      </c>
      <c r="J48" s="7">
        <v>4617.2700000000041</v>
      </c>
      <c r="K48" s="7">
        <v>7759.0400000000081</v>
      </c>
      <c r="L48" s="7">
        <v>6248.3899999999849</v>
      </c>
      <c r="M48" s="7">
        <v>6207.2300000000105</v>
      </c>
      <c r="N48" s="7">
        <v>7724.7300000000105</v>
      </c>
      <c r="O48" s="7">
        <v>7759.0500000000175</v>
      </c>
      <c r="P48" s="7">
        <v>9298.2200000000012</v>
      </c>
      <c r="Q48" s="7">
        <v>6207.2300000000105</v>
      </c>
      <c r="R48" s="7">
        <v>10862.510000000009</v>
      </c>
      <c r="S48" s="7">
        <v>7759.039999999979</v>
      </c>
      <c r="T48" s="7">
        <v>7762.4799999999959</v>
      </c>
      <c r="U48" s="7">
        <v>7759.0399999999936</v>
      </c>
      <c r="V48" s="7">
        <v>1.6499999999999986</v>
      </c>
      <c r="W48" s="9">
        <f t="shared" si="4"/>
        <v>155200.55999999997</v>
      </c>
      <c r="X48" s="9">
        <v>198868.40999999997</v>
      </c>
      <c r="Y48" s="9">
        <v>57020.14</v>
      </c>
      <c r="Z48" s="9">
        <v>141848.26999999996</v>
      </c>
      <c r="AA48" s="9">
        <f t="shared" si="5"/>
        <v>297048.82999999996</v>
      </c>
      <c r="AB48" s="7" t="e">
        <f>W48-#REF!</f>
        <v>#REF!</v>
      </c>
      <c r="AC48" s="12">
        <v>118</v>
      </c>
      <c r="AD48" s="12">
        <v>1</v>
      </c>
      <c r="AE48" s="12">
        <f t="shared" si="6"/>
        <v>0</v>
      </c>
      <c r="AF48" s="12">
        <f t="shared" si="7"/>
        <v>118</v>
      </c>
      <c r="AG48" s="13" t="s">
        <v>599</v>
      </c>
      <c r="AH48" s="13">
        <v>198868.40999999997</v>
      </c>
      <c r="AI48" s="13">
        <v>57020.14</v>
      </c>
      <c r="AJ48" s="13">
        <f t="shared" si="8"/>
        <v>141848.26999999996</v>
      </c>
    </row>
    <row r="49" spans="1:36" s="1" customFormat="1" x14ac:dyDescent="0.25">
      <c r="A49">
        <v>129</v>
      </c>
      <c r="B49">
        <v>1</v>
      </c>
      <c r="C49">
        <f t="shared" si="10"/>
        <v>1</v>
      </c>
      <c r="D49" s="1" t="s">
        <v>69</v>
      </c>
      <c r="E49" s="7">
        <v>137117.63999999998</v>
      </c>
      <c r="F49" s="7">
        <v>18496.61</v>
      </c>
      <c r="G49" s="7">
        <v>-4198.7300000000032</v>
      </c>
      <c r="H49" s="7">
        <v>19267.780000000028</v>
      </c>
      <c r="I49" s="7">
        <v>24781.5</v>
      </c>
      <c r="J49" s="7">
        <v>9474.2700000000186</v>
      </c>
      <c r="K49" s="7">
        <v>22528.640000000014</v>
      </c>
      <c r="L49" s="7">
        <v>22385.729999999981</v>
      </c>
      <c r="M49" s="7">
        <v>18022.900000000023</v>
      </c>
      <c r="N49" s="7">
        <v>18892.940000000061</v>
      </c>
      <c r="O49" s="7">
        <v>22580.680000000051</v>
      </c>
      <c r="P49" s="7">
        <v>25696.420000000042</v>
      </c>
      <c r="Q49" s="7">
        <v>18022.909999999974</v>
      </c>
      <c r="R49" s="7">
        <v>30443.339999999967</v>
      </c>
      <c r="S49" s="7">
        <v>22528.630000000005</v>
      </c>
      <c r="T49" s="7">
        <v>23974.400000000023</v>
      </c>
      <c r="U49" s="7">
        <v>22528.630000000005</v>
      </c>
      <c r="V49" s="7">
        <v>-10391.460000000001</v>
      </c>
      <c r="W49" s="9">
        <f t="shared" si="4"/>
        <v>442152.83000000019</v>
      </c>
      <c r="X49" s="9">
        <v>479587.97</v>
      </c>
      <c r="Y49" s="9">
        <v>187738.66999999998</v>
      </c>
      <c r="Z49" s="9">
        <v>291849.3</v>
      </c>
      <c r="AA49" s="9">
        <f t="shared" si="5"/>
        <v>734002.13000000012</v>
      </c>
      <c r="AB49" s="7" t="e">
        <f>W49-#REF!</f>
        <v>#REF!</v>
      </c>
      <c r="AC49" s="12">
        <v>129</v>
      </c>
      <c r="AD49" s="12">
        <v>1</v>
      </c>
      <c r="AE49" s="12">
        <f t="shared" si="6"/>
        <v>0</v>
      </c>
      <c r="AF49" s="12">
        <f t="shared" si="7"/>
        <v>129</v>
      </c>
      <c r="AG49" s="13" t="s">
        <v>600</v>
      </c>
      <c r="AH49" s="13">
        <v>479587.97</v>
      </c>
      <c r="AI49" s="13">
        <v>187738.66999999998</v>
      </c>
      <c r="AJ49" s="13">
        <f t="shared" si="8"/>
        <v>291849.3</v>
      </c>
    </row>
    <row r="50" spans="1:36" s="1" customFormat="1" x14ac:dyDescent="0.25">
      <c r="A50">
        <v>138</v>
      </c>
      <c r="B50">
        <v>1</v>
      </c>
      <c r="C50">
        <f t="shared" si="10"/>
        <v>1</v>
      </c>
      <c r="D50" s="1" t="s">
        <v>70</v>
      </c>
      <c r="E50" s="7">
        <v>238361.56</v>
      </c>
      <c r="F50" s="7">
        <v>69080.879999999946</v>
      </c>
      <c r="G50" s="7">
        <v>20700.670000000013</v>
      </c>
      <c r="H50" s="7">
        <v>45810.989999999991</v>
      </c>
      <c r="I50" s="7">
        <v>48299.739999999991</v>
      </c>
      <c r="J50" s="7">
        <v>-8353.0600000000559</v>
      </c>
      <c r="K50" s="7">
        <v>43908.860000000102</v>
      </c>
      <c r="L50" s="7">
        <v>40274.939999999944</v>
      </c>
      <c r="M50" s="7">
        <v>35127.079999999958</v>
      </c>
      <c r="N50" s="7">
        <v>45001.370000000112</v>
      </c>
      <c r="O50" s="7">
        <v>43990.060000000056</v>
      </c>
      <c r="P50" s="7">
        <v>41208.319999999832</v>
      </c>
      <c r="Q50" s="7">
        <v>35127.080000000075</v>
      </c>
      <c r="R50" s="7">
        <v>62884.760000000009</v>
      </c>
      <c r="S50" s="7">
        <v>43908.850000000093</v>
      </c>
      <c r="T50" s="7">
        <v>45491.880000000005</v>
      </c>
      <c r="U50" s="7">
        <v>43908.849999999977</v>
      </c>
      <c r="V50" s="7">
        <v>1497.7099999999991</v>
      </c>
      <c r="W50" s="9">
        <f t="shared" si="4"/>
        <v>896230.54</v>
      </c>
      <c r="X50" s="9">
        <v>984158.64999999991</v>
      </c>
      <c r="Y50" s="9">
        <v>437675.11</v>
      </c>
      <c r="Z50" s="9">
        <v>546483.53999999992</v>
      </c>
      <c r="AA50" s="9">
        <f t="shared" si="5"/>
        <v>1442714.08</v>
      </c>
      <c r="AB50" s="7" t="e">
        <f>W50-#REF!</f>
        <v>#REF!</v>
      </c>
      <c r="AC50" s="12">
        <v>138</v>
      </c>
      <c r="AD50" s="12">
        <v>1</v>
      </c>
      <c r="AE50" s="12">
        <f t="shared" si="6"/>
        <v>0</v>
      </c>
      <c r="AF50" s="12">
        <f t="shared" si="7"/>
        <v>138</v>
      </c>
      <c r="AG50" s="13" t="s">
        <v>601</v>
      </c>
      <c r="AH50" s="13">
        <v>984158.64999999991</v>
      </c>
      <c r="AI50" s="13">
        <v>437675.11</v>
      </c>
      <c r="AJ50" s="13">
        <f t="shared" si="8"/>
        <v>546483.53999999992</v>
      </c>
    </row>
    <row r="51" spans="1:36" s="1" customFormat="1" x14ac:dyDescent="0.25">
      <c r="A51">
        <v>139</v>
      </c>
      <c r="B51">
        <v>1</v>
      </c>
      <c r="C51">
        <f t="shared" si="10"/>
        <v>1</v>
      </c>
      <c r="D51" s="1" t="s">
        <v>71</v>
      </c>
      <c r="E51" s="7">
        <v>67458.969999999987</v>
      </c>
      <c r="F51" s="7">
        <v>18057.009999999995</v>
      </c>
      <c r="G51" s="7">
        <v>6246.1999999999971</v>
      </c>
      <c r="H51" s="7">
        <v>12634.309999999998</v>
      </c>
      <c r="I51" s="7">
        <v>13741.640000000014</v>
      </c>
      <c r="J51" s="7">
        <v>-1079.6900000000023</v>
      </c>
      <c r="K51" s="7">
        <v>12492.410000000033</v>
      </c>
      <c r="L51" s="7">
        <v>11831.520000000019</v>
      </c>
      <c r="M51" s="7">
        <v>9993.9200000000128</v>
      </c>
      <c r="N51" s="7">
        <v>12197.090000000026</v>
      </c>
      <c r="O51" s="7">
        <v>12499.830000000016</v>
      </c>
      <c r="P51" s="7">
        <v>12153.100000000035</v>
      </c>
      <c r="Q51" s="7">
        <v>9993.9199999999837</v>
      </c>
      <c r="R51" s="7">
        <v>17844.729999999981</v>
      </c>
      <c r="S51" s="7">
        <v>12492.410000000033</v>
      </c>
      <c r="T51" s="7">
        <v>12877.320000000007</v>
      </c>
      <c r="U51" s="7">
        <v>12492.400000000023</v>
      </c>
      <c r="V51" s="7">
        <v>370.1299999999992</v>
      </c>
      <c r="W51" s="9">
        <f t="shared" si="4"/>
        <v>254297.22000000018</v>
      </c>
      <c r="X51" s="9">
        <v>316811.26</v>
      </c>
      <c r="Y51" s="9">
        <v>150583.13</v>
      </c>
      <c r="Z51" s="9">
        <v>166228.13</v>
      </c>
      <c r="AA51" s="9">
        <f t="shared" si="5"/>
        <v>420525.35000000021</v>
      </c>
      <c r="AB51" s="7" t="e">
        <f>W51-#REF!</f>
        <v>#REF!</v>
      </c>
      <c r="AC51" s="12">
        <v>139</v>
      </c>
      <c r="AD51" s="12">
        <v>1</v>
      </c>
      <c r="AE51" s="12">
        <f t="shared" si="6"/>
        <v>0</v>
      </c>
      <c r="AF51" s="12">
        <f t="shared" si="7"/>
        <v>139</v>
      </c>
      <c r="AG51" s="13" t="s">
        <v>602</v>
      </c>
      <c r="AH51" s="13">
        <v>316811.26</v>
      </c>
      <c r="AI51" s="13">
        <v>150583.13</v>
      </c>
      <c r="AJ51" s="13">
        <f t="shared" si="8"/>
        <v>166228.13</v>
      </c>
    </row>
    <row r="52" spans="1:36" s="1" customFormat="1" x14ac:dyDescent="0.25">
      <c r="A52">
        <v>146</v>
      </c>
      <c r="B52">
        <v>1</v>
      </c>
      <c r="C52">
        <f t="shared" si="10"/>
        <v>1</v>
      </c>
      <c r="D52" s="1" t="s">
        <v>72</v>
      </c>
      <c r="E52" s="7">
        <v>66162.459999999992</v>
      </c>
      <c r="F52" s="7">
        <v>7351.3900000000067</v>
      </c>
      <c r="G52" s="7">
        <v>6126.16</v>
      </c>
      <c r="H52" s="7">
        <v>9801.8499999999913</v>
      </c>
      <c r="I52" s="7">
        <v>13477.530000000028</v>
      </c>
      <c r="J52" s="7">
        <v>7351.390000000014</v>
      </c>
      <c r="K52" s="7">
        <v>12252.309999999998</v>
      </c>
      <c r="L52" s="7">
        <v>9801.8500000000349</v>
      </c>
      <c r="M52" s="7">
        <v>9801.8499999999767</v>
      </c>
      <c r="N52" s="7">
        <v>12252.309999999998</v>
      </c>
      <c r="O52" s="7">
        <v>12265.969999999972</v>
      </c>
      <c r="P52" s="7">
        <v>14702.770000000019</v>
      </c>
      <c r="Q52" s="7">
        <v>9801.8400000000256</v>
      </c>
      <c r="R52" s="7">
        <v>17153.229999999981</v>
      </c>
      <c r="S52" s="7">
        <v>12252.309999999998</v>
      </c>
      <c r="T52" s="7">
        <v>12252.309999999998</v>
      </c>
      <c r="U52" s="7">
        <v>12252.309999999998</v>
      </c>
      <c r="V52" s="7">
        <v>-2622.73</v>
      </c>
      <c r="W52" s="9">
        <f t="shared" si="4"/>
        <v>242437.11000000002</v>
      </c>
      <c r="X52" s="9">
        <v>424377.89</v>
      </c>
      <c r="Y52" s="9">
        <v>176879.13</v>
      </c>
      <c r="Z52" s="9">
        <v>247498.76</v>
      </c>
      <c r="AA52" s="9">
        <f t="shared" si="5"/>
        <v>489935.87</v>
      </c>
      <c r="AB52" s="7" t="e">
        <f>W52-#REF!</f>
        <v>#REF!</v>
      </c>
      <c r="AC52" s="12">
        <v>146</v>
      </c>
      <c r="AD52" s="12">
        <v>1</v>
      </c>
      <c r="AE52" s="12">
        <f t="shared" si="6"/>
        <v>0</v>
      </c>
      <c r="AF52" s="12">
        <f t="shared" si="7"/>
        <v>146</v>
      </c>
      <c r="AG52" s="13" t="s">
        <v>603</v>
      </c>
      <c r="AH52" s="13">
        <v>424377.89</v>
      </c>
      <c r="AI52" s="13">
        <v>176879.13</v>
      </c>
      <c r="AJ52" s="13">
        <f t="shared" si="8"/>
        <v>247498.76</v>
      </c>
    </row>
    <row r="53" spans="1:36" s="1" customFormat="1" x14ac:dyDescent="0.25">
      <c r="A53">
        <v>150</v>
      </c>
      <c r="B53">
        <v>1</v>
      </c>
      <c r="C53">
        <f t="shared" si="10"/>
        <v>1</v>
      </c>
      <c r="D53" s="1" t="s">
        <v>73</v>
      </c>
      <c r="E53" s="7">
        <v>69544.840000000026</v>
      </c>
      <c r="F53" s="7">
        <v>9482.89</v>
      </c>
      <c r="G53" s="7">
        <v>5811.4899999999907</v>
      </c>
      <c r="H53" s="7">
        <v>10672.690000000002</v>
      </c>
      <c r="I53" s="7">
        <v>14049.479999999981</v>
      </c>
      <c r="J53" s="7">
        <v>6186.0499999999884</v>
      </c>
      <c r="K53" s="7">
        <v>12772.259999999951</v>
      </c>
      <c r="L53" s="7">
        <v>11359.52999999997</v>
      </c>
      <c r="M53" s="7">
        <v>10217.809999999998</v>
      </c>
      <c r="N53" s="7">
        <v>11896.229999999981</v>
      </c>
      <c r="O53" s="7">
        <v>12780.459999999963</v>
      </c>
      <c r="P53" s="7">
        <v>14837.840000000026</v>
      </c>
      <c r="Q53" s="7">
        <v>10217.800000000047</v>
      </c>
      <c r="R53" s="7">
        <v>17944.919999999984</v>
      </c>
      <c r="S53" s="7">
        <v>12772.26999999996</v>
      </c>
      <c r="T53" s="7">
        <v>12836.010000000009</v>
      </c>
      <c r="U53" s="7">
        <v>12772.25999999998</v>
      </c>
      <c r="V53" s="7">
        <v>-2922.2</v>
      </c>
      <c r="W53" s="9">
        <f t="shared" si="4"/>
        <v>253232.62999999986</v>
      </c>
      <c r="X53" s="9">
        <v>202632.39</v>
      </c>
      <c r="Y53" s="9">
        <v>81681.580000000016</v>
      </c>
      <c r="Z53" s="9">
        <v>120950.81</v>
      </c>
      <c r="AA53" s="9">
        <f t="shared" si="5"/>
        <v>374183.43999999983</v>
      </c>
      <c r="AB53" s="7" t="e">
        <f>W53-#REF!</f>
        <v>#REF!</v>
      </c>
      <c r="AC53" s="12">
        <v>150</v>
      </c>
      <c r="AD53" s="12">
        <v>1</v>
      </c>
      <c r="AE53" s="12">
        <f t="shared" si="6"/>
        <v>0</v>
      </c>
      <c r="AF53" s="12">
        <f t="shared" si="7"/>
        <v>150</v>
      </c>
      <c r="AG53" s="13" t="s">
        <v>604</v>
      </c>
      <c r="AH53" s="13">
        <v>202632.39</v>
      </c>
      <c r="AI53" s="13">
        <v>81681.580000000016</v>
      </c>
      <c r="AJ53" s="13">
        <f t="shared" si="8"/>
        <v>120950.81</v>
      </c>
    </row>
    <row r="54" spans="1:36" s="1" customFormat="1" x14ac:dyDescent="0.25">
      <c r="A54">
        <v>152</v>
      </c>
      <c r="B54">
        <v>1</v>
      </c>
      <c r="C54">
        <f t="shared" si="10"/>
        <v>1</v>
      </c>
      <c r="D54" s="1" t="s">
        <v>74</v>
      </c>
      <c r="E54" s="7">
        <v>495075.14000000013</v>
      </c>
      <c r="F54" s="7">
        <v>76847.47</v>
      </c>
      <c r="G54" s="7">
        <v>-5694.159999999998</v>
      </c>
      <c r="H54" s="7">
        <v>191401.46999999997</v>
      </c>
      <c r="I54" s="7">
        <v>99688.709999999963</v>
      </c>
      <c r="J54" s="7">
        <v>-8018</v>
      </c>
      <c r="K54" s="7">
        <v>90626.10999999987</v>
      </c>
      <c r="L54" s="7">
        <v>139832.19000000018</v>
      </c>
      <c r="M54" s="7">
        <v>72500.889999999898</v>
      </c>
      <c r="N54" s="7">
        <v>34516.659999999683</v>
      </c>
      <c r="O54" s="7">
        <v>92519.330000000075</v>
      </c>
      <c r="P54" s="7">
        <v>88103.069999999832</v>
      </c>
      <c r="Q54" s="7">
        <v>72500.880000000121</v>
      </c>
      <c r="R54" s="7">
        <v>129480.90999999968</v>
      </c>
      <c r="S54" s="7">
        <v>90626.10999999987</v>
      </c>
      <c r="T54" s="7">
        <v>93408.260000000009</v>
      </c>
      <c r="U54" s="7">
        <v>90626.109999999986</v>
      </c>
      <c r="V54" s="7">
        <v>2693.2600000000093</v>
      </c>
      <c r="W54" s="9">
        <f t="shared" si="4"/>
        <v>1846734.4099999995</v>
      </c>
      <c r="X54" s="9">
        <v>2971169.3299999996</v>
      </c>
      <c r="Y54" s="9">
        <v>1275383.3799999999</v>
      </c>
      <c r="Z54" s="9">
        <v>1695785.9499999997</v>
      </c>
      <c r="AA54" s="9">
        <f t="shared" si="5"/>
        <v>3542520.3599999994</v>
      </c>
      <c r="AB54" s="7" t="e">
        <f>W54-#REF!</f>
        <v>#REF!</v>
      </c>
      <c r="AC54" s="12">
        <v>152</v>
      </c>
      <c r="AD54" s="12">
        <v>1</v>
      </c>
      <c r="AE54" s="12">
        <f t="shared" si="6"/>
        <v>0</v>
      </c>
      <c r="AF54" s="12">
        <f t="shared" si="7"/>
        <v>152</v>
      </c>
      <c r="AG54" s="13" t="s">
        <v>605</v>
      </c>
      <c r="AH54" s="13">
        <v>2971169.3299999996</v>
      </c>
      <c r="AI54" s="13">
        <v>1275383.3799999999</v>
      </c>
      <c r="AJ54" s="13">
        <f t="shared" si="8"/>
        <v>1695785.9499999997</v>
      </c>
    </row>
    <row r="55" spans="1:36" s="1" customFormat="1" x14ac:dyDescent="0.25">
      <c r="A55">
        <v>162</v>
      </c>
      <c r="B55">
        <v>1</v>
      </c>
      <c r="C55">
        <f t="shared" si="10"/>
        <v>1</v>
      </c>
      <c r="D55" s="1" t="s">
        <v>76</v>
      </c>
      <c r="E55" s="7">
        <v>87653.239999999991</v>
      </c>
      <c r="F55" s="7">
        <v>14959.649999999994</v>
      </c>
      <c r="G55" s="7">
        <v>8116.0399999999936</v>
      </c>
      <c r="H55" s="7">
        <v>14290.790000000008</v>
      </c>
      <c r="I55" s="7">
        <v>17855.290000000037</v>
      </c>
      <c r="J55" s="7">
        <v>5500.25</v>
      </c>
      <c r="K55" s="7">
        <v>16232.070000000007</v>
      </c>
      <c r="L55" s="7">
        <v>17558.739999999991</v>
      </c>
      <c r="M55" s="7">
        <v>12985.659999999974</v>
      </c>
      <c r="N55" s="7">
        <v>12421.200000000012</v>
      </c>
      <c r="O55" s="7">
        <v>16262.139999999956</v>
      </c>
      <c r="P55" s="7">
        <v>18076.080000000016</v>
      </c>
      <c r="Q55" s="7">
        <v>12985.659999999974</v>
      </c>
      <c r="R55" s="7">
        <v>22078.640000000014</v>
      </c>
      <c r="S55" s="7">
        <v>16232.070000000007</v>
      </c>
      <c r="T55" s="7">
        <v>17244.22000000003</v>
      </c>
      <c r="U55" s="7">
        <v>16232.080000000016</v>
      </c>
      <c r="V55" s="7">
        <v>182.92000000000007</v>
      </c>
      <c r="W55" s="9">
        <f t="shared" si="4"/>
        <v>326866.74</v>
      </c>
      <c r="X55" s="9">
        <v>296765.75</v>
      </c>
      <c r="Y55" s="9">
        <v>141055.32</v>
      </c>
      <c r="Z55" s="9">
        <v>155710.43</v>
      </c>
      <c r="AA55" s="9">
        <f t="shared" si="5"/>
        <v>482577.17</v>
      </c>
      <c r="AB55" s="7" t="e">
        <f>W55-#REF!</f>
        <v>#REF!</v>
      </c>
      <c r="AC55" s="12">
        <v>162</v>
      </c>
      <c r="AD55" s="12">
        <v>1</v>
      </c>
      <c r="AE55" s="12">
        <f t="shared" si="6"/>
        <v>0</v>
      </c>
      <c r="AF55" s="12">
        <f t="shared" si="7"/>
        <v>162</v>
      </c>
      <c r="AG55" s="13" t="s">
        <v>606</v>
      </c>
      <c r="AH55" s="13">
        <v>296765.75</v>
      </c>
      <c r="AI55" s="13">
        <v>141055.32</v>
      </c>
      <c r="AJ55" s="13">
        <f t="shared" si="8"/>
        <v>155710.43</v>
      </c>
    </row>
    <row r="56" spans="1:36" s="1" customFormat="1" x14ac:dyDescent="0.25">
      <c r="A56">
        <v>166</v>
      </c>
      <c r="B56">
        <v>1</v>
      </c>
      <c r="C56">
        <f t="shared" si="10"/>
        <v>1</v>
      </c>
      <c r="D56" s="1" t="s">
        <v>77</v>
      </c>
      <c r="E56" s="7">
        <v>39928.880000000005</v>
      </c>
      <c r="F56" s="7">
        <v>4662.0499999999993</v>
      </c>
      <c r="G56" s="7">
        <v>0</v>
      </c>
      <c r="H56" s="7">
        <v>9668.8699999999953</v>
      </c>
      <c r="I56" s="7">
        <v>8133.6700000000128</v>
      </c>
      <c r="J56" s="7">
        <v>4253.4599999999919</v>
      </c>
      <c r="K56" s="7">
        <v>7394.2400000000198</v>
      </c>
      <c r="L56" s="7">
        <v>6112.9499999999825</v>
      </c>
      <c r="M56" s="7">
        <v>5915.3899999999994</v>
      </c>
      <c r="N56" s="7">
        <v>7229.5899999999965</v>
      </c>
      <c r="O56" s="7">
        <v>7394.2400000000198</v>
      </c>
      <c r="P56" s="7">
        <v>8812.4899999999907</v>
      </c>
      <c r="Q56" s="7">
        <v>5915.3899999999849</v>
      </c>
      <c r="R56" s="7">
        <v>10291.160000000033</v>
      </c>
      <c r="S56" s="7">
        <v>7394.2300000000105</v>
      </c>
      <c r="T56" s="7">
        <v>7470.8399999999965</v>
      </c>
      <c r="U56" s="7">
        <v>7394.2299999999814</v>
      </c>
      <c r="V56" s="7">
        <v>7.910000000000025</v>
      </c>
      <c r="W56" s="9">
        <f t="shared" si="4"/>
        <v>147979.59000000003</v>
      </c>
      <c r="X56" s="9">
        <v>224894.85</v>
      </c>
      <c r="Y56" s="9">
        <v>90059.93</v>
      </c>
      <c r="Z56" s="9">
        <v>134834.92000000001</v>
      </c>
      <c r="AA56" s="9">
        <f t="shared" si="5"/>
        <v>282814.51</v>
      </c>
      <c r="AB56" s="7" t="e">
        <f>W56-#REF!</f>
        <v>#REF!</v>
      </c>
      <c r="AC56" s="12">
        <v>166</v>
      </c>
      <c r="AD56" s="12">
        <v>1</v>
      </c>
      <c r="AE56" s="12">
        <f t="shared" si="6"/>
        <v>0</v>
      </c>
      <c r="AF56" s="12">
        <f t="shared" si="7"/>
        <v>166</v>
      </c>
      <c r="AG56" s="13" t="s">
        <v>607</v>
      </c>
      <c r="AH56" s="13">
        <v>224894.85</v>
      </c>
      <c r="AI56" s="13">
        <v>90059.93</v>
      </c>
      <c r="AJ56" s="13">
        <f t="shared" si="8"/>
        <v>134834.92000000001</v>
      </c>
    </row>
    <row r="57" spans="1:36" s="1" customFormat="1" x14ac:dyDescent="0.25">
      <c r="A57">
        <v>173</v>
      </c>
      <c r="B57">
        <v>1</v>
      </c>
      <c r="C57">
        <f t="shared" si="10"/>
        <v>1</v>
      </c>
      <c r="D57" s="1" t="s">
        <v>78</v>
      </c>
      <c r="E57" s="7">
        <v>51603.61</v>
      </c>
      <c r="F57" s="7">
        <v>4799.2300000000005</v>
      </c>
      <c r="G57" s="7">
        <v>-8410.6400000000012</v>
      </c>
      <c r="H57" s="7">
        <v>10398.300000000003</v>
      </c>
      <c r="I57" s="7">
        <v>8798.5699999999779</v>
      </c>
      <c r="J57" s="7">
        <v>4799.2200000000012</v>
      </c>
      <c r="K57" s="7">
        <v>7998.7000000000116</v>
      </c>
      <c r="L57" s="7">
        <v>6398.9599999999919</v>
      </c>
      <c r="M57" s="7">
        <v>6398.9599999999919</v>
      </c>
      <c r="N57" s="7">
        <v>7998.7000000000116</v>
      </c>
      <c r="O57" s="7">
        <v>8469.3800000000047</v>
      </c>
      <c r="P57" s="7">
        <v>9598.4400000000023</v>
      </c>
      <c r="Q57" s="7">
        <v>6398.9700000000012</v>
      </c>
      <c r="R57" s="7">
        <v>11198.170000000042</v>
      </c>
      <c r="S57" s="7">
        <v>7998.7000000000116</v>
      </c>
      <c r="T57" s="7">
        <v>7998.7000000000044</v>
      </c>
      <c r="U57" s="7">
        <v>7998.6999999999971</v>
      </c>
      <c r="V57" s="7">
        <v>-6323.24</v>
      </c>
      <c r="W57" s="9">
        <f t="shared" si="4"/>
        <v>154121.43000000005</v>
      </c>
      <c r="X57" s="9">
        <v>300664.96999999997</v>
      </c>
      <c r="Y57" s="9">
        <v>95302.810000000012</v>
      </c>
      <c r="Z57" s="9">
        <v>205362.15999999997</v>
      </c>
      <c r="AA57" s="9">
        <f t="shared" si="5"/>
        <v>359483.59</v>
      </c>
      <c r="AB57" s="7" t="e">
        <f>W57-#REF!</f>
        <v>#REF!</v>
      </c>
      <c r="AC57" s="12">
        <v>173</v>
      </c>
      <c r="AD57" s="12">
        <v>1</v>
      </c>
      <c r="AE57" s="12">
        <f t="shared" si="6"/>
        <v>0</v>
      </c>
      <c r="AF57" s="12">
        <f t="shared" si="7"/>
        <v>173</v>
      </c>
      <c r="AG57" s="13" t="s">
        <v>608</v>
      </c>
      <c r="AH57" s="13">
        <v>300664.96999999997</v>
      </c>
      <c r="AI57" s="13">
        <v>95302.810000000012</v>
      </c>
      <c r="AJ57" s="13">
        <f t="shared" si="8"/>
        <v>205362.15999999997</v>
      </c>
    </row>
    <row r="58" spans="1:36" s="1" customFormat="1" x14ac:dyDescent="0.25">
      <c r="A58">
        <v>177</v>
      </c>
      <c r="B58">
        <v>1</v>
      </c>
      <c r="C58">
        <f t="shared" si="10"/>
        <v>1</v>
      </c>
      <c r="D58" s="1" t="s">
        <v>79</v>
      </c>
      <c r="E58" s="7">
        <v>81897.149999999994</v>
      </c>
      <c r="F58" s="7">
        <v>3271.5099999999998</v>
      </c>
      <c r="G58" s="7">
        <v>-1514.96</v>
      </c>
      <c r="H58" s="7">
        <v>29100.519999999997</v>
      </c>
      <c r="I58" s="7">
        <v>16374.159999999974</v>
      </c>
      <c r="J58" s="7">
        <v>6275.1499999999651</v>
      </c>
      <c r="K58" s="7">
        <v>14885.589999999967</v>
      </c>
      <c r="L58" s="7">
        <v>14774.880000000005</v>
      </c>
      <c r="M58" s="7">
        <v>11908.47000000003</v>
      </c>
      <c r="N58" s="7">
        <v>12496.929999999993</v>
      </c>
      <c r="O58" s="7">
        <v>14885.590000000026</v>
      </c>
      <c r="P58" s="7">
        <v>16983.679999999935</v>
      </c>
      <c r="Q58" s="7">
        <v>11908.47000000003</v>
      </c>
      <c r="R58" s="7">
        <v>20198.329999999958</v>
      </c>
      <c r="S58" s="7">
        <v>14885.589999999967</v>
      </c>
      <c r="T58" s="7">
        <v>15756.41</v>
      </c>
      <c r="U58" s="7">
        <v>14885.589999999997</v>
      </c>
      <c r="V58" s="7">
        <v>-8686.65</v>
      </c>
      <c r="W58" s="9">
        <f t="shared" si="4"/>
        <v>290286.4099999998</v>
      </c>
      <c r="X58" s="9">
        <v>668998.54</v>
      </c>
      <c r="Y58" s="9">
        <v>276434.83999999997</v>
      </c>
      <c r="Z58" s="9">
        <v>392563.70000000007</v>
      </c>
      <c r="AA58" s="9">
        <f t="shared" si="5"/>
        <v>682850.10999999987</v>
      </c>
      <c r="AB58" s="7" t="e">
        <f>W58-#REF!</f>
        <v>#REF!</v>
      </c>
      <c r="AC58" s="12">
        <v>177</v>
      </c>
      <c r="AD58" s="12">
        <v>1</v>
      </c>
      <c r="AE58" s="12">
        <f t="shared" si="6"/>
        <v>0</v>
      </c>
      <c r="AF58" s="12">
        <f t="shared" si="7"/>
        <v>177</v>
      </c>
      <c r="AG58" s="13" t="s">
        <v>609</v>
      </c>
      <c r="AH58" s="13">
        <v>668998.54</v>
      </c>
      <c r="AI58" s="13">
        <v>276434.83999999997</v>
      </c>
      <c r="AJ58" s="13">
        <f t="shared" si="8"/>
        <v>392563.70000000007</v>
      </c>
    </row>
    <row r="59" spans="1:36" s="1" customFormat="1" x14ac:dyDescent="0.25">
      <c r="A59">
        <v>181</v>
      </c>
      <c r="B59">
        <v>1</v>
      </c>
      <c r="C59">
        <f t="shared" si="10"/>
        <v>1</v>
      </c>
      <c r="D59" s="1" t="s">
        <v>80</v>
      </c>
      <c r="E59" s="7">
        <v>582651.14000000013</v>
      </c>
      <c r="F59" s="7">
        <v>3844.8500000000004</v>
      </c>
      <c r="G59" s="7">
        <v>-34164.959999999999</v>
      </c>
      <c r="H59" s="7">
        <v>194011.07000000007</v>
      </c>
      <c r="I59" s="7">
        <v>111728.65999999968</v>
      </c>
      <c r="J59" s="7">
        <v>57821.219999999972</v>
      </c>
      <c r="K59" s="7">
        <v>101571.50999999978</v>
      </c>
      <c r="L59" s="7">
        <v>84625.919999999925</v>
      </c>
      <c r="M59" s="7">
        <v>81257.219999999739</v>
      </c>
      <c r="N59" s="7">
        <v>98764.25</v>
      </c>
      <c r="O59" s="7">
        <v>102676.40000000037</v>
      </c>
      <c r="P59" s="7">
        <v>120852.74000000022</v>
      </c>
      <c r="Q59" s="7">
        <v>81257.209999999963</v>
      </c>
      <c r="R59" s="7">
        <v>142120.95999999996</v>
      </c>
      <c r="S59" s="7">
        <v>101571.53000000026</v>
      </c>
      <c r="T59" s="7">
        <v>101920.15000000002</v>
      </c>
      <c r="U59" s="7">
        <v>101571.51000000001</v>
      </c>
      <c r="V59" s="7">
        <v>70.7800000000002</v>
      </c>
      <c r="W59" s="9">
        <f t="shared" si="4"/>
        <v>2034152.1600000001</v>
      </c>
      <c r="X59" s="9">
        <v>3233274.9</v>
      </c>
      <c r="Y59" s="9">
        <v>1421299.94</v>
      </c>
      <c r="Z59" s="9">
        <v>1811974.96</v>
      </c>
      <c r="AA59" s="9">
        <f t="shared" si="5"/>
        <v>3846127.12</v>
      </c>
      <c r="AB59" s="7" t="e">
        <f>W59-#REF!</f>
        <v>#REF!</v>
      </c>
      <c r="AC59" s="12">
        <v>181</v>
      </c>
      <c r="AD59" s="12">
        <v>1</v>
      </c>
      <c r="AE59" s="12">
        <f t="shared" si="6"/>
        <v>0</v>
      </c>
      <c r="AF59" s="12">
        <f t="shared" si="7"/>
        <v>181</v>
      </c>
      <c r="AG59" s="13" t="s">
        <v>610</v>
      </c>
      <c r="AH59" s="13">
        <v>3233274.9</v>
      </c>
      <c r="AI59" s="13">
        <v>1421299.94</v>
      </c>
      <c r="AJ59" s="13">
        <f t="shared" si="8"/>
        <v>1811974.96</v>
      </c>
    </row>
    <row r="60" spans="1:36" s="1" customFormat="1" x14ac:dyDescent="0.25">
      <c r="A60">
        <v>182</v>
      </c>
      <c r="B60">
        <v>1</v>
      </c>
      <c r="C60">
        <f t="shared" si="10"/>
        <v>1</v>
      </c>
      <c r="D60" s="1" t="s">
        <v>81</v>
      </c>
      <c r="E60" s="7">
        <v>129850.5</v>
      </c>
      <c r="F60" s="7">
        <v>983.49999999999989</v>
      </c>
      <c r="G60" s="7">
        <v>-38814.32</v>
      </c>
      <c r="H60" s="7">
        <v>32286.150000000023</v>
      </c>
      <c r="I60" s="7">
        <v>18544.410000000033</v>
      </c>
      <c r="J60" s="7">
        <v>9316.5999999999767</v>
      </c>
      <c r="K60" s="7">
        <v>16858.549999999988</v>
      </c>
      <c r="L60" s="7">
        <v>14348.549999999988</v>
      </c>
      <c r="M60" s="7">
        <v>13486.839999999967</v>
      </c>
      <c r="N60" s="7">
        <v>16140.469999999972</v>
      </c>
      <c r="O60" s="7">
        <v>16949.419999999984</v>
      </c>
      <c r="P60" s="7">
        <v>19965.969999999972</v>
      </c>
      <c r="Q60" s="7">
        <v>13486.849999999977</v>
      </c>
      <c r="R60" s="7">
        <v>23522.320000000065</v>
      </c>
      <c r="S60" s="7">
        <v>16858.549999999988</v>
      </c>
      <c r="T60" s="7">
        <v>17007.169999999998</v>
      </c>
      <c r="U60" s="7">
        <v>16858.549999999988</v>
      </c>
      <c r="V60" s="7">
        <v>25.430000000000064</v>
      </c>
      <c r="W60" s="9">
        <f t="shared" si="4"/>
        <v>337675.50999999989</v>
      </c>
      <c r="X60" s="9">
        <v>554813.67000000004</v>
      </c>
      <c r="Y60" s="9">
        <v>241759.66</v>
      </c>
      <c r="Z60" s="9">
        <v>313054.01</v>
      </c>
      <c r="AA60" s="9">
        <f t="shared" si="5"/>
        <v>650729.5199999999</v>
      </c>
      <c r="AB60" s="7" t="e">
        <f>W60-#REF!</f>
        <v>#REF!</v>
      </c>
      <c r="AC60" s="12">
        <v>182</v>
      </c>
      <c r="AD60" s="12">
        <v>1</v>
      </c>
      <c r="AE60" s="12">
        <f t="shared" si="6"/>
        <v>0</v>
      </c>
      <c r="AF60" s="12">
        <f t="shared" si="7"/>
        <v>182</v>
      </c>
      <c r="AG60" s="13" t="s">
        <v>611</v>
      </c>
      <c r="AH60" s="13">
        <v>554813.67000000004</v>
      </c>
      <c r="AI60" s="13">
        <v>241759.66</v>
      </c>
      <c r="AJ60" s="13">
        <f t="shared" si="8"/>
        <v>313054.01</v>
      </c>
    </row>
    <row r="61" spans="1:36" s="1" customFormat="1" x14ac:dyDescent="0.25">
      <c r="A61">
        <v>186</v>
      </c>
      <c r="B61">
        <v>1</v>
      </c>
      <c r="C61">
        <f t="shared" si="10"/>
        <v>1</v>
      </c>
      <c r="D61" s="1" t="s">
        <v>82</v>
      </c>
      <c r="E61" s="7">
        <v>117323.18999999997</v>
      </c>
      <c r="F61" s="7">
        <v>244.21999999999997</v>
      </c>
      <c r="G61" s="7">
        <v>-3447.84</v>
      </c>
      <c r="H61" s="7">
        <v>40138.649999999965</v>
      </c>
      <c r="I61" s="7">
        <v>23196.830000000075</v>
      </c>
      <c r="J61" s="7">
        <v>12454.52999999997</v>
      </c>
      <c r="K61" s="7">
        <v>21088.020000000019</v>
      </c>
      <c r="L61" s="7">
        <v>17084.389999999956</v>
      </c>
      <c r="M61" s="7">
        <v>16870.419999999984</v>
      </c>
      <c r="N61" s="7">
        <v>20909.709999999963</v>
      </c>
      <c r="O61" s="7">
        <v>21115.349999999977</v>
      </c>
      <c r="P61" s="7">
        <v>25240.040000000037</v>
      </c>
      <c r="Q61" s="7">
        <v>16870.419999999984</v>
      </c>
      <c r="R61" s="7">
        <v>29531.790000000037</v>
      </c>
      <c r="S61" s="7">
        <v>21088.030000000028</v>
      </c>
      <c r="T61" s="7">
        <v>21096.570000000007</v>
      </c>
      <c r="U61" s="7">
        <v>21088.03</v>
      </c>
      <c r="V61" s="7">
        <v>-1.7699999999999818</v>
      </c>
      <c r="W61" s="9">
        <f t="shared" si="4"/>
        <v>421890.57999999996</v>
      </c>
      <c r="X61" s="9">
        <v>916660.27</v>
      </c>
      <c r="Y61" s="9">
        <v>435696.54000000004</v>
      </c>
      <c r="Z61" s="9">
        <v>480963.73</v>
      </c>
      <c r="AA61" s="9">
        <f t="shared" si="5"/>
        <v>902854.30999999994</v>
      </c>
      <c r="AB61" s="7" t="e">
        <f>W61-#REF!</f>
        <v>#REF!</v>
      </c>
      <c r="AC61" s="12">
        <v>186</v>
      </c>
      <c r="AD61" s="12">
        <v>1</v>
      </c>
      <c r="AE61" s="12">
        <f t="shared" si="6"/>
        <v>0</v>
      </c>
      <c r="AF61" s="12">
        <f t="shared" si="7"/>
        <v>186</v>
      </c>
      <c r="AG61" s="13" t="s">
        <v>612</v>
      </c>
      <c r="AH61" s="13">
        <v>916660.27</v>
      </c>
      <c r="AI61" s="13">
        <v>435696.54000000004</v>
      </c>
      <c r="AJ61" s="13">
        <f t="shared" si="8"/>
        <v>480963.73</v>
      </c>
    </row>
    <row r="62" spans="1:36" s="1" customFormat="1" x14ac:dyDescent="0.25">
      <c r="A62">
        <v>191</v>
      </c>
      <c r="B62">
        <v>1</v>
      </c>
      <c r="C62">
        <f t="shared" si="10"/>
        <v>1</v>
      </c>
      <c r="D62" s="1" t="s">
        <v>83</v>
      </c>
      <c r="E62" s="7">
        <v>849091.76999999979</v>
      </c>
      <c r="F62" s="7">
        <v>0</v>
      </c>
      <c r="G62" s="7">
        <v>-18701.919999999998</v>
      </c>
      <c r="H62" s="7">
        <v>0</v>
      </c>
      <c r="I62" s="7">
        <v>439104.3899999999</v>
      </c>
      <c r="J62" s="7">
        <v>87820.89000000013</v>
      </c>
      <c r="K62" s="7">
        <v>146368.11999999918</v>
      </c>
      <c r="L62" s="7">
        <v>117094.51000000024</v>
      </c>
      <c r="M62" s="7">
        <v>117094.50999999978</v>
      </c>
      <c r="N62" s="7">
        <v>146368.11999999918</v>
      </c>
      <c r="O62" s="7">
        <v>149447.97999999952</v>
      </c>
      <c r="P62" s="7">
        <v>175641.76000000071</v>
      </c>
      <c r="Q62" s="7">
        <v>117094.5</v>
      </c>
      <c r="R62" s="7">
        <v>204915.3900000006</v>
      </c>
      <c r="S62" s="7">
        <v>398862.41999999993</v>
      </c>
      <c r="T62" s="7">
        <v>0</v>
      </c>
      <c r="U62" s="7">
        <v>0</v>
      </c>
      <c r="V62" s="7">
        <v>-132085.22</v>
      </c>
      <c r="W62" s="9">
        <f t="shared" si="4"/>
        <v>2798117.2199999988</v>
      </c>
      <c r="X62" s="9">
        <v>7882936.6100000003</v>
      </c>
      <c r="Y62" s="9">
        <v>2499656.94</v>
      </c>
      <c r="Z62" s="9">
        <v>5383279.6699999999</v>
      </c>
      <c r="AA62" s="9">
        <f t="shared" si="5"/>
        <v>8181396.8899999987</v>
      </c>
      <c r="AB62" s="7" t="e">
        <f>W62-#REF!</f>
        <v>#REF!</v>
      </c>
      <c r="AC62" s="12">
        <v>191</v>
      </c>
      <c r="AD62" s="12">
        <v>1</v>
      </c>
      <c r="AE62" s="12">
        <f t="shared" si="6"/>
        <v>0</v>
      </c>
      <c r="AF62" s="12">
        <f t="shared" si="7"/>
        <v>191</v>
      </c>
      <c r="AG62" s="13" t="s">
        <v>613</v>
      </c>
      <c r="AH62" s="13">
        <v>7882936.6100000003</v>
      </c>
      <c r="AI62" s="13">
        <v>2499656.94</v>
      </c>
      <c r="AJ62" s="13">
        <f t="shared" si="8"/>
        <v>5383279.6699999999</v>
      </c>
    </row>
    <row r="63" spans="1:36" s="1" customFormat="1" x14ac:dyDescent="0.25">
      <c r="A63">
        <v>192</v>
      </c>
      <c r="B63">
        <v>1</v>
      </c>
      <c r="C63">
        <f t="shared" si="10"/>
        <v>1</v>
      </c>
      <c r="D63" s="1" t="s">
        <v>84</v>
      </c>
      <c r="E63" s="7">
        <v>500766.93000000005</v>
      </c>
      <c r="F63" s="7">
        <v>497066.20000000007</v>
      </c>
      <c r="G63" s="7">
        <v>-5328.4800000000014</v>
      </c>
      <c r="H63" s="7">
        <v>229776.56000000006</v>
      </c>
      <c r="I63" s="7">
        <v>100922.64999999991</v>
      </c>
      <c r="J63" s="7">
        <v>-303833.13999999966</v>
      </c>
      <c r="K63" s="7">
        <v>91747.85999999987</v>
      </c>
      <c r="L63" s="7">
        <v>102823.97999999998</v>
      </c>
      <c r="M63" s="7">
        <v>73398.290000000037</v>
      </c>
      <c r="N63" s="7">
        <v>126868.7799999998</v>
      </c>
      <c r="O63" s="7">
        <v>93135.319999999832</v>
      </c>
      <c r="P63" s="7">
        <v>-8668.3500000000931</v>
      </c>
      <c r="Q63" s="7">
        <v>73398.290000000037</v>
      </c>
      <c r="R63" s="7">
        <v>143884.04999999981</v>
      </c>
      <c r="S63" s="7">
        <v>91747.85999999987</v>
      </c>
      <c r="T63" s="7">
        <v>107293.17999999993</v>
      </c>
      <c r="U63" s="7">
        <v>91747.859999999986</v>
      </c>
      <c r="V63" s="7">
        <v>15491.22000000003</v>
      </c>
      <c r="W63" s="9">
        <f t="shared" si="4"/>
        <v>2022239.0599999994</v>
      </c>
      <c r="X63" s="9">
        <v>2308821.5499999998</v>
      </c>
      <c r="Y63" s="9">
        <v>1097402.8400000001</v>
      </c>
      <c r="Z63" s="9">
        <v>1211418.7099999997</v>
      </c>
      <c r="AA63" s="9">
        <f t="shared" si="5"/>
        <v>3233657.7699999991</v>
      </c>
      <c r="AB63" s="7" t="e">
        <f>W63-#REF!</f>
        <v>#REF!</v>
      </c>
      <c r="AC63" s="12">
        <v>192</v>
      </c>
      <c r="AD63" s="12">
        <v>1</v>
      </c>
      <c r="AE63" s="12">
        <f t="shared" si="6"/>
        <v>0</v>
      </c>
      <c r="AF63" s="12">
        <f t="shared" si="7"/>
        <v>192</v>
      </c>
      <c r="AG63" s="13" t="s">
        <v>614</v>
      </c>
      <c r="AH63" s="13">
        <v>2308821.5499999998</v>
      </c>
      <c r="AI63" s="13">
        <v>1097402.8400000001</v>
      </c>
      <c r="AJ63" s="13">
        <f t="shared" si="8"/>
        <v>1211418.7099999997</v>
      </c>
    </row>
    <row r="64" spans="1:36" s="1" customFormat="1" x14ac:dyDescent="0.25">
      <c r="A64">
        <v>194</v>
      </c>
      <c r="B64">
        <v>1</v>
      </c>
      <c r="C64">
        <f t="shared" si="10"/>
        <v>1</v>
      </c>
      <c r="D64" s="1" t="s">
        <v>85</v>
      </c>
      <c r="E64" s="7">
        <v>800650.7799999998</v>
      </c>
      <c r="F64" s="7">
        <v>1088</v>
      </c>
      <c r="G64" s="7">
        <v>-7470.3200000000033</v>
      </c>
      <c r="H64" s="7">
        <v>101463.71</v>
      </c>
      <c r="I64" s="7">
        <v>339464.08999999985</v>
      </c>
      <c r="J64" s="7">
        <v>87247.25</v>
      </c>
      <c r="K64" s="7">
        <v>146885.28000000026</v>
      </c>
      <c r="L64" s="7">
        <v>118460.40000000037</v>
      </c>
      <c r="M64" s="7">
        <v>117508.2200000002</v>
      </c>
      <c r="N64" s="7">
        <v>146091.79999999981</v>
      </c>
      <c r="O64" s="7">
        <v>149009.46999999974</v>
      </c>
      <c r="P64" s="7">
        <v>175970.3200000003</v>
      </c>
      <c r="Q64" s="7">
        <v>117508.20999999996</v>
      </c>
      <c r="R64" s="7">
        <v>205671.49000000022</v>
      </c>
      <c r="S64" s="7">
        <v>146885.27000000048</v>
      </c>
      <c r="T64" s="7">
        <v>146929.32</v>
      </c>
      <c r="U64" s="7">
        <v>146885.27000000002</v>
      </c>
      <c r="V64" s="7">
        <v>-79183.490000000005</v>
      </c>
      <c r="W64" s="9">
        <f t="shared" si="4"/>
        <v>2861065.0700000008</v>
      </c>
      <c r="X64" s="9">
        <v>6088983.0600000005</v>
      </c>
      <c r="Y64" s="9">
        <v>2413461.58</v>
      </c>
      <c r="Z64" s="9">
        <v>3675521.4800000004</v>
      </c>
      <c r="AA64" s="9">
        <f t="shared" si="5"/>
        <v>6536586.5500000007</v>
      </c>
      <c r="AB64" s="7" t="e">
        <f>W64-#REF!</f>
        <v>#REF!</v>
      </c>
      <c r="AC64" s="12">
        <v>194</v>
      </c>
      <c r="AD64" s="12">
        <v>1</v>
      </c>
      <c r="AE64" s="12">
        <f t="shared" si="6"/>
        <v>0</v>
      </c>
      <c r="AF64" s="12">
        <f t="shared" si="7"/>
        <v>194</v>
      </c>
      <c r="AG64" s="13" t="s">
        <v>615</v>
      </c>
      <c r="AH64" s="13">
        <v>6088983.0600000005</v>
      </c>
      <c r="AI64" s="13">
        <v>2413461.58</v>
      </c>
      <c r="AJ64" s="13">
        <f t="shared" si="8"/>
        <v>3675521.4800000004</v>
      </c>
    </row>
    <row r="65" spans="1:36" s="1" customFormat="1" x14ac:dyDescent="0.25">
      <c r="A65">
        <v>195</v>
      </c>
      <c r="B65">
        <v>1</v>
      </c>
      <c r="C65">
        <f t="shared" si="10"/>
        <v>1</v>
      </c>
      <c r="D65" s="1" t="s">
        <v>86</v>
      </c>
      <c r="E65" s="7">
        <v>41089.94</v>
      </c>
      <c r="F65" s="7">
        <v>5356.4000000000015</v>
      </c>
      <c r="G65" s="7">
        <v>3804.619999999999</v>
      </c>
      <c r="H65" s="7">
        <v>6285.1100000000006</v>
      </c>
      <c r="I65" s="7">
        <v>8370.1699999999837</v>
      </c>
      <c r="J65" s="7">
        <v>3923.4499999999971</v>
      </c>
      <c r="K65" s="7">
        <v>7609.25</v>
      </c>
      <c r="L65" s="7">
        <v>6780.320000000007</v>
      </c>
      <c r="M65" s="7">
        <v>6087.3999999999942</v>
      </c>
      <c r="N65" s="7">
        <v>7031.8099999999977</v>
      </c>
      <c r="O65" s="7">
        <v>7609.25</v>
      </c>
      <c r="P65" s="7">
        <v>8918.6000000000058</v>
      </c>
      <c r="Q65" s="7">
        <v>6087.3999999999942</v>
      </c>
      <c r="R65" s="7">
        <v>10680.670000000042</v>
      </c>
      <c r="S65" s="7">
        <v>7609.25</v>
      </c>
      <c r="T65" s="7">
        <v>7636.9600000000064</v>
      </c>
      <c r="U65" s="7">
        <v>7609.25</v>
      </c>
      <c r="V65" s="7">
        <v>27.709999999999923</v>
      </c>
      <c r="W65" s="9">
        <f t="shared" si="4"/>
        <v>152517.56000000003</v>
      </c>
      <c r="X65" s="9">
        <v>286917.78999999998</v>
      </c>
      <c r="Y65" s="9">
        <v>136374.51</v>
      </c>
      <c r="Z65" s="9">
        <v>150543.27999999997</v>
      </c>
      <c r="AA65" s="9">
        <f t="shared" si="5"/>
        <v>303060.83999999997</v>
      </c>
      <c r="AB65" s="7" t="e">
        <f>W65-#REF!</f>
        <v>#REF!</v>
      </c>
      <c r="AC65" s="12">
        <v>195</v>
      </c>
      <c r="AD65" s="12">
        <v>1</v>
      </c>
      <c r="AE65" s="12">
        <f t="shared" si="6"/>
        <v>0</v>
      </c>
      <c r="AF65" s="12">
        <f t="shared" si="7"/>
        <v>195</v>
      </c>
      <c r="AG65" s="13" t="s">
        <v>616</v>
      </c>
      <c r="AH65" s="13">
        <v>286917.78999999998</v>
      </c>
      <c r="AI65" s="13">
        <v>136374.51</v>
      </c>
      <c r="AJ65" s="13">
        <f t="shared" si="8"/>
        <v>150543.27999999997</v>
      </c>
    </row>
    <row r="66" spans="1:36" s="1" customFormat="1" x14ac:dyDescent="0.25">
      <c r="A66">
        <v>196</v>
      </c>
      <c r="B66">
        <v>1</v>
      </c>
      <c r="C66">
        <f t="shared" si="10"/>
        <v>1</v>
      </c>
      <c r="D66" s="1" t="s">
        <v>87</v>
      </c>
      <c r="E66" s="7">
        <v>2233025.3800000008</v>
      </c>
      <c r="F66" s="7">
        <v>270.72000000000003</v>
      </c>
      <c r="G66" s="7">
        <v>-41008.399999999994</v>
      </c>
      <c r="H66" s="7">
        <v>67.68999999999869</v>
      </c>
      <c r="I66" s="7">
        <v>1217787.2200000007</v>
      </c>
      <c r="J66" s="7">
        <v>243336.66000000015</v>
      </c>
      <c r="K66" s="7">
        <v>405929.0700000003</v>
      </c>
      <c r="L66" s="7">
        <v>324978.5</v>
      </c>
      <c r="M66" s="7">
        <v>324743.25</v>
      </c>
      <c r="N66" s="7">
        <v>405733.01000000164</v>
      </c>
      <c r="O66" s="7">
        <v>415784.25</v>
      </c>
      <c r="P66" s="7">
        <v>487042.78999999911</v>
      </c>
      <c r="Q66" s="7">
        <v>324743.25999999978</v>
      </c>
      <c r="R66" s="7">
        <v>568310.1099999994</v>
      </c>
      <c r="S66" s="7">
        <v>1217787.2100000009</v>
      </c>
      <c r="T66" s="7">
        <v>9.3999999999999773</v>
      </c>
      <c r="U66" s="7">
        <v>0</v>
      </c>
      <c r="V66" s="7">
        <v>-336174.55</v>
      </c>
      <c r="W66" s="9">
        <f t="shared" si="4"/>
        <v>7792365.5700000031</v>
      </c>
      <c r="X66" s="9">
        <v>23419245.350000001</v>
      </c>
      <c r="Y66" s="9">
        <v>9608305.2799999993</v>
      </c>
      <c r="Z66" s="9">
        <v>13810940.070000002</v>
      </c>
      <c r="AA66" s="9">
        <f t="shared" si="5"/>
        <v>21603305.640000004</v>
      </c>
      <c r="AB66" s="7" t="e">
        <f>W66-#REF!</f>
        <v>#REF!</v>
      </c>
      <c r="AC66" s="12">
        <v>196</v>
      </c>
      <c r="AD66" s="12">
        <v>1</v>
      </c>
      <c r="AE66" s="12">
        <f t="shared" si="6"/>
        <v>0</v>
      </c>
      <c r="AF66" s="12">
        <f t="shared" si="7"/>
        <v>196</v>
      </c>
      <c r="AG66" s="13" t="s">
        <v>617</v>
      </c>
      <c r="AH66" s="13">
        <v>23419245.350000001</v>
      </c>
      <c r="AI66" s="13">
        <v>9608305.2799999993</v>
      </c>
      <c r="AJ66" s="13">
        <f t="shared" si="8"/>
        <v>13810940.070000002</v>
      </c>
    </row>
    <row r="67" spans="1:36" s="1" customFormat="1" x14ac:dyDescent="0.25">
      <c r="A67">
        <v>197</v>
      </c>
      <c r="B67">
        <v>1</v>
      </c>
      <c r="C67">
        <f t="shared" si="10"/>
        <v>1</v>
      </c>
      <c r="D67" s="1" t="s">
        <v>88</v>
      </c>
      <c r="E67" s="7">
        <v>399954.75999999989</v>
      </c>
      <c r="F67" s="7">
        <v>31.71</v>
      </c>
      <c r="G67" s="7">
        <v>-28314.079999999987</v>
      </c>
      <c r="H67" s="7">
        <v>7.9500000000116415</v>
      </c>
      <c r="I67" s="7">
        <v>58583.03</v>
      </c>
      <c r="J67" s="7">
        <v>189151.26999999979</v>
      </c>
      <c r="K67" s="7">
        <v>68822.340000000317</v>
      </c>
      <c r="L67" s="7">
        <v>55084.879999999888</v>
      </c>
      <c r="M67" s="7">
        <v>55057.880000000121</v>
      </c>
      <c r="N67" s="7">
        <v>68799.860000000335</v>
      </c>
      <c r="O67" s="7">
        <v>93778.020000000019</v>
      </c>
      <c r="P67" s="7">
        <v>82578.520000000019</v>
      </c>
      <c r="Q67" s="7">
        <v>55057.879999999888</v>
      </c>
      <c r="R67" s="7">
        <v>244232.30000000028</v>
      </c>
      <c r="S67" s="7">
        <v>58583.02</v>
      </c>
      <c r="T67" s="7">
        <v>5.1700000000000017</v>
      </c>
      <c r="U67" s="7">
        <v>0</v>
      </c>
      <c r="V67" s="7">
        <v>-64928.73</v>
      </c>
      <c r="W67" s="9">
        <f t="shared" si="4"/>
        <v>1336485.7800000005</v>
      </c>
      <c r="X67" s="9">
        <v>5251054.7300000004</v>
      </c>
      <c r="Y67" s="9">
        <v>1635095.94</v>
      </c>
      <c r="Z67" s="9">
        <v>3615958.7900000005</v>
      </c>
      <c r="AA67" s="9">
        <f t="shared" si="5"/>
        <v>4952444.5700000012</v>
      </c>
      <c r="AB67" s="7" t="e">
        <f>W67-#REF!</f>
        <v>#REF!</v>
      </c>
      <c r="AC67" s="12">
        <v>197</v>
      </c>
      <c r="AD67" s="12">
        <v>1</v>
      </c>
      <c r="AE67" s="12">
        <f t="shared" si="6"/>
        <v>0</v>
      </c>
      <c r="AF67" s="12">
        <f t="shared" si="7"/>
        <v>197</v>
      </c>
      <c r="AG67" s="13" t="s">
        <v>618</v>
      </c>
      <c r="AH67" s="13">
        <v>5251054.7300000004</v>
      </c>
      <c r="AI67" s="13">
        <v>1635095.94</v>
      </c>
      <c r="AJ67" s="13">
        <f t="shared" si="8"/>
        <v>3615958.7900000005</v>
      </c>
    </row>
    <row r="68" spans="1:36" s="1" customFormat="1" x14ac:dyDescent="0.25">
      <c r="A68">
        <v>199</v>
      </c>
      <c r="B68">
        <v>1</v>
      </c>
      <c r="C68">
        <f t="shared" si="10"/>
        <v>1</v>
      </c>
      <c r="D68" s="1" t="s">
        <v>89</v>
      </c>
      <c r="E68" s="7">
        <v>313988.33999999997</v>
      </c>
      <c r="F68" s="7">
        <v>35.29</v>
      </c>
      <c r="G68" s="7">
        <v>-19119.84</v>
      </c>
      <c r="H68" s="7">
        <v>8.8100000000000023</v>
      </c>
      <c r="I68" s="7">
        <v>163815.84000000008</v>
      </c>
      <c r="J68" s="7">
        <v>32734.529999999912</v>
      </c>
      <c r="K68" s="7">
        <v>54605.279999999795</v>
      </c>
      <c r="L68" s="7">
        <v>43715.14000000013</v>
      </c>
      <c r="M68" s="7">
        <v>43684.219999999972</v>
      </c>
      <c r="N68" s="7">
        <v>54579.510000000009</v>
      </c>
      <c r="O68" s="7">
        <v>54698.880000000121</v>
      </c>
      <c r="P68" s="7">
        <v>65516.85999999987</v>
      </c>
      <c r="Q68" s="7">
        <v>43684.219999999972</v>
      </c>
      <c r="R68" s="7">
        <v>76448.629999999888</v>
      </c>
      <c r="S68" s="7">
        <v>163815.84000000008</v>
      </c>
      <c r="T68" s="7">
        <v>1.2300000000000004</v>
      </c>
      <c r="U68" s="7">
        <v>0</v>
      </c>
      <c r="V68" s="7">
        <v>-38750.25</v>
      </c>
      <c r="W68" s="9">
        <f t="shared" si="4"/>
        <v>1053462.5299999998</v>
      </c>
      <c r="X68" s="9">
        <v>2379927.94</v>
      </c>
      <c r="Y68" s="9">
        <v>1115692.6100000001</v>
      </c>
      <c r="Z68" s="9">
        <v>1264235.3299999998</v>
      </c>
      <c r="AA68" s="9">
        <f t="shared" si="5"/>
        <v>2317697.8599999994</v>
      </c>
      <c r="AB68" s="7" t="e">
        <f>W68-#REF!</f>
        <v>#REF!</v>
      </c>
      <c r="AC68" s="12">
        <v>199</v>
      </c>
      <c r="AD68" s="12">
        <v>1</v>
      </c>
      <c r="AE68" s="12">
        <f t="shared" si="6"/>
        <v>0</v>
      </c>
      <c r="AF68" s="12">
        <f t="shared" si="7"/>
        <v>199</v>
      </c>
      <c r="AG68" s="13" t="s">
        <v>619</v>
      </c>
      <c r="AH68" s="13">
        <v>2379927.94</v>
      </c>
      <c r="AI68" s="13">
        <v>1115692.6100000001</v>
      </c>
      <c r="AJ68" s="13">
        <f t="shared" si="8"/>
        <v>1264235.3299999998</v>
      </c>
    </row>
    <row r="69" spans="1:36" s="1" customFormat="1" x14ac:dyDescent="0.25">
      <c r="A69">
        <v>200</v>
      </c>
      <c r="B69">
        <v>1</v>
      </c>
      <c r="C69">
        <f t="shared" si="10"/>
        <v>1</v>
      </c>
      <c r="D69" s="1" t="s">
        <v>90</v>
      </c>
      <c r="E69" s="7">
        <v>480825.38000000012</v>
      </c>
      <c r="F69" s="7">
        <v>2352.3000000000002</v>
      </c>
      <c r="G69" s="7">
        <v>-140734.56</v>
      </c>
      <c r="H69" s="7">
        <v>588.06000000000131</v>
      </c>
      <c r="I69" s="7">
        <v>188939.33999999997</v>
      </c>
      <c r="J69" s="7">
        <v>35877.319999999832</v>
      </c>
      <c r="K69" s="7">
        <v>62979.780000000028</v>
      </c>
      <c r="L69" s="7">
        <v>52443.450000000186</v>
      </c>
      <c r="M69" s="7">
        <v>50383.830000000075</v>
      </c>
      <c r="N69" s="7">
        <v>61263.429999999935</v>
      </c>
      <c r="O69" s="7">
        <v>65487.049999999814</v>
      </c>
      <c r="P69" s="7">
        <v>74944.100000000093</v>
      </c>
      <c r="Q69" s="7">
        <v>50383.830000000075</v>
      </c>
      <c r="R69" s="7">
        <v>88243.229999999981</v>
      </c>
      <c r="S69" s="7">
        <v>188939.34999999998</v>
      </c>
      <c r="T69" s="7">
        <v>93.240000000000009</v>
      </c>
      <c r="U69" s="7">
        <v>0</v>
      </c>
      <c r="V69" s="7">
        <v>82.379999999999882</v>
      </c>
      <c r="W69" s="9">
        <f t="shared" si="4"/>
        <v>1263091.51</v>
      </c>
      <c r="X69" s="9">
        <v>4124935.74</v>
      </c>
      <c r="Y69" s="9">
        <v>1670961.98</v>
      </c>
      <c r="Z69" s="9">
        <v>2453973.7600000002</v>
      </c>
      <c r="AA69" s="9">
        <f t="shared" si="5"/>
        <v>3717065.2700000005</v>
      </c>
      <c r="AB69" s="7" t="e">
        <f>W69-#REF!</f>
        <v>#REF!</v>
      </c>
      <c r="AC69" s="12">
        <v>200</v>
      </c>
      <c r="AD69" s="12">
        <v>1</v>
      </c>
      <c r="AE69" s="12">
        <f t="shared" si="6"/>
        <v>0</v>
      </c>
      <c r="AF69" s="12">
        <f t="shared" si="7"/>
        <v>200</v>
      </c>
      <c r="AG69" s="13" t="s">
        <v>620</v>
      </c>
      <c r="AH69" s="13">
        <v>4124935.74</v>
      </c>
      <c r="AI69" s="13">
        <v>1670961.98</v>
      </c>
      <c r="AJ69" s="13">
        <f t="shared" si="8"/>
        <v>2453973.7600000002</v>
      </c>
    </row>
    <row r="70" spans="1:36" s="1" customFormat="1" x14ac:dyDescent="0.25">
      <c r="A70">
        <v>203</v>
      </c>
      <c r="B70">
        <v>1</v>
      </c>
      <c r="C70">
        <f t="shared" si="10"/>
        <v>1</v>
      </c>
      <c r="D70" s="1" t="s">
        <v>91</v>
      </c>
      <c r="E70" s="7">
        <v>60088.78</v>
      </c>
      <c r="F70" s="7">
        <v>8528.4200000000019</v>
      </c>
      <c r="G70" s="7">
        <v>0</v>
      </c>
      <c r="H70" s="7">
        <v>14928.800000000003</v>
      </c>
      <c r="I70" s="7">
        <v>12240.309999999998</v>
      </c>
      <c r="J70" s="7">
        <v>5172.9500000000116</v>
      </c>
      <c r="K70" s="7">
        <v>11127.559999999998</v>
      </c>
      <c r="L70" s="7">
        <v>10524.609999999986</v>
      </c>
      <c r="M70" s="7">
        <v>8902.0400000000081</v>
      </c>
      <c r="N70" s="7">
        <v>9775.4199999999837</v>
      </c>
      <c r="O70" s="7">
        <v>11137.380000000005</v>
      </c>
      <c r="P70" s="7">
        <v>12855.48000000004</v>
      </c>
      <c r="Q70" s="7">
        <v>8902.039999999979</v>
      </c>
      <c r="R70" s="7">
        <v>15263.860000000044</v>
      </c>
      <c r="S70" s="7">
        <v>11127.549999999988</v>
      </c>
      <c r="T70" s="7">
        <v>11572.080000000002</v>
      </c>
      <c r="U70" s="7">
        <v>11127.550000000003</v>
      </c>
      <c r="V70" s="7">
        <v>-4584.3999999999996</v>
      </c>
      <c r="W70" s="9">
        <f t="shared" si="4"/>
        <v>218690.43000000002</v>
      </c>
      <c r="X70" s="9">
        <v>490365.97000000003</v>
      </c>
      <c r="Y70" s="9">
        <v>233075.19</v>
      </c>
      <c r="Z70" s="9">
        <v>257290.78000000003</v>
      </c>
      <c r="AA70" s="9">
        <f t="shared" si="5"/>
        <v>475981.21000000008</v>
      </c>
      <c r="AB70" s="7" t="e">
        <f>W70-#REF!</f>
        <v>#REF!</v>
      </c>
      <c r="AC70" s="12">
        <v>203</v>
      </c>
      <c r="AD70" s="12">
        <v>1</v>
      </c>
      <c r="AE70" s="12">
        <f t="shared" si="6"/>
        <v>0</v>
      </c>
      <c r="AF70" s="12">
        <f t="shared" si="7"/>
        <v>203</v>
      </c>
      <c r="AG70" s="13" t="s">
        <v>621</v>
      </c>
      <c r="AH70" s="13">
        <v>490365.97000000003</v>
      </c>
      <c r="AI70" s="13">
        <v>233075.19</v>
      </c>
      <c r="AJ70" s="13">
        <f t="shared" si="8"/>
        <v>257290.78000000003</v>
      </c>
    </row>
    <row r="71" spans="1:36" s="1" customFormat="1" x14ac:dyDescent="0.25">
      <c r="A71">
        <v>204</v>
      </c>
      <c r="B71">
        <v>1</v>
      </c>
      <c r="C71">
        <f t="shared" si="10"/>
        <v>1</v>
      </c>
      <c r="D71" s="1" t="s">
        <v>92</v>
      </c>
      <c r="E71" s="7">
        <v>155957.88999999996</v>
      </c>
      <c r="F71" s="7">
        <v>39153.429999999993</v>
      </c>
      <c r="G71" s="7">
        <v>11700.849999999977</v>
      </c>
      <c r="H71" s="7">
        <v>28259.239999999991</v>
      </c>
      <c r="I71" s="7">
        <v>31258.400000000023</v>
      </c>
      <c r="J71" s="7">
        <v>-896.04999999998836</v>
      </c>
      <c r="K71" s="7">
        <v>28416.729999999981</v>
      </c>
      <c r="L71" s="7">
        <v>29444.619999999995</v>
      </c>
      <c r="M71" s="7">
        <v>22733.400000000023</v>
      </c>
      <c r="N71" s="7">
        <v>24933.190000000061</v>
      </c>
      <c r="O71" s="7">
        <v>28438.590000000084</v>
      </c>
      <c r="P71" s="7">
        <v>28161.109999999986</v>
      </c>
      <c r="Q71" s="7">
        <v>22733.380000000005</v>
      </c>
      <c r="R71" s="7">
        <v>38770.580000000075</v>
      </c>
      <c r="S71" s="7">
        <v>28416.729999999981</v>
      </c>
      <c r="T71" s="7">
        <v>30978.909999999974</v>
      </c>
      <c r="U71" s="7">
        <v>28416.729999999981</v>
      </c>
      <c r="V71" s="7">
        <v>774.65000000000146</v>
      </c>
      <c r="W71" s="9">
        <f t="shared" si="4"/>
        <v>577652.38000000012</v>
      </c>
      <c r="X71" s="9">
        <v>379281.14999999997</v>
      </c>
      <c r="Y71" s="9">
        <v>162493.49</v>
      </c>
      <c r="Z71" s="9">
        <v>216787.65999999997</v>
      </c>
      <c r="AA71" s="9">
        <f t="shared" si="5"/>
        <v>794440.04</v>
      </c>
      <c r="AB71" s="7" t="e">
        <f>W71-#REF!</f>
        <v>#REF!</v>
      </c>
      <c r="AC71" s="12">
        <v>204</v>
      </c>
      <c r="AD71" s="12">
        <v>1</v>
      </c>
      <c r="AE71" s="12">
        <f t="shared" si="6"/>
        <v>0</v>
      </c>
      <c r="AF71" s="12">
        <f t="shared" si="7"/>
        <v>204</v>
      </c>
      <c r="AG71" s="13" t="s">
        <v>622</v>
      </c>
      <c r="AH71" s="13">
        <v>379281.14999999997</v>
      </c>
      <c r="AI71" s="13">
        <v>162493.49</v>
      </c>
      <c r="AJ71" s="13">
        <f t="shared" si="8"/>
        <v>216787.65999999997</v>
      </c>
    </row>
    <row r="72" spans="1:36" s="1" customFormat="1" x14ac:dyDescent="0.25">
      <c r="A72">
        <v>206</v>
      </c>
      <c r="B72">
        <v>1</v>
      </c>
      <c r="C72">
        <f t="shared" si="10"/>
        <v>1</v>
      </c>
      <c r="D72" s="1" t="s">
        <v>93</v>
      </c>
      <c r="E72" s="7">
        <v>337188.79000000004</v>
      </c>
      <c r="F72" s="7">
        <v>10267.019999999999</v>
      </c>
      <c r="G72" s="7">
        <v>-20634.799999999996</v>
      </c>
      <c r="H72" s="7">
        <v>104891.08000000007</v>
      </c>
      <c r="I72" s="7">
        <v>64483.229999999981</v>
      </c>
      <c r="J72" s="7">
        <v>32718.739999999991</v>
      </c>
      <c r="K72" s="7">
        <v>58621.119999999879</v>
      </c>
      <c r="L72" s="7">
        <v>49545</v>
      </c>
      <c r="M72" s="7">
        <v>46896.889999999898</v>
      </c>
      <c r="N72" s="7">
        <v>56414.350000000093</v>
      </c>
      <c r="O72" s="7">
        <v>60561.969999999972</v>
      </c>
      <c r="P72" s="7">
        <v>69533.25</v>
      </c>
      <c r="Q72" s="7">
        <v>46896.880000000121</v>
      </c>
      <c r="R72" s="7">
        <v>82149.280000000261</v>
      </c>
      <c r="S72" s="7">
        <v>58621.10999999987</v>
      </c>
      <c r="T72" s="7">
        <v>58753.239999999991</v>
      </c>
      <c r="U72" s="7">
        <v>58621.109999999986</v>
      </c>
      <c r="V72" s="7">
        <v>105.92000000000007</v>
      </c>
      <c r="W72" s="9">
        <f t="shared" ref="W72:W135" si="11">SUM(E72:V72)</f>
        <v>1175634.1800000002</v>
      </c>
      <c r="X72" s="9">
        <v>1669190.71</v>
      </c>
      <c r="Y72" s="9">
        <v>730993.39</v>
      </c>
      <c r="Z72" s="9">
        <v>938197.32</v>
      </c>
      <c r="AA72" s="9">
        <f t="shared" si="5"/>
        <v>2113831.5</v>
      </c>
      <c r="AB72" s="7" t="e">
        <f>W72-#REF!</f>
        <v>#REF!</v>
      </c>
      <c r="AC72" s="12">
        <v>206</v>
      </c>
      <c r="AD72" s="12">
        <v>1</v>
      </c>
      <c r="AE72" s="12">
        <f t="shared" si="6"/>
        <v>0</v>
      </c>
      <c r="AF72" s="12">
        <f t="shared" si="7"/>
        <v>206</v>
      </c>
      <c r="AG72" s="13" t="s">
        <v>623</v>
      </c>
      <c r="AH72" s="13">
        <v>1669190.71</v>
      </c>
      <c r="AI72" s="13">
        <v>730993.39</v>
      </c>
      <c r="AJ72" s="13">
        <f t="shared" si="8"/>
        <v>938197.32</v>
      </c>
    </row>
    <row r="73" spans="1:36" s="1" customFormat="1" x14ac:dyDescent="0.25">
      <c r="A73">
        <v>213</v>
      </c>
      <c r="B73">
        <v>1</v>
      </c>
      <c r="C73">
        <f t="shared" si="10"/>
        <v>1</v>
      </c>
      <c r="D73" s="1" t="s">
        <v>94</v>
      </c>
      <c r="E73" s="7">
        <v>85795.1</v>
      </c>
      <c r="F73" s="7">
        <v>12742.159999999989</v>
      </c>
      <c r="G73" s="7">
        <v>-14430.209999999992</v>
      </c>
      <c r="H73" s="7">
        <v>11047.75999999998</v>
      </c>
      <c r="I73" s="7">
        <v>13305.320000000007</v>
      </c>
      <c r="J73" s="7">
        <v>2804.320000000007</v>
      </c>
      <c r="K73" s="7">
        <v>12095.75</v>
      </c>
      <c r="L73" s="7">
        <v>11726.959999999992</v>
      </c>
      <c r="M73" s="7">
        <v>9676.5899999999965</v>
      </c>
      <c r="N73" s="7">
        <v>10846.299999999988</v>
      </c>
      <c r="O73" s="7">
        <v>12290.469999999972</v>
      </c>
      <c r="P73" s="7">
        <v>13041.190000000002</v>
      </c>
      <c r="Q73" s="7">
        <v>9676.6000000000058</v>
      </c>
      <c r="R73" s="7">
        <v>16981.77999999997</v>
      </c>
      <c r="S73" s="7">
        <v>12095.75</v>
      </c>
      <c r="T73" s="7">
        <v>12432.430000000022</v>
      </c>
      <c r="U73" s="7">
        <v>12095.75</v>
      </c>
      <c r="V73" s="7">
        <v>-4546.670000000001</v>
      </c>
      <c r="W73" s="9">
        <f t="shared" si="11"/>
        <v>239677.34999999992</v>
      </c>
      <c r="X73" s="9">
        <v>204911.52000000002</v>
      </c>
      <c r="Y73" s="9">
        <v>89410.22</v>
      </c>
      <c r="Z73" s="9">
        <v>115501.30000000002</v>
      </c>
      <c r="AA73" s="9">
        <f t="shared" ref="AA73:AA136" si="12">W73+Z73</f>
        <v>355178.64999999991</v>
      </c>
      <c r="AB73" s="7" t="e">
        <f>W73-#REF!</f>
        <v>#REF!</v>
      </c>
      <c r="AC73" s="12">
        <v>207</v>
      </c>
      <c r="AD73" s="12">
        <v>1</v>
      </c>
      <c r="AE73" s="12">
        <f t="shared" ref="AE73:AE136" si="13">SUMIF($AM$8:$AM$15,AC73,$AL$8:$AL$15)</f>
        <v>2908</v>
      </c>
      <c r="AF73" s="12">
        <f t="shared" ref="AF73:AF136" si="14">IF(AE73=0,AC73,AE73)</f>
        <v>2908</v>
      </c>
      <c r="AG73" s="13" t="s">
        <v>624</v>
      </c>
      <c r="AH73" s="13">
        <v>182639.69</v>
      </c>
      <c r="AI73" s="13">
        <v>86810.23000000001</v>
      </c>
      <c r="AJ73" s="13">
        <f t="shared" ref="AJ73:AJ136" si="15">AH73-AI73</f>
        <v>95829.459999999992</v>
      </c>
    </row>
    <row r="74" spans="1:36" s="1" customFormat="1" x14ac:dyDescent="0.25">
      <c r="A74">
        <v>227</v>
      </c>
      <c r="B74">
        <v>1</v>
      </c>
      <c r="C74">
        <f t="shared" si="10"/>
        <v>1</v>
      </c>
      <c r="D74" s="1" t="s">
        <v>95</v>
      </c>
      <c r="E74" s="7">
        <v>65500.669999999984</v>
      </c>
      <c r="F74" s="7">
        <v>9686.2899999999936</v>
      </c>
      <c r="G74" s="7">
        <v>6064.869999999999</v>
      </c>
      <c r="H74" s="7">
        <v>10305.900000000009</v>
      </c>
      <c r="I74" s="7">
        <v>13342.73000000004</v>
      </c>
      <c r="J74" s="7">
        <v>5322.4199999999837</v>
      </c>
      <c r="K74" s="7">
        <v>12129.75</v>
      </c>
      <c r="L74" s="7">
        <v>11813.989999999991</v>
      </c>
      <c r="M74" s="7">
        <v>9703.8099999999977</v>
      </c>
      <c r="N74" s="7">
        <v>10371.270000000019</v>
      </c>
      <c r="O74" s="7">
        <v>12228.460000000021</v>
      </c>
      <c r="P74" s="7">
        <v>13908.570000000007</v>
      </c>
      <c r="Q74" s="7">
        <v>9703.7999999999884</v>
      </c>
      <c r="R74" s="7">
        <v>16974.859999999986</v>
      </c>
      <c r="S74" s="7">
        <v>12129.75</v>
      </c>
      <c r="T74" s="7">
        <v>12305.369999999995</v>
      </c>
      <c r="U74" s="7">
        <v>12129.750000000015</v>
      </c>
      <c r="V74" s="7">
        <v>-2532.3000000000002</v>
      </c>
      <c r="W74" s="9">
        <f t="shared" si="11"/>
        <v>241089.96000000002</v>
      </c>
      <c r="X74" s="9">
        <v>312521.73</v>
      </c>
      <c r="Y74" s="9">
        <v>125074.23</v>
      </c>
      <c r="Z74" s="9">
        <v>187447.5</v>
      </c>
      <c r="AA74" s="9">
        <f t="shared" si="12"/>
        <v>428537.46</v>
      </c>
      <c r="AB74" s="7" t="e">
        <f>W74-#REF!</f>
        <v>#REF!</v>
      </c>
      <c r="AC74" s="12">
        <v>208</v>
      </c>
      <c r="AD74" s="12">
        <v>1</v>
      </c>
      <c r="AE74" s="12">
        <f t="shared" si="13"/>
        <v>2908</v>
      </c>
      <c r="AF74" s="12">
        <f t="shared" si="14"/>
        <v>2908</v>
      </c>
      <c r="AG74" s="13" t="s">
        <v>625</v>
      </c>
      <c r="AH74" s="13">
        <v>203983.64</v>
      </c>
      <c r="AI74" s="13">
        <v>96955.19</v>
      </c>
      <c r="AJ74" s="13">
        <f t="shared" si="15"/>
        <v>107028.45000000001</v>
      </c>
    </row>
    <row r="75" spans="1:36" s="1" customFormat="1" x14ac:dyDescent="0.25">
      <c r="A75">
        <v>229</v>
      </c>
      <c r="B75">
        <v>1</v>
      </c>
      <c r="C75">
        <f t="shared" si="10"/>
        <v>1</v>
      </c>
      <c r="D75" s="1" t="s">
        <v>96</v>
      </c>
      <c r="E75" s="7">
        <v>25020.499999999993</v>
      </c>
      <c r="F75" s="7">
        <v>3892.0400000000009</v>
      </c>
      <c r="G75" s="7">
        <v>2316.7100000000064</v>
      </c>
      <c r="H75" s="7">
        <v>3984.7400000000052</v>
      </c>
      <c r="I75" s="7">
        <v>5096.7600000000093</v>
      </c>
      <c r="J75" s="7">
        <v>1877.2299999999959</v>
      </c>
      <c r="K75" s="7">
        <v>4633.4199999999983</v>
      </c>
      <c r="L75" s="7">
        <v>4681.0199999999895</v>
      </c>
      <c r="M75" s="7">
        <v>3706.7400000000052</v>
      </c>
      <c r="N75" s="7">
        <v>3821.5399999999936</v>
      </c>
      <c r="O75" s="7">
        <v>4638.8899999999994</v>
      </c>
      <c r="P75" s="7">
        <v>5261.3399999999965</v>
      </c>
      <c r="Q75" s="7">
        <v>3706.75</v>
      </c>
      <c r="R75" s="7">
        <v>6325.5599999999977</v>
      </c>
      <c r="S75" s="7">
        <v>4633.429999999993</v>
      </c>
      <c r="T75" s="7">
        <v>4872.5800000000017</v>
      </c>
      <c r="U75" s="7">
        <v>4633.4300000000076</v>
      </c>
      <c r="V75" s="7">
        <v>38.980000000000018</v>
      </c>
      <c r="W75" s="9">
        <f t="shared" si="11"/>
        <v>93141.659999999989</v>
      </c>
      <c r="X75" s="9">
        <v>98769.63</v>
      </c>
      <c r="Y75" s="9">
        <v>39623.72</v>
      </c>
      <c r="Z75" s="9">
        <v>59145.91</v>
      </c>
      <c r="AA75" s="9">
        <f t="shared" si="12"/>
        <v>152287.57</v>
      </c>
      <c r="AB75" s="7" t="e">
        <f>W75-#REF!</f>
        <v>#REF!</v>
      </c>
      <c r="AC75" s="12">
        <v>213</v>
      </c>
      <c r="AD75" s="12">
        <v>1</v>
      </c>
      <c r="AE75" s="12">
        <f t="shared" si="13"/>
        <v>0</v>
      </c>
      <c r="AF75" s="12">
        <f t="shared" si="14"/>
        <v>213</v>
      </c>
      <c r="AG75" s="13" t="s">
        <v>626</v>
      </c>
      <c r="AH75" s="13">
        <v>204911.52000000002</v>
      </c>
      <c r="AI75" s="13">
        <v>89410.22</v>
      </c>
      <c r="AJ75" s="13">
        <f t="shared" si="15"/>
        <v>115501.30000000002</v>
      </c>
    </row>
    <row r="76" spans="1:36" s="1" customFormat="1" x14ac:dyDescent="0.25">
      <c r="A76">
        <v>238</v>
      </c>
      <c r="B76">
        <v>1</v>
      </c>
      <c r="C76">
        <f t="shared" si="10"/>
        <v>1</v>
      </c>
      <c r="D76" s="1" t="s">
        <v>97</v>
      </c>
      <c r="E76" s="7">
        <v>19568.120000000003</v>
      </c>
      <c r="F76" s="7">
        <v>1554.22</v>
      </c>
      <c r="G76" s="7">
        <v>0</v>
      </c>
      <c r="H76" s="7">
        <v>388.56000000000006</v>
      </c>
      <c r="I76" s="7">
        <v>10871.179999999993</v>
      </c>
      <c r="J76" s="7">
        <v>912.33000000000175</v>
      </c>
      <c r="K76" s="7">
        <v>3623.7299999999959</v>
      </c>
      <c r="L76" s="7">
        <v>4260.7400000000052</v>
      </c>
      <c r="M76" s="7">
        <v>2898.9799999999959</v>
      </c>
      <c r="N76" s="7">
        <v>2488.929999999993</v>
      </c>
      <c r="O76" s="7">
        <v>3637.3899999999994</v>
      </c>
      <c r="P76" s="7">
        <v>3930.8699999999953</v>
      </c>
      <c r="Q76" s="7">
        <v>2898.9700000000012</v>
      </c>
      <c r="R76" s="7">
        <v>4873.9499999999825</v>
      </c>
      <c r="S76" s="7">
        <v>10871.180000000008</v>
      </c>
      <c r="T76" s="7">
        <v>308.20000000000005</v>
      </c>
      <c r="U76" s="7">
        <v>0</v>
      </c>
      <c r="V76" s="7">
        <v>54.470000000000027</v>
      </c>
      <c r="W76" s="9">
        <f t="shared" si="11"/>
        <v>73141.819999999978</v>
      </c>
      <c r="X76" s="9">
        <v>156126.63999999998</v>
      </c>
      <c r="Y76" s="9">
        <v>45654.079999999994</v>
      </c>
      <c r="Z76" s="9">
        <v>110472.56</v>
      </c>
      <c r="AA76" s="9">
        <f t="shared" si="12"/>
        <v>183614.37999999998</v>
      </c>
      <c r="AB76" s="7" t="e">
        <f>W76-#REF!</f>
        <v>#REF!</v>
      </c>
      <c r="AC76" s="12">
        <v>227</v>
      </c>
      <c r="AD76" s="12">
        <v>1</v>
      </c>
      <c r="AE76" s="12">
        <f t="shared" si="13"/>
        <v>0</v>
      </c>
      <c r="AF76" s="12">
        <f t="shared" si="14"/>
        <v>227</v>
      </c>
      <c r="AG76" s="13" t="s">
        <v>627</v>
      </c>
      <c r="AH76" s="13">
        <v>312521.73</v>
      </c>
      <c r="AI76" s="13">
        <v>125074.23</v>
      </c>
      <c r="AJ76" s="13">
        <f t="shared" si="15"/>
        <v>187447.5</v>
      </c>
    </row>
    <row r="77" spans="1:36" s="1" customFormat="1" x14ac:dyDescent="0.25">
      <c r="A77">
        <v>239</v>
      </c>
      <c r="B77">
        <v>1</v>
      </c>
      <c r="C77">
        <f t="shared" ref="C77:C108" si="16">B77</f>
        <v>1</v>
      </c>
      <c r="D77" s="1" t="s">
        <v>98</v>
      </c>
      <c r="E77" s="7">
        <v>53174.979999999996</v>
      </c>
      <c r="F77" s="7">
        <v>0</v>
      </c>
      <c r="G77" s="7">
        <v>0</v>
      </c>
      <c r="H77" s="7">
        <v>18709.71</v>
      </c>
      <c r="I77" s="7">
        <v>10831.940000000002</v>
      </c>
      <c r="J77" s="7">
        <v>5908.3299999999872</v>
      </c>
      <c r="K77" s="7">
        <v>9847.2200000000303</v>
      </c>
      <c r="L77" s="7">
        <v>7877.7699999999895</v>
      </c>
      <c r="M77" s="7">
        <v>7877.7699999999895</v>
      </c>
      <c r="N77" s="7">
        <v>9847.2200000000303</v>
      </c>
      <c r="O77" s="7">
        <v>9855.4200000000419</v>
      </c>
      <c r="P77" s="7">
        <v>11816.659999999974</v>
      </c>
      <c r="Q77" s="7">
        <v>7877.7699999999895</v>
      </c>
      <c r="R77" s="7">
        <v>13786.110000000044</v>
      </c>
      <c r="S77" s="7">
        <v>9847.210000000021</v>
      </c>
      <c r="T77" s="7">
        <v>9847.23</v>
      </c>
      <c r="U77" s="7">
        <v>9847.2099999999991</v>
      </c>
      <c r="V77" s="7">
        <v>0</v>
      </c>
      <c r="W77" s="9">
        <f t="shared" si="11"/>
        <v>196952.5500000001</v>
      </c>
      <c r="X77" s="9">
        <v>438757.71</v>
      </c>
      <c r="Y77" s="9">
        <v>190029.69</v>
      </c>
      <c r="Z77" s="9">
        <v>248728.02000000002</v>
      </c>
      <c r="AA77" s="9">
        <f t="shared" si="12"/>
        <v>445680.57000000012</v>
      </c>
      <c r="AB77" s="7" t="e">
        <f>W77-#REF!</f>
        <v>#REF!</v>
      </c>
      <c r="AC77" s="12">
        <v>229</v>
      </c>
      <c r="AD77" s="12">
        <v>1</v>
      </c>
      <c r="AE77" s="12">
        <f t="shared" si="13"/>
        <v>0</v>
      </c>
      <c r="AF77" s="12">
        <f t="shared" si="14"/>
        <v>229</v>
      </c>
      <c r="AG77" s="13" t="s">
        <v>628</v>
      </c>
      <c r="AH77" s="13">
        <v>98769.63</v>
      </c>
      <c r="AI77" s="13">
        <v>39623.72</v>
      </c>
      <c r="AJ77" s="13">
        <f t="shared" si="15"/>
        <v>59145.91</v>
      </c>
    </row>
    <row r="78" spans="1:36" s="1" customFormat="1" x14ac:dyDescent="0.25">
      <c r="A78">
        <v>241</v>
      </c>
      <c r="B78">
        <v>1</v>
      </c>
      <c r="C78">
        <f t="shared" si="16"/>
        <v>1</v>
      </c>
      <c r="D78" s="1" t="s">
        <v>99</v>
      </c>
      <c r="E78" s="7">
        <v>310309.04000000004</v>
      </c>
      <c r="F78" s="7">
        <v>3465.5499999999997</v>
      </c>
      <c r="G78" s="7">
        <v>-888.08000000000038</v>
      </c>
      <c r="H78" s="7">
        <v>109736.71000000002</v>
      </c>
      <c r="I78" s="7">
        <v>63030.199999999953</v>
      </c>
      <c r="J78" s="7">
        <v>31566.369999999995</v>
      </c>
      <c r="K78" s="7">
        <v>57300.180000000168</v>
      </c>
      <c r="L78" s="7">
        <v>48876.560000000056</v>
      </c>
      <c r="M78" s="7">
        <v>45840.14000000013</v>
      </c>
      <c r="N78" s="7">
        <v>54769.820000000065</v>
      </c>
      <c r="O78" s="7">
        <v>57790.520000000019</v>
      </c>
      <c r="P78" s="7">
        <v>67829.059999999823</v>
      </c>
      <c r="Q78" s="7">
        <v>45840.139999999898</v>
      </c>
      <c r="R78" s="7">
        <v>79763.200000000186</v>
      </c>
      <c r="S78" s="7">
        <v>57300.180000000168</v>
      </c>
      <c r="T78" s="7">
        <v>58000.130000000005</v>
      </c>
      <c r="U78" s="7">
        <v>57300.179999999993</v>
      </c>
      <c r="V78" s="7">
        <v>-30531.719999999998</v>
      </c>
      <c r="W78" s="9">
        <f t="shared" si="11"/>
        <v>1117298.1800000006</v>
      </c>
      <c r="X78" s="9">
        <v>2096294.1400000001</v>
      </c>
      <c r="Y78" s="9">
        <v>904980.49</v>
      </c>
      <c r="Z78" s="9">
        <v>1191313.6500000001</v>
      </c>
      <c r="AA78" s="9">
        <f t="shared" si="12"/>
        <v>2308611.830000001</v>
      </c>
      <c r="AB78" s="7" t="e">
        <f>W78-#REF!</f>
        <v>#REF!</v>
      </c>
      <c r="AC78" s="12">
        <v>238</v>
      </c>
      <c r="AD78" s="12">
        <v>1</v>
      </c>
      <c r="AE78" s="12">
        <f t="shared" si="13"/>
        <v>0</v>
      </c>
      <c r="AF78" s="12">
        <f t="shared" si="14"/>
        <v>238</v>
      </c>
      <c r="AG78" s="13" t="s">
        <v>629</v>
      </c>
      <c r="AH78" s="13">
        <v>156126.63999999998</v>
      </c>
      <c r="AI78" s="13">
        <v>45654.079999999994</v>
      </c>
      <c r="AJ78" s="13">
        <f t="shared" si="15"/>
        <v>110472.56</v>
      </c>
    </row>
    <row r="79" spans="1:36" s="1" customFormat="1" x14ac:dyDescent="0.25">
      <c r="A79">
        <v>242</v>
      </c>
      <c r="B79">
        <v>1</v>
      </c>
      <c r="C79">
        <f t="shared" si="16"/>
        <v>1</v>
      </c>
      <c r="D79" s="1" t="s">
        <v>100</v>
      </c>
      <c r="E79" s="7">
        <v>43992.08</v>
      </c>
      <c r="F79" s="7">
        <v>6034.9400000000023</v>
      </c>
      <c r="G79" s="7">
        <v>4073.3400000000111</v>
      </c>
      <c r="H79" s="7">
        <v>6804.070000000007</v>
      </c>
      <c r="I79" s="7">
        <v>8961.3500000000058</v>
      </c>
      <c r="J79" s="7">
        <v>3956.8000000000029</v>
      </c>
      <c r="K79" s="7">
        <v>8146.679999999993</v>
      </c>
      <c r="L79" s="7">
        <v>7522.2399999999907</v>
      </c>
      <c r="M79" s="7">
        <v>6517.3399999999965</v>
      </c>
      <c r="N79" s="7">
        <v>7309.2800000000279</v>
      </c>
      <c r="O79" s="7">
        <v>8156.8299999999872</v>
      </c>
      <c r="P79" s="7">
        <v>9467.8500000000058</v>
      </c>
      <c r="Q79" s="7">
        <v>6517.3299999999872</v>
      </c>
      <c r="R79" s="7">
        <v>11230.359999999986</v>
      </c>
      <c r="S79" s="7">
        <v>8146.679999999993</v>
      </c>
      <c r="T79" s="7">
        <v>8402.0899999999965</v>
      </c>
      <c r="U79" s="7">
        <v>8146.679999999993</v>
      </c>
      <c r="V79" s="7">
        <v>40.199999999999932</v>
      </c>
      <c r="W79" s="9">
        <f t="shared" si="11"/>
        <v>163426.13999999998</v>
      </c>
      <c r="X79" s="9">
        <v>107283.48999999999</v>
      </c>
      <c r="Y79" s="9">
        <v>36762.97</v>
      </c>
      <c r="Z79" s="9">
        <v>70520.51999999999</v>
      </c>
      <c r="AA79" s="9">
        <f t="shared" si="12"/>
        <v>233946.65999999997</v>
      </c>
      <c r="AB79" s="7" t="e">
        <f>W79-#REF!</f>
        <v>#REF!</v>
      </c>
      <c r="AC79" s="12">
        <v>239</v>
      </c>
      <c r="AD79" s="12">
        <v>1</v>
      </c>
      <c r="AE79" s="12">
        <f t="shared" si="13"/>
        <v>0</v>
      </c>
      <c r="AF79" s="12">
        <f t="shared" si="14"/>
        <v>239</v>
      </c>
      <c r="AG79" s="13" t="s">
        <v>630</v>
      </c>
      <c r="AH79" s="13">
        <v>438757.71</v>
      </c>
      <c r="AI79" s="13">
        <v>190029.69</v>
      </c>
      <c r="AJ79" s="13">
        <f t="shared" si="15"/>
        <v>248728.02000000002</v>
      </c>
    </row>
    <row r="80" spans="1:36" s="1" customFormat="1" x14ac:dyDescent="0.25">
      <c r="A80">
        <v>252</v>
      </c>
      <c r="B80">
        <v>1</v>
      </c>
      <c r="C80">
        <f t="shared" si="16"/>
        <v>1</v>
      </c>
      <c r="D80" s="1" t="s">
        <v>101</v>
      </c>
      <c r="E80" s="7">
        <v>117654.45000000001</v>
      </c>
      <c r="F80" s="7">
        <v>2496</v>
      </c>
      <c r="G80" s="7">
        <v>-35105.279999999999</v>
      </c>
      <c r="H80" s="7">
        <v>29669.079999999987</v>
      </c>
      <c r="I80" s="7">
        <v>16815.559999999998</v>
      </c>
      <c r="J80" s="7">
        <v>7145.5799999999581</v>
      </c>
      <c r="K80" s="7">
        <v>15286.879999999946</v>
      </c>
      <c r="L80" s="7">
        <v>14416.440000000002</v>
      </c>
      <c r="M80" s="7">
        <v>12229.510000000009</v>
      </c>
      <c r="N80" s="7">
        <v>13464.429999999993</v>
      </c>
      <c r="O80" s="7">
        <v>15439.010000000009</v>
      </c>
      <c r="P80" s="7">
        <v>17673.630000000005</v>
      </c>
      <c r="Q80" s="7">
        <v>12229.510000000009</v>
      </c>
      <c r="R80" s="7">
        <v>21338.359999999986</v>
      </c>
      <c r="S80" s="7">
        <v>15286.869999999995</v>
      </c>
      <c r="T80" s="7">
        <v>15525.11</v>
      </c>
      <c r="U80" s="7">
        <v>15286.87999999999</v>
      </c>
      <c r="V80" s="7">
        <v>87.490000000000236</v>
      </c>
      <c r="W80" s="9">
        <f t="shared" si="11"/>
        <v>306939.50999999989</v>
      </c>
      <c r="X80" s="9">
        <v>627619.43000000005</v>
      </c>
      <c r="Y80" s="9">
        <v>290548.71999999997</v>
      </c>
      <c r="Z80" s="9">
        <v>337070.71000000008</v>
      </c>
      <c r="AA80" s="9">
        <f t="shared" si="12"/>
        <v>644010.22</v>
      </c>
      <c r="AB80" s="7" t="e">
        <f>W80-#REF!</f>
        <v>#REF!</v>
      </c>
      <c r="AC80" s="12">
        <v>241</v>
      </c>
      <c r="AD80" s="12">
        <v>1</v>
      </c>
      <c r="AE80" s="12">
        <f t="shared" si="13"/>
        <v>0</v>
      </c>
      <c r="AF80" s="12">
        <f t="shared" si="14"/>
        <v>241</v>
      </c>
      <c r="AG80" s="13" t="s">
        <v>631</v>
      </c>
      <c r="AH80" s="13">
        <v>2096294.1400000001</v>
      </c>
      <c r="AI80" s="13">
        <v>904980.49</v>
      </c>
      <c r="AJ80" s="13">
        <f t="shared" si="15"/>
        <v>1191313.6500000001</v>
      </c>
    </row>
    <row r="81" spans="1:36" s="1" customFormat="1" x14ac:dyDescent="0.25">
      <c r="A81">
        <v>253</v>
      </c>
      <c r="B81">
        <v>1</v>
      </c>
      <c r="C81">
        <f t="shared" si="16"/>
        <v>1</v>
      </c>
      <c r="D81" s="1" t="s">
        <v>102</v>
      </c>
      <c r="E81" s="7">
        <v>50900.06</v>
      </c>
      <c r="F81" s="7">
        <v>6240.6399999999994</v>
      </c>
      <c r="G81" s="7">
        <v>774.65000000000146</v>
      </c>
      <c r="H81" s="7">
        <v>7253.1200000000026</v>
      </c>
      <c r="I81" s="7">
        <v>9634.2600000000384</v>
      </c>
      <c r="J81" s="7">
        <v>4454.8699999999953</v>
      </c>
      <c r="K81" s="7">
        <v>8758.4200000000128</v>
      </c>
      <c r="L81" s="7">
        <v>7870.2799999999988</v>
      </c>
      <c r="M81" s="7">
        <v>7006.7399999999907</v>
      </c>
      <c r="N81" s="7">
        <v>8038.8099999999977</v>
      </c>
      <c r="O81" s="7">
        <v>9033.359999999986</v>
      </c>
      <c r="P81" s="7">
        <v>10245.320000000007</v>
      </c>
      <c r="Q81" s="7">
        <v>7006.7300000000105</v>
      </c>
      <c r="R81" s="7">
        <v>12277.760000000009</v>
      </c>
      <c r="S81" s="7">
        <v>8758.429999999993</v>
      </c>
      <c r="T81" s="7">
        <v>8811.5299999999988</v>
      </c>
      <c r="U81" s="7">
        <v>8758.4300000000076</v>
      </c>
      <c r="V81" s="7">
        <v>34.549999999999955</v>
      </c>
      <c r="W81" s="9">
        <f t="shared" si="11"/>
        <v>175857.96000000002</v>
      </c>
      <c r="X81" s="9">
        <v>211231.22999999998</v>
      </c>
      <c r="Y81" s="9">
        <v>83320.859999999986</v>
      </c>
      <c r="Z81" s="9">
        <v>127910.37</v>
      </c>
      <c r="AA81" s="9">
        <f t="shared" si="12"/>
        <v>303768.33</v>
      </c>
      <c r="AB81" s="7" t="e">
        <f>W81-#REF!</f>
        <v>#REF!</v>
      </c>
      <c r="AC81" s="12">
        <v>242</v>
      </c>
      <c r="AD81" s="12">
        <v>1</v>
      </c>
      <c r="AE81" s="12">
        <f t="shared" si="13"/>
        <v>0</v>
      </c>
      <c r="AF81" s="12">
        <f t="shared" si="14"/>
        <v>242</v>
      </c>
      <c r="AG81" s="13" t="s">
        <v>632</v>
      </c>
      <c r="AH81" s="13">
        <v>107283.48999999999</v>
      </c>
      <c r="AI81" s="13">
        <v>36762.97</v>
      </c>
      <c r="AJ81" s="13">
        <f t="shared" si="15"/>
        <v>70520.51999999999</v>
      </c>
    </row>
    <row r="82" spans="1:36" s="1" customFormat="1" x14ac:dyDescent="0.25">
      <c r="A82">
        <v>255</v>
      </c>
      <c r="B82">
        <v>1</v>
      </c>
      <c r="C82">
        <f t="shared" si="16"/>
        <v>1</v>
      </c>
      <c r="D82" s="1" t="s">
        <v>103</v>
      </c>
      <c r="E82" s="7">
        <v>98042.959999999992</v>
      </c>
      <c r="F82" s="7">
        <v>10537.210000000001</v>
      </c>
      <c r="G82" s="7">
        <v>-12694.32</v>
      </c>
      <c r="H82" s="7">
        <v>21177.849999999991</v>
      </c>
      <c r="I82" s="7">
        <v>17385.840000000026</v>
      </c>
      <c r="J82" s="7">
        <v>8388.7299999999814</v>
      </c>
      <c r="K82" s="7">
        <v>15805.299999999988</v>
      </c>
      <c r="L82" s="7">
        <v>13825.309999999998</v>
      </c>
      <c r="M82" s="7">
        <v>12644.240000000049</v>
      </c>
      <c r="N82" s="7">
        <v>14821.089999999967</v>
      </c>
      <c r="O82" s="7">
        <v>15828.880000000005</v>
      </c>
      <c r="P82" s="7">
        <v>18604.160000000033</v>
      </c>
      <c r="Q82" s="7">
        <v>12644.239999999991</v>
      </c>
      <c r="R82" s="7">
        <v>22062.730000000098</v>
      </c>
      <c r="S82" s="7">
        <v>15805.309999999998</v>
      </c>
      <c r="T82" s="7">
        <v>15964.48000000001</v>
      </c>
      <c r="U82" s="7">
        <v>15805.309999999998</v>
      </c>
      <c r="V82" s="7">
        <v>47.240000000000009</v>
      </c>
      <c r="W82" s="9">
        <f t="shared" si="11"/>
        <v>316696.56000000011</v>
      </c>
      <c r="X82" s="9">
        <v>561595.65</v>
      </c>
      <c r="Y82" s="9">
        <v>239548.68</v>
      </c>
      <c r="Z82" s="9">
        <v>322046.97000000003</v>
      </c>
      <c r="AA82" s="9">
        <f t="shared" si="12"/>
        <v>638743.53000000014</v>
      </c>
      <c r="AB82" s="7" t="e">
        <f>W82-#REF!</f>
        <v>#REF!</v>
      </c>
      <c r="AC82" s="12">
        <v>252</v>
      </c>
      <c r="AD82" s="12">
        <v>1</v>
      </c>
      <c r="AE82" s="12">
        <f t="shared" si="13"/>
        <v>0</v>
      </c>
      <c r="AF82" s="12">
        <f t="shared" si="14"/>
        <v>252</v>
      </c>
      <c r="AG82" s="13" t="s">
        <v>633</v>
      </c>
      <c r="AH82" s="13">
        <v>627619.43000000005</v>
      </c>
      <c r="AI82" s="13">
        <v>290548.71999999997</v>
      </c>
      <c r="AJ82" s="13">
        <f t="shared" si="15"/>
        <v>337070.71000000008</v>
      </c>
    </row>
    <row r="83" spans="1:36" s="1" customFormat="1" x14ac:dyDescent="0.25">
      <c r="A83">
        <v>256</v>
      </c>
      <c r="B83">
        <v>1</v>
      </c>
      <c r="C83">
        <f t="shared" si="16"/>
        <v>1</v>
      </c>
      <c r="D83" s="1" t="s">
        <v>104</v>
      </c>
      <c r="E83" s="7">
        <v>239030.63000000006</v>
      </c>
      <c r="F83" s="7">
        <v>2335.2800000000002</v>
      </c>
      <c r="G83" s="7">
        <v>-17082.48</v>
      </c>
      <c r="H83" s="7">
        <v>583.83000000000038</v>
      </c>
      <c r="I83" s="7">
        <v>123304.53000000003</v>
      </c>
      <c r="J83" s="7">
        <v>22764.480000000098</v>
      </c>
      <c r="K83" s="7">
        <v>41101.510000000009</v>
      </c>
      <c r="L83" s="7">
        <v>34926.569999999949</v>
      </c>
      <c r="M83" s="7">
        <v>32881.20000000007</v>
      </c>
      <c r="N83" s="7">
        <v>39397.040000000037</v>
      </c>
      <c r="O83" s="7">
        <v>41549.020000000019</v>
      </c>
      <c r="P83" s="7">
        <v>48694.560000000056</v>
      </c>
      <c r="Q83" s="7">
        <v>32881.220000000088</v>
      </c>
      <c r="R83" s="7">
        <v>57623.919999999925</v>
      </c>
      <c r="S83" s="7">
        <v>123304.53000000003</v>
      </c>
      <c r="T83" s="7">
        <v>81.820000000000164</v>
      </c>
      <c r="U83" s="7">
        <v>0</v>
      </c>
      <c r="V83" s="7">
        <v>81.809999999999945</v>
      </c>
      <c r="W83" s="9">
        <f t="shared" si="11"/>
        <v>823459.47000000032</v>
      </c>
      <c r="X83" s="9">
        <v>2282931.2699999996</v>
      </c>
      <c r="Y83" s="9">
        <v>858735.54</v>
      </c>
      <c r="Z83" s="9">
        <v>1424195.7299999995</v>
      </c>
      <c r="AA83" s="9">
        <f t="shared" si="12"/>
        <v>2247655.1999999997</v>
      </c>
      <c r="AB83" s="7" t="e">
        <f>W83-#REF!</f>
        <v>#REF!</v>
      </c>
      <c r="AC83" s="12">
        <v>253</v>
      </c>
      <c r="AD83" s="12">
        <v>1</v>
      </c>
      <c r="AE83" s="12">
        <f t="shared" si="13"/>
        <v>0</v>
      </c>
      <c r="AF83" s="12">
        <f t="shared" si="14"/>
        <v>253</v>
      </c>
      <c r="AG83" s="13" t="s">
        <v>634</v>
      </c>
      <c r="AH83" s="13">
        <v>211231.22999999998</v>
      </c>
      <c r="AI83" s="13">
        <v>83320.859999999986</v>
      </c>
      <c r="AJ83" s="13">
        <f t="shared" si="15"/>
        <v>127910.37</v>
      </c>
    </row>
    <row r="84" spans="1:36" s="1" customFormat="1" x14ac:dyDescent="0.25">
      <c r="A84">
        <v>261</v>
      </c>
      <c r="B84">
        <v>1</v>
      </c>
      <c r="C84">
        <f t="shared" si="16"/>
        <v>1</v>
      </c>
      <c r="D84" s="1" t="s">
        <v>105</v>
      </c>
      <c r="E84" s="7">
        <v>20333.739999999998</v>
      </c>
      <c r="F84" s="7">
        <v>1921.6399999999999</v>
      </c>
      <c r="G84" s="7">
        <v>0</v>
      </c>
      <c r="H84" s="7">
        <v>7634.87</v>
      </c>
      <c r="I84" s="7">
        <v>4142.0599999999977</v>
      </c>
      <c r="J84" s="7">
        <v>699.09999999999127</v>
      </c>
      <c r="K84" s="7">
        <v>3765.5100000000093</v>
      </c>
      <c r="L84" s="7">
        <v>3901.6700000000128</v>
      </c>
      <c r="M84" s="7">
        <v>3012.4099999999889</v>
      </c>
      <c r="N84" s="7">
        <v>3156.8399999999965</v>
      </c>
      <c r="O84" s="7">
        <v>3765.5</v>
      </c>
      <c r="P84" s="7">
        <v>4002.2900000000081</v>
      </c>
      <c r="Q84" s="7">
        <v>3012.4100000000035</v>
      </c>
      <c r="R84" s="7">
        <v>5309.6299999999756</v>
      </c>
      <c r="S84" s="7">
        <v>3765.5100000000093</v>
      </c>
      <c r="T84" s="7">
        <v>3862.2699999999995</v>
      </c>
      <c r="U84" s="7">
        <v>3765.510000000002</v>
      </c>
      <c r="V84" s="7">
        <v>67.340000000000146</v>
      </c>
      <c r="W84" s="9">
        <f t="shared" si="11"/>
        <v>76118.299999999988</v>
      </c>
      <c r="X84" s="9">
        <v>192524.58</v>
      </c>
      <c r="Y84" s="9">
        <v>91508.609999999986</v>
      </c>
      <c r="Z84" s="9">
        <v>101015.97</v>
      </c>
      <c r="AA84" s="9">
        <f t="shared" si="12"/>
        <v>177134.27</v>
      </c>
      <c r="AB84" s="7" t="e">
        <f>W84-#REF!</f>
        <v>#REF!</v>
      </c>
      <c r="AC84" s="12">
        <v>255</v>
      </c>
      <c r="AD84" s="12">
        <v>1</v>
      </c>
      <c r="AE84" s="12">
        <f t="shared" si="13"/>
        <v>0</v>
      </c>
      <c r="AF84" s="12">
        <f t="shared" si="14"/>
        <v>255</v>
      </c>
      <c r="AG84" s="13" t="s">
        <v>635</v>
      </c>
      <c r="AH84" s="13">
        <v>561595.65</v>
      </c>
      <c r="AI84" s="13">
        <v>239548.68</v>
      </c>
      <c r="AJ84" s="13">
        <f t="shared" si="15"/>
        <v>322046.97000000003</v>
      </c>
    </row>
    <row r="85" spans="1:36" s="1" customFormat="1" x14ac:dyDescent="0.25">
      <c r="A85">
        <v>264</v>
      </c>
      <c r="B85">
        <v>1</v>
      </c>
      <c r="C85">
        <f t="shared" si="16"/>
        <v>1</v>
      </c>
      <c r="D85" s="1" t="s">
        <v>106</v>
      </c>
      <c r="E85" s="7">
        <v>12593.119999999995</v>
      </c>
      <c r="F85" s="7">
        <v>1399.2399999999998</v>
      </c>
      <c r="G85" s="7">
        <v>1166.0300000000002</v>
      </c>
      <c r="H85" s="7">
        <v>1366.04</v>
      </c>
      <c r="I85" s="7">
        <v>3064.8699999999953</v>
      </c>
      <c r="J85" s="7">
        <v>1399.2299999999959</v>
      </c>
      <c r="K85" s="7">
        <v>2332.070000000007</v>
      </c>
      <c r="L85" s="7">
        <v>1865.6499999999942</v>
      </c>
      <c r="M85" s="7">
        <v>1865.6399999999994</v>
      </c>
      <c r="N85" s="7">
        <v>2332.0599999999977</v>
      </c>
      <c r="O85" s="7">
        <v>2332.0599999999977</v>
      </c>
      <c r="P85" s="7">
        <v>2798.4700000000012</v>
      </c>
      <c r="Q85" s="7">
        <v>1865.6500000000015</v>
      </c>
      <c r="R85" s="7">
        <v>3264.8799999999901</v>
      </c>
      <c r="S85" s="7">
        <v>2332.0599999999977</v>
      </c>
      <c r="T85" s="7">
        <v>2332.0599999999995</v>
      </c>
      <c r="U85" s="7">
        <v>2332.0600000000013</v>
      </c>
      <c r="V85" s="7">
        <v>0</v>
      </c>
      <c r="W85" s="9">
        <f t="shared" si="11"/>
        <v>46641.189999999973</v>
      </c>
      <c r="X85" s="9">
        <v>20303.87</v>
      </c>
      <c r="Y85" s="9">
        <v>9650.61</v>
      </c>
      <c r="Z85" s="9">
        <v>10653.259999999998</v>
      </c>
      <c r="AA85" s="9">
        <f t="shared" si="12"/>
        <v>57294.449999999968</v>
      </c>
      <c r="AB85" s="7" t="e">
        <f>W85-#REF!</f>
        <v>#REF!</v>
      </c>
      <c r="AC85" s="12">
        <v>256</v>
      </c>
      <c r="AD85" s="12">
        <v>1</v>
      </c>
      <c r="AE85" s="12">
        <f t="shared" si="13"/>
        <v>0</v>
      </c>
      <c r="AF85" s="12">
        <f t="shared" si="14"/>
        <v>256</v>
      </c>
      <c r="AG85" s="13" t="s">
        <v>636</v>
      </c>
      <c r="AH85" s="13">
        <v>2282931.2699999996</v>
      </c>
      <c r="AI85" s="13">
        <v>858735.54</v>
      </c>
      <c r="AJ85" s="13">
        <f t="shared" si="15"/>
        <v>1424195.7299999995</v>
      </c>
    </row>
    <row r="86" spans="1:36" s="1" customFormat="1" x14ac:dyDescent="0.25">
      <c r="A86">
        <v>270</v>
      </c>
      <c r="B86">
        <v>1</v>
      </c>
      <c r="C86">
        <f t="shared" si="16"/>
        <v>1</v>
      </c>
      <c r="D86" s="1" t="s">
        <v>107</v>
      </c>
      <c r="E86" s="7">
        <v>565723.14000000013</v>
      </c>
      <c r="F86" s="7">
        <v>20.630000000000003</v>
      </c>
      <c r="G86" s="7">
        <v>-8149.4400000000023</v>
      </c>
      <c r="H86" s="7">
        <v>5.1600000000034925</v>
      </c>
      <c r="I86" s="7">
        <v>0</v>
      </c>
      <c r="J86" s="7">
        <v>223076.36000000002</v>
      </c>
      <c r="K86" s="7">
        <v>251875.78000000026</v>
      </c>
      <c r="L86" s="7">
        <v>82618.979999999981</v>
      </c>
      <c r="M86" s="7">
        <v>82603.520000000019</v>
      </c>
      <c r="N86" s="7">
        <v>103241.47999999998</v>
      </c>
      <c r="O86" s="7">
        <v>122690.12999999989</v>
      </c>
      <c r="P86" s="7">
        <v>123900.50999999978</v>
      </c>
      <c r="Q86" s="7">
        <v>82603.510000000242</v>
      </c>
      <c r="R86" s="7">
        <v>424232.18999999994</v>
      </c>
      <c r="S86" s="7">
        <v>0</v>
      </c>
      <c r="T86" s="7">
        <v>0.62000000000000099</v>
      </c>
      <c r="U86" s="7">
        <v>0</v>
      </c>
      <c r="V86" s="7">
        <v>-40797.14</v>
      </c>
      <c r="W86" s="9">
        <f t="shared" si="11"/>
        <v>2013645.4300000004</v>
      </c>
      <c r="X86" s="9">
        <v>9992051.8300000001</v>
      </c>
      <c r="Y86" s="9">
        <v>3816045.3200000003</v>
      </c>
      <c r="Z86" s="9">
        <v>6176006.5099999998</v>
      </c>
      <c r="AA86" s="9">
        <f t="shared" si="12"/>
        <v>8189651.9400000004</v>
      </c>
      <c r="AB86" s="7" t="e">
        <f>W86-#REF!</f>
        <v>#REF!</v>
      </c>
      <c r="AC86" s="12">
        <v>261</v>
      </c>
      <c r="AD86" s="12">
        <v>1</v>
      </c>
      <c r="AE86" s="12">
        <f t="shared" si="13"/>
        <v>0</v>
      </c>
      <c r="AF86" s="12">
        <f t="shared" si="14"/>
        <v>261</v>
      </c>
      <c r="AG86" s="13" t="s">
        <v>637</v>
      </c>
      <c r="AH86" s="13">
        <v>192524.58</v>
      </c>
      <c r="AI86" s="13">
        <v>91508.609999999986</v>
      </c>
      <c r="AJ86" s="13">
        <f t="shared" si="15"/>
        <v>101015.97</v>
      </c>
    </row>
    <row r="87" spans="1:36" s="1" customFormat="1" x14ac:dyDescent="0.25">
      <c r="A87">
        <v>271</v>
      </c>
      <c r="B87">
        <v>1</v>
      </c>
      <c r="C87">
        <f t="shared" si="16"/>
        <v>1</v>
      </c>
      <c r="D87" s="1" t="s">
        <v>108</v>
      </c>
      <c r="E87" s="7">
        <v>829677.16999999993</v>
      </c>
      <c r="F87" s="7">
        <v>153082.43</v>
      </c>
      <c r="G87" s="7">
        <v>-3604.5599999999977</v>
      </c>
      <c r="H87" s="7">
        <v>38270.610000000015</v>
      </c>
      <c r="I87" s="7">
        <v>0</v>
      </c>
      <c r="J87" s="7">
        <v>588984.36999999988</v>
      </c>
      <c r="K87" s="7">
        <v>152976.40000000037</v>
      </c>
      <c r="L87" s="7">
        <v>160652.50999999978</v>
      </c>
      <c r="M87" s="7">
        <v>122381.12999999989</v>
      </c>
      <c r="N87" s="7">
        <v>191245.80999999959</v>
      </c>
      <c r="O87" s="7">
        <v>159880.26999999955</v>
      </c>
      <c r="P87" s="7">
        <v>-76925.290000000037</v>
      </c>
      <c r="Q87" s="7">
        <v>122381.12999999989</v>
      </c>
      <c r="R87" s="7">
        <v>650303.70000000019</v>
      </c>
      <c r="S87" s="7">
        <v>0</v>
      </c>
      <c r="T87" s="7">
        <v>32940.500000000015</v>
      </c>
      <c r="U87" s="7">
        <v>0</v>
      </c>
      <c r="V87" s="7">
        <v>-138084.90000000002</v>
      </c>
      <c r="W87" s="9">
        <f t="shared" si="11"/>
        <v>2984161.2799999989</v>
      </c>
      <c r="X87" s="9">
        <v>14298779.76</v>
      </c>
      <c r="Y87" s="9">
        <v>4896979.0999999996</v>
      </c>
      <c r="Z87" s="9">
        <v>9401800.6600000001</v>
      </c>
      <c r="AA87" s="9">
        <f t="shared" si="12"/>
        <v>12385961.939999999</v>
      </c>
      <c r="AB87" s="7" t="e">
        <f>W87-#REF!</f>
        <v>#REF!</v>
      </c>
      <c r="AC87" s="12">
        <v>264</v>
      </c>
      <c r="AD87" s="12">
        <v>1</v>
      </c>
      <c r="AE87" s="12">
        <f t="shared" si="13"/>
        <v>0</v>
      </c>
      <c r="AF87" s="12">
        <f t="shared" si="14"/>
        <v>264</v>
      </c>
      <c r="AG87" s="13" t="s">
        <v>638</v>
      </c>
      <c r="AH87" s="13">
        <v>20303.87</v>
      </c>
      <c r="AI87" s="13">
        <v>9650.61</v>
      </c>
      <c r="AJ87" s="13">
        <f t="shared" si="15"/>
        <v>10653.259999999998</v>
      </c>
    </row>
    <row r="88" spans="1:36" s="1" customFormat="1" x14ac:dyDescent="0.25">
      <c r="A88">
        <v>272</v>
      </c>
      <c r="B88">
        <v>1</v>
      </c>
      <c r="C88">
        <f t="shared" si="16"/>
        <v>1</v>
      </c>
      <c r="D88" s="1" t="s">
        <v>109</v>
      </c>
      <c r="E88" s="7">
        <v>701089.5</v>
      </c>
      <c r="F88" s="7">
        <v>11.25</v>
      </c>
      <c r="G88" s="7">
        <v>-18806.399999999998</v>
      </c>
      <c r="H88" s="7">
        <v>2.8100000000000023</v>
      </c>
      <c r="I88" s="7">
        <v>0</v>
      </c>
      <c r="J88" s="7">
        <v>454846.25999999978</v>
      </c>
      <c r="K88" s="7">
        <v>126348.73000000045</v>
      </c>
      <c r="L88" s="7">
        <v>101088.81000000006</v>
      </c>
      <c r="M88" s="7">
        <v>101078.97999999998</v>
      </c>
      <c r="N88" s="7">
        <v>126340.50999999978</v>
      </c>
      <c r="O88" s="7">
        <v>126408.83999999985</v>
      </c>
      <c r="P88" s="7">
        <v>151615.45000000019</v>
      </c>
      <c r="Q88" s="7">
        <v>101078.96999999974</v>
      </c>
      <c r="R88" s="7">
        <v>531879.55000000075</v>
      </c>
      <c r="S88" s="7">
        <v>0</v>
      </c>
      <c r="T88" s="7">
        <v>0.38999999999999879</v>
      </c>
      <c r="U88" s="7">
        <v>0</v>
      </c>
      <c r="V88" s="7">
        <v>0.40000000000000036</v>
      </c>
      <c r="W88" s="9">
        <f t="shared" si="11"/>
        <v>2502984.0500000007</v>
      </c>
      <c r="X88" s="9">
        <v>11380593.1</v>
      </c>
      <c r="Y88" s="9">
        <v>4109829.9000000004</v>
      </c>
      <c r="Z88" s="9">
        <v>7270763.1999999993</v>
      </c>
      <c r="AA88" s="9">
        <f t="shared" si="12"/>
        <v>9773747.25</v>
      </c>
      <c r="AB88" s="7" t="e">
        <f>W88-#REF!</f>
        <v>#REF!</v>
      </c>
      <c r="AC88" s="12">
        <v>270</v>
      </c>
      <c r="AD88" s="12">
        <v>1</v>
      </c>
      <c r="AE88" s="12">
        <f t="shared" si="13"/>
        <v>0</v>
      </c>
      <c r="AF88" s="12">
        <f t="shared" si="14"/>
        <v>270</v>
      </c>
      <c r="AG88" s="13" t="s">
        <v>639</v>
      </c>
      <c r="AH88" s="13">
        <v>9992051.8300000001</v>
      </c>
      <c r="AI88" s="13">
        <v>3816045.3200000003</v>
      </c>
      <c r="AJ88" s="13">
        <f t="shared" si="15"/>
        <v>6176006.5099999998</v>
      </c>
    </row>
    <row r="89" spans="1:36" s="1" customFormat="1" x14ac:dyDescent="0.25">
      <c r="A89">
        <v>273</v>
      </c>
      <c r="B89">
        <v>1</v>
      </c>
      <c r="C89">
        <f t="shared" si="16"/>
        <v>1</v>
      </c>
      <c r="D89" s="1" t="s">
        <v>110</v>
      </c>
      <c r="E89" s="7">
        <v>630443.35000000009</v>
      </c>
      <c r="F89" s="7">
        <v>0</v>
      </c>
      <c r="G89" s="7">
        <v>-8567.36</v>
      </c>
      <c r="H89" s="7">
        <v>0</v>
      </c>
      <c r="I89" s="7">
        <v>0</v>
      </c>
      <c r="J89" s="7">
        <v>0</v>
      </c>
      <c r="K89" s="7">
        <v>529746.2099999995</v>
      </c>
      <c r="L89" s="7">
        <v>92129.780000000261</v>
      </c>
      <c r="M89" s="7">
        <v>92129.780000000261</v>
      </c>
      <c r="N89" s="7">
        <v>115162.20999999996</v>
      </c>
      <c r="O89" s="7">
        <v>121152.52999999933</v>
      </c>
      <c r="P89" s="7">
        <v>138194.66999999993</v>
      </c>
      <c r="Q89" s="7">
        <v>92129.770000000019</v>
      </c>
      <c r="R89" s="7">
        <v>504439.81000000006</v>
      </c>
      <c r="S89" s="7">
        <v>0</v>
      </c>
      <c r="T89" s="7">
        <v>0</v>
      </c>
      <c r="U89" s="7">
        <v>0</v>
      </c>
      <c r="V89" s="7">
        <v>-77875.839999999997</v>
      </c>
      <c r="W89" s="9">
        <f t="shared" si="11"/>
        <v>2229084.9099999997</v>
      </c>
      <c r="X89" s="9">
        <v>12535783.039999999</v>
      </c>
      <c r="Y89" s="9">
        <v>4621990.1500000004</v>
      </c>
      <c r="Z89" s="9">
        <v>7913792.8899999987</v>
      </c>
      <c r="AA89" s="9">
        <f t="shared" si="12"/>
        <v>10142877.799999999</v>
      </c>
      <c r="AB89" s="7" t="e">
        <f>W89-#REF!</f>
        <v>#REF!</v>
      </c>
      <c r="AC89" s="12">
        <v>271</v>
      </c>
      <c r="AD89" s="12">
        <v>1</v>
      </c>
      <c r="AE89" s="12">
        <f t="shared" si="13"/>
        <v>0</v>
      </c>
      <c r="AF89" s="12">
        <f t="shared" si="14"/>
        <v>271</v>
      </c>
      <c r="AG89" s="13" t="s">
        <v>640</v>
      </c>
      <c r="AH89" s="13">
        <v>14298779.76</v>
      </c>
      <c r="AI89" s="13">
        <v>4896979.0999999996</v>
      </c>
      <c r="AJ89" s="13">
        <f t="shared" si="15"/>
        <v>9401800.6600000001</v>
      </c>
    </row>
    <row r="90" spans="1:36" s="1" customFormat="1" x14ac:dyDescent="0.25">
      <c r="A90">
        <v>276</v>
      </c>
      <c r="B90">
        <v>1</v>
      </c>
      <c r="C90">
        <f t="shared" si="16"/>
        <v>1</v>
      </c>
      <c r="D90" s="1" t="s">
        <v>111</v>
      </c>
      <c r="E90" s="7">
        <v>718438.29</v>
      </c>
      <c r="F90" s="7">
        <v>7.37</v>
      </c>
      <c r="G90" s="7">
        <v>-10709.2</v>
      </c>
      <c r="H90" s="7">
        <v>1.8600000000005821</v>
      </c>
      <c r="I90" s="7">
        <v>36268.26</v>
      </c>
      <c r="J90" s="7">
        <v>435544.89000000013</v>
      </c>
      <c r="K90" s="7">
        <v>131060.94999999925</v>
      </c>
      <c r="L90" s="7">
        <v>104854.70000000019</v>
      </c>
      <c r="M90" s="7">
        <v>104848.75</v>
      </c>
      <c r="N90" s="7">
        <v>131055.99000000022</v>
      </c>
      <c r="O90" s="7">
        <v>132885.44999999925</v>
      </c>
      <c r="P90" s="7">
        <v>157271.28999999911</v>
      </c>
      <c r="Q90" s="7">
        <v>104848.75</v>
      </c>
      <c r="R90" s="7">
        <v>540400.1400000006</v>
      </c>
      <c r="S90" s="7">
        <v>36268.269999999997</v>
      </c>
      <c r="T90" s="7">
        <v>0.22999999999999954</v>
      </c>
      <c r="U90" s="7">
        <v>0</v>
      </c>
      <c r="V90" s="7">
        <v>0.23000000000000043</v>
      </c>
      <c r="W90" s="9">
        <f t="shared" si="11"/>
        <v>2623046.2199999988</v>
      </c>
      <c r="X90" s="9">
        <v>10152301.890000001</v>
      </c>
      <c r="Y90" s="9">
        <v>3672340.29</v>
      </c>
      <c r="Z90" s="9">
        <v>6479961.6000000006</v>
      </c>
      <c r="AA90" s="9">
        <f t="shared" si="12"/>
        <v>9103007.8200000003</v>
      </c>
      <c r="AB90" s="7" t="e">
        <f>W90-#REF!</f>
        <v>#REF!</v>
      </c>
      <c r="AC90" s="12">
        <v>272</v>
      </c>
      <c r="AD90" s="12">
        <v>1</v>
      </c>
      <c r="AE90" s="12">
        <f t="shared" si="13"/>
        <v>0</v>
      </c>
      <c r="AF90" s="12">
        <f t="shared" si="14"/>
        <v>272</v>
      </c>
      <c r="AG90" s="13" t="s">
        <v>641</v>
      </c>
      <c r="AH90" s="13">
        <v>11380593.1</v>
      </c>
      <c r="AI90" s="13">
        <v>4109829.9000000004</v>
      </c>
      <c r="AJ90" s="13">
        <f t="shared" si="15"/>
        <v>7270763.1999999993</v>
      </c>
    </row>
    <row r="91" spans="1:36" s="1" customFormat="1" x14ac:dyDescent="0.25">
      <c r="A91">
        <v>277</v>
      </c>
      <c r="B91">
        <v>1</v>
      </c>
      <c r="C91">
        <f t="shared" si="16"/>
        <v>1</v>
      </c>
      <c r="D91" s="1" t="s">
        <v>112</v>
      </c>
      <c r="E91" s="7">
        <v>163307.74999999994</v>
      </c>
      <c r="F91" s="7">
        <v>52.52</v>
      </c>
      <c r="G91" s="7">
        <v>-3500.08</v>
      </c>
      <c r="H91" s="7">
        <v>13.130000000000109</v>
      </c>
      <c r="I91" s="7">
        <v>0</v>
      </c>
      <c r="J91" s="7">
        <v>106495.75</v>
      </c>
      <c r="K91" s="7">
        <v>29594.020000000019</v>
      </c>
      <c r="L91" s="7">
        <v>23721.099999999977</v>
      </c>
      <c r="M91" s="7">
        <v>23675.209999999963</v>
      </c>
      <c r="N91" s="7">
        <v>29555.770000000019</v>
      </c>
      <c r="O91" s="7">
        <v>30339.229999999981</v>
      </c>
      <c r="P91" s="7">
        <v>35498.739999999991</v>
      </c>
      <c r="Q91" s="7">
        <v>23675.209999999963</v>
      </c>
      <c r="R91" s="7">
        <v>130215.5</v>
      </c>
      <c r="S91" s="7">
        <v>0</v>
      </c>
      <c r="T91" s="7">
        <v>1.8299999999999983</v>
      </c>
      <c r="U91" s="7">
        <v>0</v>
      </c>
      <c r="V91" s="7">
        <v>1.8500000000000014</v>
      </c>
      <c r="W91" s="9">
        <f t="shared" si="11"/>
        <v>592647.5299999998</v>
      </c>
      <c r="X91" s="9">
        <v>2625873.7800000003</v>
      </c>
      <c r="Y91" s="9">
        <v>869247.49</v>
      </c>
      <c r="Z91" s="9">
        <v>1756626.2900000003</v>
      </c>
      <c r="AA91" s="9">
        <f t="shared" si="12"/>
        <v>2349273.8200000003</v>
      </c>
      <c r="AB91" s="7" t="e">
        <f>W91-#REF!</f>
        <v>#REF!</v>
      </c>
      <c r="AC91" s="12">
        <v>273</v>
      </c>
      <c r="AD91" s="12">
        <v>1</v>
      </c>
      <c r="AE91" s="12">
        <f t="shared" si="13"/>
        <v>0</v>
      </c>
      <c r="AF91" s="12">
        <f t="shared" si="14"/>
        <v>273</v>
      </c>
      <c r="AG91" s="13" t="s">
        <v>642</v>
      </c>
      <c r="AH91" s="13">
        <v>12535783.039999999</v>
      </c>
      <c r="AI91" s="13">
        <v>4621990.1500000004</v>
      </c>
      <c r="AJ91" s="13">
        <f t="shared" si="15"/>
        <v>7913792.8899999987</v>
      </c>
    </row>
    <row r="92" spans="1:36" s="1" customFormat="1" x14ac:dyDescent="0.25">
      <c r="A92">
        <v>278</v>
      </c>
      <c r="B92">
        <v>1</v>
      </c>
      <c r="C92">
        <f t="shared" si="16"/>
        <v>1</v>
      </c>
      <c r="D92" s="1" t="s">
        <v>113</v>
      </c>
      <c r="E92" s="7">
        <v>195363.34000000003</v>
      </c>
      <c r="F92" s="7">
        <v>192.56</v>
      </c>
      <c r="G92" s="7">
        <v>-3291.1200000000008</v>
      </c>
      <c r="H92" s="7">
        <v>48.130000000000109</v>
      </c>
      <c r="I92" s="7">
        <v>20515.900000000001</v>
      </c>
      <c r="J92" s="7">
        <v>107375.63</v>
      </c>
      <c r="K92" s="7">
        <v>35568.919999999925</v>
      </c>
      <c r="L92" s="7">
        <v>28623.320000000065</v>
      </c>
      <c r="M92" s="7">
        <v>28455.140000000014</v>
      </c>
      <c r="N92" s="7">
        <v>35428.800000000047</v>
      </c>
      <c r="O92" s="7">
        <v>37099.739999999991</v>
      </c>
      <c r="P92" s="7">
        <v>42631.130000000121</v>
      </c>
      <c r="Q92" s="7">
        <v>28455.150000000023</v>
      </c>
      <c r="R92" s="7">
        <v>135994.10000000009</v>
      </c>
      <c r="S92" s="7">
        <v>20515.91</v>
      </c>
      <c r="T92" s="7">
        <v>6.710000000000008</v>
      </c>
      <c r="U92" s="7">
        <v>0</v>
      </c>
      <c r="V92" s="7">
        <v>6.75</v>
      </c>
      <c r="W92" s="9">
        <f t="shared" si="11"/>
        <v>712990.11000000034</v>
      </c>
      <c r="X92" s="9">
        <v>3234518.36</v>
      </c>
      <c r="Y92" s="9">
        <v>1104876.06</v>
      </c>
      <c r="Z92" s="9">
        <v>2129642.2999999998</v>
      </c>
      <c r="AA92" s="9">
        <f t="shared" si="12"/>
        <v>2842632.41</v>
      </c>
      <c r="AB92" s="7" t="e">
        <f>W92-#REF!</f>
        <v>#REF!</v>
      </c>
      <c r="AC92" s="12">
        <v>276</v>
      </c>
      <c r="AD92" s="12">
        <v>1</v>
      </c>
      <c r="AE92" s="12">
        <f t="shared" si="13"/>
        <v>0</v>
      </c>
      <c r="AF92" s="12">
        <f t="shared" si="14"/>
        <v>276</v>
      </c>
      <c r="AG92" s="13" t="s">
        <v>643</v>
      </c>
      <c r="AH92" s="13">
        <v>10152301.890000001</v>
      </c>
      <c r="AI92" s="13">
        <v>3672340.29</v>
      </c>
      <c r="AJ92" s="13">
        <f t="shared" si="15"/>
        <v>6479961.6000000006</v>
      </c>
    </row>
    <row r="93" spans="1:36" s="1" customFormat="1" x14ac:dyDescent="0.25">
      <c r="A93">
        <v>279</v>
      </c>
      <c r="B93">
        <v>1</v>
      </c>
      <c r="C93">
        <f t="shared" si="16"/>
        <v>1</v>
      </c>
      <c r="D93" s="1" t="s">
        <v>114</v>
      </c>
      <c r="E93" s="7">
        <v>1732695.6600000001</v>
      </c>
      <c r="F93" s="7">
        <v>79.319999999999993</v>
      </c>
      <c r="G93" s="7">
        <v>-13164.48000000001</v>
      </c>
      <c r="H93" s="7">
        <v>19.839999999996508</v>
      </c>
      <c r="I93" s="7">
        <v>955295.10000000009</v>
      </c>
      <c r="J93" s="7">
        <v>190993.86000000034</v>
      </c>
      <c r="K93" s="7">
        <v>318431.68999999948</v>
      </c>
      <c r="L93" s="7">
        <v>254813.34999999963</v>
      </c>
      <c r="M93" s="7">
        <v>254745.3599999994</v>
      </c>
      <c r="N93" s="7">
        <v>318375.04999999888</v>
      </c>
      <c r="O93" s="7">
        <v>331795.81999999844</v>
      </c>
      <c r="P93" s="7">
        <v>382097.18999999948</v>
      </c>
      <c r="Q93" s="7">
        <v>254745.34999999963</v>
      </c>
      <c r="R93" s="7">
        <v>445807.1099999994</v>
      </c>
      <c r="S93" s="7">
        <v>955295.09999999963</v>
      </c>
      <c r="T93" s="7">
        <v>2.7199999999999989</v>
      </c>
      <c r="U93" s="7">
        <v>0</v>
      </c>
      <c r="V93" s="7">
        <v>-284670.54000000004</v>
      </c>
      <c r="W93" s="9">
        <f t="shared" si="11"/>
        <v>6097357.4999999944</v>
      </c>
      <c r="X93" s="9">
        <v>22142305.170000002</v>
      </c>
      <c r="Y93" s="9">
        <v>8603688.2599999998</v>
      </c>
      <c r="Z93" s="9">
        <v>13538616.910000002</v>
      </c>
      <c r="AA93" s="9">
        <f t="shared" si="12"/>
        <v>19635974.409999996</v>
      </c>
      <c r="AB93" s="7" t="e">
        <f>W93-#REF!</f>
        <v>#REF!</v>
      </c>
      <c r="AC93" s="12">
        <v>277</v>
      </c>
      <c r="AD93" s="12">
        <v>1</v>
      </c>
      <c r="AE93" s="12">
        <f t="shared" si="13"/>
        <v>0</v>
      </c>
      <c r="AF93" s="12">
        <f t="shared" si="14"/>
        <v>277</v>
      </c>
      <c r="AG93" s="13" t="s">
        <v>644</v>
      </c>
      <c r="AH93" s="13">
        <v>2625873.7800000003</v>
      </c>
      <c r="AI93" s="13">
        <v>869247.49</v>
      </c>
      <c r="AJ93" s="13">
        <f t="shared" si="15"/>
        <v>1756626.2900000003</v>
      </c>
    </row>
    <row r="94" spans="1:36" s="1" customFormat="1" x14ac:dyDescent="0.25">
      <c r="A94">
        <v>280</v>
      </c>
      <c r="B94">
        <v>1</v>
      </c>
      <c r="C94">
        <f t="shared" si="16"/>
        <v>1</v>
      </c>
      <c r="D94" s="1" t="s">
        <v>115</v>
      </c>
      <c r="E94" s="7">
        <v>396788.85000000009</v>
      </c>
      <c r="F94" s="7">
        <v>7.66</v>
      </c>
      <c r="G94" s="7">
        <v>-4753.8399999999965</v>
      </c>
      <c r="H94" s="7">
        <v>1.9200000000018917</v>
      </c>
      <c r="I94" s="7">
        <v>217797.2300000001</v>
      </c>
      <c r="J94" s="7">
        <v>43552.75</v>
      </c>
      <c r="K94" s="7">
        <v>72599.070000000298</v>
      </c>
      <c r="L94" s="7">
        <v>58085.010000000009</v>
      </c>
      <c r="M94" s="7">
        <v>58079.260000000009</v>
      </c>
      <c r="N94" s="7">
        <v>72594.280000000261</v>
      </c>
      <c r="O94" s="7">
        <v>82564.040000000037</v>
      </c>
      <c r="P94" s="7">
        <v>87117.129999999888</v>
      </c>
      <c r="Q94" s="7">
        <v>58079.270000000019</v>
      </c>
      <c r="R94" s="7">
        <v>101638.91999999993</v>
      </c>
      <c r="S94" s="7">
        <v>217797.22999999998</v>
      </c>
      <c r="T94" s="7">
        <v>0.24000000000000021</v>
      </c>
      <c r="U94" s="7">
        <v>0</v>
      </c>
      <c r="V94" s="7">
        <v>-60429.47</v>
      </c>
      <c r="W94" s="9">
        <f t="shared" si="11"/>
        <v>1401519.5500000005</v>
      </c>
      <c r="X94" s="9">
        <v>4392153.46</v>
      </c>
      <c r="Y94" s="9">
        <v>1778024.17</v>
      </c>
      <c r="Z94" s="9">
        <v>2614129.29</v>
      </c>
      <c r="AA94" s="9">
        <f t="shared" si="12"/>
        <v>4015648.8400000008</v>
      </c>
      <c r="AB94" s="7" t="e">
        <f>W94-#REF!</f>
        <v>#REF!</v>
      </c>
      <c r="AC94" s="12">
        <v>278</v>
      </c>
      <c r="AD94" s="12">
        <v>1</v>
      </c>
      <c r="AE94" s="12">
        <f t="shared" si="13"/>
        <v>0</v>
      </c>
      <c r="AF94" s="12">
        <f t="shared" si="14"/>
        <v>278</v>
      </c>
      <c r="AG94" s="13" t="s">
        <v>645</v>
      </c>
      <c r="AH94" s="13">
        <v>3234518.36</v>
      </c>
      <c r="AI94" s="13">
        <v>1104876.06</v>
      </c>
      <c r="AJ94" s="13">
        <f t="shared" si="15"/>
        <v>2129642.2999999998</v>
      </c>
    </row>
    <row r="95" spans="1:36" s="1" customFormat="1" x14ac:dyDescent="0.25">
      <c r="A95">
        <v>281</v>
      </c>
      <c r="B95">
        <v>1</v>
      </c>
      <c r="C95">
        <f t="shared" si="16"/>
        <v>1</v>
      </c>
      <c r="D95" s="1" t="s">
        <v>116</v>
      </c>
      <c r="E95" s="7">
        <v>1012597</v>
      </c>
      <c r="F95" s="7">
        <v>90012.19</v>
      </c>
      <c r="G95" s="7">
        <v>-20656.839999999997</v>
      </c>
      <c r="H95" s="7">
        <v>22503.050000000003</v>
      </c>
      <c r="I95" s="7">
        <v>556865.54000000015</v>
      </c>
      <c r="J95" s="7">
        <v>133862.68999999994</v>
      </c>
      <c r="K95" s="7">
        <v>185621.84999999963</v>
      </c>
      <c r="L95" s="7">
        <v>171007.13999999966</v>
      </c>
      <c r="M95" s="7">
        <v>148497.46999999974</v>
      </c>
      <c r="N95" s="7">
        <v>201168.58000000007</v>
      </c>
      <c r="O95" s="7">
        <v>189557.97999999952</v>
      </c>
      <c r="P95" s="7">
        <v>48707.910000000149</v>
      </c>
      <c r="Q95" s="7">
        <v>154167.49000000022</v>
      </c>
      <c r="R95" s="7">
        <v>262570.98000000045</v>
      </c>
      <c r="S95" s="7">
        <v>556865.53</v>
      </c>
      <c r="T95" s="7">
        <v>2700.3799999999974</v>
      </c>
      <c r="U95" s="7">
        <v>0</v>
      </c>
      <c r="V95" s="7">
        <v>-175262.53</v>
      </c>
      <c r="W95" s="9">
        <f t="shared" si="11"/>
        <v>3540786.4099999997</v>
      </c>
      <c r="X95" s="9">
        <v>12769732.770000001</v>
      </c>
      <c r="Y95" s="9">
        <v>4289708.38</v>
      </c>
      <c r="Z95" s="9">
        <v>8480024.3900000006</v>
      </c>
      <c r="AA95" s="9">
        <f t="shared" si="12"/>
        <v>12020810.800000001</v>
      </c>
      <c r="AB95" s="7" t="e">
        <f>W95-#REF!</f>
        <v>#REF!</v>
      </c>
      <c r="AC95" s="12">
        <v>279</v>
      </c>
      <c r="AD95" s="12">
        <v>1</v>
      </c>
      <c r="AE95" s="12">
        <f t="shared" si="13"/>
        <v>0</v>
      </c>
      <c r="AF95" s="12">
        <f t="shared" si="14"/>
        <v>279</v>
      </c>
      <c r="AG95" s="13" t="s">
        <v>646</v>
      </c>
      <c r="AH95" s="13">
        <v>22142305.170000002</v>
      </c>
      <c r="AI95" s="13">
        <v>8603688.2599999998</v>
      </c>
      <c r="AJ95" s="13">
        <f t="shared" si="15"/>
        <v>13538616.910000002</v>
      </c>
    </row>
    <row r="96" spans="1:36" s="1" customFormat="1" x14ac:dyDescent="0.25">
      <c r="A96">
        <v>282</v>
      </c>
      <c r="B96">
        <v>1</v>
      </c>
      <c r="C96">
        <f t="shared" si="16"/>
        <v>1</v>
      </c>
      <c r="D96" s="1" t="s">
        <v>117</v>
      </c>
      <c r="E96" s="7">
        <v>141186.70000000001</v>
      </c>
      <c r="F96" s="7">
        <v>1.46</v>
      </c>
      <c r="G96" s="7">
        <v>-10709.2</v>
      </c>
      <c r="H96" s="7">
        <v>0.34999999999990905</v>
      </c>
      <c r="I96" s="7">
        <v>72487.510000000009</v>
      </c>
      <c r="J96" s="7">
        <v>14496.22000000003</v>
      </c>
      <c r="K96" s="7">
        <v>24162.510000000009</v>
      </c>
      <c r="L96" s="7">
        <v>19331.100000000093</v>
      </c>
      <c r="M96" s="7">
        <v>19330</v>
      </c>
      <c r="N96" s="7">
        <v>24161.589999999967</v>
      </c>
      <c r="O96" s="7">
        <v>24873.020000000019</v>
      </c>
      <c r="P96" s="7">
        <v>28994.679999999935</v>
      </c>
      <c r="Q96" s="7">
        <v>19329.989999999991</v>
      </c>
      <c r="R96" s="7">
        <v>33827.549999999814</v>
      </c>
      <c r="S96" s="7">
        <v>72487.510000000009</v>
      </c>
      <c r="T96" s="7">
        <v>3.0000000000000027E-2</v>
      </c>
      <c r="U96" s="7">
        <v>0</v>
      </c>
      <c r="V96" s="7">
        <v>-17335.68</v>
      </c>
      <c r="W96" s="9">
        <f t="shared" si="11"/>
        <v>466625.33999999991</v>
      </c>
      <c r="X96" s="9">
        <v>1677969.3399999999</v>
      </c>
      <c r="Y96" s="9">
        <v>647800.85</v>
      </c>
      <c r="Z96" s="9">
        <v>1030168.4899999999</v>
      </c>
      <c r="AA96" s="9">
        <f t="shared" si="12"/>
        <v>1496793.8299999998</v>
      </c>
      <c r="AB96" s="7" t="e">
        <f>W96-#REF!</f>
        <v>#REF!</v>
      </c>
      <c r="AC96" s="12">
        <v>280</v>
      </c>
      <c r="AD96" s="12">
        <v>1</v>
      </c>
      <c r="AE96" s="12">
        <f t="shared" si="13"/>
        <v>0</v>
      </c>
      <c r="AF96" s="12">
        <f t="shared" si="14"/>
        <v>280</v>
      </c>
      <c r="AG96" s="13" t="s">
        <v>647</v>
      </c>
      <c r="AH96" s="13">
        <v>4392153.46</v>
      </c>
      <c r="AI96" s="13">
        <v>1778024.17</v>
      </c>
      <c r="AJ96" s="13">
        <f t="shared" si="15"/>
        <v>2614129.29</v>
      </c>
    </row>
    <row r="97" spans="1:36" s="1" customFormat="1" x14ac:dyDescent="0.25">
      <c r="A97">
        <v>283</v>
      </c>
      <c r="B97">
        <v>1</v>
      </c>
      <c r="C97">
        <f t="shared" si="16"/>
        <v>1</v>
      </c>
      <c r="D97" s="1" t="s">
        <v>118</v>
      </c>
      <c r="E97" s="7">
        <v>343863.56000000006</v>
      </c>
      <c r="F97" s="7">
        <v>1.69</v>
      </c>
      <c r="G97" s="7">
        <v>-6477.7599999999802</v>
      </c>
      <c r="H97" s="7">
        <v>0.41999999999825377</v>
      </c>
      <c r="I97" s="7">
        <v>0</v>
      </c>
      <c r="J97" s="7">
        <v>224922.39</v>
      </c>
      <c r="K97" s="7">
        <v>62478.849999999627</v>
      </c>
      <c r="L97" s="7">
        <v>49984.360000000102</v>
      </c>
      <c r="M97" s="7">
        <v>49983.080000000075</v>
      </c>
      <c r="N97" s="7">
        <v>62477.799999999814</v>
      </c>
      <c r="O97" s="7">
        <v>83768.979999999981</v>
      </c>
      <c r="P97" s="7">
        <v>74974.209999999963</v>
      </c>
      <c r="Q97" s="7">
        <v>49983.090000000084</v>
      </c>
      <c r="R97" s="7">
        <v>274907</v>
      </c>
      <c r="S97" s="7">
        <v>0</v>
      </c>
      <c r="T97" s="7">
        <v>5.0000000000000044E-2</v>
      </c>
      <c r="U97" s="7">
        <v>0</v>
      </c>
      <c r="V97" s="7">
        <v>-62610.96</v>
      </c>
      <c r="W97" s="9">
        <f t="shared" si="11"/>
        <v>1208256.7599999998</v>
      </c>
      <c r="X97" s="9">
        <v>5728596.4700000007</v>
      </c>
      <c r="Y97" s="9">
        <v>1728113.72</v>
      </c>
      <c r="Z97" s="9">
        <v>4000482.7500000009</v>
      </c>
      <c r="AA97" s="9">
        <f t="shared" si="12"/>
        <v>5208739.5100000007</v>
      </c>
      <c r="AB97" s="7" t="e">
        <f>W97-#REF!</f>
        <v>#REF!</v>
      </c>
      <c r="AC97" s="12">
        <v>281</v>
      </c>
      <c r="AD97" s="12">
        <v>1</v>
      </c>
      <c r="AE97" s="12">
        <f t="shared" si="13"/>
        <v>0</v>
      </c>
      <c r="AF97" s="12">
        <f t="shared" si="14"/>
        <v>281</v>
      </c>
      <c r="AG97" s="13" t="s">
        <v>648</v>
      </c>
      <c r="AH97" s="13">
        <v>12769732.770000001</v>
      </c>
      <c r="AI97" s="13">
        <v>4289708.38</v>
      </c>
      <c r="AJ97" s="13">
        <f t="shared" si="15"/>
        <v>8480024.3900000006</v>
      </c>
    </row>
    <row r="98" spans="1:36" s="1" customFormat="1" x14ac:dyDescent="0.25">
      <c r="A98">
        <v>284</v>
      </c>
      <c r="B98">
        <v>1</v>
      </c>
      <c r="C98">
        <f t="shared" si="16"/>
        <v>1</v>
      </c>
      <c r="D98" s="1" t="s">
        <v>119</v>
      </c>
      <c r="E98" s="7">
        <v>788366.81</v>
      </c>
      <c r="F98" s="7">
        <v>53.620000000000005</v>
      </c>
      <c r="G98" s="7">
        <v>-13007.760000000009</v>
      </c>
      <c r="H98" s="7">
        <v>13.409999999999854</v>
      </c>
      <c r="I98" s="7">
        <v>0</v>
      </c>
      <c r="J98" s="7">
        <v>516862.01999999996</v>
      </c>
      <c r="K98" s="7">
        <v>143585.01000000071</v>
      </c>
      <c r="L98" s="7">
        <v>114914.02000000048</v>
      </c>
      <c r="M98" s="7">
        <v>114868.00999999978</v>
      </c>
      <c r="N98" s="7">
        <v>143546.63999999966</v>
      </c>
      <c r="O98" s="7">
        <v>154994.93999999948</v>
      </c>
      <c r="P98" s="7">
        <v>172287.88999999966</v>
      </c>
      <c r="Q98" s="7">
        <v>114868.01000000071</v>
      </c>
      <c r="R98" s="7">
        <v>623704.97999999952</v>
      </c>
      <c r="S98" s="7">
        <v>0</v>
      </c>
      <c r="T98" s="7">
        <v>1.8200000000000003</v>
      </c>
      <c r="U98" s="7">
        <v>0</v>
      </c>
      <c r="V98" s="7">
        <v>-128450.4</v>
      </c>
      <c r="W98" s="9">
        <f t="shared" si="11"/>
        <v>2746609.02</v>
      </c>
      <c r="X98" s="9">
        <v>15317655.700000001</v>
      </c>
      <c r="Y98" s="9">
        <v>5412460.959999999</v>
      </c>
      <c r="Z98" s="9">
        <v>9905194.7400000021</v>
      </c>
      <c r="AA98" s="9">
        <f t="shared" si="12"/>
        <v>12651803.760000002</v>
      </c>
      <c r="AB98" s="7" t="e">
        <f>W98-#REF!</f>
        <v>#REF!</v>
      </c>
      <c r="AC98" s="12">
        <v>282</v>
      </c>
      <c r="AD98" s="12">
        <v>1</v>
      </c>
      <c r="AE98" s="12">
        <f t="shared" si="13"/>
        <v>0</v>
      </c>
      <c r="AF98" s="12">
        <f t="shared" si="14"/>
        <v>282</v>
      </c>
      <c r="AG98" s="13" t="s">
        <v>649</v>
      </c>
      <c r="AH98" s="13">
        <v>1677969.3399999999</v>
      </c>
      <c r="AI98" s="13">
        <v>647800.85</v>
      </c>
      <c r="AJ98" s="13">
        <f t="shared" si="15"/>
        <v>1030168.4899999999</v>
      </c>
    </row>
    <row r="99" spans="1:36" s="1" customFormat="1" x14ac:dyDescent="0.25">
      <c r="A99">
        <v>286</v>
      </c>
      <c r="B99">
        <v>1</v>
      </c>
      <c r="C99">
        <f t="shared" si="16"/>
        <v>1</v>
      </c>
      <c r="D99" s="1" t="s">
        <v>120</v>
      </c>
      <c r="E99" s="7">
        <v>209951.00999999995</v>
      </c>
      <c r="F99" s="7">
        <v>43342.579999999987</v>
      </c>
      <c r="G99" s="7">
        <v>18812.050000000003</v>
      </c>
      <c r="H99" s="7">
        <v>36038.369999999995</v>
      </c>
      <c r="I99" s="7">
        <v>42650.739999999991</v>
      </c>
      <c r="J99" s="7">
        <v>6961.9499999999534</v>
      </c>
      <c r="K99" s="7">
        <v>38773.400000000023</v>
      </c>
      <c r="L99" s="7">
        <v>32191.530000000028</v>
      </c>
      <c r="M99" s="7">
        <v>31018.719999999972</v>
      </c>
      <c r="N99" s="7">
        <v>40532.619999999995</v>
      </c>
      <c r="O99" s="7">
        <v>38773.410000000149</v>
      </c>
      <c r="P99" s="7">
        <v>41133.15000000014</v>
      </c>
      <c r="Q99" s="7">
        <v>31018.719999999972</v>
      </c>
      <c r="R99" s="7">
        <v>54986.449999999953</v>
      </c>
      <c r="S99" s="7">
        <v>38773.400000000023</v>
      </c>
      <c r="T99" s="7">
        <v>39477.099999999977</v>
      </c>
      <c r="U99" s="7">
        <v>38773.400000000023</v>
      </c>
      <c r="V99" s="7">
        <v>-30693.280000000002</v>
      </c>
      <c r="W99" s="9">
        <f t="shared" si="11"/>
        <v>752515.32000000018</v>
      </c>
      <c r="X99" s="9">
        <v>964914.46000000008</v>
      </c>
      <c r="Y99" s="9">
        <v>458632.18000000005</v>
      </c>
      <c r="Z99" s="9">
        <v>506282.28</v>
      </c>
      <c r="AA99" s="9">
        <f t="shared" si="12"/>
        <v>1258797.6000000001</v>
      </c>
      <c r="AB99" s="7" t="e">
        <f>W99-#REF!</f>
        <v>#REF!</v>
      </c>
      <c r="AC99" s="12">
        <v>283</v>
      </c>
      <c r="AD99" s="12">
        <v>1</v>
      </c>
      <c r="AE99" s="12">
        <f t="shared" si="13"/>
        <v>0</v>
      </c>
      <c r="AF99" s="12">
        <f t="shared" si="14"/>
        <v>283</v>
      </c>
      <c r="AG99" s="13" t="s">
        <v>650</v>
      </c>
      <c r="AH99" s="13">
        <v>5728596.4700000007</v>
      </c>
      <c r="AI99" s="13">
        <v>1728113.72</v>
      </c>
      <c r="AJ99" s="13">
        <f t="shared" si="15"/>
        <v>4000482.7500000009</v>
      </c>
    </row>
    <row r="100" spans="1:36" s="1" customFormat="1" x14ac:dyDescent="0.25">
      <c r="A100">
        <v>294</v>
      </c>
      <c r="B100">
        <v>1</v>
      </c>
      <c r="C100">
        <f t="shared" si="16"/>
        <v>1</v>
      </c>
      <c r="D100" s="1" t="s">
        <v>122</v>
      </c>
      <c r="E100" s="7">
        <v>178841.63999999996</v>
      </c>
      <c r="F100" s="7">
        <v>20477.149999999965</v>
      </c>
      <c r="G100" s="7">
        <v>15532.010000000009</v>
      </c>
      <c r="H100" s="7">
        <v>26533.330000000075</v>
      </c>
      <c r="I100" s="7">
        <v>36239.160000000033</v>
      </c>
      <c r="J100" s="7">
        <v>19190.110000000044</v>
      </c>
      <c r="K100" s="7">
        <v>32944.699999999953</v>
      </c>
      <c r="L100" s="7">
        <v>26978.099999999977</v>
      </c>
      <c r="M100" s="7">
        <v>26355.75</v>
      </c>
      <c r="N100" s="7">
        <v>32426.059999999939</v>
      </c>
      <c r="O100" s="7">
        <v>32944.689999999944</v>
      </c>
      <c r="P100" s="7">
        <v>39342.770000000019</v>
      </c>
      <c r="Q100" s="7">
        <v>26355.75</v>
      </c>
      <c r="R100" s="7">
        <v>45993.159999999916</v>
      </c>
      <c r="S100" s="7">
        <v>32944.689999999944</v>
      </c>
      <c r="T100" s="7">
        <v>33123.890000000014</v>
      </c>
      <c r="U100" s="7">
        <v>32944.689999999944</v>
      </c>
      <c r="V100" s="7">
        <v>24.889999999999986</v>
      </c>
      <c r="W100" s="9">
        <f t="shared" si="11"/>
        <v>659192.5399999998</v>
      </c>
      <c r="X100" s="9">
        <v>433287.5</v>
      </c>
      <c r="Y100" s="9">
        <v>189372.11000000002</v>
      </c>
      <c r="Z100" s="9">
        <v>243915.38999999998</v>
      </c>
      <c r="AA100" s="9">
        <f t="shared" si="12"/>
        <v>903107.92999999982</v>
      </c>
      <c r="AB100" s="7" t="e">
        <f>W100-#REF!</f>
        <v>#REF!</v>
      </c>
      <c r="AC100" s="12">
        <v>284</v>
      </c>
      <c r="AD100" s="12">
        <v>1</v>
      </c>
      <c r="AE100" s="12">
        <f t="shared" si="13"/>
        <v>0</v>
      </c>
      <c r="AF100" s="12">
        <f t="shared" si="14"/>
        <v>284</v>
      </c>
      <c r="AG100" s="13" t="s">
        <v>651</v>
      </c>
      <c r="AH100" s="13">
        <v>15317655.700000001</v>
      </c>
      <c r="AI100" s="13">
        <v>5412460.959999999</v>
      </c>
      <c r="AJ100" s="13">
        <f t="shared" si="15"/>
        <v>9905194.7400000021</v>
      </c>
    </row>
    <row r="101" spans="1:36" s="1" customFormat="1" x14ac:dyDescent="0.25">
      <c r="A101">
        <v>297</v>
      </c>
      <c r="B101">
        <v>1</v>
      </c>
      <c r="C101">
        <f t="shared" si="16"/>
        <v>1</v>
      </c>
      <c r="D101" s="1" t="s">
        <v>123</v>
      </c>
      <c r="E101" s="7">
        <v>28974.439999999995</v>
      </c>
      <c r="F101" s="7">
        <v>0</v>
      </c>
      <c r="G101" s="7">
        <v>-1828.4</v>
      </c>
      <c r="H101" s="7">
        <v>9551.380000000001</v>
      </c>
      <c r="I101" s="7">
        <v>5529.75</v>
      </c>
      <c r="J101" s="7">
        <v>3016.2300000000105</v>
      </c>
      <c r="K101" s="7">
        <v>5027.0499999999884</v>
      </c>
      <c r="L101" s="7">
        <v>4021.6399999999994</v>
      </c>
      <c r="M101" s="7">
        <v>4021.6399999999994</v>
      </c>
      <c r="N101" s="7">
        <v>5027.0400000000081</v>
      </c>
      <c r="O101" s="7">
        <v>5027.0500000000175</v>
      </c>
      <c r="P101" s="7">
        <v>6032.4500000000116</v>
      </c>
      <c r="Q101" s="7">
        <v>4021.6300000000047</v>
      </c>
      <c r="R101" s="7">
        <v>7037.8699999999953</v>
      </c>
      <c r="S101" s="7">
        <v>5027.0400000000081</v>
      </c>
      <c r="T101" s="7">
        <v>5027.0499999999993</v>
      </c>
      <c r="U101" s="7">
        <v>5027.0399999999936</v>
      </c>
      <c r="V101" s="7">
        <v>0</v>
      </c>
      <c r="W101" s="9">
        <f t="shared" si="11"/>
        <v>100540.90000000004</v>
      </c>
      <c r="X101" s="9">
        <v>202668.19</v>
      </c>
      <c r="Y101" s="9">
        <v>65717.98000000001</v>
      </c>
      <c r="Z101" s="9">
        <v>136950.21</v>
      </c>
      <c r="AA101" s="9">
        <f t="shared" si="12"/>
        <v>237491.11000000004</v>
      </c>
      <c r="AB101" s="7" t="e">
        <f>W101-#REF!</f>
        <v>#REF!</v>
      </c>
      <c r="AC101" s="12">
        <v>286</v>
      </c>
      <c r="AD101" s="12">
        <v>1</v>
      </c>
      <c r="AE101" s="12">
        <f t="shared" si="13"/>
        <v>0</v>
      </c>
      <c r="AF101" s="12">
        <f t="shared" si="14"/>
        <v>286</v>
      </c>
      <c r="AG101" s="13" t="s">
        <v>652</v>
      </c>
      <c r="AH101" s="13">
        <v>964914.46000000008</v>
      </c>
      <c r="AI101" s="13">
        <v>458632.18000000005</v>
      </c>
      <c r="AJ101" s="13">
        <f t="shared" si="15"/>
        <v>506282.28</v>
      </c>
    </row>
    <row r="102" spans="1:36" s="1" customFormat="1" x14ac:dyDescent="0.25">
      <c r="A102">
        <v>299</v>
      </c>
      <c r="B102">
        <v>1</v>
      </c>
      <c r="C102">
        <f t="shared" si="16"/>
        <v>1</v>
      </c>
      <c r="D102" s="1" t="s">
        <v>124</v>
      </c>
      <c r="E102" s="7">
        <v>63575.42</v>
      </c>
      <c r="F102" s="7">
        <v>8391.4200000000019</v>
      </c>
      <c r="G102" s="7">
        <v>-9403.2000000000007</v>
      </c>
      <c r="H102" s="7">
        <v>21158.46</v>
      </c>
      <c r="I102" s="7">
        <v>11035.090000000026</v>
      </c>
      <c r="J102" s="7">
        <v>-794</v>
      </c>
      <c r="K102" s="7">
        <v>10031.880000000005</v>
      </c>
      <c r="L102" s="7">
        <v>12717.029999999999</v>
      </c>
      <c r="M102" s="7">
        <v>8025.5100000000093</v>
      </c>
      <c r="N102" s="7">
        <v>6565.7600000000093</v>
      </c>
      <c r="O102" s="7">
        <v>11133.719999999972</v>
      </c>
      <c r="P102" s="7">
        <v>9783.5899999999674</v>
      </c>
      <c r="Q102" s="7">
        <v>8025.5200000000186</v>
      </c>
      <c r="R102" s="7">
        <v>13361.149999999965</v>
      </c>
      <c r="S102" s="7">
        <v>10031.889999999956</v>
      </c>
      <c r="T102" s="7">
        <v>11303.590000000004</v>
      </c>
      <c r="U102" s="7">
        <v>10031.890000000007</v>
      </c>
      <c r="V102" s="7">
        <v>294.09000000000015</v>
      </c>
      <c r="W102" s="9">
        <f t="shared" si="11"/>
        <v>205268.80999999994</v>
      </c>
      <c r="X102" s="9">
        <v>382922.35</v>
      </c>
      <c r="Y102" s="9">
        <v>156398.39000000001</v>
      </c>
      <c r="Z102" s="9">
        <v>226523.95999999996</v>
      </c>
      <c r="AA102" s="9">
        <f t="shared" si="12"/>
        <v>431792.7699999999</v>
      </c>
      <c r="AB102" s="7" t="e">
        <f>W102-#REF!</f>
        <v>#REF!</v>
      </c>
      <c r="AC102" s="12">
        <v>294</v>
      </c>
      <c r="AD102" s="12">
        <v>1</v>
      </c>
      <c r="AE102" s="12">
        <f t="shared" si="13"/>
        <v>0</v>
      </c>
      <c r="AF102" s="12">
        <f t="shared" si="14"/>
        <v>294</v>
      </c>
      <c r="AG102" s="13" t="s">
        <v>653</v>
      </c>
      <c r="AH102" s="13">
        <v>433287.5</v>
      </c>
      <c r="AI102" s="13">
        <v>189372.11000000002</v>
      </c>
      <c r="AJ102" s="13">
        <f t="shared" si="15"/>
        <v>243915.38999999998</v>
      </c>
    </row>
    <row r="103" spans="1:36" s="1" customFormat="1" x14ac:dyDescent="0.25">
      <c r="A103">
        <v>300</v>
      </c>
      <c r="B103">
        <v>1</v>
      </c>
      <c r="C103">
        <f t="shared" si="16"/>
        <v>1</v>
      </c>
      <c r="D103" s="1" t="s">
        <v>125</v>
      </c>
      <c r="E103" s="7">
        <v>112413.89999999997</v>
      </c>
      <c r="F103" s="7">
        <v>2372.75</v>
      </c>
      <c r="G103" s="7">
        <v>-13112.239999999998</v>
      </c>
      <c r="H103" s="7">
        <v>35532.629999999976</v>
      </c>
      <c r="I103" s="7">
        <v>20228.119999999995</v>
      </c>
      <c r="J103" s="7">
        <v>9107.0800000000163</v>
      </c>
      <c r="K103" s="7">
        <v>18389.190000000002</v>
      </c>
      <c r="L103" s="7">
        <v>16790.260000000009</v>
      </c>
      <c r="M103" s="7">
        <v>14711.349999999977</v>
      </c>
      <c r="N103" s="7">
        <v>16656.770000000019</v>
      </c>
      <c r="O103" s="7">
        <v>19062.929999999935</v>
      </c>
      <c r="P103" s="7">
        <v>21429.510000000009</v>
      </c>
      <c r="Q103" s="7">
        <v>14711.349999999977</v>
      </c>
      <c r="R103" s="7">
        <v>25313.780000000028</v>
      </c>
      <c r="S103" s="7">
        <v>18389.190000000002</v>
      </c>
      <c r="T103" s="7">
        <v>18986.61</v>
      </c>
      <c r="U103" s="7">
        <v>18389.199999999983</v>
      </c>
      <c r="V103" s="7">
        <v>83.170000000000073</v>
      </c>
      <c r="W103" s="9">
        <f t="shared" si="11"/>
        <v>369455.54999999987</v>
      </c>
      <c r="X103" s="9">
        <v>629625.70000000007</v>
      </c>
      <c r="Y103" s="9">
        <v>274937.5</v>
      </c>
      <c r="Z103" s="9">
        <v>354688.20000000007</v>
      </c>
      <c r="AA103" s="9">
        <f t="shared" si="12"/>
        <v>724143.75</v>
      </c>
      <c r="AB103" s="7" t="e">
        <f>W103-#REF!</f>
        <v>#REF!</v>
      </c>
      <c r="AC103" s="12">
        <v>297</v>
      </c>
      <c r="AD103" s="12">
        <v>1</v>
      </c>
      <c r="AE103" s="12">
        <f t="shared" si="13"/>
        <v>0</v>
      </c>
      <c r="AF103" s="12">
        <f t="shared" si="14"/>
        <v>297</v>
      </c>
      <c r="AG103" s="13" t="s">
        <v>654</v>
      </c>
      <c r="AH103" s="13">
        <v>202668.19</v>
      </c>
      <c r="AI103" s="13">
        <v>65717.98000000001</v>
      </c>
      <c r="AJ103" s="13">
        <f t="shared" si="15"/>
        <v>136950.21</v>
      </c>
    </row>
    <row r="104" spans="1:36" s="1" customFormat="1" x14ac:dyDescent="0.25">
      <c r="A104">
        <v>306</v>
      </c>
      <c r="B104">
        <v>1</v>
      </c>
      <c r="C104">
        <f t="shared" si="16"/>
        <v>1</v>
      </c>
      <c r="D104" s="1" t="s">
        <v>126</v>
      </c>
      <c r="E104" s="7">
        <v>25366.239999999998</v>
      </c>
      <c r="F104" s="7">
        <v>3347.9900000000052</v>
      </c>
      <c r="G104" s="7">
        <v>2348.7199999999975</v>
      </c>
      <c r="H104" s="7">
        <v>3890.3600000000006</v>
      </c>
      <c r="I104" s="7">
        <v>5167.1900000000023</v>
      </c>
      <c r="J104" s="7">
        <v>2388.5299999999988</v>
      </c>
      <c r="K104" s="7">
        <v>4697.4599999999919</v>
      </c>
      <c r="L104" s="7">
        <v>4221.9100000000035</v>
      </c>
      <c r="M104" s="7">
        <v>3757.9600000000064</v>
      </c>
      <c r="N104" s="7">
        <v>4310.820000000007</v>
      </c>
      <c r="O104" s="7">
        <v>4697.4600000000064</v>
      </c>
      <c r="P104" s="7">
        <v>5494.6600000000035</v>
      </c>
      <c r="Q104" s="7">
        <v>3757.9700000000012</v>
      </c>
      <c r="R104" s="7">
        <v>6594.9700000000012</v>
      </c>
      <c r="S104" s="7">
        <v>4697.4599999999919</v>
      </c>
      <c r="T104" s="7">
        <v>4716</v>
      </c>
      <c r="U104" s="7">
        <v>4697.4600000000064</v>
      </c>
      <c r="V104" s="7">
        <v>18.560000000000002</v>
      </c>
      <c r="W104" s="9">
        <f t="shared" si="11"/>
        <v>94171.720000000016</v>
      </c>
      <c r="X104" s="9">
        <v>95879.140000000014</v>
      </c>
      <c r="Y104" s="9">
        <v>40829.040000000001</v>
      </c>
      <c r="Z104" s="9">
        <v>55050.100000000013</v>
      </c>
      <c r="AA104" s="9">
        <f t="shared" si="12"/>
        <v>149221.82000000004</v>
      </c>
      <c r="AB104" s="7" t="e">
        <f>W104-#REF!</f>
        <v>#REF!</v>
      </c>
      <c r="AC104" s="12">
        <v>299</v>
      </c>
      <c r="AD104" s="12">
        <v>1</v>
      </c>
      <c r="AE104" s="12">
        <f t="shared" si="13"/>
        <v>0</v>
      </c>
      <c r="AF104" s="12">
        <f t="shared" si="14"/>
        <v>299</v>
      </c>
      <c r="AG104" s="13" t="s">
        <v>655</v>
      </c>
      <c r="AH104" s="13">
        <v>382922.35</v>
      </c>
      <c r="AI104" s="13">
        <v>156398.39000000001</v>
      </c>
      <c r="AJ104" s="13">
        <f t="shared" si="15"/>
        <v>226523.95999999996</v>
      </c>
    </row>
    <row r="105" spans="1:36" s="1" customFormat="1" x14ac:dyDescent="0.25">
      <c r="A105">
        <v>308</v>
      </c>
      <c r="B105">
        <v>1</v>
      </c>
      <c r="C105">
        <f t="shared" si="16"/>
        <v>1</v>
      </c>
      <c r="D105" s="1" t="s">
        <v>127</v>
      </c>
      <c r="E105" s="7">
        <v>44406.009999999995</v>
      </c>
      <c r="F105" s="7">
        <v>5036.6999999999989</v>
      </c>
      <c r="G105" s="7">
        <v>0</v>
      </c>
      <c r="H105" s="7">
        <v>10716.01999999999</v>
      </c>
      <c r="I105" s="7">
        <v>9045.6600000000035</v>
      </c>
      <c r="J105" s="7">
        <v>4850.6199999999953</v>
      </c>
      <c r="K105" s="7">
        <v>8223.3299999999872</v>
      </c>
      <c r="L105" s="7">
        <v>6668.6600000000035</v>
      </c>
      <c r="M105" s="7">
        <v>6578.6700000000128</v>
      </c>
      <c r="N105" s="7">
        <v>8148.3399999999965</v>
      </c>
      <c r="O105" s="7">
        <v>8244.429999999993</v>
      </c>
      <c r="P105" s="7">
        <v>9840.4099999999744</v>
      </c>
      <c r="Q105" s="7">
        <v>6578.6699999999837</v>
      </c>
      <c r="R105" s="7">
        <v>11516.260000000009</v>
      </c>
      <c r="S105" s="7">
        <v>8223.3299999999872</v>
      </c>
      <c r="T105" s="7">
        <v>8226.9499999999971</v>
      </c>
      <c r="U105" s="7">
        <v>8223.3299999999872</v>
      </c>
      <c r="V105" s="7">
        <v>3.5900000000000034</v>
      </c>
      <c r="W105" s="9">
        <f t="shared" si="11"/>
        <v>164530.97999999992</v>
      </c>
      <c r="X105" s="9">
        <v>213853.31999999998</v>
      </c>
      <c r="Y105" s="9">
        <v>101646.32999999999</v>
      </c>
      <c r="Z105" s="9">
        <v>112206.98999999999</v>
      </c>
      <c r="AA105" s="9">
        <f t="shared" si="12"/>
        <v>276737.96999999991</v>
      </c>
      <c r="AB105" s="7" t="e">
        <f>W105-#REF!</f>
        <v>#REF!</v>
      </c>
      <c r="AC105" s="12">
        <v>300</v>
      </c>
      <c r="AD105" s="12">
        <v>1</v>
      </c>
      <c r="AE105" s="12">
        <f t="shared" si="13"/>
        <v>0</v>
      </c>
      <c r="AF105" s="12">
        <f t="shared" si="14"/>
        <v>300</v>
      </c>
      <c r="AG105" s="13" t="s">
        <v>656</v>
      </c>
      <c r="AH105" s="13">
        <v>629625.70000000007</v>
      </c>
      <c r="AI105" s="13">
        <v>274937.5</v>
      </c>
      <c r="AJ105" s="13">
        <f t="shared" si="15"/>
        <v>354688.20000000007</v>
      </c>
    </row>
    <row r="106" spans="1:36" s="1" customFormat="1" x14ac:dyDescent="0.25">
      <c r="A106">
        <v>309</v>
      </c>
      <c r="B106">
        <v>1</v>
      </c>
      <c r="C106">
        <f t="shared" si="16"/>
        <v>1</v>
      </c>
      <c r="D106" s="1" t="s">
        <v>128</v>
      </c>
      <c r="E106" s="7">
        <v>123751.94</v>
      </c>
      <c r="F106" s="7">
        <v>1610.37</v>
      </c>
      <c r="G106" s="7">
        <v>-4597.12</v>
      </c>
      <c r="H106" s="7">
        <v>42327.429999999993</v>
      </c>
      <c r="I106" s="7">
        <v>24272.270000000019</v>
      </c>
      <c r="J106" s="7">
        <v>11931.950000000012</v>
      </c>
      <c r="K106" s="7">
        <v>22065.709999999963</v>
      </c>
      <c r="L106" s="7">
        <v>19063.520000000019</v>
      </c>
      <c r="M106" s="7">
        <v>17652.570000000007</v>
      </c>
      <c r="N106" s="7">
        <v>20889.900000000023</v>
      </c>
      <c r="O106" s="7">
        <v>22209.179999999935</v>
      </c>
      <c r="P106" s="7">
        <v>26046.150000000023</v>
      </c>
      <c r="Q106" s="7">
        <v>17652.570000000065</v>
      </c>
      <c r="R106" s="7">
        <v>30948.430000000051</v>
      </c>
      <c r="S106" s="7">
        <v>22065.709999999963</v>
      </c>
      <c r="T106" s="7">
        <v>22122.130000000005</v>
      </c>
      <c r="U106" s="7">
        <v>22065.709999999992</v>
      </c>
      <c r="V106" s="7">
        <v>56.440000000000055</v>
      </c>
      <c r="W106" s="9">
        <f t="shared" si="11"/>
        <v>442134.86000000004</v>
      </c>
      <c r="X106" s="9">
        <v>900087.31</v>
      </c>
      <c r="Y106" s="9">
        <v>380595.47000000003</v>
      </c>
      <c r="Z106" s="9">
        <v>519491.84000000003</v>
      </c>
      <c r="AA106" s="9">
        <f t="shared" si="12"/>
        <v>961626.70000000007</v>
      </c>
      <c r="AB106" s="7" t="e">
        <f>W106-#REF!</f>
        <v>#REF!</v>
      </c>
      <c r="AC106" s="12">
        <v>306</v>
      </c>
      <c r="AD106" s="12">
        <v>1</v>
      </c>
      <c r="AE106" s="12">
        <f t="shared" si="13"/>
        <v>0</v>
      </c>
      <c r="AF106" s="12">
        <f t="shared" si="14"/>
        <v>306</v>
      </c>
      <c r="AG106" s="13" t="s">
        <v>657</v>
      </c>
      <c r="AH106" s="13">
        <v>95879.140000000014</v>
      </c>
      <c r="AI106" s="13">
        <v>40829.040000000001</v>
      </c>
      <c r="AJ106" s="13">
        <f t="shared" si="15"/>
        <v>55050.100000000013</v>
      </c>
    </row>
    <row r="107" spans="1:36" s="1" customFormat="1" x14ac:dyDescent="0.25">
      <c r="A107">
        <v>314</v>
      </c>
      <c r="B107">
        <v>1</v>
      </c>
      <c r="C107">
        <f t="shared" si="16"/>
        <v>1</v>
      </c>
      <c r="D107" s="1" t="s">
        <v>129</v>
      </c>
      <c r="E107" s="7">
        <v>73625.290000000008</v>
      </c>
      <c r="F107" s="7">
        <v>10087.150000000009</v>
      </c>
      <c r="G107" s="7">
        <v>2707.6100000000006</v>
      </c>
      <c r="H107" s="7">
        <v>10931.360000000015</v>
      </c>
      <c r="I107" s="7">
        <v>14231.559999999998</v>
      </c>
      <c r="J107" s="7">
        <v>5875.0400000000081</v>
      </c>
      <c r="K107" s="7">
        <v>12937.77999999997</v>
      </c>
      <c r="L107" s="7">
        <v>12386.22000000003</v>
      </c>
      <c r="M107" s="7">
        <v>10350.229999999981</v>
      </c>
      <c r="N107" s="7">
        <v>11241.100000000035</v>
      </c>
      <c r="O107" s="7">
        <v>12993.219999999972</v>
      </c>
      <c r="P107" s="7">
        <v>14901</v>
      </c>
      <c r="Q107" s="7">
        <v>10350.219999999972</v>
      </c>
      <c r="R107" s="7">
        <v>18164.5</v>
      </c>
      <c r="S107" s="7">
        <v>12937.77999999997</v>
      </c>
      <c r="T107" s="7">
        <v>13049.039999999979</v>
      </c>
      <c r="U107" s="7">
        <v>12937.779999999999</v>
      </c>
      <c r="V107" s="7">
        <v>81.450000000000045</v>
      </c>
      <c r="W107" s="9">
        <f t="shared" si="11"/>
        <v>259788.32999999996</v>
      </c>
      <c r="X107" s="9">
        <v>244952.93</v>
      </c>
      <c r="Y107" s="9">
        <v>93687.92</v>
      </c>
      <c r="Z107" s="9">
        <v>151265.01</v>
      </c>
      <c r="AA107" s="9">
        <f t="shared" si="12"/>
        <v>411053.33999999997</v>
      </c>
      <c r="AB107" s="7" t="e">
        <f>W107-#REF!</f>
        <v>#REF!</v>
      </c>
      <c r="AC107" s="12">
        <v>308</v>
      </c>
      <c r="AD107" s="12">
        <v>1</v>
      </c>
      <c r="AE107" s="12">
        <f t="shared" si="13"/>
        <v>0</v>
      </c>
      <c r="AF107" s="12">
        <f t="shared" si="14"/>
        <v>308</v>
      </c>
      <c r="AG107" s="13" t="s">
        <v>658</v>
      </c>
      <c r="AH107" s="13">
        <v>213853.31999999998</v>
      </c>
      <c r="AI107" s="13">
        <v>101646.32999999999</v>
      </c>
      <c r="AJ107" s="13">
        <f t="shared" si="15"/>
        <v>112206.98999999999</v>
      </c>
    </row>
    <row r="108" spans="1:36" s="1" customFormat="1" x14ac:dyDescent="0.25">
      <c r="A108">
        <v>316</v>
      </c>
      <c r="B108">
        <v>1</v>
      </c>
      <c r="C108">
        <f t="shared" si="16"/>
        <v>1</v>
      </c>
      <c r="D108" s="1" t="s">
        <v>130</v>
      </c>
      <c r="E108" s="7">
        <v>88970.250000000029</v>
      </c>
      <c r="F108" s="7">
        <v>14015.440000000002</v>
      </c>
      <c r="G108" s="7">
        <v>7210.5900000000256</v>
      </c>
      <c r="H108" s="7">
        <v>14100.030000000028</v>
      </c>
      <c r="I108" s="7">
        <v>17932.030000000028</v>
      </c>
      <c r="J108" s="7">
        <v>6343.1699999999837</v>
      </c>
      <c r="K108" s="7">
        <v>16301.840000000026</v>
      </c>
      <c r="L108" s="7">
        <v>16751.409999999974</v>
      </c>
      <c r="M108" s="7">
        <v>13041.47</v>
      </c>
      <c r="N108" s="7">
        <v>13210.209999999963</v>
      </c>
      <c r="O108" s="7">
        <v>16343.690000000002</v>
      </c>
      <c r="P108" s="7">
        <v>18424.509999999893</v>
      </c>
      <c r="Q108" s="7">
        <v>13041.479999999981</v>
      </c>
      <c r="R108" s="7">
        <v>22585.320000000065</v>
      </c>
      <c r="S108" s="7">
        <v>16301.840000000026</v>
      </c>
      <c r="T108" s="7">
        <v>16835.880000000005</v>
      </c>
      <c r="U108" s="7">
        <v>16301.839999999967</v>
      </c>
      <c r="V108" s="7">
        <v>148.37999999999965</v>
      </c>
      <c r="W108" s="9">
        <f t="shared" si="11"/>
        <v>327859.38</v>
      </c>
      <c r="X108" s="9">
        <v>128713.74</v>
      </c>
      <c r="Y108" s="9">
        <v>61178.75</v>
      </c>
      <c r="Z108" s="9">
        <v>67534.990000000005</v>
      </c>
      <c r="AA108" s="9">
        <f t="shared" si="12"/>
        <v>395394.37</v>
      </c>
      <c r="AB108" s="7" t="e">
        <f>W108-#REF!</f>
        <v>#REF!</v>
      </c>
      <c r="AC108" s="12">
        <v>309</v>
      </c>
      <c r="AD108" s="12">
        <v>1</v>
      </c>
      <c r="AE108" s="12">
        <f t="shared" si="13"/>
        <v>0</v>
      </c>
      <c r="AF108" s="12">
        <f t="shared" si="14"/>
        <v>309</v>
      </c>
      <c r="AG108" s="13" t="s">
        <v>659</v>
      </c>
      <c r="AH108" s="13">
        <v>900087.31</v>
      </c>
      <c r="AI108" s="13">
        <v>380595.47000000003</v>
      </c>
      <c r="AJ108" s="13">
        <f t="shared" si="15"/>
        <v>519491.84000000003</v>
      </c>
    </row>
    <row r="109" spans="1:36" s="1" customFormat="1" x14ac:dyDescent="0.25">
      <c r="A109">
        <v>317</v>
      </c>
      <c r="B109">
        <v>1</v>
      </c>
      <c r="C109">
        <f t="shared" ref="C109:C111" si="17">B109</f>
        <v>1</v>
      </c>
      <c r="D109" s="1" t="s">
        <v>131</v>
      </c>
      <c r="E109" s="7">
        <v>84722.919999999984</v>
      </c>
      <c r="F109" s="7">
        <v>10435.589999999997</v>
      </c>
      <c r="G109" s="7">
        <v>7844.7099999999919</v>
      </c>
      <c r="H109" s="7">
        <v>12807.040000000037</v>
      </c>
      <c r="I109" s="7">
        <v>17258.369999999995</v>
      </c>
      <c r="J109" s="7">
        <v>8583.4700000000012</v>
      </c>
      <c r="K109" s="7">
        <v>15689.429999999993</v>
      </c>
      <c r="L109" s="7">
        <v>13445.919999999984</v>
      </c>
      <c r="M109" s="7">
        <v>12551.549999999988</v>
      </c>
      <c r="N109" s="7">
        <v>14944.080000000016</v>
      </c>
      <c r="O109" s="7">
        <v>15730.419999999984</v>
      </c>
      <c r="P109" s="7">
        <v>18553.040000000037</v>
      </c>
      <c r="Q109" s="7">
        <v>12551.549999999988</v>
      </c>
      <c r="R109" s="7">
        <v>21882.839999999967</v>
      </c>
      <c r="S109" s="7">
        <v>15689.429999999993</v>
      </c>
      <c r="T109" s="7">
        <v>15843.339999999967</v>
      </c>
      <c r="U109" s="7">
        <v>15689.429999999993</v>
      </c>
      <c r="V109" s="7">
        <v>35.759999999999991</v>
      </c>
      <c r="W109" s="9">
        <f t="shared" si="11"/>
        <v>314258.8899999999</v>
      </c>
      <c r="X109" s="9">
        <v>71704.48000000001</v>
      </c>
      <c r="Y109" s="9">
        <v>30181.03</v>
      </c>
      <c r="Z109" s="9">
        <v>41523.450000000012</v>
      </c>
      <c r="AA109" s="9">
        <f t="shared" si="12"/>
        <v>355782.33999999991</v>
      </c>
      <c r="AB109" s="7" t="e">
        <f>W109-#REF!</f>
        <v>#REF!</v>
      </c>
      <c r="AC109" s="12">
        <v>314</v>
      </c>
      <c r="AD109" s="12">
        <v>1</v>
      </c>
      <c r="AE109" s="12">
        <f t="shared" si="13"/>
        <v>0</v>
      </c>
      <c r="AF109" s="12">
        <f t="shared" si="14"/>
        <v>314</v>
      </c>
      <c r="AG109" s="13" t="s">
        <v>660</v>
      </c>
      <c r="AH109" s="13">
        <v>244952.93</v>
      </c>
      <c r="AI109" s="13">
        <v>93687.92</v>
      </c>
      <c r="AJ109" s="13">
        <f t="shared" si="15"/>
        <v>151265.01</v>
      </c>
    </row>
    <row r="110" spans="1:36" s="1" customFormat="1" x14ac:dyDescent="0.25">
      <c r="A110">
        <v>318</v>
      </c>
      <c r="B110">
        <v>1</v>
      </c>
      <c r="C110">
        <f t="shared" si="17"/>
        <v>1</v>
      </c>
      <c r="D110" s="1" t="s">
        <v>132</v>
      </c>
      <c r="E110" s="7">
        <v>342511.55000000005</v>
      </c>
      <c r="F110" s="7">
        <v>38928.530000000028</v>
      </c>
      <c r="G110" s="7">
        <v>5059.0500000000175</v>
      </c>
      <c r="H110" s="7">
        <v>48023.820000000065</v>
      </c>
      <c r="I110" s="7">
        <v>64801.300000000047</v>
      </c>
      <c r="J110" s="7">
        <v>32437.189999999944</v>
      </c>
      <c r="K110" s="7">
        <v>58910.270000000019</v>
      </c>
      <c r="L110" s="7">
        <v>50266.190000000177</v>
      </c>
      <c r="M110" s="7">
        <v>47128.209999999963</v>
      </c>
      <c r="N110" s="7">
        <v>56295.300000000047</v>
      </c>
      <c r="O110" s="7">
        <v>59810.760000000009</v>
      </c>
      <c r="P110" s="7">
        <v>69730</v>
      </c>
      <c r="Q110" s="7">
        <v>47128.219999999972</v>
      </c>
      <c r="R110" s="7">
        <v>82110.510000000242</v>
      </c>
      <c r="S110" s="7">
        <v>58910.280000000028</v>
      </c>
      <c r="T110" s="7">
        <v>59525.180000000051</v>
      </c>
      <c r="U110" s="7">
        <v>58910.280000000028</v>
      </c>
      <c r="V110" s="7">
        <v>125.51999999999998</v>
      </c>
      <c r="W110" s="9">
        <f t="shared" si="11"/>
        <v>1180612.1600000008</v>
      </c>
      <c r="X110" s="9">
        <v>2010886.4</v>
      </c>
      <c r="Y110" s="9">
        <v>860692.84</v>
      </c>
      <c r="Z110" s="9">
        <v>1150193.56</v>
      </c>
      <c r="AA110" s="9">
        <f t="shared" si="12"/>
        <v>2330805.7200000007</v>
      </c>
      <c r="AB110" s="7" t="e">
        <f>W110-#REF!</f>
        <v>#REF!</v>
      </c>
      <c r="AC110" s="12">
        <v>316</v>
      </c>
      <c r="AD110" s="12">
        <v>1</v>
      </c>
      <c r="AE110" s="12">
        <f t="shared" si="13"/>
        <v>0</v>
      </c>
      <c r="AF110" s="12">
        <f t="shared" si="14"/>
        <v>316</v>
      </c>
      <c r="AG110" s="13" t="s">
        <v>661</v>
      </c>
      <c r="AH110" s="13">
        <v>128713.74</v>
      </c>
      <c r="AI110" s="13">
        <v>61178.75</v>
      </c>
      <c r="AJ110" s="13">
        <f t="shared" si="15"/>
        <v>67534.990000000005</v>
      </c>
    </row>
    <row r="111" spans="1:36" s="1" customFormat="1" x14ac:dyDescent="0.25">
      <c r="A111">
        <v>319</v>
      </c>
      <c r="B111">
        <v>1</v>
      </c>
      <c r="C111">
        <f t="shared" si="17"/>
        <v>1</v>
      </c>
      <c r="D111" s="1" t="s">
        <v>133</v>
      </c>
      <c r="E111" s="7">
        <v>53911.759999999995</v>
      </c>
      <c r="F111" s="7">
        <v>8037.3199999999924</v>
      </c>
      <c r="G111" s="7">
        <v>4991.8300000000017</v>
      </c>
      <c r="H111" s="7">
        <v>8498.7099999999919</v>
      </c>
      <c r="I111" s="7">
        <v>10982.020000000019</v>
      </c>
      <c r="J111" s="7">
        <v>4328.0799999999872</v>
      </c>
      <c r="K111" s="7">
        <v>9983.6600000000326</v>
      </c>
      <c r="L111" s="7">
        <v>9780.4700000000012</v>
      </c>
      <c r="M111" s="7">
        <v>7986.9400000000023</v>
      </c>
      <c r="N111" s="7">
        <v>8489.0199999999604</v>
      </c>
      <c r="O111" s="7">
        <v>9990.7600000000093</v>
      </c>
      <c r="P111" s="7">
        <v>11430.369999999995</v>
      </c>
      <c r="Q111" s="7">
        <v>7986.9400000000023</v>
      </c>
      <c r="R111" s="7">
        <v>14048.869999999995</v>
      </c>
      <c r="S111" s="7">
        <v>9983.6600000000326</v>
      </c>
      <c r="T111" s="7">
        <v>10055.410000000003</v>
      </c>
      <c r="U111" s="7">
        <v>9983.6600000000035</v>
      </c>
      <c r="V111" s="7">
        <v>71.730000000000018</v>
      </c>
      <c r="W111" s="9">
        <f t="shared" si="11"/>
        <v>200541.21000000005</v>
      </c>
      <c r="X111" s="9">
        <v>186721.85</v>
      </c>
      <c r="Y111" s="9">
        <v>74900.209999999992</v>
      </c>
      <c r="Z111" s="9">
        <v>111821.64000000001</v>
      </c>
      <c r="AA111" s="9">
        <f t="shared" si="12"/>
        <v>312362.85000000009</v>
      </c>
      <c r="AB111" s="7" t="e">
        <f>W111-#REF!</f>
        <v>#REF!</v>
      </c>
      <c r="AC111" s="12">
        <v>317</v>
      </c>
      <c r="AD111" s="12">
        <v>1</v>
      </c>
      <c r="AE111" s="12">
        <f t="shared" si="13"/>
        <v>0</v>
      </c>
      <c r="AF111" s="12">
        <f t="shared" si="14"/>
        <v>317</v>
      </c>
      <c r="AG111" s="13" t="s">
        <v>662</v>
      </c>
      <c r="AH111" s="13">
        <v>71704.48000000001</v>
      </c>
      <c r="AI111" s="13">
        <v>30181.03</v>
      </c>
      <c r="AJ111" s="13">
        <f t="shared" si="15"/>
        <v>41523.450000000012</v>
      </c>
    </row>
    <row r="112" spans="1:36" s="1" customFormat="1" x14ac:dyDescent="0.25">
      <c r="A112">
        <v>323</v>
      </c>
      <c r="B112">
        <v>2</v>
      </c>
      <c r="C112">
        <v>1</v>
      </c>
      <c r="D112" s="1" t="s">
        <v>134</v>
      </c>
      <c r="E112" s="7">
        <v>2215.63</v>
      </c>
      <c r="F112" s="7">
        <v>0</v>
      </c>
      <c r="G112" s="7">
        <v>0</v>
      </c>
      <c r="H112" s="7">
        <v>0</v>
      </c>
      <c r="I112" s="7">
        <v>1230.92</v>
      </c>
      <c r="J112" s="7">
        <v>246.17000000000007</v>
      </c>
      <c r="K112" s="7">
        <v>410.30999999999949</v>
      </c>
      <c r="L112" s="7">
        <v>328.24000000000069</v>
      </c>
      <c r="M112" s="7">
        <v>328.23000000000047</v>
      </c>
      <c r="N112" s="7">
        <v>410.30999999999949</v>
      </c>
      <c r="O112" s="7">
        <v>410.29999999999927</v>
      </c>
      <c r="P112" s="7">
        <v>492.36000000000058</v>
      </c>
      <c r="Q112" s="7">
        <v>328.25</v>
      </c>
      <c r="R112" s="7">
        <v>574.42000000000007</v>
      </c>
      <c r="S112" s="7">
        <v>1230.9100000000008</v>
      </c>
      <c r="T112" s="7">
        <v>0</v>
      </c>
      <c r="U112" s="7">
        <v>0</v>
      </c>
      <c r="V112" s="7">
        <v>0</v>
      </c>
      <c r="W112" s="9">
        <f t="shared" si="11"/>
        <v>8206.0500000000011</v>
      </c>
      <c r="X112" s="9">
        <v>11770.5</v>
      </c>
      <c r="Y112" s="9">
        <v>1755.0999999999995</v>
      </c>
      <c r="Z112" s="9">
        <v>10015.400000000001</v>
      </c>
      <c r="AA112" s="9">
        <f t="shared" si="12"/>
        <v>18221.450000000004</v>
      </c>
      <c r="AB112" s="7" t="e">
        <f>W112-#REF!</f>
        <v>#REF!</v>
      </c>
      <c r="AC112" s="12">
        <v>318</v>
      </c>
      <c r="AD112" s="12">
        <v>1</v>
      </c>
      <c r="AE112" s="12">
        <f t="shared" si="13"/>
        <v>0</v>
      </c>
      <c r="AF112" s="12">
        <f t="shared" si="14"/>
        <v>318</v>
      </c>
      <c r="AG112" s="13" t="s">
        <v>663</v>
      </c>
      <c r="AH112" s="13">
        <v>2010886.4</v>
      </c>
      <c r="AI112" s="13">
        <v>860692.84</v>
      </c>
      <c r="AJ112" s="13">
        <f t="shared" si="15"/>
        <v>1150193.56</v>
      </c>
    </row>
    <row r="113" spans="1:36" s="1" customFormat="1" x14ac:dyDescent="0.25">
      <c r="A113">
        <v>330</v>
      </c>
      <c r="B113">
        <v>1</v>
      </c>
      <c r="C113">
        <f t="shared" ref="C113:C144" si="18">B113</f>
        <v>1</v>
      </c>
      <c r="D113" s="1" t="s">
        <v>135</v>
      </c>
      <c r="E113" s="7">
        <v>26053.700000000004</v>
      </c>
      <c r="F113" s="7">
        <v>855.51</v>
      </c>
      <c r="G113" s="7">
        <v>0</v>
      </c>
      <c r="H113" s="7">
        <v>213.88000000000011</v>
      </c>
      <c r="I113" s="7">
        <v>14474.279999999999</v>
      </c>
      <c r="J113" s="7">
        <v>2200.25</v>
      </c>
      <c r="K113" s="7">
        <v>4824.7599999999802</v>
      </c>
      <c r="L113" s="7">
        <v>4609.3899999999994</v>
      </c>
      <c r="M113" s="7">
        <v>3859.8000000000029</v>
      </c>
      <c r="N113" s="7">
        <v>4200.1199999999953</v>
      </c>
      <c r="O113" s="7">
        <v>4911.5599999999977</v>
      </c>
      <c r="P113" s="7">
        <v>5559.8399999999965</v>
      </c>
      <c r="Q113" s="7">
        <v>3859.8099999999977</v>
      </c>
      <c r="R113" s="7">
        <v>6641.210000000021</v>
      </c>
      <c r="S113" s="7">
        <v>14474.279999999999</v>
      </c>
      <c r="T113" s="7">
        <v>173.40999999999997</v>
      </c>
      <c r="U113" s="7">
        <v>0</v>
      </c>
      <c r="V113" s="7">
        <v>-5114.6500000000005</v>
      </c>
      <c r="W113" s="9">
        <f t="shared" si="11"/>
        <v>91797.15</v>
      </c>
      <c r="X113" s="9">
        <v>238962.91999999998</v>
      </c>
      <c r="Y113" s="9">
        <v>74327.61</v>
      </c>
      <c r="Z113" s="9">
        <v>164635.31</v>
      </c>
      <c r="AA113" s="9">
        <f t="shared" si="12"/>
        <v>256432.46</v>
      </c>
      <c r="AB113" s="7" t="e">
        <f>W113-#REF!</f>
        <v>#REF!</v>
      </c>
      <c r="AC113" s="12">
        <v>319</v>
      </c>
      <c r="AD113" s="12">
        <v>1</v>
      </c>
      <c r="AE113" s="12">
        <f t="shared" si="13"/>
        <v>0</v>
      </c>
      <c r="AF113" s="12">
        <f t="shared" si="14"/>
        <v>319</v>
      </c>
      <c r="AG113" s="13" t="s">
        <v>664</v>
      </c>
      <c r="AH113" s="13">
        <v>186721.85</v>
      </c>
      <c r="AI113" s="13">
        <v>74900.209999999992</v>
      </c>
      <c r="AJ113" s="13">
        <f t="shared" si="15"/>
        <v>111821.64000000001</v>
      </c>
    </row>
    <row r="114" spans="1:36" s="1" customFormat="1" x14ac:dyDescent="0.25">
      <c r="A114">
        <v>332</v>
      </c>
      <c r="B114">
        <v>1</v>
      </c>
      <c r="C114">
        <f t="shared" si="18"/>
        <v>1</v>
      </c>
      <c r="D114" s="1" t="s">
        <v>136</v>
      </c>
      <c r="E114" s="7">
        <v>135348.57999999999</v>
      </c>
      <c r="F114" s="7">
        <v>15934.729999999981</v>
      </c>
      <c r="G114" s="7">
        <v>11447.820000000007</v>
      </c>
      <c r="H114" s="7">
        <v>20156.150000000023</v>
      </c>
      <c r="I114" s="7">
        <v>27368.819999999949</v>
      </c>
      <c r="J114" s="7">
        <v>14111.369999999995</v>
      </c>
      <c r="K114" s="7">
        <v>24880.740000000107</v>
      </c>
      <c r="L114" s="7">
        <v>20786.120000000054</v>
      </c>
      <c r="M114" s="7">
        <v>19904.590000000084</v>
      </c>
      <c r="N114" s="7">
        <v>24146.159999999916</v>
      </c>
      <c r="O114" s="7">
        <v>24923.699999999953</v>
      </c>
      <c r="P114" s="7">
        <v>29586.569999999949</v>
      </c>
      <c r="Q114" s="7">
        <v>19904.590000000026</v>
      </c>
      <c r="R114" s="7">
        <v>34868.290000000037</v>
      </c>
      <c r="S114" s="7">
        <v>24880.75</v>
      </c>
      <c r="T114" s="7">
        <v>24915.989999999991</v>
      </c>
      <c r="U114" s="7">
        <v>24880.75</v>
      </c>
      <c r="V114" s="7">
        <v>35.259999999999991</v>
      </c>
      <c r="W114" s="9">
        <f t="shared" si="11"/>
        <v>498080.98000000004</v>
      </c>
      <c r="X114" s="9">
        <v>422885.13</v>
      </c>
      <c r="Y114" s="9">
        <v>201000.95</v>
      </c>
      <c r="Z114" s="9">
        <v>221884.18</v>
      </c>
      <c r="AA114" s="9">
        <f t="shared" si="12"/>
        <v>719965.16</v>
      </c>
      <c r="AB114" s="7" t="e">
        <f>W114-#REF!</f>
        <v>#REF!</v>
      </c>
      <c r="AC114" s="12">
        <v>323</v>
      </c>
      <c r="AD114" s="12">
        <v>2</v>
      </c>
      <c r="AE114" s="12">
        <f t="shared" si="13"/>
        <v>0</v>
      </c>
      <c r="AF114" s="12">
        <f t="shared" si="14"/>
        <v>323</v>
      </c>
      <c r="AG114" s="13" t="s">
        <v>665</v>
      </c>
      <c r="AH114" s="13">
        <v>11770.5</v>
      </c>
      <c r="AI114" s="13">
        <v>1755.0999999999995</v>
      </c>
      <c r="AJ114" s="13">
        <f t="shared" si="15"/>
        <v>10015.400000000001</v>
      </c>
    </row>
    <row r="115" spans="1:36" s="1" customFormat="1" x14ac:dyDescent="0.25">
      <c r="A115">
        <v>333</v>
      </c>
      <c r="B115">
        <v>1</v>
      </c>
      <c r="C115">
        <f t="shared" si="18"/>
        <v>1</v>
      </c>
      <c r="D115" s="1" t="s">
        <v>137</v>
      </c>
      <c r="E115" s="7">
        <v>45066.369999999995</v>
      </c>
      <c r="F115" s="7">
        <v>9990.0099999999948</v>
      </c>
      <c r="G115" s="7">
        <v>4172.8199999999924</v>
      </c>
      <c r="H115" s="7">
        <v>7922.1900000000023</v>
      </c>
      <c r="I115" s="7">
        <v>9180.179999999993</v>
      </c>
      <c r="J115" s="7">
        <v>961.76999999998952</v>
      </c>
      <c r="K115" s="7">
        <v>8345.6300000000047</v>
      </c>
      <c r="L115" s="7">
        <v>8408.2699999999895</v>
      </c>
      <c r="M115" s="7">
        <v>6676.5</v>
      </c>
      <c r="N115" s="7">
        <v>7341.429999999993</v>
      </c>
      <c r="O115" s="7">
        <v>8345.6199999999953</v>
      </c>
      <c r="P115" s="7">
        <v>8676.0099999999802</v>
      </c>
      <c r="Q115" s="7">
        <v>6676.4899999999907</v>
      </c>
      <c r="R115" s="7">
        <v>11810.799999999988</v>
      </c>
      <c r="S115" s="7">
        <v>8345.6199999999953</v>
      </c>
      <c r="T115" s="7">
        <v>8567.9500000000116</v>
      </c>
      <c r="U115" s="7">
        <v>8345.6199999999953</v>
      </c>
      <c r="V115" s="7">
        <v>174.64000000000033</v>
      </c>
      <c r="W115" s="9">
        <f t="shared" si="11"/>
        <v>169007.91999999993</v>
      </c>
      <c r="X115" s="9">
        <v>121703.87</v>
      </c>
      <c r="Y115" s="9">
        <v>57846.9</v>
      </c>
      <c r="Z115" s="9">
        <v>63856.969999999994</v>
      </c>
      <c r="AA115" s="9">
        <f t="shared" si="12"/>
        <v>232864.88999999993</v>
      </c>
      <c r="AB115" s="7" t="e">
        <f>W115-#REF!</f>
        <v>#REF!</v>
      </c>
      <c r="AC115" s="12">
        <v>330</v>
      </c>
      <c r="AD115" s="12">
        <v>1</v>
      </c>
      <c r="AE115" s="12">
        <f t="shared" si="13"/>
        <v>0</v>
      </c>
      <c r="AF115" s="12">
        <f t="shared" si="14"/>
        <v>330</v>
      </c>
      <c r="AG115" s="13" t="s">
        <v>666</v>
      </c>
      <c r="AH115" s="13">
        <v>238962.91999999998</v>
      </c>
      <c r="AI115" s="13">
        <v>74327.61</v>
      </c>
      <c r="AJ115" s="13">
        <f t="shared" si="15"/>
        <v>164635.31</v>
      </c>
    </row>
    <row r="116" spans="1:36" s="1" customFormat="1" x14ac:dyDescent="0.25">
      <c r="A116">
        <v>345</v>
      </c>
      <c r="B116">
        <v>1</v>
      </c>
      <c r="C116">
        <f t="shared" si="18"/>
        <v>1</v>
      </c>
      <c r="D116" s="1" t="s">
        <v>138</v>
      </c>
      <c r="E116" s="7">
        <v>107494.76000000001</v>
      </c>
      <c r="F116" s="7">
        <v>1316.7299999999998</v>
      </c>
      <c r="G116" s="7">
        <v>-3500.08</v>
      </c>
      <c r="H116" s="7">
        <v>329.18000000000006</v>
      </c>
      <c r="I116" s="7">
        <v>57774.810000000056</v>
      </c>
      <c r="J116" s="7">
        <v>10485.890000000014</v>
      </c>
      <c r="K116" s="7">
        <v>19258.269999999902</v>
      </c>
      <c r="L116" s="7">
        <v>16560.289999999979</v>
      </c>
      <c r="M116" s="7">
        <v>15406.629999999946</v>
      </c>
      <c r="N116" s="7">
        <v>18296.869999999995</v>
      </c>
      <c r="O116" s="7">
        <v>19495.800000000047</v>
      </c>
      <c r="P116" s="7">
        <v>22756.139999999898</v>
      </c>
      <c r="Q116" s="7">
        <v>15406.619999999995</v>
      </c>
      <c r="R116" s="7">
        <v>26863</v>
      </c>
      <c r="S116" s="7">
        <v>24629.939999999944</v>
      </c>
      <c r="T116" s="7">
        <v>5576.59</v>
      </c>
      <c r="U116" s="7">
        <v>27759.16</v>
      </c>
      <c r="V116" s="7">
        <v>-8895.48</v>
      </c>
      <c r="W116" s="9">
        <f t="shared" si="11"/>
        <v>377015.11999999976</v>
      </c>
      <c r="X116" s="9">
        <v>927031.94</v>
      </c>
      <c r="Y116" s="9">
        <v>390529.18</v>
      </c>
      <c r="Z116" s="9">
        <v>536502.76</v>
      </c>
      <c r="AA116" s="9">
        <f t="shared" si="12"/>
        <v>913517.87999999977</v>
      </c>
      <c r="AB116" s="7" t="e">
        <f>W116-#REF!</f>
        <v>#REF!</v>
      </c>
      <c r="AC116" s="12">
        <v>332</v>
      </c>
      <c r="AD116" s="12">
        <v>1</v>
      </c>
      <c r="AE116" s="12">
        <f t="shared" si="13"/>
        <v>0</v>
      </c>
      <c r="AF116" s="12">
        <f t="shared" si="14"/>
        <v>332</v>
      </c>
      <c r="AG116" s="13" t="s">
        <v>667</v>
      </c>
      <c r="AH116" s="13">
        <v>422885.13</v>
      </c>
      <c r="AI116" s="13">
        <v>201000.95</v>
      </c>
      <c r="AJ116" s="13">
        <f t="shared" si="15"/>
        <v>221884.18</v>
      </c>
    </row>
    <row r="117" spans="1:36" s="1" customFormat="1" x14ac:dyDescent="0.25">
      <c r="A117">
        <v>347</v>
      </c>
      <c r="B117">
        <v>1</v>
      </c>
      <c r="C117">
        <f t="shared" si="18"/>
        <v>1</v>
      </c>
      <c r="D117" s="1" t="s">
        <v>139</v>
      </c>
      <c r="E117" s="7">
        <v>387893.25</v>
      </c>
      <c r="F117" s="7">
        <v>43019.56</v>
      </c>
      <c r="G117" s="7">
        <v>-8041.4699999999993</v>
      </c>
      <c r="H117" s="7">
        <v>89680.690000000177</v>
      </c>
      <c r="I117" s="7">
        <v>77046.60999999987</v>
      </c>
      <c r="J117" s="7">
        <v>41218.290000000037</v>
      </c>
      <c r="K117" s="7">
        <v>70042.380000000121</v>
      </c>
      <c r="L117" s="7">
        <v>56904.939999999944</v>
      </c>
      <c r="M117" s="7">
        <v>56033.90000000014</v>
      </c>
      <c r="N117" s="7">
        <v>69316.520000000019</v>
      </c>
      <c r="O117" s="7">
        <v>71324.489999999991</v>
      </c>
      <c r="P117" s="7">
        <v>83783.75</v>
      </c>
      <c r="Q117" s="7">
        <v>56033.889999999898</v>
      </c>
      <c r="R117" s="7">
        <v>98077.429999999702</v>
      </c>
      <c r="S117" s="7">
        <v>70042.379999999888</v>
      </c>
      <c r="T117" s="7">
        <v>70093.970000000088</v>
      </c>
      <c r="U117" s="7">
        <v>70042.38</v>
      </c>
      <c r="V117" s="7">
        <v>-57201.340000000004</v>
      </c>
      <c r="W117" s="9">
        <f t="shared" si="11"/>
        <v>1345311.6199999999</v>
      </c>
      <c r="X117" s="9">
        <v>1654068.69</v>
      </c>
      <c r="Y117" s="9">
        <v>689569.57</v>
      </c>
      <c r="Z117" s="9">
        <v>964499.12</v>
      </c>
      <c r="AA117" s="9">
        <f t="shared" si="12"/>
        <v>2309810.7399999998</v>
      </c>
      <c r="AB117" s="7" t="e">
        <f>W117-#REF!</f>
        <v>#REF!</v>
      </c>
      <c r="AC117" s="12">
        <v>333</v>
      </c>
      <c r="AD117" s="12">
        <v>1</v>
      </c>
      <c r="AE117" s="12">
        <f t="shared" si="13"/>
        <v>0</v>
      </c>
      <c r="AF117" s="12">
        <f t="shared" si="14"/>
        <v>333</v>
      </c>
      <c r="AG117" s="13" t="s">
        <v>668</v>
      </c>
      <c r="AH117" s="13">
        <v>121703.87</v>
      </c>
      <c r="AI117" s="13">
        <v>57846.9</v>
      </c>
      <c r="AJ117" s="13">
        <f t="shared" si="15"/>
        <v>63856.969999999994</v>
      </c>
    </row>
    <row r="118" spans="1:36" s="1" customFormat="1" x14ac:dyDescent="0.25">
      <c r="A118">
        <v>356</v>
      </c>
      <c r="B118">
        <v>1</v>
      </c>
      <c r="C118">
        <f t="shared" si="18"/>
        <v>1</v>
      </c>
      <c r="D118" s="1" t="s">
        <v>140</v>
      </c>
      <c r="E118" s="7">
        <v>17596.22</v>
      </c>
      <c r="F118" s="7">
        <v>1955.13</v>
      </c>
      <c r="G118" s="7">
        <v>0</v>
      </c>
      <c r="H118" s="7">
        <v>4236.130000000001</v>
      </c>
      <c r="I118" s="7">
        <v>3584.4100000000035</v>
      </c>
      <c r="J118" s="7">
        <v>1955.1399999999994</v>
      </c>
      <c r="K118" s="7">
        <v>3258.5500000000029</v>
      </c>
      <c r="L118" s="7">
        <v>2606.8500000000058</v>
      </c>
      <c r="M118" s="7">
        <v>2606.8500000000058</v>
      </c>
      <c r="N118" s="7">
        <v>3258.5599999999977</v>
      </c>
      <c r="O118" s="7">
        <v>3258.5599999999977</v>
      </c>
      <c r="P118" s="7">
        <v>3910.2700000000041</v>
      </c>
      <c r="Q118" s="7">
        <v>2606.8400000000111</v>
      </c>
      <c r="R118" s="7">
        <v>4561.9800000000105</v>
      </c>
      <c r="S118" s="7">
        <v>3258.5599999999977</v>
      </c>
      <c r="T118" s="7">
        <v>3258.5599999999995</v>
      </c>
      <c r="U118" s="7">
        <v>3258.5600000000013</v>
      </c>
      <c r="V118" s="7">
        <v>0</v>
      </c>
      <c r="W118" s="9">
        <f t="shared" si="11"/>
        <v>65171.170000000042</v>
      </c>
      <c r="X118" s="9">
        <v>73462.39</v>
      </c>
      <c r="Y118" s="9">
        <v>18732.170000000002</v>
      </c>
      <c r="Z118" s="9">
        <v>54730.22</v>
      </c>
      <c r="AA118" s="9">
        <f t="shared" si="12"/>
        <v>119901.39000000004</v>
      </c>
      <c r="AB118" s="7" t="e">
        <f>W118-#REF!</f>
        <v>#REF!</v>
      </c>
      <c r="AC118" s="12">
        <v>345</v>
      </c>
      <c r="AD118" s="12">
        <v>1</v>
      </c>
      <c r="AE118" s="12">
        <f t="shared" si="13"/>
        <v>0</v>
      </c>
      <c r="AF118" s="12">
        <f t="shared" si="14"/>
        <v>345</v>
      </c>
      <c r="AG118" s="13" t="s">
        <v>669</v>
      </c>
      <c r="AH118" s="13">
        <v>927031.94</v>
      </c>
      <c r="AI118" s="13">
        <v>390529.18</v>
      </c>
      <c r="AJ118" s="13">
        <f t="shared" si="15"/>
        <v>536502.76</v>
      </c>
    </row>
    <row r="119" spans="1:36" s="1" customFormat="1" x14ac:dyDescent="0.25">
      <c r="A119">
        <v>361</v>
      </c>
      <c r="B119">
        <v>1</v>
      </c>
      <c r="C119">
        <f t="shared" si="18"/>
        <v>1</v>
      </c>
      <c r="D119" s="1" t="s">
        <v>141</v>
      </c>
      <c r="E119" s="7">
        <v>94938.860000000015</v>
      </c>
      <c r="F119" s="7">
        <v>2018.4499999999998</v>
      </c>
      <c r="G119" s="7">
        <v>-1097.04</v>
      </c>
      <c r="H119" s="7">
        <v>33523.020000000004</v>
      </c>
      <c r="I119" s="7">
        <v>19115.929999999935</v>
      </c>
      <c r="J119" s="7">
        <v>8788.070000000007</v>
      </c>
      <c r="K119" s="7">
        <v>17378.119999999995</v>
      </c>
      <c r="L119" s="7">
        <v>15670.979999999981</v>
      </c>
      <c r="M119" s="7">
        <v>13902.489999999991</v>
      </c>
      <c r="N119" s="7">
        <v>15904.369999999995</v>
      </c>
      <c r="O119" s="7">
        <v>17658.999999999942</v>
      </c>
      <c r="P119" s="7">
        <v>20311.420000000042</v>
      </c>
      <c r="Q119" s="7">
        <v>13902.489999999991</v>
      </c>
      <c r="R119" s="7">
        <v>23717.370000000112</v>
      </c>
      <c r="S119" s="7">
        <v>17378.119999999995</v>
      </c>
      <c r="T119" s="7">
        <v>18131.579999999998</v>
      </c>
      <c r="U119" s="7">
        <v>17378.11</v>
      </c>
      <c r="V119" s="7">
        <v>70.730000000000018</v>
      </c>
      <c r="W119" s="9">
        <f t="shared" si="11"/>
        <v>348692.07</v>
      </c>
      <c r="X119" s="9">
        <v>716084.37</v>
      </c>
      <c r="Y119" s="9">
        <v>300837.21999999997</v>
      </c>
      <c r="Z119" s="9">
        <v>415247.15</v>
      </c>
      <c r="AA119" s="9">
        <f t="shared" si="12"/>
        <v>763939.22</v>
      </c>
      <c r="AB119" s="7" t="e">
        <f>W119-#REF!</f>
        <v>#REF!</v>
      </c>
      <c r="AC119" s="12">
        <v>347</v>
      </c>
      <c r="AD119" s="12">
        <v>1</v>
      </c>
      <c r="AE119" s="12">
        <f t="shared" si="13"/>
        <v>0</v>
      </c>
      <c r="AF119" s="12">
        <f t="shared" si="14"/>
        <v>347</v>
      </c>
      <c r="AG119" s="13" t="s">
        <v>670</v>
      </c>
      <c r="AH119" s="13">
        <v>1654068.69</v>
      </c>
      <c r="AI119" s="13">
        <v>689569.57</v>
      </c>
      <c r="AJ119" s="13">
        <f t="shared" si="15"/>
        <v>964499.12</v>
      </c>
    </row>
    <row r="120" spans="1:36" s="1" customFormat="1" x14ac:dyDescent="0.25">
      <c r="A120">
        <v>362</v>
      </c>
      <c r="B120">
        <v>1</v>
      </c>
      <c r="C120">
        <f t="shared" si="18"/>
        <v>1</v>
      </c>
      <c r="D120" s="1" t="s">
        <v>142</v>
      </c>
      <c r="E120" s="7">
        <v>34014.67</v>
      </c>
      <c r="F120" s="7">
        <v>6959.9499999999971</v>
      </c>
      <c r="G120" s="7">
        <v>3149.5</v>
      </c>
      <c r="H120" s="7">
        <v>5834.3500000000058</v>
      </c>
      <c r="I120" s="7">
        <v>6928.9199999999837</v>
      </c>
      <c r="J120" s="7">
        <v>1197.0899999999965</v>
      </c>
      <c r="K120" s="7">
        <v>6299.0100000000093</v>
      </c>
      <c r="L120" s="7">
        <v>6293.7200000000012</v>
      </c>
      <c r="M120" s="7">
        <v>5039.2100000000064</v>
      </c>
      <c r="N120" s="7">
        <v>5508.9399999999732</v>
      </c>
      <c r="O120" s="7">
        <v>6299.0099999999802</v>
      </c>
      <c r="P120" s="7">
        <v>6704.25</v>
      </c>
      <c r="Q120" s="7">
        <v>5039.2100000000064</v>
      </c>
      <c r="R120" s="7">
        <v>8815.7900000000081</v>
      </c>
      <c r="S120" s="7">
        <v>6299.0099999999802</v>
      </c>
      <c r="T120" s="7">
        <v>6524.7799999999988</v>
      </c>
      <c r="U120" s="7">
        <v>6299.0099999999948</v>
      </c>
      <c r="V120" s="7">
        <v>111.46000000000004</v>
      </c>
      <c r="W120" s="9">
        <f t="shared" si="11"/>
        <v>127317.87999999995</v>
      </c>
      <c r="X120" s="9">
        <v>98536.329999999987</v>
      </c>
      <c r="Y120" s="9">
        <v>46835.16</v>
      </c>
      <c r="Z120" s="9">
        <v>51701.169999999984</v>
      </c>
      <c r="AA120" s="9">
        <f t="shared" si="12"/>
        <v>179019.04999999993</v>
      </c>
      <c r="AB120" s="7" t="e">
        <f>W120-#REF!</f>
        <v>#REF!</v>
      </c>
      <c r="AC120" s="12">
        <v>356</v>
      </c>
      <c r="AD120" s="12">
        <v>1</v>
      </c>
      <c r="AE120" s="12">
        <f t="shared" si="13"/>
        <v>0</v>
      </c>
      <c r="AF120" s="12">
        <f t="shared" si="14"/>
        <v>356</v>
      </c>
      <c r="AG120" s="13" t="s">
        <v>671</v>
      </c>
      <c r="AH120" s="13">
        <v>73462.39</v>
      </c>
      <c r="AI120" s="13">
        <v>18732.170000000002</v>
      </c>
      <c r="AJ120" s="13">
        <f t="shared" si="15"/>
        <v>54730.22</v>
      </c>
    </row>
    <row r="121" spans="1:36" s="1" customFormat="1" x14ac:dyDescent="0.25">
      <c r="A121">
        <v>363</v>
      </c>
      <c r="B121">
        <v>1</v>
      </c>
      <c r="C121">
        <f t="shared" si="18"/>
        <v>1</v>
      </c>
      <c r="D121" s="1" t="s">
        <v>143</v>
      </c>
      <c r="E121" s="7">
        <v>45620.789999999994</v>
      </c>
      <c r="F121" s="7">
        <v>5981.6100000000006</v>
      </c>
      <c r="G121" s="7">
        <v>4224.1499999999942</v>
      </c>
      <c r="H121" s="7">
        <v>6986.8100000000122</v>
      </c>
      <c r="I121" s="7">
        <v>9293.1199999999953</v>
      </c>
      <c r="J121" s="7">
        <v>4327.9800000000105</v>
      </c>
      <c r="K121" s="7">
        <v>8448.289999999979</v>
      </c>
      <c r="L121" s="7">
        <v>7558.2799999999988</v>
      </c>
      <c r="M121" s="7">
        <v>6758.6300000000047</v>
      </c>
      <c r="N121" s="7">
        <v>7781.9400000000023</v>
      </c>
      <c r="O121" s="7">
        <v>8448.2999999999884</v>
      </c>
      <c r="P121" s="7">
        <v>9892.7400000000198</v>
      </c>
      <c r="Q121" s="7">
        <v>6758.6399999999849</v>
      </c>
      <c r="R121" s="7">
        <v>11816.23000000004</v>
      </c>
      <c r="S121" s="7">
        <v>8448.2999999999884</v>
      </c>
      <c r="T121" s="7">
        <v>8523.640000000014</v>
      </c>
      <c r="U121" s="7">
        <v>8448.2900000000081</v>
      </c>
      <c r="V121" s="7">
        <v>31.990000000000009</v>
      </c>
      <c r="W121" s="9">
        <f t="shared" si="11"/>
        <v>169349.73</v>
      </c>
      <c r="X121" s="9">
        <v>94420.079999999987</v>
      </c>
      <c r="Y121" s="9">
        <v>44878.68</v>
      </c>
      <c r="Z121" s="9">
        <v>49541.399999999987</v>
      </c>
      <c r="AA121" s="9">
        <f t="shared" si="12"/>
        <v>218891.13</v>
      </c>
      <c r="AB121" s="7" t="e">
        <f>W121-#REF!</f>
        <v>#REF!</v>
      </c>
      <c r="AC121" s="12">
        <v>361</v>
      </c>
      <c r="AD121" s="12">
        <v>1</v>
      </c>
      <c r="AE121" s="12">
        <f t="shared" si="13"/>
        <v>0</v>
      </c>
      <c r="AF121" s="12">
        <f t="shared" si="14"/>
        <v>361</v>
      </c>
      <c r="AG121" s="13" t="s">
        <v>672</v>
      </c>
      <c r="AH121" s="13">
        <v>716084.37</v>
      </c>
      <c r="AI121" s="13">
        <v>300837.21999999997</v>
      </c>
      <c r="AJ121" s="13">
        <f t="shared" si="15"/>
        <v>415247.15</v>
      </c>
    </row>
    <row r="122" spans="1:36" s="1" customFormat="1" x14ac:dyDescent="0.25">
      <c r="A122">
        <v>378</v>
      </c>
      <c r="B122">
        <v>1</v>
      </c>
      <c r="C122">
        <f t="shared" si="18"/>
        <v>1</v>
      </c>
      <c r="D122" s="1" t="s">
        <v>144</v>
      </c>
      <c r="E122" s="7">
        <v>45259.89</v>
      </c>
      <c r="F122" s="7">
        <v>7097.6299999999974</v>
      </c>
      <c r="G122" s="7">
        <v>4190.7299999999996</v>
      </c>
      <c r="H122" s="7">
        <v>517.17999999999984</v>
      </c>
      <c r="I122" s="7">
        <v>15924.779999999999</v>
      </c>
      <c r="J122" s="7">
        <v>3349.2200000000012</v>
      </c>
      <c r="K122" s="7">
        <v>8381.4699999999721</v>
      </c>
      <c r="L122" s="7">
        <v>8517.7300000000105</v>
      </c>
      <c r="M122" s="7">
        <v>6705.1599999999744</v>
      </c>
      <c r="N122" s="7">
        <v>6871.0100000000093</v>
      </c>
      <c r="O122" s="7">
        <v>8381.4599999999919</v>
      </c>
      <c r="P122" s="7">
        <v>9501.890000000014</v>
      </c>
      <c r="Q122" s="7">
        <v>6705.1699999999837</v>
      </c>
      <c r="R122" s="7">
        <v>11254.369999999995</v>
      </c>
      <c r="S122" s="7">
        <v>8381.4599999999919</v>
      </c>
      <c r="T122" s="7">
        <v>9006.14</v>
      </c>
      <c r="U122" s="7">
        <v>8381.4599999999991</v>
      </c>
      <c r="V122" s="7">
        <v>-3247.84</v>
      </c>
      <c r="W122" s="9">
        <f t="shared" si="11"/>
        <v>165178.90999999992</v>
      </c>
      <c r="X122" s="9">
        <v>341862.91</v>
      </c>
      <c r="Y122" s="9">
        <v>141868.44</v>
      </c>
      <c r="Z122" s="9">
        <v>199994.46999999997</v>
      </c>
      <c r="AA122" s="9">
        <f t="shared" si="12"/>
        <v>365173.37999999989</v>
      </c>
      <c r="AB122" s="7" t="e">
        <f>W122-#REF!</f>
        <v>#REF!</v>
      </c>
      <c r="AC122" s="12">
        <v>362</v>
      </c>
      <c r="AD122" s="12">
        <v>1</v>
      </c>
      <c r="AE122" s="12">
        <f t="shared" si="13"/>
        <v>0</v>
      </c>
      <c r="AF122" s="12">
        <f t="shared" si="14"/>
        <v>362</v>
      </c>
      <c r="AG122" s="13" t="s">
        <v>673</v>
      </c>
      <c r="AH122" s="13">
        <v>98536.329999999987</v>
      </c>
      <c r="AI122" s="13">
        <v>46835.16</v>
      </c>
      <c r="AJ122" s="13">
        <f t="shared" si="15"/>
        <v>51701.169999999984</v>
      </c>
    </row>
    <row r="123" spans="1:36" s="1" customFormat="1" x14ac:dyDescent="0.25">
      <c r="A123">
        <v>381</v>
      </c>
      <c r="B123">
        <v>1</v>
      </c>
      <c r="C123">
        <f t="shared" si="18"/>
        <v>1</v>
      </c>
      <c r="D123" s="1" t="s">
        <v>145</v>
      </c>
      <c r="E123" s="7">
        <v>110392.35999999999</v>
      </c>
      <c r="F123" s="7">
        <v>17773.419999999984</v>
      </c>
      <c r="G123" s="7">
        <v>10221.520000000019</v>
      </c>
      <c r="H123" s="7">
        <v>17733.699999999953</v>
      </c>
      <c r="I123" s="7">
        <v>22487.330000000075</v>
      </c>
      <c r="J123" s="7">
        <v>7793.9599999999627</v>
      </c>
      <c r="K123" s="7">
        <v>20443.030000000028</v>
      </c>
      <c r="L123" s="7">
        <v>21179.709999999963</v>
      </c>
      <c r="M123" s="7">
        <v>16354.43</v>
      </c>
      <c r="N123" s="7">
        <v>16421.920000000042</v>
      </c>
      <c r="O123" s="7">
        <v>20463.789999999921</v>
      </c>
      <c r="P123" s="7">
        <v>23051.900000000023</v>
      </c>
      <c r="Q123" s="7">
        <v>16354.419999999984</v>
      </c>
      <c r="R123" s="7">
        <v>27360.050000000047</v>
      </c>
      <c r="S123" s="7">
        <v>20443.030000000028</v>
      </c>
      <c r="T123" s="7">
        <v>22089.260000000009</v>
      </c>
      <c r="U123" s="7">
        <v>20443.030000000028</v>
      </c>
      <c r="V123" s="7">
        <v>190.65999999999985</v>
      </c>
      <c r="W123" s="9">
        <f t="shared" si="11"/>
        <v>411197.52</v>
      </c>
      <c r="X123" s="9">
        <v>125005.99999999999</v>
      </c>
      <c r="Y123" s="9">
        <v>42468.25</v>
      </c>
      <c r="Z123" s="9">
        <v>82537.749999999985</v>
      </c>
      <c r="AA123" s="9">
        <f t="shared" si="12"/>
        <v>493735.27</v>
      </c>
      <c r="AB123" s="7" t="e">
        <f>W123-#REF!</f>
        <v>#REF!</v>
      </c>
      <c r="AC123" s="12">
        <v>363</v>
      </c>
      <c r="AD123" s="12">
        <v>1</v>
      </c>
      <c r="AE123" s="12">
        <f t="shared" si="13"/>
        <v>0</v>
      </c>
      <c r="AF123" s="12">
        <f t="shared" si="14"/>
        <v>363</v>
      </c>
      <c r="AG123" s="13" t="s">
        <v>674</v>
      </c>
      <c r="AH123" s="13">
        <v>94420.079999999987</v>
      </c>
      <c r="AI123" s="13">
        <v>44878.68</v>
      </c>
      <c r="AJ123" s="13">
        <f t="shared" si="15"/>
        <v>49541.399999999987</v>
      </c>
    </row>
    <row r="124" spans="1:36" s="1" customFormat="1" x14ac:dyDescent="0.25">
      <c r="A124">
        <v>390</v>
      </c>
      <c r="B124">
        <v>1</v>
      </c>
      <c r="C124">
        <f t="shared" si="18"/>
        <v>1</v>
      </c>
      <c r="D124" s="1" t="s">
        <v>146</v>
      </c>
      <c r="E124" s="7">
        <v>47792.209999999992</v>
      </c>
      <c r="F124" s="7">
        <v>1938.4299999999998</v>
      </c>
      <c r="G124" s="7">
        <v>0</v>
      </c>
      <c r="H124" s="7">
        <v>17300.39</v>
      </c>
      <c r="I124" s="7">
        <v>9735.4500000000116</v>
      </c>
      <c r="J124" s="7">
        <v>3736.4099999999744</v>
      </c>
      <c r="K124" s="7">
        <v>8850.4099999999744</v>
      </c>
      <c r="L124" s="7">
        <v>8658.4800000000105</v>
      </c>
      <c r="M124" s="7">
        <v>7080.3299999999872</v>
      </c>
      <c r="N124" s="7">
        <v>7555.3099999999977</v>
      </c>
      <c r="O124" s="7">
        <v>8850.4100000000035</v>
      </c>
      <c r="P124" s="7">
        <v>10099.650000000023</v>
      </c>
      <c r="Q124" s="7">
        <v>7080.3199999999779</v>
      </c>
      <c r="R124" s="7">
        <v>12255.589999999967</v>
      </c>
      <c r="S124" s="7">
        <v>8850.4099999999744</v>
      </c>
      <c r="T124" s="7">
        <v>9121.2800000000007</v>
      </c>
      <c r="U124" s="7">
        <v>8850.4100000000035</v>
      </c>
      <c r="V124" s="7">
        <v>67.930000000000064</v>
      </c>
      <c r="W124" s="9">
        <f t="shared" si="11"/>
        <v>177823.4199999999</v>
      </c>
      <c r="X124" s="9">
        <v>365621.28</v>
      </c>
      <c r="Y124" s="9">
        <v>173782.94999999998</v>
      </c>
      <c r="Z124" s="9">
        <v>191838.33000000005</v>
      </c>
      <c r="AA124" s="9">
        <f t="shared" si="12"/>
        <v>369661.74999999994</v>
      </c>
      <c r="AB124" s="7" t="e">
        <f>W124-#REF!</f>
        <v>#REF!</v>
      </c>
      <c r="AC124" s="12">
        <v>378</v>
      </c>
      <c r="AD124" s="12">
        <v>1</v>
      </c>
      <c r="AE124" s="12">
        <f t="shared" si="13"/>
        <v>0</v>
      </c>
      <c r="AF124" s="12">
        <f t="shared" si="14"/>
        <v>378</v>
      </c>
      <c r="AG124" s="13" t="s">
        <v>675</v>
      </c>
      <c r="AH124" s="13">
        <v>341862.91</v>
      </c>
      <c r="AI124" s="13">
        <v>141868.44</v>
      </c>
      <c r="AJ124" s="13">
        <f t="shared" si="15"/>
        <v>199994.46999999997</v>
      </c>
    </row>
    <row r="125" spans="1:36" s="1" customFormat="1" x14ac:dyDescent="0.25">
      <c r="A125">
        <v>391</v>
      </c>
      <c r="B125">
        <v>1</v>
      </c>
      <c r="C125">
        <f t="shared" si="18"/>
        <v>1</v>
      </c>
      <c r="D125" s="1" t="s">
        <v>147</v>
      </c>
      <c r="E125" s="7">
        <v>32067.119999999995</v>
      </c>
      <c r="F125" s="7">
        <v>0</v>
      </c>
      <c r="G125" s="7">
        <v>0</v>
      </c>
      <c r="H125" s="7">
        <v>0</v>
      </c>
      <c r="I125" s="7">
        <v>17815.070000000007</v>
      </c>
      <c r="J125" s="7">
        <v>3563</v>
      </c>
      <c r="K125" s="7">
        <v>5938.359999999986</v>
      </c>
      <c r="L125" s="7">
        <v>4750.6900000000023</v>
      </c>
      <c r="M125" s="7">
        <v>4750.6699999999837</v>
      </c>
      <c r="N125" s="7">
        <v>5938.359999999986</v>
      </c>
      <c r="O125" s="7">
        <v>5938.359999999986</v>
      </c>
      <c r="P125" s="7">
        <v>7126.0199999999895</v>
      </c>
      <c r="Q125" s="7">
        <v>4750.6900000000023</v>
      </c>
      <c r="R125" s="7">
        <v>8313.6900000000314</v>
      </c>
      <c r="S125" s="7">
        <v>17815.070000000007</v>
      </c>
      <c r="T125" s="7">
        <v>0</v>
      </c>
      <c r="U125" s="7">
        <v>0</v>
      </c>
      <c r="V125" s="7">
        <v>0</v>
      </c>
      <c r="W125" s="9">
        <f t="shared" si="11"/>
        <v>118767.09999999998</v>
      </c>
      <c r="X125" s="9">
        <v>318519.33</v>
      </c>
      <c r="Y125" s="9">
        <v>129356.76000000001</v>
      </c>
      <c r="Z125" s="9">
        <v>189162.57</v>
      </c>
      <c r="AA125" s="9">
        <f t="shared" si="12"/>
        <v>307929.67</v>
      </c>
      <c r="AB125" s="7" t="e">
        <f>W125-#REF!</f>
        <v>#REF!</v>
      </c>
      <c r="AC125" s="12">
        <v>381</v>
      </c>
      <c r="AD125" s="12">
        <v>1</v>
      </c>
      <c r="AE125" s="12">
        <f t="shared" si="13"/>
        <v>0</v>
      </c>
      <c r="AF125" s="12">
        <f t="shared" si="14"/>
        <v>381</v>
      </c>
      <c r="AG125" s="13" t="s">
        <v>676</v>
      </c>
      <c r="AH125" s="13">
        <v>125005.99999999999</v>
      </c>
      <c r="AI125" s="13">
        <v>42468.25</v>
      </c>
      <c r="AJ125" s="13">
        <f t="shared" si="15"/>
        <v>82537.749999999985</v>
      </c>
    </row>
    <row r="126" spans="1:36" s="1" customFormat="1" x14ac:dyDescent="0.25">
      <c r="A126">
        <v>402</v>
      </c>
      <c r="B126">
        <v>1</v>
      </c>
      <c r="C126">
        <f t="shared" si="18"/>
        <v>1</v>
      </c>
      <c r="D126" s="1" t="s">
        <v>149</v>
      </c>
      <c r="E126" s="7">
        <v>12239.82</v>
      </c>
      <c r="F126" s="7">
        <v>0</v>
      </c>
      <c r="G126" s="7">
        <v>-2037.36</v>
      </c>
      <c r="H126" s="7">
        <v>0</v>
      </c>
      <c r="I126" s="7">
        <v>5668.02</v>
      </c>
      <c r="J126" s="7">
        <v>1133.6100000000006</v>
      </c>
      <c r="K126" s="7">
        <v>1889.3400000000038</v>
      </c>
      <c r="L126" s="7">
        <v>1511.4700000000012</v>
      </c>
      <c r="M126" s="7">
        <v>1511.4800000000032</v>
      </c>
      <c r="N126" s="7">
        <v>1889.3399999999965</v>
      </c>
      <c r="O126" s="7">
        <v>1889.3499999999985</v>
      </c>
      <c r="P126" s="7">
        <v>2267.2100000000064</v>
      </c>
      <c r="Q126" s="7">
        <v>1511.4700000000012</v>
      </c>
      <c r="R126" s="7">
        <v>2645.0800000000017</v>
      </c>
      <c r="S126" s="7">
        <v>5668.0299999999988</v>
      </c>
      <c r="T126" s="7">
        <v>0</v>
      </c>
      <c r="U126" s="7">
        <v>0</v>
      </c>
      <c r="V126" s="7">
        <v>-280.3</v>
      </c>
      <c r="W126" s="9">
        <f t="shared" si="11"/>
        <v>37506.560000000012</v>
      </c>
      <c r="X126" s="9">
        <v>134925.97</v>
      </c>
      <c r="Y126" s="9">
        <v>58921.56</v>
      </c>
      <c r="Z126" s="9">
        <v>76004.41</v>
      </c>
      <c r="AA126" s="9">
        <f t="shared" si="12"/>
        <v>113510.97000000002</v>
      </c>
      <c r="AB126" s="7" t="e">
        <f>W126-#REF!</f>
        <v>#REF!</v>
      </c>
      <c r="AC126" s="12">
        <v>390</v>
      </c>
      <c r="AD126" s="12">
        <v>1</v>
      </c>
      <c r="AE126" s="12">
        <f t="shared" si="13"/>
        <v>0</v>
      </c>
      <c r="AF126" s="12">
        <f t="shared" si="14"/>
        <v>390</v>
      </c>
      <c r="AG126" s="13" t="s">
        <v>677</v>
      </c>
      <c r="AH126" s="13">
        <v>365621.28</v>
      </c>
      <c r="AI126" s="13">
        <v>173782.94999999998</v>
      </c>
      <c r="AJ126" s="13">
        <f t="shared" si="15"/>
        <v>191838.33000000005</v>
      </c>
    </row>
    <row r="127" spans="1:36" s="1" customFormat="1" x14ac:dyDescent="0.25">
      <c r="A127">
        <v>403</v>
      </c>
      <c r="B127">
        <v>1</v>
      </c>
      <c r="C127">
        <f t="shared" si="18"/>
        <v>1</v>
      </c>
      <c r="D127" s="1" t="s">
        <v>150</v>
      </c>
      <c r="E127" s="7">
        <v>19734.450000000004</v>
      </c>
      <c r="F127" s="7">
        <v>3416.5599999999995</v>
      </c>
      <c r="G127" s="7">
        <v>-1597.3599999999997</v>
      </c>
      <c r="H127" s="7">
        <v>393.0100000000001</v>
      </c>
      <c r="I127" s="7">
        <v>5840.75</v>
      </c>
      <c r="J127" s="7">
        <v>568.05000000000291</v>
      </c>
      <c r="K127" s="7">
        <v>3074.0799999999872</v>
      </c>
      <c r="L127" s="7">
        <v>3836.6900000000023</v>
      </c>
      <c r="M127" s="7">
        <v>2459.2699999999895</v>
      </c>
      <c r="N127" s="7">
        <v>1926.2299999999959</v>
      </c>
      <c r="O127" s="7">
        <v>3074.0800000000017</v>
      </c>
      <c r="P127" s="7">
        <v>3266.4799999999959</v>
      </c>
      <c r="Q127" s="7">
        <v>2459.2700000000041</v>
      </c>
      <c r="R127" s="7">
        <v>4205.4499999999971</v>
      </c>
      <c r="S127" s="7">
        <v>3074.0899999999965</v>
      </c>
      <c r="T127" s="7">
        <v>3282.5300000000007</v>
      </c>
      <c r="U127" s="7">
        <v>3074.09</v>
      </c>
      <c r="V127" s="7">
        <v>-1010.6799999999998</v>
      </c>
      <c r="W127" s="9">
        <f t="shared" si="11"/>
        <v>61077.039999999972</v>
      </c>
      <c r="X127" s="9">
        <v>138432.44</v>
      </c>
      <c r="Y127" s="9">
        <v>56777.93</v>
      </c>
      <c r="Z127" s="9">
        <v>81654.510000000009</v>
      </c>
      <c r="AA127" s="9">
        <f t="shared" si="12"/>
        <v>142731.54999999999</v>
      </c>
      <c r="AB127" s="7" t="e">
        <f>W127-#REF!</f>
        <v>#REF!</v>
      </c>
      <c r="AC127" s="12">
        <v>391</v>
      </c>
      <c r="AD127" s="12">
        <v>1</v>
      </c>
      <c r="AE127" s="12">
        <f t="shared" si="13"/>
        <v>0</v>
      </c>
      <c r="AF127" s="12">
        <f t="shared" si="14"/>
        <v>391</v>
      </c>
      <c r="AG127" s="13" t="s">
        <v>678</v>
      </c>
      <c r="AH127" s="13">
        <v>318519.33</v>
      </c>
      <c r="AI127" s="13">
        <v>129356.76000000001</v>
      </c>
      <c r="AJ127" s="13">
        <f t="shared" si="15"/>
        <v>189162.57</v>
      </c>
    </row>
    <row r="128" spans="1:36" s="1" customFormat="1" x14ac:dyDescent="0.25">
      <c r="A128">
        <v>404</v>
      </c>
      <c r="B128">
        <v>1</v>
      </c>
      <c r="C128">
        <f t="shared" si="18"/>
        <v>1</v>
      </c>
      <c r="D128" s="1" t="s">
        <v>151</v>
      </c>
      <c r="E128" s="7">
        <v>14134.400000000001</v>
      </c>
      <c r="F128" s="7">
        <v>1062.5</v>
      </c>
      <c r="G128" s="7">
        <v>0</v>
      </c>
      <c r="H128" s="7">
        <v>265.61</v>
      </c>
      <c r="I128" s="7">
        <v>7852.4399999999987</v>
      </c>
      <c r="J128" s="7">
        <v>707.84000000000378</v>
      </c>
      <c r="K128" s="7">
        <v>2617.4799999999959</v>
      </c>
      <c r="L128" s="7">
        <v>3024.9100000000035</v>
      </c>
      <c r="M128" s="7">
        <v>2093.9900000000052</v>
      </c>
      <c r="N128" s="7">
        <v>1841.6999999999971</v>
      </c>
      <c r="O128" s="7">
        <v>2617.4899999999907</v>
      </c>
      <c r="P128" s="7">
        <v>2855.4900000000052</v>
      </c>
      <c r="Q128" s="7">
        <v>2093.9800000000105</v>
      </c>
      <c r="R128" s="7">
        <v>3477.2400000000052</v>
      </c>
      <c r="S128" s="7">
        <v>7852.4399999999987</v>
      </c>
      <c r="T128" s="7">
        <v>261.71999999999991</v>
      </c>
      <c r="U128" s="7">
        <v>0</v>
      </c>
      <c r="V128" s="7">
        <v>37.229999999999905</v>
      </c>
      <c r="W128" s="9">
        <f t="shared" si="11"/>
        <v>52796.460000000028</v>
      </c>
      <c r="X128" s="9">
        <v>135807.71</v>
      </c>
      <c r="Y128" s="9">
        <v>27355.21</v>
      </c>
      <c r="Z128" s="9">
        <v>108452.5</v>
      </c>
      <c r="AA128" s="9">
        <f t="shared" si="12"/>
        <v>161248.96000000002</v>
      </c>
      <c r="AB128" s="7" t="e">
        <f>W128-#REF!</f>
        <v>#REF!</v>
      </c>
      <c r="AC128" s="12">
        <v>402</v>
      </c>
      <c r="AD128" s="12">
        <v>1</v>
      </c>
      <c r="AE128" s="12">
        <f t="shared" si="13"/>
        <v>0</v>
      </c>
      <c r="AF128" s="12">
        <f t="shared" si="14"/>
        <v>402</v>
      </c>
      <c r="AG128" s="13" t="s">
        <v>679</v>
      </c>
      <c r="AH128" s="13">
        <v>134925.97</v>
      </c>
      <c r="AI128" s="13">
        <v>58921.56</v>
      </c>
      <c r="AJ128" s="13">
        <f t="shared" si="15"/>
        <v>76004.41</v>
      </c>
    </row>
    <row r="129" spans="1:36" s="1" customFormat="1" x14ac:dyDescent="0.25">
      <c r="A129">
        <v>413</v>
      </c>
      <c r="B129">
        <v>1</v>
      </c>
      <c r="C129">
        <f t="shared" si="18"/>
        <v>1</v>
      </c>
      <c r="D129" s="1" t="s">
        <v>152</v>
      </c>
      <c r="E129" s="7">
        <v>202612.92999999993</v>
      </c>
      <c r="F129" s="7">
        <v>1509.24</v>
      </c>
      <c r="G129" s="7">
        <v>-3918</v>
      </c>
      <c r="H129" s="7">
        <v>70288.520000000019</v>
      </c>
      <c r="I129" s="7">
        <v>40474.889999999898</v>
      </c>
      <c r="J129" s="7">
        <v>20851.809999999939</v>
      </c>
      <c r="K129" s="7">
        <v>36795.359999999986</v>
      </c>
      <c r="L129" s="7">
        <v>30758.640000000014</v>
      </c>
      <c r="M129" s="7">
        <v>29436.290000000037</v>
      </c>
      <c r="N129" s="7">
        <v>35693.400000000023</v>
      </c>
      <c r="O129" s="7">
        <v>38946.189999999944</v>
      </c>
      <c r="P129" s="7">
        <v>43748.889999999898</v>
      </c>
      <c r="Q129" s="7">
        <v>31596.290000000037</v>
      </c>
      <c r="R129" s="7">
        <v>51489.10999999987</v>
      </c>
      <c r="S129" s="7">
        <v>36795.369999999995</v>
      </c>
      <c r="T129" s="7">
        <v>36925.50999999998</v>
      </c>
      <c r="U129" s="7">
        <v>36795.359999999986</v>
      </c>
      <c r="V129" s="7">
        <v>-25164.25</v>
      </c>
      <c r="W129" s="9">
        <f t="shared" si="11"/>
        <v>715635.54999999958</v>
      </c>
      <c r="X129" s="9">
        <v>1211135.75</v>
      </c>
      <c r="Y129" s="9">
        <v>478262.36000000004</v>
      </c>
      <c r="Z129" s="9">
        <v>732873.3899999999</v>
      </c>
      <c r="AA129" s="9">
        <f t="shared" si="12"/>
        <v>1448508.9399999995</v>
      </c>
      <c r="AB129" s="7" t="e">
        <f>W129-#REF!</f>
        <v>#REF!</v>
      </c>
      <c r="AC129" s="12">
        <v>403</v>
      </c>
      <c r="AD129" s="12">
        <v>1</v>
      </c>
      <c r="AE129" s="12">
        <f t="shared" si="13"/>
        <v>0</v>
      </c>
      <c r="AF129" s="12">
        <f t="shared" si="14"/>
        <v>403</v>
      </c>
      <c r="AG129" s="13" t="s">
        <v>680</v>
      </c>
      <c r="AH129" s="13">
        <v>138432.44</v>
      </c>
      <c r="AI129" s="13">
        <v>56777.93</v>
      </c>
      <c r="AJ129" s="13">
        <f t="shared" si="15"/>
        <v>81654.510000000009</v>
      </c>
    </row>
    <row r="130" spans="1:36" s="1" customFormat="1" x14ac:dyDescent="0.25">
      <c r="A130">
        <v>414</v>
      </c>
      <c r="B130">
        <v>1</v>
      </c>
      <c r="C130">
        <f t="shared" si="18"/>
        <v>1</v>
      </c>
      <c r="D130" s="1" t="s">
        <v>153</v>
      </c>
      <c r="E130" s="7">
        <v>75072.229999999981</v>
      </c>
      <c r="F130" s="7">
        <v>5709.8399999999965</v>
      </c>
      <c r="G130" s="7">
        <v>-29977.71</v>
      </c>
      <c r="H130" s="7">
        <v>6395.5199999999968</v>
      </c>
      <c r="I130" s="7">
        <v>8407.4500000000116</v>
      </c>
      <c r="J130" s="7">
        <v>3673.2999999999884</v>
      </c>
      <c r="K130" s="7">
        <v>7643.1399999999849</v>
      </c>
      <c r="L130" s="7">
        <v>7099.3099999999977</v>
      </c>
      <c r="M130" s="7">
        <v>6114.5099999999802</v>
      </c>
      <c r="N130" s="7">
        <v>6822.4800000000105</v>
      </c>
      <c r="O130" s="7">
        <v>8480.5200000000186</v>
      </c>
      <c r="P130" s="7">
        <v>8869.7699999999895</v>
      </c>
      <c r="Q130" s="7">
        <v>6114.5099999999802</v>
      </c>
      <c r="R130" s="7">
        <v>10678.309999999998</v>
      </c>
      <c r="S130" s="7">
        <v>7643.1399999999849</v>
      </c>
      <c r="T130" s="7">
        <v>7744</v>
      </c>
      <c r="U130" s="7">
        <v>7643.1399999999994</v>
      </c>
      <c r="V130" s="7">
        <v>-3294.0600000000004</v>
      </c>
      <c r="W130" s="9">
        <f t="shared" si="11"/>
        <v>150839.39999999991</v>
      </c>
      <c r="X130" s="9">
        <v>169110.68</v>
      </c>
      <c r="Y130" s="9">
        <v>65346.539999999994</v>
      </c>
      <c r="Z130" s="9">
        <v>103764.14</v>
      </c>
      <c r="AA130" s="9">
        <f t="shared" si="12"/>
        <v>254603.53999999992</v>
      </c>
      <c r="AB130" s="7" t="e">
        <f>W130-#REF!</f>
        <v>#REF!</v>
      </c>
      <c r="AC130" s="12">
        <v>404</v>
      </c>
      <c r="AD130" s="12">
        <v>1</v>
      </c>
      <c r="AE130" s="12">
        <f t="shared" si="13"/>
        <v>0</v>
      </c>
      <c r="AF130" s="12">
        <f t="shared" si="14"/>
        <v>404</v>
      </c>
      <c r="AG130" s="13" t="s">
        <v>681</v>
      </c>
      <c r="AH130" s="13">
        <v>135807.71</v>
      </c>
      <c r="AI130" s="13">
        <v>27355.21</v>
      </c>
      <c r="AJ130" s="13">
        <f t="shared" si="15"/>
        <v>108452.5</v>
      </c>
    </row>
    <row r="131" spans="1:36" s="1" customFormat="1" x14ac:dyDescent="0.25">
      <c r="A131">
        <v>415</v>
      </c>
      <c r="B131">
        <v>1</v>
      </c>
      <c r="C131">
        <f t="shared" si="18"/>
        <v>1</v>
      </c>
      <c r="D131" s="1" t="s">
        <v>154</v>
      </c>
      <c r="E131" s="7">
        <v>14874.960000000006</v>
      </c>
      <c r="F131" s="7">
        <v>0</v>
      </c>
      <c r="G131" s="7">
        <v>0</v>
      </c>
      <c r="H131" s="7">
        <v>0</v>
      </c>
      <c r="I131" s="7">
        <v>8263.86</v>
      </c>
      <c r="J131" s="7">
        <v>1652.7799999999988</v>
      </c>
      <c r="K131" s="7">
        <v>2754.6199999999953</v>
      </c>
      <c r="L131" s="7">
        <v>2203.6900000000023</v>
      </c>
      <c r="M131" s="7">
        <v>2203.6999999999971</v>
      </c>
      <c r="N131" s="7">
        <v>2754.6199999999953</v>
      </c>
      <c r="O131" s="7">
        <v>2775.1199999999953</v>
      </c>
      <c r="P131" s="7">
        <v>3305.5500000000029</v>
      </c>
      <c r="Q131" s="7">
        <v>2203.6999999999971</v>
      </c>
      <c r="R131" s="7">
        <v>3856.4700000000012</v>
      </c>
      <c r="S131" s="7">
        <v>8263.8599999999933</v>
      </c>
      <c r="T131" s="7">
        <v>0</v>
      </c>
      <c r="U131" s="7">
        <v>0</v>
      </c>
      <c r="V131" s="7">
        <v>-2247.64</v>
      </c>
      <c r="W131" s="9">
        <f t="shared" si="11"/>
        <v>52865.289999999986</v>
      </c>
      <c r="X131" s="9">
        <v>176663.86</v>
      </c>
      <c r="Y131" s="9">
        <v>73010.7</v>
      </c>
      <c r="Z131" s="9">
        <v>103653.15999999999</v>
      </c>
      <c r="AA131" s="9">
        <f t="shared" si="12"/>
        <v>156518.44999999998</v>
      </c>
      <c r="AB131" s="7" t="e">
        <f>W131-#REF!</f>
        <v>#REF!</v>
      </c>
      <c r="AC131" s="12">
        <v>413</v>
      </c>
      <c r="AD131" s="12">
        <v>1</v>
      </c>
      <c r="AE131" s="12">
        <f t="shared" si="13"/>
        <v>0</v>
      </c>
      <c r="AF131" s="12">
        <f t="shared" si="14"/>
        <v>413</v>
      </c>
      <c r="AG131" s="13" t="s">
        <v>682</v>
      </c>
      <c r="AH131" s="13">
        <v>1211135.75</v>
      </c>
      <c r="AI131" s="13">
        <v>478262.36000000004</v>
      </c>
      <c r="AJ131" s="13">
        <f t="shared" si="15"/>
        <v>732873.3899999999</v>
      </c>
    </row>
    <row r="132" spans="1:36" s="1" customFormat="1" x14ac:dyDescent="0.25">
      <c r="A132">
        <v>423</v>
      </c>
      <c r="B132">
        <v>1</v>
      </c>
      <c r="C132">
        <f t="shared" si="18"/>
        <v>1</v>
      </c>
      <c r="D132" s="1" t="s">
        <v>155</v>
      </c>
      <c r="E132" s="7">
        <v>237631.01999999996</v>
      </c>
      <c r="F132" s="7">
        <v>1713.0699999999997</v>
      </c>
      <c r="G132" s="7">
        <v>-10291.280000000001</v>
      </c>
      <c r="H132" s="7">
        <v>80418.169999999984</v>
      </c>
      <c r="I132" s="7">
        <v>46309.949999999953</v>
      </c>
      <c r="J132" s="7">
        <v>23869.109999999986</v>
      </c>
      <c r="K132" s="7">
        <v>42099.949999999953</v>
      </c>
      <c r="L132" s="7">
        <v>35180.900000000023</v>
      </c>
      <c r="M132" s="7">
        <v>33679.970000000088</v>
      </c>
      <c r="N132" s="7">
        <v>40849.169999999925</v>
      </c>
      <c r="O132" s="7">
        <v>44015.440000000177</v>
      </c>
      <c r="P132" s="7">
        <v>50059.669999999925</v>
      </c>
      <c r="Q132" s="7">
        <v>33679.959999999963</v>
      </c>
      <c r="R132" s="7">
        <v>58678.879999999888</v>
      </c>
      <c r="S132" s="7">
        <v>42099.949999999953</v>
      </c>
      <c r="T132" s="7">
        <v>42481.080000000016</v>
      </c>
      <c r="U132" s="7">
        <v>42099.950000000012</v>
      </c>
      <c r="V132" s="7">
        <v>60.039999999999964</v>
      </c>
      <c r="W132" s="9">
        <f t="shared" si="11"/>
        <v>844634.99999999977</v>
      </c>
      <c r="X132" s="9">
        <v>1464603.69</v>
      </c>
      <c r="Y132" s="9">
        <v>612582.26</v>
      </c>
      <c r="Z132" s="9">
        <v>852021.42999999993</v>
      </c>
      <c r="AA132" s="9">
        <f t="shared" si="12"/>
        <v>1696656.4299999997</v>
      </c>
      <c r="AB132" s="7" t="e">
        <f>W132-#REF!</f>
        <v>#REF!</v>
      </c>
      <c r="AC132" s="12">
        <v>414</v>
      </c>
      <c r="AD132" s="12">
        <v>1</v>
      </c>
      <c r="AE132" s="12">
        <f t="shared" si="13"/>
        <v>0</v>
      </c>
      <c r="AF132" s="12">
        <f t="shared" si="14"/>
        <v>414</v>
      </c>
      <c r="AG132" s="13" t="s">
        <v>683</v>
      </c>
      <c r="AH132" s="13">
        <v>169110.68</v>
      </c>
      <c r="AI132" s="13">
        <v>65346.539999999994</v>
      </c>
      <c r="AJ132" s="13">
        <f t="shared" si="15"/>
        <v>103764.14</v>
      </c>
    </row>
    <row r="133" spans="1:36" s="1" customFormat="1" x14ac:dyDescent="0.25">
      <c r="A133">
        <v>424</v>
      </c>
      <c r="B133">
        <v>1</v>
      </c>
      <c r="C133">
        <f t="shared" si="18"/>
        <v>1</v>
      </c>
      <c r="D133" s="1" t="s">
        <v>156</v>
      </c>
      <c r="E133" s="7">
        <v>30562.539999999994</v>
      </c>
      <c r="F133" s="7">
        <v>774.75000000000011</v>
      </c>
      <c r="G133" s="7">
        <v>0</v>
      </c>
      <c r="H133" s="7">
        <v>10947.200000000004</v>
      </c>
      <c r="I133" s="7">
        <v>6225.7000000000116</v>
      </c>
      <c r="J133" s="7">
        <v>2766.7900000000081</v>
      </c>
      <c r="K133" s="7">
        <v>5659.7299999999814</v>
      </c>
      <c r="L133" s="7">
        <v>5206.6000000000058</v>
      </c>
      <c r="M133" s="7">
        <v>4527.7800000000134</v>
      </c>
      <c r="N133" s="7">
        <v>5094.0499999999884</v>
      </c>
      <c r="O133" s="7">
        <v>5662.4700000000012</v>
      </c>
      <c r="P133" s="7">
        <v>6583.5100000000093</v>
      </c>
      <c r="Q133" s="7">
        <v>4527.7900000000081</v>
      </c>
      <c r="R133" s="7">
        <v>7877.5199999999895</v>
      </c>
      <c r="S133" s="7">
        <v>5659.7399999999907</v>
      </c>
      <c r="T133" s="7">
        <v>5760.1200000000026</v>
      </c>
      <c r="U133" s="7">
        <v>5659.7299999999959</v>
      </c>
      <c r="V133" s="7">
        <v>27.159999999999968</v>
      </c>
      <c r="W133" s="9">
        <f t="shared" si="11"/>
        <v>113523.18000000001</v>
      </c>
      <c r="X133" s="9">
        <v>147440.97</v>
      </c>
      <c r="Y133" s="9">
        <v>57367.3</v>
      </c>
      <c r="Z133" s="9">
        <v>90073.67</v>
      </c>
      <c r="AA133" s="9">
        <f t="shared" si="12"/>
        <v>203596.85</v>
      </c>
      <c r="AB133" s="7" t="e">
        <f>W133-#REF!</f>
        <v>#REF!</v>
      </c>
      <c r="AC133" s="12">
        <v>415</v>
      </c>
      <c r="AD133" s="12">
        <v>1</v>
      </c>
      <c r="AE133" s="12">
        <f t="shared" si="13"/>
        <v>0</v>
      </c>
      <c r="AF133" s="12">
        <f t="shared" si="14"/>
        <v>415</v>
      </c>
      <c r="AG133" s="13" t="s">
        <v>684</v>
      </c>
      <c r="AH133" s="13">
        <v>176663.86</v>
      </c>
      <c r="AI133" s="13">
        <v>73010.7</v>
      </c>
      <c r="AJ133" s="13">
        <f t="shared" si="15"/>
        <v>103653.15999999999</v>
      </c>
    </row>
    <row r="134" spans="1:36" s="1" customFormat="1" x14ac:dyDescent="0.25">
      <c r="A134">
        <v>432</v>
      </c>
      <c r="B134">
        <v>1</v>
      </c>
      <c r="C134">
        <f t="shared" si="18"/>
        <v>1</v>
      </c>
      <c r="D134" s="1" t="s">
        <v>157</v>
      </c>
      <c r="E134" s="7">
        <v>75672.649999999994</v>
      </c>
      <c r="F134" s="7">
        <v>9467.4500000000116</v>
      </c>
      <c r="G134" s="7">
        <v>-11429.160000000018</v>
      </c>
      <c r="H134" s="7">
        <v>9444.5299999999988</v>
      </c>
      <c r="I134" s="7">
        <v>11977.609999999986</v>
      </c>
      <c r="J134" s="7">
        <v>4150.9100000000035</v>
      </c>
      <c r="K134" s="7">
        <v>10888.73000000004</v>
      </c>
      <c r="L134" s="7">
        <v>11281.839999999997</v>
      </c>
      <c r="M134" s="7">
        <v>8710.9800000000105</v>
      </c>
      <c r="N134" s="7">
        <v>8746.359999999986</v>
      </c>
      <c r="O134" s="7">
        <v>11106.909999999974</v>
      </c>
      <c r="P134" s="7">
        <v>12278.050000000047</v>
      </c>
      <c r="Q134" s="7">
        <v>8710.9800000000105</v>
      </c>
      <c r="R134" s="7">
        <v>14481.540000000037</v>
      </c>
      <c r="S134" s="7">
        <v>10888.73000000004</v>
      </c>
      <c r="T134" s="7">
        <v>11857.089999999997</v>
      </c>
      <c r="U134" s="7">
        <v>10888.73000000001</v>
      </c>
      <c r="V134" s="7">
        <v>102.82999999999993</v>
      </c>
      <c r="W134" s="9">
        <f t="shared" si="11"/>
        <v>219226.76000000013</v>
      </c>
      <c r="X134" s="9">
        <v>88810.76</v>
      </c>
      <c r="Y134" s="9">
        <v>42212.52</v>
      </c>
      <c r="Z134" s="9">
        <v>46598.239999999998</v>
      </c>
      <c r="AA134" s="9">
        <f t="shared" si="12"/>
        <v>265825.00000000012</v>
      </c>
      <c r="AB134" s="7" t="e">
        <f>W134-#REF!</f>
        <v>#REF!</v>
      </c>
      <c r="AC134" s="12">
        <v>423</v>
      </c>
      <c r="AD134" s="12">
        <v>1</v>
      </c>
      <c r="AE134" s="12">
        <f t="shared" si="13"/>
        <v>0</v>
      </c>
      <c r="AF134" s="12">
        <f t="shared" si="14"/>
        <v>423</v>
      </c>
      <c r="AG134" s="13" t="s">
        <v>685</v>
      </c>
      <c r="AH134" s="13">
        <v>1464603.69</v>
      </c>
      <c r="AI134" s="13">
        <v>612582.26</v>
      </c>
      <c r="AJ134" s="13">
        <f t="shared" si="15"/>
        <v>852021.42999999993</v>
      </c>
    </row>
    <row r="135" spans="1:36" s="1" customFormat="1" x14ac:dyDescent="0.25">
      <c r="A135">
        <v>435</v>
      </c>
      <c r="B135">
        <v>1</v>
      </c>
      <c r="C135">
        <f t="shared" si="18"/>
        <v>1</v>
      </c>
      <c r="D135" s="1" t="s">
        <v>158</v>
      </c>
      <c r="E135" s="7">
        <v>57642.490000000005</v>
      </c>
      <c r="F135" s="7">
        <v>7756.8500000000058</v>
      </c>
      <c r="G135" s="7">
        <v>5223.1100000000006</v>
      </c>
      <c r="H135" s="7">
        <v>8865.0999999999767</v>
      </c>
      <c r="I135" s="7">
        <v>11720.710000000021</v>
      </c>
      <c r="J135" s="7">
        <v>5285.859999999986</v>
      </c>
      <c r="K135" s="7">
        <v>10655.190000000002</v>
      </c>
      <c r="L135" s="7">
        <v>9719.0299999999988</v>
      </c>
      <c r="M135" s="7">
        <v>8524.1399999999849</v>
      </c>
      <c r="N135" s="7">
        <v>9659.460000000021</v>
      </c>
      <c r="O135" s="7">
        <v>10655.190000000002</v>
      </c>
      <c r="P135" s="7">
        <v>12419.800000000047</v>
      </c>
      <c r="Q135" s="7">
        <v>8524.1499999999942</v>
      </c>
      <c r="R135" s="7">
        <v>14751.919999999984</v>
      </c>
      <c r="S135" s="7">
        <v>10655.179999999993</v>
      </c>
      <c r="T135" s="7">
        <v>10916.140000000014</v>
      </c>
      <c r="U135" s="7">
        <v>10655.190000000002</v>
      </c>
      <c r="V135" s="7">
        <v>47.799999999999955</v>
      </c>
      <c r="W135" s="9">
        <f t="shared" si="11"/>
        <v>213677.31000000003</v>
      </c>
      <c r="X135" s="9">
        <v>153825.07</v>
      </c>
      <c r="Y135" s="9">
        <v>73114.38</v>
      </c>
      <c r="Z135" s="9">
        <v>80710.69</v>
      </c>
      <c r="AA135" s="9">
        <f t="shared" si="12"/>
        <v>294388</v>
      </c>
      <c r="AB135" s="7" t="e">
        <f>W135-#REF!</f>
        <v>#REF!</v>
      </c>
      <c r="AC135" s="12">
        <v>424</v>
      </c>
      <c r="AD135" s="12">
        <v>1</v>
      </c>
      <c r="AE135" s="12">
        <f t="shared" si="13"/>
        <v>0</v>
      </c>
      <c r="AF135" s="12">
        <f t="shared" si="14"/>
        <v>424</v>
      </c>
      <c r="AG135" s="13" t="s">
        <v>686</v>
      </c>
      <c r="AH135" s="13">
        <v>147440.97</v>
      </c>
      <c r="AI135" s="13">
        <v>57367.3</v>
      </c>
      <c r="AJ135" s="13">
        <f t="shared" si="15"/>
        <v>90073.67</v>
      </c>
    </row>
    <row r="136" spans="1:36" s="1" customFormat="1" x14ac:dyDescent="0.25">
      <c r="A136">
        <v>441</v>
      </c>
      <c r="B136">
        <v>1</v>
      </c>
      <c r="C136">
        <f t="shared" si="18"/>
        <v>1</v>
      </c>
      <c r="D136" s="1" t="s">
        <v>159</v>
      </c>
      <c r="E136" s="7">
        <v>40107.369999999995</v>
      </c>
      <c r="F136" s="7">
        <v>0</v>
      </c>
      <c r="G136" s="7">
        <v>0</v>
      </c>
      <c r="H136" s="7">
        <v>14111.85</v>
      </c>
      <c r="I136" s="7">
        <v>8170.0299999999988</v>
      </c>
      <c r="J136" s="7">
        <v>4456.3699999999808</v>
      </c>
      <c r="K136" s="7">
        <v>7427.2900000000081</v>
      </c>
      <c r="L136" s="7">
        <v>5941.8399999999965</v>
      </c>
      <c r="M136" s="7">
        <v>5941.8299999999872</v>
      </c>
      <c r="N136" s="7">
        <v>7427.2900000000081</v>
      </c>
      <c r="O136" s="7">
        <v>7427.2900000000081</v>
      </c>
      <c r="P136" s="7">
        <v>8912.7599999999802</v>
      </c>
      <c r="Q136" s="7">
        <v>5941.8299999999872</v>
      </c>
      <c r="R136" s="7">
        <v>10398.200000000012</v>
      </c>
      <c r="S136" s="7">
        <v>7427.2900000000081</v>
      </c>
      <c r="T136" s="7">
        <v>7427.3000000000011</v>
      </c>
      <c r="U136" s="7">
        <v>7427.2900000000009</v>
      </c>
      <c r="V136" s="7">
        <v>0</v>
      </c>
      <c r="W136" s="9">
        <f t="shared" ref="W136:W199" si="19">SUM(E136:V136)</f>
        <v>148545.82999999996</v>
      </c>
      <c r="X136" s="9">
        <v>337467.94999999995</v>
      </c>
      <c r="Y136" s="9">
        <v>147326.39000000001</v>
      </c>
      <c r="Z136" s="9">
        <v>190141.55999999994</v>
      </c>
      <c r="AA136" s="9">
        <f t="shared" si="12"/>
        <v>338687.3899999999</v>
      </c>
      <c r="AB136" s="7" t="e">
        <f>W136-#REF!</f>
        <v>#REF!</v>
      </c>
      <c r="AC136" s="12">
        <v>432</v>
      </c>
      <c r="AD136" s="12">
        <v>1</v>
      </c>
      <c r="AE136" s="12">
        <f t="shared" si="13"/>
        <v>0</v>
      </c>
      <c r="AF136" s="12">
        <f t="shared" si="14"/>
        <v>432</v>
      </c>
      <c r="AG136" s="13" t="s">
        <v>687</v>
      </c>
      <c r="AH136" s="13">
        <v>88810.76</v>
      </c>
      <c r="AI136" s="13">
        <v>42212.52</v>
      </c>
      <c r="AJ136" s="13">
        <f t="shared" si="15"/>
        <v>46598.239999999998</v>
      </c>
    </row>
    <row r="137" spans="1:36" s="1" customFormat="1" x14ac:dyDescent="0.25">
      <c r="A137">
        <v>447</v>
      </c>
      <c r="B137">
        <v>1</v>
      </c>
      <c r="C137">
        <f t="shared" si="18"/>
        <v>1</v>
      </c>
      <c r="D137" s="1" t="s">
        <v>160</v>
      </c>
      <c r="E137" s="7">
        <v>21101.670000000006</v>
      </c>
      <c r="F137" s="7">
        <v>2919.5999999999985</v>
      </c>
      <c r="G137" s="7">
        <v>1953.8600000000006</v>
      </c>
      <c r="H137" s="7">
        <v>3269.9000000000015</v>
      </c>
      <c r="I137" s="7">
        <v>4298.4900000000052</v>
      </c>
      <c r="J137" s="7">
        <v>1877.8100000000049</v>
      </c>
      <c r="K137" s="7">
        <v>3907.7200000000012</v>
      </c>
      <c r="L137" s="7">
        <v>3629.9300000000076</v>
      </c>
      <c r="M137" s="7">
        <v>3126.1800000000076</v>
      </c>
      <c r="N137" s="7">
        <v>3487.9100000000035</v>
      </c>
      <c r="O137" s="7">
        <v>3907.7099999999919</v>
      </c>
      <c r="P137" s="7">
        <v>4534.7900000000081</v>
      </c>
      <c r="Q137" s="7">
        <v>3126.1800000000076</v>
      </c>
      <c r="R137" s="7">
        <v>5466.3099999999977</v>
      </c>
      <c r="S137" s="7">
        <v>3907.7200000000012</v>
      </c>
      <c r="T137" s="7">
        <v>3952.5</v>
      </c>
      <c r="U137" s="7">
        <v>3907.7200000000012</v>
      </c>
      <c r="V137" s="7">
        <v>20.139999999999986</v>
      </c>
      <c r="W137" s="9">
        <f t="shared" si="19"/>
        <v>78396.140000000043</v>
      </c>
      <c r="X137" s="9">
        <v>64270.86</v>
      </c>
      <c r="Y137" s="9">
        <v>27954.73</v>
      </c>
      <c r="Z137" s="9">
        <v>36316.130000000005</v>
      </c>
      <c r="AA137" s="9">
        <f t="shared" ref="AA137:AA200" si="20">W137+Z137</f>
        <v>114712.27000000005</v>
      </c>
      <c r="AB137" s="7" t="e">
        <f>W137-#REF!</f>
        <v>#REF!</v>
      </c>
      <c r="AC137" s="12">
        <v>435</v>
      </c>
      <c r="AD137" s="12">
        <v>1</v>
      </c>
      <c r="AE137" s="12">
        <f t="shared" ref="AE137:AE200" si="21">SUMIF($AM$8:$AM$15,AC137,$AL$8:$AL$15)</f>
        <v>0</v>
      </c>
      <c r="AF137" s="12">
        <f t="shared" ref="AF137:AF200" si="22">IF(AE137=0,AC137,AE137)</f>
        <v>435</v>
      </c>
      <c r="AG137" s="13" t="s">
        <v>688</v>
      </c>
      <c r="AH137" s="13">
        <v>153825.07</v>
      </c>
      <c r="AI137" s="13">
        <v>73114.38</v>
      </c>
      <c r="AJ137" s="13">
        <f t="shared" ref="AJ137:AJ200" si="23">AH137-AI137</f>
        <v>80710.69</v>
      </c>
    </row>
    <row r="138" spans="1:36" s="1" customFormat="1" x14ac:dyDescent="0.25">
      <c r="A138">
        <v>458</v>
      </c>
      <c r="B138">
        <v>1</v>
      </c>
      <c r="C138">
        <f t="shared" si="18"/>
        <v>1</v>
      </c>
      <c r="D138" s="1" t="s">
        <v>161</v>
      </c>
      <c r="E138" s="7">
        <v>22522.810000000005</v>
      </c>
      <c r="F138" s="7">
        <v>591.80999999999995</v>
      </c>
      <c r="G138" s="7">
        <v>0</v>
      </c>
      <c r="H138" s="7">
        <v>147.95000000000005</v>
      </c>
      <c r="I138" s="7">
        <v>12512.680000000008</v>
      </c>
      <c r="J138" s="7">
        <v>2022.0500000000029</v>
      </c>
      <c r="K138" s="7">
        <v>4170.8899999999994</v>
      </c>
      <c r="L138" s="7">
        <v>3855.2299999999959</v>
      </c>
      <c r="M138" s="7">
        <v>3336.7100000000064</v>
      </c>
      <c r="N138" s="7">
        <v>3738.7799999999988</v>
      </c>
      <c r="O138" s="7">
        <v>4448.3199999999779</v>
      </c>
      <c r="P138" s="7">
        <v>4846.0500000000175</v>
      </c>
      <c r="Q138" s="7">
        <v>3336.7200000000012</v>
      </c>
      <c r="R138" s="7">
        <v>5706.4400000000023</v>
      </c>
      <c r="S138" s="7">
        <v>12512.679999999993</v>
      </c>
      <c r="T138" s="7">
        <v>174.29999999999995</v>
      </c>
      <c r="U138" s="7">
        <v>0</v>
      </c>
      <c r="V138" s="7">
        <v>-1621.77</v>
      </c>
      <c r="W138" s="9">
        <f t="shared" si="19"/>
        <v>82301.650000000009</v>
      </c>
      <c r="X138" s="9">
        <v>99839.48</v>
      </c>
      <c r="Y138" s="9">
        <v>32102.959999999999</v>
      </c>
      <c r="Z138" s="9">
        <v>67736.51999999999</v>
      </c>
      <c r="AA138" s="9">
        <f t="shared" si="20"/>
        <v>150038.16999999998</v>
      </c>
      <c r="AB138" s="7" t="e">
        <f>W138-#REF!</f>
        <v>#REF!</v>
      </c>
      <c r="AC138" s="12">
        <v>441</v>
      </c>
      <c r="AD138" s="12">
        <v>1</v>
      </c>
      <c r="AE138" s="12">
        <f t="shared" si="21"/>
        <v>0</v>
      </c>
      <c r="AF138" s="12">
        <f t="shared" si="22"/>
        <v>441</v>
      </c>
      <c r="AG138" s="13" t="s">
        <v>689</v>
      </c>
      <c r="AH138" s="13">
        <v>337467.94999999995</v>
      </c>
      <c r="AI138" s="13">
        <v>147326.39000000001</v>
      </c>
      <c r="AJ138" s="13">
        <f t="shared" si="23"/>
        <v>190141.55999999994</v>
      </c>
    </row>
    <row r="139" spans="1:36" s="1" customFormat="1" x14ac:dyDescent="0.25">
      <c r="A139">
        <v>463</v>
      </c>
      <c r="B139">
        <v>1</v>
      </c>
      <c r="C139">
        <f t="shared" si="18"/>
        <v>1</v>
      </c>
      <c r="D139" s="1" t="s">
        <v>162</v>
      </c>
      <c r="E139" s="7">
        <v>82701.180000000022</v>
      </c>
      <c r="F139" s="7">
        <v>10605.11</v>
      </c>
      <c r="G139" s="7">
        <v>9.1899999999950523</v>
      </c>
      <c r="H139" s="7">
        <v>11763.459999999992</v>
      </c>
      <c r="I139" s="7">
        <v>15420.580000000016</v>
      </c>
      <c r="J139" s="7">
        <v>6629.9500000000116</v>
      </c>
      <c r="K139" s="7">
        <v>14018.700000000012</v>
      </c>
      <c r="L139" s="7">
        <v>13137.190000000002</v>
      </c>
      <c r="M139" s="7">
        <v>11214.960000000021</v>
      </c>
      <c r="N139" s="7">
        <v>12416.859999999986</v>
      </c>
      <c r="O139" s="7">
        <v>14018.710000000021</v>
      </c>
      <c r="P139" s="7">
        <v>16232.960000000021</v>
      </c>
      <c r="Q139" s="7">
        <v>11214.960000000021</v>
      </c>
      <c r="R139" s="7">
        <v>19519.289999999979</v>
      </c>
      <c r="S139" s="7">
        <v>14018.710000000021</v>
      </c>
      <c r="T139" s="7">
        <v>14279.399999999994</v>
      </c>
      <c r="U139" s="7">
        <v>14018.709999999992</v>
      </c>
      <c r="V139" s="7">
        <v>76.880000000000109</v>
      </c>
      <c r="W139" s="9">
        <f t="shared" si="19"/>
        <v>281296.80000000005</v>
      </c>
      <c r="X139" s="9">
        <v>252725.28999999998</v>
      </c>
      <c r="Y139" s="9">
        <v>103270.52000000002</v>
      </c>
      <c r="Z139" s="9">
        <v>149454.76999999996</v>
      </c>
      <c r="AA139" s="9">
        <f t="shared" si="20"/>
        <v>430751.57</v>
      </c>
      <c r="AB139" s="7" t="e">
        <f>W139-#REF!</f>
        <v>#REF!</v>
      </c>
      <c r="AC139" s="12">
        <v>447</v>
      </c>
      <c r="AD139" s="12">
        <v>1</v>
      </c>
      <c r="AE139" s="12">
        <f t="shared" si="21"/>
        <v>0</v>
      </c>
      <c r="AF139" s="12">
        <f t="shared" si="22"/>
        <v>447</v>
      </c>
      <c r="AG139" s="13" t="s">
        <v>690</v>
      </c>
      <c r="AH139" s="13">
        <v>64270.86</v>
      </c>
      <c r="AI139" s="13">
        <v>27954.73</v>
      </c>
      <c r="AJ139" s="13">
        <f t="shared" si="23"/>
        <v>36316.130000000005</v>
      </c>
    </row>
    <row r="140" spans="1:36" s="1" customFormat="1" x14ac:dyDescent="0.25">
      <c r="A140">
        <v>465</v>
      </c>
      <c r="B140">
        <v>1</v>
      </c>
      <c r="C140">
        <f t="shared" si="18"/>
        <v>1</v>
      </c>
      <c r="D140" s="1" t="s">
        <v>163</v>
      </c>
      <c r="E140" s="7">
        <v>134081.75</v>
      </c>
      <c r="F140" s="7">
        <v>16266.660000000003</v>
      </c>
      <c r="G140" s="7">
        <v>0</v>
      </c>
      <c r="H140" s="7">
        <v>32621.109999999986</v>
      </c>
      <c r="I140" s="7">
        <v>27312.95000000007</v>
      </c>
      <c r="J140" s="7">
        <v>13786.709999999963</v>
      </c>
      <c r="K140" s="7">
        <v>24829.960000000079</v>
      </c>
      <c r="L140" s="7">
        <v>21063.150000000023</v>
      </c>
      <c r="M140" s="7">
        <v>19863.959999999963</v>
      </c>
      <c r="N140" s="7">
        <v>23830.640000000014</v>
      </c>
      <c r="O140" s="7">
        <v>25181.579999999958</v>
      </c>
      <c r="P140" s="7">
        <v>29428.180000000051</v>
      </c>
      <c r="Q140" s="7">
        <v>19863.959999999963</v>
      </c>
      <c r="R140" s="7">
        <v>34796.860000000102</v>
      </c>
      <c r="S140" s="7">
        <v>24829.95000000007</v>
      </c>
      <c r="T140" s="7">
        <v>24890.97</v>
      </c>
      <c r="U140" s="7">
        <v>24829.949999999983</v>
      </c>
      <c r="V140" s="7">
        <v>47.980000000000018</v>
      </c>
      <c r="W140" s="9">
        <f t="shared" si="19"/>
        <v>497526.32000000018</v>
      </c>
      <c r="X140" s="9">
        <v>663335.24000000011</v>
      </c>
      <c r="Y140" s="9">
        <v>264352.45</v>
      </c>
      <c r="Z140" s="9">
        <v>398982.7900000001</v>
      </c>
      <c r="AA140" s="9">
        <f t="shared" si="20"/>
        <v>896509.11000000034</v>
      </c>
      <c r="AB140" s="7" t="e">
        <f>W140-#REF!</f>
        <v>#REF!</v>
      </c>
      <c r="AC140" s="12">
        <v>458</v>
      </c>
      <c r="AD140" s="12">
        <v>1</v>
      </c>
      <c r="AE140" s="12">
        <f t="shared" si="21"/>
        <v>0</v>
      </c>
      <c r="AF140" s="12">
        <f t="shared" si="22"/>
        <v>458</v>
      </c>
      <c r="AG140" s="13" t="s">
        <v>691</v>
      </c>
      <c r="AH140" s="13">
        <v>99839.48</v>
      </c>
      <c r="AI140" s="13">
        <v>32102.959999999999</v>
      </c>
      <c r="AJ140" s="13">
        <f t="shared" si="23"/>
        <v>67736.51999999999</v>
      </c>
    </row>
    <row r="141" spans="1:36" s="1" customFormat="1" x14ac:dyDescent="0.25">
      <c r="A141">
        <v>466</v>
      </c>
      <c r="B141">
        <v>1</v>
      </c>
      <c r="C141">
        <f t="shared" si="18"/>
        <v>1</v>
      </c>
      <c r="D141" s="1" t="s">
        <v>164</v>
      </c>
      <c r="E141" s="7">
        <v>174227.88</v>
      </c>
      <c r="F141" s="7">
        <v>21027.260000000009</v>
      </c>
      <c r="G141" s="7">
        <v>14990.669999999984</v>
      </c>
      <c r="H141" s="7">
        <v>26102.920000000042</v>
      </c>
      <c r="I141" s="7">
        <v>35278.040000000037</v>
      </c>
      <c r="J141" s="7">
        <v>17793.539999999979</v>
      </c>
      <c r="K141" s="7">
        <v>32070.930000000051</v>
      </c>
      <c r="L141" s="7">
        <v>27220.449999999953</v>
      </c>
      <c r="M141" s="7">
        <v>25656.75</v>
      </c>
      <c r="N141" s="7">
        <v>30767.869999999995</v>
      </c>
      <c r="O141" s="7">
        <v>32154.289999999921</v>
      </c>
      <c r="P141" s="7">
        <v>38005.599999999977</v>
      </c>
      <c r="Q141" s="7">
        <v>25656.760000000009</v>
      </c>
      <c r="R141" s="7">
        <v>44895.320000000065</v>
      </c>
      <c r="S141" s="7">
        <v>32070.930000000051</v>
      </c>
      <c r="T141" s="7">
        <v>32200.030000000028</v>
      </c>
      <c r="U141" s="7">
        <v>32070.939999999944</v>
      </c>
      <c r="V141" s="7">
        <v>62.549999999999955</v>
      </c>
      <c r="W141" s="9">
        <f t="shared" si="19"/>
        <v>642252.7300000001</v>
      </c>
      <c r="X141" s="9">
        <v>644867.78</v>
      </c>
      <c r="Y141" s="9">
        <v>262239.39</v>
      </c>
      <c r="Z141" s="9">
        <v>382628.39</v>
      </c>
      <c r="AA141" s="9">
        <f t="shared" si="20"/>
        <v>1024881.1200000001</v>
      </c>
      <c r="AB141" s="7" t="e">
        <f>W141-#REF!</f>
        <v>#REF!</v>
      </c>
      <c r="AC141" s="12">
        <v>463</v>
      </c>
      <c r="AD141" s="12">
        <v>1</v>
      </c>
      <c r="AE141" s="12">
        <f t="shared" si="21"/>
        <v>0</v>
      </c>
      <c r="AF141" s="12">
        <f t="shared" si="22"/>
        <v>463</v>
      </c>
      <c r="AG141" s="13" t="s">
        <v>692</v>
      </c>
      <c r="AH141" s="13">
        <v>252725.28999999998</v>
      </c>
      <c r="AI141" s="13">
        <v>103270.52000000002</v>
      </c>
      <c r="AJ141" s="13">
        <f t="shared" si="23"/>
        <v>149454.76999999996</v>
      </c>
    </row>
    <row r="142" spans="1:36" s="1" customFormat="1" x14ac:dyDescent="0.25">
      <c r="A142">
        <v>473</v>
      </c>
      <c r="B142">
        <v>1</v>
      </c>
      <c r="C142">
        <f t="shared" si="18"/>
        <v>1</v>
      </c>
      <c r="D142" s="1" t="s">
        <v>165</v>
      </c>
      <c r="E142" s="7">
        <v>45360.409999999989</v>
      </c>
      <c r="F142" s="7">
        <v>4939.4700000000012</v>
      </c>
      <c r="G142" s="7">
        <v>-1222.2800000000025</v>
      </c>
      <c r="H142" s="7">
        <v>6097.5500000000029</v>
      </c>
      <c r="I142" s="7">
        <v>8229.1399999999849</v>
      </c>
      <c r="J142" s="7">
        <v>4122.5600000000122</v>
      </c>
      <c r="K142" s="7">
        <v>7481.039999999979</v>
      </c>
      <c r="L142" s="7">
        <v>6379.859999999986</v>
      </c>
      <c r="M142" s="7">
        <v>5984.8300000000163</v>
      </c>
      <c r="N142" s="7">
        <v>7151.859999999986</v>
      </c>
      <c r="O142" s="7">
        <v>7518.2599999999802</v>
      </c>
      <c r="P142" s="7">
        <v>8856.1100000000151</v>
      </c>
      <c r="Q142" s="7">
        <v>5984.8299999999872</v>
      </c>
      <c r="R142" s="7">
        <v>10489.260000000009</v>
      </c>
      <c r="S142" s="7">
        <v>7481.039999999979</v>
      </c>
      <c r="T142" s="7">
        <v>7496.8300000000017</v>
      </c>
      <c r="U142" s="7">
        <v>7481.0399999999936</v>
      </c>
      <c r="V142" s="7">
        <v>15.799999999999955</v>
      </c>
      <c r="W142" s="9">
        <f t="shared" si="19"/>
        <v>149847.60999999993</v>
      </c>
      <c r="X142" s="9">
        <v>198096.3</v>
      </c>
      <c r="Y142" s="9">
        <v>82411.960000000006</v>
      </c>
      <c r="Z142" s="9">
        <v>115684.33999999998</v>
      </c>
      <c r="AA142" s="9">
        <f t="shared" si="20"/>
        <v>265531.9499999999</v>
      </c>
      <c r="AB142" s="7" t="e">
        <f>W142-#REF!</f>
        <v>#REF!</v>
      </c>
      <c r="AC142" s="12">
        <v>465</v>
      </c>
      <c r="AD142" s="12">
        <v>1</v>
      </c>
      <c r="AE142" s="12">
        <f t="shared" si="21"/>
        <v>0</v>
      </c>
      <c r="AF142" s="12">
        <f t="shared" si="22"/>
        <v>465</v>
      </c>
      <c r="AG142" s="13" t="s">
        <v>693</v>
      </c>
      <c r="AH142" s="13">
        <v>663335.24000000011</v>
      </c>
      <c r="AI142" s="13">
        <v>264352.45</v>
      </c>
      <c r="AJ142" s="13">
        <f t="shared" si="23"/>
        <v>398982.7900000001</v>
      </c>
    </row>
    <row r="143" spans="1:36" s="1" customFormat="1" x14ac:dyDescent="0.25">
      <c r="A143">
        <v>477</v>
      </c>
      <c r="B143">
        <v>1</v>
      </c>
      <c r="C143">
        <f t="shared" si="18"/>
        <v>1</v>
      </c>
      <c r="D143" s="1" t="s">
        <v>166</v>
      </c>
      <c r="E143" s="7">
        <v>268409.18000000005</v>
      </c>
      <c r="F143" s="7">
        <v>32096.720000000001</v>
      </c>
      <c r="G143" s="7">
        <v>10811.759999999995</v>
      </c>
      <c r="H143" s="7">
        <v>38785.79999999993</v>
      </c>
      <c r="I143" s="7">
        <v>52058.15000000014</v>
      </c>
      <c r="J143" s="7">
        <v>25389.70000000007</v>
      </c>
      <c r="K143" s="7">
        <v>47325.569999999832</v>
      </c>
      <c r="L143" s="7">
        <v>41102.599999999977</v>
      </c>
      <c r="M143" s="7">
        <v>37860.459999999963</v>
      </c>
      <c r="N143" s="7">
        <v>44623.820000000065</v>
      </c>
      <c r="O143" s="7">
        <v>47626.389999999898</v>
      </c>
      <c r="P143" s="7">
        <v>55796.439999999944</v>
      </c>
      <c r="Q143" s="7">
        <v>37860.469999999972</v>
      </c>
      <c r="R143" s="7">
        <v>65906.419999999925</v>
      </c>
      <c r="S143" s="7">
        <v>47325.579999999842</v>
      </c>
      <c r="T143" s="7">
        <v>47934.359999999986</v>
      </c>
      <c r="U143" s="7">
        <v>47325.580000000075</v>
      </c>
      <c r="V143" s="7">
        <v>129.69000000000005</v>
      </c>
      <c r="W143" s="9">
        <f t="shared" si="19"/>
        <v>948368.68999999959</v>
      </c>
      <c r="X143" s="9">
        <v>1042626.25</v>
      </c>
      <c r="Y143" s="9">
        <v>467493.6</v>
      </c>
      <c r="Z143" s="9">
        <v>575132.65</v>
      </c>
      <c r="AA143" s="9">
        <f t="shared" si="20"/>
        <v>1523501.3399999996</v>
      </c>
      <c r="AB143" s="7" t="e">
        <f>W143-#REF!</f>
        <v>#REF!</v>
      </c>
      <c r="AC143" s="12">
        <v>466</v>
      </c>
      <c r="AD143" s="12">
        <v>1</v>
      </c>
      <c r="AE143" s="12">
        <f t="shared" si="21"/>
        <v>0</v>
      </c>
      <c r="AF143" s="12">
        <f t="shared" si="22"/>
        <v>466</v>
      </c>
      <c r="AG143" s="13" t="s">
        <v>694</v>
      </c>
      <c r="AH143" s="13">
        <v>644867.78</v>
      </c>
      <c r="AI143" s="13">
        <v>262239.39</v>
      </c>
      <c r="AJ143" s="13">
        <f t="shared" si="23"/>
        <v>382628.39</v>
      </c>
    </row>
    <row r="144" spans="1:36" s="1" customFormat="1" x14ac:dyDescent="0.25">
      <c r="A144">
        <v>480</v>
      </c>
      <c r="B144">
        <v>1</v>
      </c>
      <c r="C144">
        <f t="shared" si="18"/>
        <v>1</v>
      </c>
      <c r="D144" s="1" t="s">
        <v>167</v>
      </c>
      <c r="E144" s="7">
        <v>71999.22</v>
      </c>
      <c r="F144" s="7">
        <v>449.55999999999995</v>
      </c>
      <c r="G144" s="7">
        <v>-574.64</v>
      </c>
      <c r="H144" s="7">
        <v>25243.229999999996</v>
      </c>
      <c r="I144" s="7">
        <v>14549.450000000012</v>
      </c>
      <c r="J144" s="7">
        <v>7571.0599999999977</v>
      </c>
      <c r="K144" s="7">
        <v>13226.76999999996</v>
      </c>
      <c r="L144" s="7">
        <v>10975.309999999998</v>
      </c>
      <c r="M144" s="7">
        <v>10581.420000000042</v>
      </c>
      <c r="N144" s="7">
        <v>12898.52999999997</v>
      </c>
      <c r="O144" s="7">
        <v>13226.77999999997</v>
      </c>
      <c r="P144" s="7">
        <v>15751.340000000026</v>
      </c>
      <c r="Q144" s="7">
        <v>10581.420000000042</v>
      </c>
      <c r="R144" s="7">
        <v>18513.640000000014</v>
      </c>
      <c r="S144" s="7">
        <v>13226.760000000009</v>
      </c>
      <c r="T144" s="7">
        <v>13262.130000000005</v>
      </c>
      <c r="U144" s="7">
        <v>13226.770000000004</v>
      </c>
      <c r="V144" s="7">
        <v>15.769999999999982</v>
      </c>
      <c r="W144" s="9">
        <f t="shared" si="19"/>
        <v>264724.52000000008</v>
      </c>
      <c r="X144" s="9">
        <v>590503.28</v>
      </c>
      <c r="Y144" s="9">
        <v>280671.31</v>
      </c>
      <c r="Z144" s="9">
        <v>309831.97000000003</v>
      </c>
      <c r="AA144" s="9">
        <f t="shared" si="20"/>
        <v>574556.49000000011</v>
      </c>
      <c r="AB144" s="7" t="e">
        <f>W144-#REF!</f>
        <v>#REF!</v>
      </c>
      <c r="AC144" s="12">
        <v>473</v>
      </c>
      <c r="AD144" s="12">
        <v>1</v>
      </c>
      <c r="AE144" s="12">
        <f t="shared" si="21"/>
        <v>0</v>
      </c>
      <c r="AF144" s="12">
        <f t="shared" si="22"/>
        <v>473</v>
      </c>
      <c r="AG144" s="13" t="s">
        <v>695</v>
      </c>
      <c r="AH144" s="13">
        <v>198096.3</v>
      </c>
      <c r="AI144" s="13">
        <v>82411.960000000006</v>
      </c>
      <c r="AJ144" s="13">
        <f t="shared" si="23"/>
        <v>115684.33999999998</v>
      </c>
    </row>
    <row r="145" spans="1:36" s="1" customFormat="1" x14ac:dyDescent="0.25">
      <c r="A145">
        <v>482</v>
      </c>
      <c r="B145">
        <v>1</v>
      </c>
      <c r="C145">
        <f t="shared" ref="C145:C176" si="24">B145</f>
        <v>1</v>
      </c>
      <c r="D145" s="1" t="s">
        <v>168</v>
      </c>
      <c r="E145" s="7">
        <v>215530.21000000002</v>
      </c>
      <c r="F145" s="7">
        <v>3973.49</v>
      </c>
      <c r="G145" s="7">
        <v>-34844.080000000002</v>
      </c>
      <c r="H145" s="7">
        <v>64518.549999999988</v>
      </c>
      <c r="I145" s="7">
        <v>36806.430000000051</v>
      </c>
      <c r="J145" s="7">
        <v>16882.29999999993</v>
      </c>
      <c r="K145" s="7">
        <v>33460.399999999907</v>
      </c>
      <c r="L145" s="7">
        <v>30215.020000000019</v>
      </c>
      <c r="M145" s="7">
        <v>26768.319999999949</v>
      </c>
      <c r="N145" s="7">
        <v>30588.119999999995</v>
      </c>
      <c r="O145" s="7">
        <v>35110.829999999958</v>
      </c>
      <c r="P145" s="7">
        <v>39095.489999999991</v>
      </c>
      <c r="Q145" s="7">
        <v>26768.310000000056</v>
      </c>
      <c r="R145" s="7">
        <v>46547.740000000224</v>
      </c>
      <c r="S145" s="7">
        <v>33460.399999999907</v>
      </c>
      <c r="T145" s="7">
        <v>34032.950000000012</v>
      </c>
      <c r="U145" s="7">
        <v>33460.390000000014</v>
      </c>
      <c r="V145" s="7">
        <v>137.84999999999991</v>
      </c>
      <c r="W145" s="9">
        <f t="shared" si="19"/>
        <v>672512.72</v>
      </c>
      <c r="X145" s="9">
        <v>971039.99</v>
      </c>
      <c r="Y145" s="9">
        <v>409962.03</v>
      </c>
      <c r="Z145" s="9">
        <v>561077.96</v>
      </c>
      <c r="AA145" s="9">
        <f t="shared" si="20"/>
        <v>1233590.68</v>
      </c>
      <c r="AB145" s="7" t="e">
        <f>W145-#REF!</f>
        <v>#REF!</v>
      </c>
      <c r="AC145" s="12">
        <v>477</v>
      </c>
      <c r="AD145" s="12">
        <v>1</v>
      </c>
      <c r="AE145" s="12">
        <f t="shared" si="21"/>
        <v>0</v>
      </c>
      <c r="AF145" s="12">
        <f t="shared" si="22"/>
        <v>477</v>
      </c>
      <c r="AG145" s="13" t="s">
        <v>696</v>
      </c>
      <c r="AH145" s="13">
        <v>1042626.25</v>
      </c>
      <c r="AI145" s="13">
        <v>467493.6</v>
      </c>
      <c r="AJ145" s="13">
        <f t="shared" si="23"/>
        <v>575132.65</v>
      </c>
    </row>
    <row r="146" spans="1:36" s="1" customFormat="1" x14ac:dyDescent="0.25">
      <c r="A146">
        <v>484</v>
      </c>
      <c r="B146">
        <v>1</v>
      </c>
      <c r="C146">
        <f t="shared" si="24"/>
        <v>1</v>
      </c>
      <c r="D146" s="1" t="s">
        <v>169</v>
      </c>
      <c r="E146" s="7">
        <v>139119.90999999997</v>
      </c>
      <c r="F146" s="7">
        <v>10993.37999999999</v>
      </c>
      <c r="G146" s="7">
        <v>-42996.94</v>
      </c>
      <c r="H146" s="7">
        <v>13338.140000000014</v>
      </c>
      <c r="I146" s="7">
        <v>17921.229999999981</v>
      </c>
      <c r="J146" s="7">
        <v>8786.1599999999744</v>
      </c>
      <c r="K146" s="7">
        <v>16292.030000000028</v>
      </c>
      <c r="L146" s="7">
        <v>14100.849999999977</v>
      </c>
      <c r="M146" s="7">
        <v>13033.630000000005</v>
      </c>
      <c r="N146" s="7">
        <v>15402.659999999974</v>
      </c>
      <c r="O146" s="7">
        <v>16988.799999999988</v>
      </c>
      <c r="P146" s="7">
        <v>19223.149999999965</v>
      </c>
      <c r="Q146" s="7">
        <v>13033.619999999995</v>
      </c>
      <c r="R146" s="7">
        <v>22851.539999999921</v>
      </c>
      <c r="S146" s="7">
        <v>16292.030000000028</v>
      </c>
      <c r="T146" s="7">
        <v>16334.720000000001</v>
      </c>
      <c r="U146" s="7">
        <v>16292.029999999999</v>
      </c>
      <c r="V146" s="7">
        <v>42.680000000000064</v>
      </c>
      <c r="W146" s="9">
        <f t="shared" si="19"/>
        <v>327049.61999999982</v>
      </c>
      <c r="X146" s="9">
        <v>334081.14999999997</v>
      </c>
      <c r="Y146" s="9">
        <v>142464.21000000002</v>
      </c>
      <c r="Z146" s="9">
        <v>191616.93999999994</v>
      </c>
      <c r="AA146" s="9">
        <f t="shared" si="20"/>
        <v>518666.55999999976</v>
      </c>
      <c r="AB146" s="7" t="e">
        <f>W146-#REF!</f>
        <v>#REF!</v>
      </c>
      <c r="AC146" s="12">
        <v>480</v>
      </c>
      <c r="AD146" s="12">
        <v>1</v>
      </c>
      <c r="AE146" s="12">
        <f t="shared" si="21"/>
        <v>0</v>
      </c>
      <c r="AF146" s="12">
        <f t="shared" si="22"/>
        <v>480</v>
      </c>
      <c r="AG146" s="13" t="s">
        <v>697</v>
      </c>
      <c r="AH146" s="13">
        <v>590503.28</v>
      </c>
      <c r="AI146" s="13">
        <v>280671.31</v>
      </c>
      <c r="AJ146" s="13">
        <f t="shared" si="23"/>
        <v>309831.97000000003</v>
      </c>
    </row>
    <row r="147" spans="1:36" s="1" customFormat="1" x14ac:dyDescent="0.25">
      <c r="A147">
        <v>485</v>
      </c>
      <c r="B147">
        <v>1</v>
      </c>
      <c r="C147">
        <f t="shared" si="24"/>
        <v>1</v>
      </c>
      <c r="D147" s="1" t="s">
        <v>170</v>
      </c>
      <c r="E147" s="7">
        <v>64248.630000000005</v>
      </c>
      <c r="F147" s="7">
        <v>11435.940000000002</v>
      </c>
      <c r="G147" s="7">
        <v>5948.9499999999971</v>
      </c>
      <c r="H147" s="7">
        <v>10592.609999999986</v>
      </c>
      <c r="I147" s="7">
        <v>13087.690000000002</v>
      </c>
      <c r="J147" s="7">
        <v>3649.7699999999895</v>
      </c>
      <c r="K147" s="7">
        <v>11897.900000000023</v>
      </c>
      <c r="L147" s="7">
        <v>10973.700000000012</v>
      </c>
      <c r="M147" s="7">
        <v>9518.3199999999779</v>
      </c>
      <c r="N147" s="7">
        <v>11070.010000000009</v>
      </c>
      <c r="O147" s="7">
        <v>11897.899999999965</v>
      </c>
      <c r="P147" s="7">
        <v>13122.849999999977</v>
      </c>
      <c r="Q147" s="7">
        <v>9518.3199999999779</v>
      </c>
      <c r="R147" s="7">
        <v>16802.049999999988</v>
      </c>
      <c r="S147" s="7">
        <v>11897.900000000023</v>
      </c>
      <c r="T147" s="7">
        <v>12054.109999999986</v>
      </c>
      <c r="U147" s="7">
        <v>11897.899999999994</v>
      </c>
      <c r="V147" s="7">
        <v>150.58000000000038</v>
      </c>
      <c r="W147" s="9">
        <f t="shared" si="19"/>
        <v>239765.12999999989</v>
      </c>
      <c r="X147" s="9">
        <v>189209.46</v>
      </c>
      <c r="Y147" s="9">
        <v>83085.549999999988</v>
      </c>
      <c r="Z147" s="9">
        <v>106123.91</v>
      </c>
      <c r="AA147" s="9">
        <f t="shared" si="20"/>
        <v>345889.03999999992</v>
      </c>
      <c r="AB147" s="7" t="e">
        <f>W147-#REF!</f>
        <v>#REF!</v>
      </c>
      <c r="AC147" s="12">
        <v>482</v>
      </c>
      <c r="AD147" s="12">
        <v>1</v>
      </c>
      <c r="AE147" s="12">
        <f t="shared" si="21"/>
        <v>0</v>
      </c>
      <c r="AF147" s="12">
        <f t="shared" si="22"/>
        <v>482</v>
      </c>
      <c r="AG147" s="13" t="s">
        <v>698</v>
      </c>
      <c r="AH147" s="13">
        <v>971039.99</v>
      </c>
      <c r="AI147" s="13">
        <v>409962.03</v>
      </c>
      <c r="AJ147" s="13">
        <f t="shared" si="23"/>
        <v>561077.96</v>
      </c>
    </row>
    <row r="148" spans="1:36" s="1" customFormat="1" x14ac:dyDescent="0.25">
      <c r="A148">
        <v>486</v>
      </c>
      <c r="B148">
        <v>1</v>
      </c>
      <c r="C148">
        <f t="shared" si="24"/>
        <v>1</v>
      </c>
      <c r="D148" s="1" t="s">
        <v>171</v>
      </c>
      <c r="E148" s="7">
        <v>23695.739999999998</v>
      </c>
      <c r="F148" s="7">
        <v>3741.7699999999986</v>
      </c>
      <c r="G148" s="7">
        <v>2194.0500000000002</v>
      </c>
      <c r="H148" s="7">
        <v>3787.7099999999991</v>
      </c>
      <c r="I148" s="7">
        <v>4826.9199999999837</v>
      </c>
      <c r="J148" s="7">
        <v>1732.5100000000093</v>
      </c>
      <c r="K148" s="7">
        <v>4388.1100000000006</v>
      </c>
      <c r="L148" s="7">
        <v>4482.0699999999924</v>
      </c>
      <c r="M148" s="7">
        <v>3510.4700000000012</v>
      </c>
      <c r="N148" s="7">
        <v>3578.4499999999971</v>
      </c>
      <c r="O148" s="7">
        <v>4388.0999999999913</v>
      </c>
      <c r="P148" s="7">
        <v>4967.7799999999988</v>
      </c>
      <c r="Q148" s="7">
        <v>3510.4799999999959</v>
      </c>
      <c r="R148" s="7">
        <v>6179.5499999999884</v>
      </c>
      <c r="S148" s="7">
        <v>4388.0899999999965</v>
      </c>
      <c r="T148" s="7">
        <v>4429.6200000000026</v>
      </c>
      <c r="U148" s="7">
        <v>4388.1000000000058</v>
      </c>
      <c r="V148" s="7">
        <v>38.879999999999995</v>
      </c>
      <c r="W148" s="9">
        <f t="shared" si="19"/>
        <v>88228.399999999965</v>
      </c>
      <c r="X148" s="9">
        <v>132310.45000000001</v>
      </c>
      <c r="Y148" s="9">
        <v>54939.860000000008</v>
      </c>
      <c r="Z148" s="9">
        <v>77370.59</v>
      </c>
      <c r="AA148" s="9">
        <f t="shared" si="20"/>
        <v>165598.98999999996</v>
      </c>
      <c r="AB148" s="7" t="e">
        <f>W148-#REF!</f>
        <v>#REF!</v>
      </c>
      <c r="AC148" s="12">
        <v>484</v>
      </c>
      <c r="AD148" s="12">
        <v>1</v>
      </c>
      <c r="AE148" s="12">
        <f t="shared" si="21"/>
        <v>0</v>
      </c>
      <c r="AF148" s="12">
        <f t="shared" si="22"/>
        <v>484</v>
      </c>
      <c r="AG148" s="13" t="s">
        <v>699</v>
      </c>
      <c r="AH148" s="13">
        <v>334081.14999999997</v>
      </c>
      <c r="AI148" s="13">
        <v>142464.21000000002</v>
      </c>
      <c r="AJ148" s="13">
        <f t="shared" si="23"/>
        <v>191616.93999999994</v>
      </c>
    </row>
    <row r="149" spans="1:36" s="1" customFormat="1" x14ac:dyDescent="0.25">
      <c r="A149">
        <v>487</v>
      </c>
      <c r="B149">
        <v>1</v>
      </c>
      <c r="C149">
        <f t="shared" si="24"/>
        <v>1</v>
      </c>
      <c r="D149" s="1" t="s">
        <v>172</v>
      </c>
      <c r="E149" s="7">
        <v>28172.659999999996</v>
      </c>
      <c r="F149" s="7">
        <v>27751.719999999994</v>
      </c>
      <c r="G149" s="7">
        <v>2608.59</v>
      </c>
      <c r="H149" s="7">
        <v>10329.069999999992</v>
      </c>
      <c r="I149" s="7">
        <v>5738.8699999999953</v>
      </c>
      <c r="J149" s="7">
        <v>-16860.25</v>
      </c>
      <c r="K149" s="7">
        <v>5217.1600000000035</v>
      </c>
      <c r="L149" s="7">
        <v>7180.9799999999814</v>
      </c>
      <c r="M149" s="7">
        <v>4173.7300000000105</v>
      </c>
      <c r="N149" s="7">
        <v>5805.3199999999779</v>
      </c>
      <c r="O149" s="7">
        <v>5239.6100000000151</v>
      </c>
      <c r="P149" s="7">
        <v>-354.95000000001164</v>
      </c>
      <c r="Q149" s="7">
        <v>4173.7200000000012</v>
      </c>
      <c r="R149" s="7">
        <v>8166.8799999999756</v>
      </c>
      <c r="S149" s="7">
        <v>5217.1600000000035</v>
      </c>
      <c r="T149" s="7">
        <v>6080.0799999999872</v>
      </c>
      <c r="U149" s="7">
        <v>5217.1600000000035</v>
      </c>
      <c r="V149" s="7">
        <v>862.91999999999825</v>
      </c>
      <c r="W149" s="9">
        <f t="shared" si="19"/>
        <v>114720.42999999992</v>
      </c>
      <c r="X149" s="9">
        <v>111749.37</v>
      </c>
      <c r="Y149" s="9">
        <v>36280.880000000005</v>
      </c>
      <c r="Z149" s="9">
        <v>75468.489999999991</v>
      </c>
      <c r="AA149" s="9">
        <f t="shared" si="20"/>
        <v>190188.91999999993</v>
      </c>
      <c r="AB149" s="7" t="e">
        <f>W149-#REF!</f>
        <v>#REF!</v>
      </c>
      <c r="AC149" s="12">
        <v>485</v>
      </c>
      <c r="AD149" s="12">
        <v>1</v>
      </c>
      <c r="AE149" s="12">
        <f t="shared" si="21"/>
        <v>0</v>
      </c>
      <c r="AF149" s="12">
        <f t="shared" si="22"/>
        <v>485</v>
      </c>
      <c r="AG149" s="13" t="s">
        <v>700</v>
      </c>
      <c r="AH149" s="13">
        <v>189209.46</v>
      </c>
      <c r="AI149" s="13">
        <v>83085.549999999988</v>
      </c>
      <c r="AJ149" s="13">
        <f t="shared" si="23"/>
        <v>106123.91</v>
      </c>
    </row>
    <row r="150" spans="1:36" s="1" customFormat="1" x14ac:dyDescent="0.25">
      <c r="A150">
        <v>492</v>
      </c>
      <c r="B150">
        <v>1</v>
      </c>
      <c r="C150">
        <f t="shared" si="24"/>
        <v>1</v>
      </c>
      <c r="D150" s="1" t="s">
        <v>173</v>
      </c>
      <c r="E150" s="7">
        <v>456181.73</v>
      </c>
      <c r="F150" s="7">
        <v>56039.659999999974</v>
      </c>
      <c r="G150" s="7">
        <v>10618.369999999995</v>
      </c>
      <c r="H150" s="7">
        <v>65437.050000000047</v>
      </c>
      <c r="I150" s="7">
        <v>87030.520000000019</v>
      </c>
      <c r="J150" s="7">
        <v>40514.320000000065</v>
      </c>
      <c r="K150" s="7">
        <v>79118.659999999916</v>
      </c>
      <c r="L150" s="7">
        <v>69448.239999999991</v>
      </c>
      <c r="M150" s="7">
        <v>63294.929999999935</v>
      </c>
      <c r="N150" s="7">
        <v>74216.600000000093</v>
      </c>
      <c r="O150" s="7">
        <v>80965.139999999665</v>
      </c>
      <c r="P150" s="7">
        <v>92640.100000000093</v>
      </c>
      <c r="Q150" s="7">
        <v>63294.930000000168</v>
      </c>
      <c r="R150" s="7">
        <v>108992.93000000017</v>
      </c>
      <c r="S150" s="7">
        <v>79118.659999999916</v>
      </c>
      <c r="T150" s="7">
        <v>81492.469999999972</v>
      </c>
      <c r="U150" s="7">
        <v>79118.660000000149</v>
      </c>
      <c r="V150" s="7">
        <v>-59692.85</v>
      </c>
      <c r="W150" s="9">
        <f t="shared" si="19"/>
        <v>1527830.12</v>
      </c>
      <c r="X150" s="9">
        <v>1396560.96</v>
      </c>
      <c r="Y150" s="9">
        <v>568821.44999999995</v>
      </c>
      <c r="Z150" s="9">
        <v>827739.51</v>
      </c>
      <c r="AA150" s="9">
        <f t="shared" si="20"/>
        <v>2355569.63</v>
      </c>
      <c r="AB150" s="7" t="e">
        <f>W150-#REF!</f>
        <v>#REF!</v>
      </c>
      <c r="AC150" s="12">
        <v>486</v>
      </c>
      <c r="AD150" s="12">
        <v>1</v>
      </c>
      <c r="AE150" s="12">
        <f t="shared" si="21"/>
        <v>0</v>
      </c>
      <c r="AF150" s="12">
        <f t="shared" si="22"/>
        <v>486</v>
      </c>
      <c r="AG150" s="13" t="s">
        <v>701</v>
      </c>
      <c r="AH150" s="13">
        <v>132310.45000000001</v>
      </c>
      <c r="AI150" s="13">
        <v>54939.860000000008</v>
      </c>
      <c r="AJ150" s="13">
        <f t="shared" si="23"/>
        <v>77370.59</v>
      </c>
    </row>
    <row r="151" spans="1:36" s="1" customFormat="1" x14ac:dyDescent="0.25">
      <c r="A151">
        <v>495</v>
      </c>
      <c r="B151">
        <v>1</v>
      </c>
      <c r="C151">
        <f t="shared" si="24"/>
        <v>1</v>
      </c>
      <c r="D151" s="1" t="s">
        <v>174</v>
      </c>
      <c r="E151" s="7">
        <v>33408.510000000009</v>
      </c>
      <c r="F151" s="7">
        <v>4799.8599999999988</v>
      </c>
      <c r="G151" s="7">
        <v>0</v>
      </c>
      <c r="H151" s="7">
        <v>8314.75</v>
      </c>
      <c r="I151" s="7">
        <v>6805.4400000000023</v>
      </c>
      <c r="J151" s="7">
        <v>2828.8300000000017</v>
      </c>
      <c r="K151" s="7">
        <v>6186.75</v>
      </c>
      <c r="L151" s="7">
        <v>5902.5200000000186</v>
      </c>
      <c r="M151" s="7">
        <v>4949.4100000000035</v>
      </c>
      <c r="N151" s="7">
        <v>5392.5099999999802</v>
      </c>
      <c r="O151" s="7">
        <v>6186.7699999999895</v>
      </c>
      <c r="P151" s="7">
        <v>7131.8099999999977</v>
      </c>
      <c r="Q151" s="7">
        <v>4949.4100000000035</v>
      </c>
      <c r="R151" s="7">
        <v>8468.8199999999779</v>
      </c>
      <c r="S151" s="7">
        <v>6186.75</v>
      </c>
      <c r="T151" s="7">
        <v>6455.6699999999983</v>
      </c>
      <c r="U151" s="7">
        <v>6186.760000000002</v>
      </c>
      <c r="V151" s="7">
        <v>38.129999999999995</v>
      </c>
      <c r="W151" s="9">
        <f t="shared" si="19"/>
        <v>124192.69999999998</v>
      </c>
      <c r="X151" s="9">
        <v>188324.06000000003</v>
      </c>
      <c r="Y151" s="9">
        <v>60636.87</v>
      </c>
      <c r="Z151" s="9">
        <v>127687.19000000003</v>
      </c>
      <c r="AA151" s="9">
        <f t="shared" si="20"/>
        <v>251879.89</v>
      </c>
      <c r="AB151" s="7" t="e">
        <f>W151-#REF!</f>
        <v>#REF!</v>
      </c>
      <c r="AC151" s="12">
        <v>487</v>
      </c>
      <c r="AD151" s="12">
        <v>1</v>
      </c>
      <c r="AE151" s="12">
        <f t="shared" si="21"/>
        <v>0</v>
      </c>
      <c r="AF151" s="12">
        <f t="shared" si="22"/>
        <v>487</v>
      </c>
      <c r="AG151" s="13" t="s">
        <v>702</v>
      </c>
      <c r="AH151" s="13">
        <v>111749.37</v>
      </c>
      <c r="AI151" s="13">
        <v>36280.880000000005</v>
      </c>
      <c r="AJ151" s="13">
        <f t="shared" si="23"/>
        <v>75468.489999999991</v>
      </c>
    </row>
    <row r="152" spans="1:36" s="1" customFormat="1" x14ac:dyDescent="0.25">
      <c r="A152">
        <v>497</v>
      </c>
      <c r="B152">
        <v>1</v>
      </c>
      <c r="C152">
        <f t="shared" si="24"/>
        <v>1</v>
      </c>
      <c r="D152" s="1" t="s">
        <v>175</v>
      </c>
      <c r="E152" s="7">
        <v>22527.209999999992</v>
      </c>
      <c r="F152" s="7">
        <v>4807.3499999999985</v>
      </c>
      <c r="G152" s="7">
        <v>2085.8600000000006</v>
      </c>
      <c r="H152" s="7">
        <v>3913.4500000000044</v>
      </c>
      <c r="I152" s="7">
        <v>4588.8800000000047</v>
      </c>
      <c r="J152" s="7">
        <v>632.08000000000175</v>
      </c>
      <c r="K152" s="7">
        <v>4171.7099999999919</v>
      </c>
      <c r="L152" s="7">
        <v>5313.7099999999919</v>
      </c>
      <c r="M152" s="7">
        <v>3337.359999999986</v>
      </c>
      <c r="N152" s="7">
        <v>2531.8600000000006</v>
      </c>
      <c r="O152" s="7">
        <v>4171.7100000000064</v>
      </c>
      <c r="P152" s="7">
        <v>4386.8800000000047</v>
      </c>
      <c r="Q152" s="7">
        <v>3337.3699999999953</v>
      </c>
      <c r="R152" s="7">
        <v>5376.359999999986</v>
      </c>
      <c r="S152" s="7">
        <v>4171.6999999999971</v>
      </c>
      <c r="T152" s="7">
        <v>4797.25</v>
      </c>
      <c r="U152" s="7">
        <v>4171.7100000000064</v>
      </c>
      <c r="V152" s="7">
        <v>-1063.46</v>
      </c>
      <c r="W152" s="9">
        <f t="shared" si="19"/>
        <v>83258.989999999962</v>
      </c>
      <c r="X152" s="9">
        <v>27590.489999999998</v>
      </c>
      <c r="Y152" s="9">
        <v>13113.990000000002</v>
      </c>
      <c r="Z152" s="9">
        <v>14476.499999999996</v>
      </c>
      <c r="AA152" s="9">
        <f t="shared" si="20"/>
        <v>97735.489999999962</v>
      </c>
      <c r="AB152" s="7" t="e">
        <f>W152-#REF!</f>
        <v>#REF!</v>
      </c>
      <c r="AC152" s="12">
        <v>492</v>
      </c>
      <c r="AD152" s="12">
        <v>1</v>
      </c>
      <c r="AE152" s="12">
        <f t="shared" si="21"/>
        <v>0</v>
      </c>
      <c r="AF152" s="12">
        <f t="shared" si="22"/>
        <v>492</v>
      </c>
      <c r="AG152" s="13" t="s">
        <v>703</v>
      </c>
      <c r="AH152" s="13">
        <v>1396560.96</v>
      </c>
      <c r="AI152" s="13">
        <v>568821.44999999995</v>
      </c>
      <c r="AJ152" s="13">
        <f t="shared" si="23"/>
        <v>827739.51</v>
      </c>
    </row>
    <row r="153" spans="1:36" s="1" customFormat="1" x14ac:dyDescent="0.25">
      <c r="A153">
        <v>499</v>
      </c>
      <c r="B153">
        <v>1</v>
      </c>
      <c r="C153">
        <f t="shared" si="24"/>
        <v>1</v>
      </c>
      <c r="D153" s="1" t="s">
        <v>176</v>
      </c>
      <c r="E153" s="7">
        <v>25492.670000000006</v>
      </c>
      <c r="F153" s="7">
        <v>662.06000000000017</v>
      </c>
      <c r="G153" s="7">
        <v>0</v>
      </c>
      <c r="H153" s="7">
        <v>165.53000000000003</v>
      </c>
      <c r="I153" s="7">
        <v>14162.600000000006</v>
      </c>
      <c r="J153" s="7">
        <v>2294.9599999999919</v>
      </c>
      <c r="K153" s="7">
        <v>4720.859999999986</v>
      </c>
      <c r="L153" s="7">
        <v>4356.8000000000029</v>
      </c>
      <c r="M153" s="7">
        <v>3776.6900000000023</v>
      </c>
      <c r="N153" s="7">
        <v>4237.4500000000116</v>
      </c>
      <c r="O153" s="7">
        <v>4720.8699999999953</v>
      </c>
      <c r="P153" s="7">
        <v>5487.1499999999942</v>
      </c>
      <c r="Q153" s="7">
        <v>3776.6900000000023</v>
      </c>
      <c r="R153" s="7">
        <v>6570.390000000014</v>
      </c>
      <c r="S153" s="7">
        <v>14162.589999999997</v>
      </c>
      <c r="T153" s="7">
        <v>85.240000000000066</v>
      </c>
      <c r="U153" s="7">
        <v>0</v>
      </c>
      <c r="V153" s="7">
        <v>23.190000000000055</v>
      </c>
      <c r="W153" s="9">
        <f t="shared" si="19"/>
        <v>94695.74000000002</v>
      </c>
      <c r="X153" s="9">
        <v>231758.41999999998</v>
      </c>
      <c r="Y153" s="9">
        <v>54097.3</v>
      </c>
      <c r="Z153" s="9">
        <v>177661.12</v>
      </c>
      <c r="AA153" s="9">
        <f t="shared" si="20"/>
        <v>272356.86</v>
      </c>
      <c r="AB153" s="7" t="e">
        <f>W153-#REF!</f>
        <v>#REF!</v>
      </c>
      <c r="AC153" s="12">
        <v>495</v>
      </c>
      <c r="AD153" s="12">
        <v>1</v>
      </c>
      <c r="AE153" s="12">
        <f t="shared" si="21"/>
        <v>0</v>
      </c>
      <c r="AF153" s="12">
        <f t="shared" si="22"/>
        <v>495</v>
      </c>
      <c r="AG153" s="13" t="s">
        <v>704</v>
      </c>
      <c r="AH153" s="13">
        <v>188324.06000000003</v>
      </c>
      <c r="AI153" s="13">
        <v>60636.87</v>
      </c>
      <c r="AJ153" s="13">
        <f t="shared" si="23"/>
        <v>127687.19000000003</v>
      </c>
    </row>
    <row r="154" spans="1:36" s="1" customFormat="1" x14ac:dyDescent="0.25">
      <c r="A154">
        <v>500</v>
      </c>
      <c r="B154">
        <v>1</v>
      </c>
      <c r="C154">
        <f t="shared" si="24"/>
        <v>1</v>
      </c>
      <c r="D154" s="1" t="s">
        <v>177</v>
      </c>
      <c r="E154" s="7">
        <v>141906.6</v>
      </c>
      <c r="F154" s="7">
        <v>5002.5499999999956</v>
      </c>
      <c r="G154" s="7">
        <v>-98902.73000000001</v>
      </c>
      <c r="H154" s="7">
        <v>5988.3500000000022</v>
      </c>
      <c r="I154" s="7">
        <v>8017.679999999993</v>
      </c>
      <c r="J154" s="7">
        <v>3862.3499999999913</v>
      </c>
      <c r="K154" s="7">
        <v>7288.7999999999884</v>
      </c>
      <c r="L154" s="7">
        <v>6382.3699999999953</v>
      </c>
      <c r="M154" s="7">
        <v>5831.0299999999988</v>
      </c>
      <c r="N154" s="7">
        <v>6829.3500000000058</v>
      </c>
      <c r="O154" s="7">
        <v>7784.7399999999907</v>
      </c>
      <c r="P154" s="7">
        <v>8577.4800000000105</v>
      </c>
      <c r="Q154" s="7">
        <v>5831.0400000000081</v>
      </c>
      <c r="R154" s="7">
        <v>10082.800000000047</v>
      </c>
      <c r="S154" s="7">
        <v>7288.7999999999884</v>
      </c>
      <c r="T154" s="7">
        <v>7454.3899999999994</v>
      </c>
      <c r="U154" s="7">
        <v>7288.8000000000029</v>
      </c>
      <c r="V154" s="7">
        <v>-3049.11</v>
      </c>
      <c r="W154" s="9">
        <f t="shared" si="19"/>
        <v>143465.29000000004</v>
      </c>
      <c r="X154" s="9">
        <v>160743.27999999997</v>
      </c>
      <c r="Y154" s="9">
        <v>74837.240000000005</v>
      </c>
      <c r="Z154" s="9">
        <v>85906.039999999964</v>
      </c>
      <c r="AA154" s="9">
        <f t="shared" si="20"/>
        <v>229371.33000000002</v>
      </c>
      <c r="AB154" s="7" t="e">
        <f>W154-#REF!</f>
        <v>#REF!</v>
      </c>
      <c r="AC154" s="12">
        <v>497</v>
      </c>
      <c r="AD154" s="12">
        <v>1</v>
      </c>
      <c r="AE154" s="12">
        <f t="shared" si="21"/>
        <v>0</v>
      </c>
      <c r="AF154" s="12">
        <f t="shared" si="22"/>
        <v>497</v>
      </c>
      <c r="AG154" s="13" t="s">
        <v>705</v>
      </c>
      <c r="AH154" s="13">
        <v>27590.489999999998</v>
      </c>
      <c r="AI154" s="13">
        <v>13113.990000000002</v>
      </c>
      <c r="AJ154" s="13">
        <f t="shared" si="23"/>
        <v>14476.499999999996</v>
      </c>
    </row>
    <row r="155" spans="1:36" s="1" customFormat="1" x14ac:dyDescent="0.25">
      <c r="A155">
        <v>505</v>
      </c>
      <c r="B155">
        <v>1</v>
      </c>
      <c r="C155">
        <f t="shared" si="24"/>
        <v>1</v>
      </c>
      <c r="D155" s="1" t="s">
        <v>178</v>
      </c>
      <c r="E155" s="7">
        <v>32516.12000000001</v>
      </c>
      <c r="F155" s="7">
        <v>3009.2300000000032</v>
      </c>
      <c r="G155" s="7">
        <v>-2925.2599999999984</v>
      </c>
      <c r="H155" s="7">
        <v>1481.9499999999998</v>
      </c>
      <c r="I155" s="7">
        <v>8047.3099999999977</v>
      </c>
      <c r="J155" s="7">
        <v>3009.2400000000052</v>
      </c>
      <c r="K155" s="7">
        <v>5015.3999999999942</v>
      </c>
      <c r="L155" s="7">
        <v>4012.320000000007</v>
      </c>
      <c r="M155" s="7">
        <v>4012.3199999999924</v>
      </c>
      <c r="N155" s="7">
        <v>5015.3999999999942</v>
      </c>
      <c r="O155" s="7">
        <v>5248.0899999999965</v>
      </c>
      <c r="P155" s="7">
        <v>6018.4900000000198</v>
      </c>
      <c r="Q155" s="7">
        <v>4012.3099999999977</v>
      </c>
      <c r="R155" s="7">
        <v>7021.5599999999977</v>
      </c>
      <c r="S155" s="7">
        <v>5015.3999999999942</v>
      </c>
      <c r="T155" s="7">
        <v>5015.3999999999978</v>
      </c>
      <c r="U155" s="7">
        <v>5015.3999999999978</v>
      </c>
      <c r="V155" s="7">
        <v>-1881.97</v>
      </c>
      <c r="W155" s="9">
        <f t="shared" si="19"/>
        <v>98658.709999999992</v>
      </c>
      <c r="X155" s="9">
        <v>130876.46</v>
      </c>
      <c r="Y155" s="9">
        <v>51944.649999999994</v>
      </c>
      <c r="Z155" s="9">
        <v>78931.810000000012</v>
      </c>
      <c r="AA155" s="9">
        <f t="shared" si="20"/>
        <v>177590.52000000002</v>
      </c>
      <c r="AB155" s="7" t="e">
        <f>W155-#REF!</f>
        <v>#REF!</v>
      </c>
      <c r="AC155" s="12">
        <v>499</v>
      </c>
      <c r="AD155" s="12">
        <v>1</v>
      </c>
      <c r="AE155" s="12">
        <f t="shared" si="21"/>
        <v>0</v>
      </c>
      <c r="AF155" s="12">
        <f t="shared" si="22"/>
        <v>499</v>
      </c>
      <c r="AG155" s="13" t="s">
        <v>706</v>
      </c>
      <c r="AH155" s="13">
        <v>231758.41999999998</v>
      </c>
      <c r="AI155" s="13">
        <v>54097.3</v>
      </c>
      <c r="AJ155" s="13">
        <f t="shared" si="23"/>
        <v>177661.12</v>
      </c>
    </row>
    <row r="156" spans="1:36" s="1" customFormat="1" x14ac:dyDescent="0.25">
      <c r="A156">
        <v>507</v>
      </c>
      <c r="B156">
        <v>1</v>
      </c>
      <c r="C156">
        <f t="shared" si="24"/>
        <v>1</v>
      </c>
      <c r="D156" s="1" t="s">
        <v>179</v>
      </c>
      <c r="E156" s="7">
        <v>26959.090000000004</v>
      </c>
      <c r="F156" s="7">
        <v>3744.3799999999992</v>
      </c>
      <c r="G156" s="7">
        <v>-1201.5200000000004</v>
      </c>
      <c r="H156" s="7">
        <v>6260.92</v>
      </c>
      <c r="I156" s="7">
        <v>5407.4899999999907</v>
      </c>
      <c r="J156" s="7">
        <v>2145.5100000000093</v>
      </c>
      <c r="K156" s="7">
        <v>4769.929999999993</v>
      </c>
      <c r="L156" s="7">
        <v>4589.0800000000017</v>
      </c>
      <c r="M156" s="7">
        <v>3815.9300000000076</v>
      </c>
      <c r="N156" s="7">
        <v>4125.6300000000047</v>
      </c>
      <c r="O156" s="7">
        <v>5202.2999999999884</v>
      </c>
      <c r="P156" s="7">
        <v>5486.8100000000268</v>
      </c>
      <c r="Q156" s="7">
        <v>3815.9300000000076</v>
      </c>
      <c r="R156" s="7">
        <v>6701.3800000000047</v>
      </c>
      <c r="S156" s="7">
        <v>4769.929999999993</v>
      </c>
      <c r="T156" s="7">
        <v>4808.2800000000007</v>
      </c>
      <c r="U156" s="7">
        <v>4769.93</v>
      </c>
      <c r="V156" s="7">
        <v>-1798.2200000000003</v>
      </c>
      <c r="W156" s="9">
        <f t="shared" si="19"/>
        <v>94372.780000000028</v>
      </c>
      <c r="X156" s="9">
        <v>162866.79999999999</v>
      </c>
      <c r="Y156" s="9">
        <v>47818.62</v>
      </c>
      <c r="Z156" s="9">
        <v>115048.18</v>
      </c>
      <c r="AA156" s="9">
        <f t="shared" si="20"/>
        <v>209420.96000000002</v>
      </c>
      <c r="AB156" s="7" t="e">
        <f>W156-#REF!</f>
        <v>#REF!</v>
      </c>
      <c r="AC156" s="12">
        <v>500</v>
      </c>
      <c r="AD156" s="12">
        <v>1</v>
      </c>
      <c r="AE156" s="12">
        <f t="shared" si="21"/>
        <v>0</v>
      </c>
      <c r="AF156" s="12">
        <f t="shared" si="22"/>
        <v>500</v>
      </c>
      <c r="AG156" s="13" t="s">
        <v>707</v>
      </c>
      <c r="AH156" s="13">
        <v>160743.27999999997</v>
      </c>
      <c r="AI156" s="13">
        <v>74837.240000000005</v>
      </c>
      <c r="AJ156" s="13">
        <f t="shared" si="23"/>
        <v>85906.039999999964</v>
      </c>
    </row>
    <row r="157" spans="1:36" s="1" customFormat="1" x14ac:dyDescent="0.25">
      <c r="A157">
        <v>508</v>
      </c>
      <c r="B157">
        <v>1</v>
      </c>
      <c r="C157">
        <f t="shared" si="24"/>
        <v>1</v>
      </c>
      <c r="D157" s="1" t="s">
        <v>180</v>
      </c>
      <c r="E157" s="7">
        <v>163007.56</v>
      </c>
      <c r="F157" s="7">
        <v>98.81</v>
      </c>
      <c r="G157" s="7">
        <v>-4962.8</v>
      </c>
      <c r="H157" s="7">
        <v>55633.05</v>
      </c>
      <c r="I157" s="7">
        <v>32194.300000000047</v>
      </c>
      <c r="J157" s="7">
        <v>17480.290000000037</v>
      </c>
      <c r="K157" s="7">
        <v>29267.54999999993</v>
      </c>
      <c r="L157" s="7">
        <v>23500.599999999977</v>
      </c>
      <c r="M157" s="7">
        <v>23414.040000000037</v>
      </c>
      <c r="N157" s="7">
        <v>29195.400000000023</v>
      </c>
      <c r="O157" s="7">
        <v>29870.479999999981</v>
      </c>
      <c r="P157" s="7">
        <v>35094.510000000009</v>
      </c>
      <c r="Q157" s="7">
        <v>23414.030000000028</v>
      </c>
      <c r="R157" s="7">
        <v>40965.610000000102</v>
      </c>
      <c r="S157" s="7">
        <v>29267.54999999993</v>
      </c>
      <c r="T157" s="7">
        <v>29283.430000000008</v>
      </c>
      <c r="U157" s="7">
        <v>29267.550000000003</v>
      </c>
      <c r="V157" s="7">
        <v>3.4699999999999989</v>
      </c>
      <c r="W157" s="9">
        <f t="shared" si="19"/>
        <v>585995.43000000017</v>
      </c>
      <c r="X157" s="9">
        <v>1295864.8500000001</v>
      </c>
      <c r="Y157" s="9">
        <v>525521.51</v>
      </c>
      <c r="Z157" s="9">
        <v>770343.34000000008</v>
      </c>
      <c r="AA157" s="9">
        <f t="shared" si="20"/>
        <v>1356338.7700000003</v>
      </c>
      <c r="AB157" s="7" t="e">
        <f>W157-#REF!</f>
        <v>#REF!</v>
      </c>
      <c r="AC157" s="12">
        <v>505</v>
      </c>
      <c r="AD157" s="12">
        <v>1</v>
      </c>
      <c r="AE157" s="12">
        <f t="shared" si="21"/>
        <v>0</v>
      </c>
      <c r="AF157" s="12">
        <f t="shared" si="22"/>
        <v>505</v>
      </c>
      <c r="AG157" s="13" t="s">
        <v>708</v>
      </c>
      <c r="AH157" s="13">
        <v>130876.46</v>
      </c>
      <c r="AI157" s="13">
        <v>51944.649999999994</v>
      </c>
      <c r="AJ157" s="13">
        <f t="shared" si="23"/>
        <v>78931.810000000012</v>
      </c>
    </row>
    <row r="158" spans="1:36" s="1" customFormat="1" x14ac:dyDescent="0.25">
      <c r="A158">
        <v>511</v>
      </c>
      <c r="B158">
        <v>1</v>
      </c>
      <c r="C158">
        <f t="shared" si="24"/>
        <v>1</v>
      </c>
      <c r="D158" s="1" t="s">
        <v>181</v>
      </c>
      <c r="E158" s="7">
        <v>51558.470000000016</v>
      </c>
      <c r="F158" s="7">
        <v>7199.3899999999994</v>
      </c>
      <c r="G158" s="7">
        <v>4773.93</v>
      </c>
      <c r="H158" s="7">
        <v>8005.9800000000032</v>
      </c>
      <c r="I158" s="7">
        <v>10502.650000000023</v>
      </c>
      <c r="J158" s="7">
        <v>4534.6500000000233</v>
      </c>
      <c r="K158" s="7">
        <v>9547.859999999986</v>
      </c>
      <c r="L158" s="7">
        <v>8926.859999999986</v>
      </c>
      <c r="M158" s="7">
        <v>7638.2799999999988</v>
      </c>
      <c r="N158" s="7">
        <v>8474.0799999999872</v>
      </c>
      <c r="O158" s="7">
        <v>9547.8699999999953</v>
      </c>
      <c r="P158" s="7">
        <v>11062.260000000009</v>
      </c>
      <c r="Q158" s="7">
        <v>7638.289999999979</v>
      </c>
      <c r="R158" s="7">
        <v>13194.619999999995</v>
      </c>
      <c r="S158" s="7">
        <v>9547.8699999999953</v>
      </c>
      <c r="T158" s="7">
        <v>9823.3500000000058</v>
      </c>
      <c r="U158" s="7">
        <v>9547.86</v>
      </c>
      <c r="V158" s="7">
        <v>-4427.7100000000009</v>
      </c>
      <c r="W158" s="9">
        <f t="shared" si="19"/>
        <v>187096.56000000003</v>
      </c>
      <c r="X158" s="9">
        <v>294176.82999999996</v>
      </c>
      <c r="Y158" s="9">
        <v>128551.68999999999</v>
      </c>
      <c r="Z158" s="9">
        <v>165625.13999999996</v>
      </c>
      <c r="AA158" s="9">
        <f t="shared" si="20"/>
        <v>352721.69999999995</v>
      </c>
      <c r="AB158" s="7" t="e">
        <f>W158-#REF!</f>
        <v>#REF!</v>
      </c>
      <c r="AC158" s="12">
        <v>507</v>
      </c>
      <c r="AD158" s="12">
        <v>1</v>
      </c>
      <c r="AE158" s="12">
        <f t="shared" si="21"/>
        <v>0</v>
      </c>
      <c r="AF158" s="12">
        <f t="shared" si="22"/>
        <v>507</v>
      </c>
      <c r="AG158" s="13" t="s">
        <v>709</v>
      </c>
      <c r="AH158" s="13">
        <v>162866.79999999999</v>
      </c>
      <c r="AI158" s="13">
        <v>47818.62</v>
      </c>
      <c r="AJ158" s="13">
        <f t="shared" si="23"/>
        <v>115048.18</v>
      </c>
    </row>
    <row r="159" spans="1:36" s="1" customFormat="1" x14ac:dyDescent="0.25">
      <c r="A159">
        <v>514</v>
      </c>
      <c r="B159">
        <v>1</v>
      </c>
      <c r="C159">
        <f t="shared" si="24"/>
        <v>1</v>
      </c>
      <c r="D159" s="1" t="s">
        <v>182</v>
      </c>
      <c r="E159" s="7">
        <v>14419.070000000003</v>
      </c>
      <c r="F159" s="7">
        <v>1602.130000000001</v>
      </c>
      <c r="G159" s="7">
        <v>1335.0899999999965</v>
      </c>
      <c r="H159" s="7">
        <v>2136.16</v>
      </c>
      <c r="I159" s="7">
        <v>2937.2200000000012</v>
      </c>
      <c r="J159" s="7">
        <v>1602.1299999999974</v>
      </c>
      <c r="K159" s="7">
        <v>2670.1899999999878</v>
      </c>
      <c r="L159" s="7">
        <v>2136.1600000000035</v>
      </c>
      <c r="M159" s="7">
        <v>2136.1600000000035</v>
      </c>
      <c r="N159" s="7">
        <v>2670.1999999999971</v>
      </c>
      <c r="O159" s="7">
        <v>2670.1999999999971</v>
      </c>
      <c r="P159" s="7">
        <v>3204.2300000000105</v>
      </c>
      <c r="Q159" s="7">
        <v>2136.1699999999983</v>
      </c>
      <c r="R159" s="7">
        <v>3738.2700000000041</v>
      </c>
      <c r="S159" s="7">
        <v>2670.1999999999971</v>
      </c>
      <c r="T159" s="7">
        <v>2670.2000000000007</v>
      </c>
      <c r="U159" s="7">
        <v>2670.2000000000044</v>
      </c>
      <c r="V159" s="7">
        <v>-947.34</v>
      </c>
      <c r="W159" s="9">
        <f t="shared" si="19"/>
        <v>52456.640000000007</v>
      </c>
      <c r="X159" s="9">
        <v>37582.58</v>
      </c>
      <c r="Y159" s="9">
        <v>13513.04</v>
      </c>
      <c r="Z159" s="9">
        <v>24069.54</v>
      </c>
      <c r="AA159" s="9">
        <f t="shared" si="20"/>
        <v>76526.180000000008</v>
      </c>
      <c r="AB159" s="7" t="e">
        <f>W159-#REF!</f>
        <v>#REF!</v>
      </c>
      <c r="AC159" s="12">
        <v>508</v>
      </c>
      <c r="AD159" s="12">
        <v>1</v>
      </c>
      <c r="AE159" s="12">
        <f t="shared" si="21"/>
        <v>0</v>
      </c>
      <c r="AF159" s="12">
        <f t="shared" si="22"/>
        <v>508</v>
      </c>
      <c r="AG159" s="13" t="s">
        <v>710</v>
      </c>
      <c r="AH159" s="13">
        <v>1295864.8500000001</v>
      </c>
      <c r="AI159" s="13">
        <v>525521.51</v>
      </c>
      <c r="AJ159" s="13">
        <f t="shared" si="23"/>
        <v>770343.34000000008</v>
      </c>
    </row>
    <row r="160" spans="1:36" s="1" customFormat="1" x14ac:dyDescent="0.25">
      <c r="A160">
        <v>518</v>
      </c>
      <c r="B160">
        <v>1</v>
      </c>
      <c r="C160">
        <f t="shared" si="24"/>
        <v>1</v>
      </c>
      <c r="D160" s="1" t="s">
        <v>183</v>
      </c>
      <c r="E160" s="7">
        <v>284751.24</v>
      </c>
      <c r="F160" s="7">
        <v>36213.429999999993</v>
      </c>
      <c r="G160" s="7">
        <v>16149.069999999992</v>
      </c>
      <c r="H160" s="7">
        <v>42203.380000000005</v>
      </c>
      <c r="I160" s="7">
        <v>56100.060000000056</v>
      </c>
      <c r="J160" s="7">
        <v>26042.420000000042</v>
      </c>
      <c r="K160" s="7">
        <v>51000.060000000056</v>
      </c>
      <c r="L160" s="7">
        <v>45718.319999999832</v>
      </c>
      <c r="M160" s="7">
        <v>40800.040000000037</v>
      </c>
      <c r="N160" s="7">
        <v>46901.479999999981</v>
      </c>
      <c r="O160" s="7">
        <v>51772.160000000149</v>
      </c>
      <c r="P160" s="7">
        <v>59691.790000000037</v>
      </c>
      <c r="Q160" s="7">
        <v>40800.029999999795</v>
      </c>
      <c r="R160" s="7">
        <v>70230.309999999823</v>
      </c>
      <c r="S160" s="7">
        <v>51000.050000000047</v>
      </c>
      <c r="T160" s="7">
        <v>52563.290000000037</v>
      </c>
      <c r="U160" s="7">
        <v>51000.050000000047</v>
      </c>
      <c r="V160" s="7">
        <v>-84882.14</v>
      </c>
      <c r="W160" s="9">
        <f t="shared" si="19"/>
        <v>938055.03999999992</v>
      </c>
      <c r="X160" s="9">
        <v>1326101.24</v>
      </c>
      <c r="Y160" s="9">
        <v>590497.67999999993</v>
      </c>
      <c r="Z160" s="9">
        <v>735603.56</v>
      </c>
      <c r="AA160" s="9">
        <f t="shared" si="20"/>
        <v>1673658.6</v>
      </c>
      <c r="AB160" s="7" t="e">
        <f>W160-#REF!</f>
        <v>#REF!</v>
      </c>
      <c r="AC160" s="12">
        <v>511</v>
      </c>
      <c r="AD160" s="12">
        <v>1</v>
      </c>
      <c r="AE160" s="12">
        <f t="shared" si="21"/>
        <v>0</v>
      </c>
      <c r="AF160" s="12">
        <f t="shared" si="22"/>
        <v>511</v>
      </c>
      <c r="AG160" s="13" t="s">
        <v>711</v>
      </c>
      <c r="AH160" s="13">
        <v>294176.82999999996</v>
      </c>
      <c r="AI160" s="13">
        <v>128551.68999999999</v>
      </c>
      <c r="AJ160" s="13">
        <f t="shared" si="23"/>
        <v>165625.13999999996</v>
      </c>
    </row>
    <row r="161" spans="1:36" s="1" customFormat="1" x14ac:dyDescent="0.25">
      <c r="A161">
        <v>531</v>
      </c>
      <c r="B161">
        <v>1</v>
      </c>
      <c r="C161">
        <f t="shared" si="24"/>
        <v>1</v>
      </c>
      <c r="D161" s="1" t="s">
        <v>184</v>
      </c>
      <c r="E161" s="7">
        <v>132365.36999999997</v>
      </c>
      <c r="F161" s="7">
        <v>56047.25</v>
      </c>
      <c r="G161" s="7">
        <v>11228.669999999998</v>
      </c>
      <c r="H161" s="7">
        <v>29831.489999999991</v>
      </c>
      <c r="I161" s="7">
        <v>26771.770000000019</v>
      </c>
      <c r="J161" s="7">
        <v>-19046.640000000014</v>
      </c>
      <c r="K161" s="7">
        <v>24337.969999999972</v>
      </c>
      <c r="L161" s="7">
        <v>23269.320000000065</v>
      </c>
      <c r="M161" s="7">
        <v>19470.379999999946</v>
      </c>
      <c r="N161" s="7">
        <v>26591.080000000075</v>
      </c>
      <c r="O161" s="7">
        <v>24757.159999999916</v>
      </c>
      <c r="P161" s="7">
        <v>18069.810000000056</v>
      </c>
      <c r="Q161" s="7">
        <v>19470.369999999995</v>
      </c>
      <c r="R161" s="7">
        <v>35456.839999999967</v>
      </c>
      <c r="S161" s="7">
        <v>24337.979999999981</v>
      </c>
      <c r="T161" s="7">
        <v>25859.26999999996</v>
      </c>
      <c r="U161" s="7">
        <v>24337.97000000003</v>
      </c>
      <c r="V161" s="7">
        <v>203.33999999999651</v>
      </c>
      <c r="W161" s="9">
        <f t="shared" si="19"/>
        <v>503359.39999999991</v>
      </c>
      <c r="X161" s="9">
        <v>532660.41</v>
      </c>
      <c r="Y161" s="9">
        <v>229236.89</v>
      </c>
      <c r="Z161" s="9">
        <v>303423.52</v>
      </c>
      <c r="AA161" s="9">
        <f t="shared" si="20"/>
        <v>806782.91999999993</v>
      </c>
      <c r="AB161" s="7" t="e">
        <f>W161-#REF!</f>
        <v>#REF!</v>
      </c>
      <c r="AC161" s="12">
        <v>513</v>
      </c>
      <c r="AD161" s="12">
        <v>1</v>
      </c>
      <c r="AE161" s="12">
        <f t="shared" si="21"/>
        <v>2907</v>
      </c>
      <c r="AF161" s="12">
        <f t="shared" si="22"/>
        <v>2907</v>
      </c>
      <c r="AG161" s="13" t="s">
        <v>712</v>
      </c>
      <c r="AH161" s="13">
        <v>155972.00999999998</v>
      </c>
      <c r="AI161" s="13">
        <v>56580.029999999992</v>
      </c>
      <c r="AJ161" s="13">
        <f t="shared" si="23"/>
        <v>99391.979999999981</v>
      </c>
    </row>
    <row r="162" spans="1:36" s="1" customFormat="1" x14ac:dyDescent="0.25">
      <c r="A162">
        <v>533</v>
      </c>
      <c r="B162">
        <v>1</v>
      </c>
      <c r="C162">
        <f t="shared" si="24"/>
        <v>1</v>
      </c>
      <c r="D162" s="1" t="s">
        <v>185</v>
      </c>
      <c r="E162" s="7">
        <v>95276.040000000008</v>
      </c>
      <c r="F162" s="7">
        <v>24179.75</v>
      </c>
      <c r="G162" s="7">
        <v>5910.929999999993</v>
      </c>
      <c r="H162" s="7">
        <v>17192.660000000003</v>
      </c>
      <c r="I162" s="7">
        <v>18865.369999999995</v>
      </c>
      <c r="J162" s="7">
        <v>-986.95999999996275</v>
      </c>
      <c r="K162" s="7">
        <v>17150.339999999967</v>
      </c>
      <c r="L162" s="7">
        <v>15922.239999999991</v>
      </c>
      <c r="M162" s="7">
        <v>13720.260000000009</v>
      </c>
      <c r="N162" s="7">
        <v>16976.619999999995</v>
      </c>
      <c r="O162" s="7">
        <v>17150.339999999967</v>
      </c>
      <c r="P162" s="7">
        <v>16848.409999999916</v>
      </c>
      <c r="Q162" s="7">
        <v>13720.270000000019</v>
      </c>
      <c r="R162" s="7">
        <v>24377.469999999972</v>
      </c>
      <c r="S162" s="7">
        <v>17150.339999999967</v>
      </c>
      <c r="T162" s="7">
        <v>17756.869999999995</v>
      </c>
      <c r="U162" s="7">
        <v>17150.339999999967</v>
      </c>
      <c r="V162" s="7">
        <v>-3059.1299999999992</v>
      </c>
      <c r="W162" s="9">
        <f t="shared" si="19"/>
        <v>345302.1599999998</v>
      </c>
      <c r="X162" s="9">
        <v>258688.31999999998</v>
      </c>
      <c r="Y162" s="9">
        <v>122956.79000000001</v>
      </c>
      <c r="Z162" s="9">
        <v>135731.52999999997</v>
      </c>
      <c r="AA162" s="9">
        <f t="shared" si="20"/>
        <v>481033.68999999977</v>
      </c>
      <c r="AB162" s="7" t="e">
        <f>W162-#REF!</f>
        <v>#REF!</v>
      </c>
      <c r="AC162" s="12">
        <v>514</v>
      </c>
      <c r="AD162" s="12">
        <v>1</v>
      </c>
      <c r="AE162" s="12">
        <f t="shared" si="21"/>
        <v>0</v>
      </c>
      <c r="AF162" s="12">
        <f t="shared" si="22"/>
        <v>514</v>
      </c>
      <c r="AG162" s="13" t="s">
        <v>713</v>
      </c>
      <c r="AH162" s="13">
        <v>37582.58</v>
      </c>
      <c r="AI162" s="13">
        <v>13513.04</v>
      </c>
      <c r="AJ162" s="13">
        <f t="shared" si="23"/>
        <v>24069.54</v>
      </c>
    </row>
    <row r="163" spans="1:36" s="1" customFormat="1" x14ac:dyDescent="0.25">
      <c r="A163">
        <v>534</v>
      </c>
      <c r="B163">
        <v>1</v>
      </c>
      <c r="C163">
        <f t="shared" si="24"/>
        <v>1</v>
      </c>
      <c r="D163" s="1" t="s">
        <v>186</v>
      </c>
      <c r="E163" s="7">
        <v>157754.95000000001</v>
      </c>
      <c r="F163" s="7">
        <v>18258.86</v>
      </c>
      <c r="G163" s="7">
        <v>-11179.36</v>
      </c>
      <c r="H163" s="7">
        <v>35779.890000000014</v>
      </c>
      <c r="I163" s="7">
        <v>29857.979999999981</v>
      </c>
      <c r="J163" s="7">
        <v>14684.530000000028</v>
      </c>
      <c r="K163" s="7">
        <v>27143.630000000005</v>
      </c>
      <c r="L163" s="7">
        <v>23443.309999999939</v>
      </c>
      <c r="M163" s="7">
        <v>21714.900000000023</v>
      </c>
      <c r="N163" s="7">
        <v>25703.280000000028</v>
      </c>
      <c r="O163" s="7">
        <v>27151.830000000075</v>
      </c>
      <c r="P163" s="7">
        <v>32042.300000000047</v>
      </c>
      <c r="Q163" s="7">
        <v>21714.900000000023</v>
      </c>
      <c r="R163" s="7">
        <v>37842.069999999832</v>
      </c>
      <c r="S163" s="7">
        <v>27143.630000000005</v>
      </c>
      <c r="T163" s="7">
        <v>27440.919999999984</v>
      </c>
      <c r="U163" s="7">
        <v>27143.630000000005</v>
      </c>
      <c r="V163" s="7">
        <v>-5543.4400000000005</v>
      </c>
      <c r="W163" s="9">
        <f t="shared" si="19"/>
        <v>538097.81000000006</v>
      </c>
      <c r="X163" s="9">
        <v>1087803.94</v>
      </c>
      <c r="Y163" s="9">
        <v>481871.51</v>
      </c>
      <c r="Z163" s="9">
        <v>605932.42999999993</v>
      </c>
      <c r="AA163" s="9">
        <f t="shared" si="20"/>
        <v>1144030.24</v>
      </c>
      <c r="AB163" s="7" t="e">
        <f>W163-#REF!</f>
        <v>#REF!</v>
      </c>
      <c r="AC163" s="12">
        <v>516</v>
      </c>
      <c r="AD163" s="12">
        <v>1</v>
      </c>
      <c r="AE163" s="12">
        <f t="shared" si="21"/>
        <v>2907</v>
      </c>
      <c r="AF163" s="12">
        <f t="shared" si="22"/>
        <v>2907</v>
      </c>
      <c r="AG163" s="13" t="s">
        <v>714</v>
      </c>
      <c r="AH163" s="13">
        <v>77206.119999999981</v>
      </c>
      <c r="AI163" s="13">
        <v>31083.09</v>
      </c>
      <c r="AJ163" s="13">
        <f t="shared" si="23"/>
        <v>46123.029999999984</v>
      </c>
    </row>
    <row r="164" spans="1:36" s="1" customFormat="1" x14ac:dyDescent="0.25">
      <c r="A164">
        <v>535</v>
      </c>
      <c r="B164">
        <v>1</v>
      </c>
      <c r="C164">
        <f t="shared" si="24"/>
        <v>1</v>
      </c>
      <c r="D164" s="1" t="s">
        <v>187</v>
      </c>
      <c r="E164" s="7">
        <v>1369096.5899999999</v>
      </c>
      <c r="F164" s="7">
        <v>58444.869999999995</v>
      </c>
      <c r="G164" s="7">
        <v>-75330.080000000016</v>
      </c>
      <c r="H164" s="7">
        <v>348294.72</v>
      </c>
      <c r="I164" s="7">
        <v>385075.68999999948</v>
      </c>
      <c r="J164" s="7">
        <v>157339.00999999978</v>
      </c>
      <c r="K164" s="7">
        <v>239586.37999999989</v>
      </c>
      <c r="L164" s="7">
        <v>206884.16999999993</v>
      </c>
      <c r="M164" s="7">
        <v>191669.11000000034</v>
      </c>
      <c r="N164" s="7">
        <v>253252.44000000041</v>
      </c>
      <c r="O164" s="7">
        <v>258495.59999999963</v>
      </c>
      <c r="P164" s="7">
        <v>187803.18999999948</v>
      </c>
      <c r="Q164" s="7">
        <v>191669.12000000011</v>
      </c>
      <c r="R164" s="7">
        <v>337156.31000000052</v>
      </c>
      <c r="S164" s="7">
        <v>239586.40000000037</v>
      </c>
      <c r="T164" s="7">
        <v>241367.47000000003</v>
      </c>
      <c r="U164" s="7">
        <v>239586.39</v>
      </c>
      <c r="V164" s="7">
        <v>-217385.09</v>
      </c>
      <c r="W164" s="9">
        <f t="shared" si="19"/>
        <v>4612592.2899999991</v>
      </c>
      <c r="X164" s="9">
        <v>10456611.020000001</v>
      </c>
      <c r="Y164" s="9">
        <v>4661566.92</v>
      </c>
      <c r="Z164" s="9">
        <v>5795044.1000000015</v>
      </c>
      <c r="AA164" s="9">
        <f t="shared" si="20"/>
        <v>10407636.390000001</v>
      </c>
      <c r="AB164" s="7" t="e">
        <f>W164-#REF!</f>
        <v>#REF!</v>
      </c>
      <c r="AC164" s="12">
        <v>518</v>
      </c>
      <c r="AD164" s="12">
        <v>1</v>
      </c>
      <c r="AE164" s="12">
        <f t="shared" si="21"/>
        <v>0</v>
      </c>
      <c r="AF164" s="12">
        <f t="shared" si="22"/>
        <v>518</v>
      </c>
      <c r="AG164" s="13" t="s">
        <v>715</v>
      </c>
      <c r="AH164" s="13">
        <v>1326101.24</v>
      </c>
      <c r="AI164" s="13">
        <v>590497.67999999993</v>
      </c>
      <c r="AJ164" s="13">
        <f t="shared" si="23"/>
        <v>735603.56</v>
      </c>
    </row>
    <row r="165" spans="1:36" s="1" customFormat="1" x14ac:dyDescent="0.25">
      <c r="A165">
        <v>542</v>
      </c>
      <c r="B165">
        <v>1</v>
      </c>
      <c r="C165">
        <f t="shared" si="24"/>
        <v>1</v>
      </c>
      <c r="D165" s="1" t="s">
        <v>188</v>
      </c>
      <c r="E165" s="7">
        <v>32679.300000000003</v>
      </c>
      <c r="F165" s="7">
        <v>388.42999999999995</v>
      </c>
      <c r="G165" s="7">
        <v>-835.84</v>
      </c>
      <c r="H165" s="7">
        <v>97.1</v>
      </c>
      <c r="I165" s="7">
        <v>17690.800000000003</v>
      </c>
      <c r="J165" s="7">
        <v>3222.7900000000081</v>
      </c>
      <c r="K165" s="7">
        <v>5896.9400000000023</v>
      </c>
      <c r="L165" s="7">
        <v>5057.8600000000151</v>
      </c>
      <c r="M165" s="7">
        <v>4717.5500000000175</v>
      </c>
      <c r="N165" s="7">
        <v>5613.3499999999767</v>
      </c>
      <c r="O165" s="7">
        <v>5896.929999999993</v>
      </c>
      <c r="P165" s="7">
        <v>6971.9500000000116</v>
      </c>
      <c r="Q165" s="7">
        <v>4717.5500000000175</v>
      </c>
      <c r="R165" s="7">
        <v>8259.609999999986</v>
      </c>
      <c r="S165" s="7">
        <v>17690.809999999998</v>
      </c>
      <c r="T165" s="7">
        <v>23.329999999999984</v>
      </c>
      <c r="U165" s="7">
        <v>0</v>
      </c>
      <c r="V165" s="7">
        <v>-2626.2200000000003</v>
      </c>
      <c r="W165" s="9">
        <f t="shared" si="19"/>
        <v>115462.24000000003</v>
      </c>
      <c r="X165" s="9">
        <v>433038.11</v>
      </c>
      <c r="Y165" s="9">
        <v>205826.76</v>
      </c>
      <c r="Z165" s="9">
        <v>227211.34999999998</v>
      </c>
      <c r="AA165" s="9">
        <f t="shared" si="20"/>
        <v>342673.59</v>
      </c>
      <c r="AB165" s="7" t="e">
        <f>W165-#REF!</f>
        <v>#REF!</v>
      </c>
      <c r="AC165" s="12">
        <v>531</v>
      </c>
      <c r="AD165" s="12">
        <v>1</v>
      </c>
      <c r="AE165" s="12">
        <f t="shared" si="21"/>
        <v>0</v>
      </c>
      <c r="AF165" s="12">
        <f t="shared" si="22"/>
        <v>531</v>
      </c>
      <c r="AG165" s="13" t="s">
        <v>716</v>
      </c>
      <c r="AH165" s="13">
        <v>532660.41</v>
      </c>
      <c r="AI165" s="13">
        <v>229236.89</v>
      </c>
      <c r="AJ165" s="13">
        <f t="shared" si="23"/>
        <v>303423.52</v>
      </c>
    </row>
    <row r="166" spans="1:36" s="1" customFormat="1" x14ac:dyDescent="0.25">
      <c r="A166">
        <v>544</v>
      </c>
      <c r="B166">
        <v>1</v>
      </c>
      <c r="C166">
        <f t="shared" si="24"/>
        <v>1</v>
      </c>
      <c r="D166" s="1" t="s">
        <v>189</v>
      </c>
      <c r="E166" s="7">
        <v>299466.13999999996</v>
      </c>
      <c r="F166" s="7">
        <v>23527.32</v>
      </c>
      <c r="G166" s="7">
        <v>-110069.68000000001</v>
      </c>
      <c r="H166" s="7">
        <v>46216.259999999893</v>
      </c>
      <c r="I166" s="7">
        <v>38580.760000000009</v>
      </c>
      <c r="J166" s="7">
        <v>19027.380000000005</v>
      </c>
      <c r="K166" s="7">
        <v>35073.410000000033</v>
      </c>
      <c r="L166" s="7">
        <v>30233.540000000037</v>
      </c>
      <c r="M166" s="7">
        <v>28058.729999999981</v>
      </c>
      <c r="N166" s="7">
        <v>33261.089999999967</v>
      </c>
      <c r="O166" s="7">
        <v>38667.989999999991</v>
      </c>
      <c r="P166" s="7">
        <v>41421.149999999907</v>
      </c>
      <c r="Q166" s="7">
        <v>28058.739999999991</v>
      </c>
      <c r="R166" s="7">
        <v>49043.09999999986</v>
      </c>
      <c r="S166" s="7">
        <v>35073.420000000042</v>
      </c>
      <c r="T166" s="7">
        <v>35307.070000000007</v>
      </c>
      <c r="U166" s="7">
        <v>35073.419999999984</v>
      </c>
      <c r="V166" s="7">
        <v>-17046.43</v>
      </c>
      <c r="W166" s="9">
        <f t="shared" si="19"/>
        <v>688973.40999999957</v>
      </c>
      <c r="X166" s="9">
        <v>1049620.7</v>
      </c>
      <c r="Y166" s="9">
        <v>474356.70999999996</v>
      </c>
      <c r="Z166" s="9">
        <v>575263.99</v>
      </c>
      <c r="AA166" s="9">
        <f t="shared" si="20"/>
        <v>1264237.3999999994</v>
      </c>
      <c r="AB166" s="7" t="e">
        <f>W166-#REF!</f>
        <v>#REF!</v>
      </c>
      <c r="AC166" s="12">
        <v>533</v>
      </c>
      <c r="AD166" s="12">
        <v>1</v>
      </c>
      <c r="AE166" s="12">
        <f t="shared" si="21"/>
        <v>0</v>
      </c>
      <c r="AF166" s="12">
        <f t="shared" si="22"/>
        <v>533</v>
      </c>
      <c r="AG166" s="13" t="s">
        <v>717</v>
      </c>
      <c r="AH166" s="13">
        <v>258688.31999999998</v>
      </c>
      <c r="AI166" s="13">
        <v>122956.79000000001</v>
      </c>
      <c r="AJ166" s="13">
        <f t="shared" si="23"/>
        <v>135731.52999999997</v>
      </c>
    </row>
    <row r="167" spans="1:36" s="1" customFormat="1" x14ac:dyDescent="0.25">
      <c r="A167">
        <v>545</v>
      </c>
      <c r="B167">
        <v>1</v>
      </c>
      <c r="C167">
        <f t="shared" si="24"/>
        <v>1</v>
      </c>
      <c r="D167" s="1" t="s">
        <v>190</v>
      </c>
      <c r="E167" s="7">
        <v>36448.37000000001</v>
      </c>
      <c r="F167" s="7">
        <v>785.45</v>
      </c>
      <c r="G167" s="7">
        <v>-5119.5199999999995</v>
      </c>
      <c r="H167" s="7">
        <v>3239.94</v>
      </c>
      <c r="I167" s="7">
        <v>14361.350000000006</v>
      </c>
      <c r="J167" s="7">
        <v>2843.25</v>
      </c>
      <c r="K167" s="7">
        <v>5801.640000000014</v>
      </c>
      <c r="L167" s="7">
        <v>5329.5</v>
      </c>
      <c r="M167" s="7">
        <v>4641.3099999999977</v>
      </c>
      <c r="N167" s="7">
        <v>5228.140000000014</v>
      </c>
      <c r="O167" s="7">
        <v>5832.5599999999977</v>
      </c>
      <c r="P167" s="7">
        <v>6750.929999999993</v>
      </c>
      <c r="Q167" s="7">
        <v>4641.320000000007</v>
      </c>
      <c r="R167" s="7">
        <v>8127.0499999999884</v>
      </c>
      <c r="S167" s="7">
        <v>5801.640000000014</v>
      </c>
      <c r="T167" s="7">
        <v>5851.93</v>
      </c>
      <c r="U167" s="7">
        <v>5801.6399999999994</v>
      </c>
      <c r="V167" s="7">
        <v>27.540000000000077</v>
      </c>
      <c r="W167" s="9">
        <f t="shared" si="19"/>
        <v>116394.04000000004</v>
      </c>
      <c r="X167" s="9">
        <v>253817.48</v>
      </c>
      <c r="Y167" s="9">
        <v>101155.99</v>
      </c>
      <c r="Z167" s="9">
        <v>152661.49</v>
      </c>
      <c r="AA167" s="9">
        <f t="shared" si="20"/>
        <v>269055.53000000003</v>
      </c>
      <c r="AB167" s="7" t="e">
        <f>W167-#REF!</f>
        <v>#REF!</v>
      </c>
      <c r="AC167" s="12">
        <v>534</v>
      </c>
      <c r="AD167" s="12">
        <v>1</v>
      </c>
      <c r="AE167" s="12">
        <f t="shared" si="21"/>
        <v>0</v>
      </c>
      <c r="AF167" s="12">
        <f t="shared" si="22"/>
        <v>534</v>
      </c>
      <c r="AG167" s="13" t="s">
        <v>718</v>
      </c>
      <c r="AH167" s="13">
        <v>1087803.94</v>
      </c>
      <c r="AI167" s="13">
        <v>481871.51</v>
      </c>
      <c r="AJ167" s="13">
        <f t="shared" si="23"/>
        <v>605932.42999999993</v>
      </c>
    </row>
    <row r="168" spans="1:36" s="1" customFormat="1" x14ac:dyDescent="0.25">
      <c r="A168">
        <v>547</v>
      </c>
      <c r="B168">
        <v>1</v>
      </c>
      <c r="C168">
        <f t="shared" si="24"/>
        <v>1</v>
      </c>
      <c r="D168" s="1" t="s">
        <v>191</v>
      </c>
      <c r="E168" s="7">
        <v>43016.809999999983</v>
      </c>
      <c r="F168" s="7">
        <v>5754.42</v>
      </c>
      <c r="G168" s="7">
        <v>0</v>
      </c>
      <c r="H168" s="7">
        <v>10659.509999999995</v>
      </c>
      <c r="I168" s="7">
        <v>8762.6900000000023</v>
      </c>
      <c r="J168" s="7">
        <v>3949.3000000000175</v>
      </c>
      <c r="K168" s="7">
        <v>7966.0699999999779</v>
      </c>
      <c r="L168" s="7">
        <v>7268.9100000000035</v>
      </c>
      <c r="M168" s="7">
        <v>6372.8600000000151</v>
      </c>
      <c r="N168" s="7">
        <v>7219.3700000000244</v>
      </c>
      <c r="O168" s="7">
        <v>7966.0799999999872</v>
      </c>
      <c r="P168" s="7">
        <v>9284.5100000000093</v>
      </c>
      <c r="Q168" s="7">
        <v>6372.8600000000151</v>
      </c>
      <c r="R168" s="7">
        <v>11164.849999999977</v>
      </c>
      <c r="S168" s="7">
        <v>7966.0699999999779</v>
      </c>
      <c r="T168" s="7">
        <v>8025.4200000000055</v>
      </c>
      <c r="U168" s="7">
        <v>7966.0800000000017</v>
      </c>
      <c r="V168" s="7">
        <v>35.839999999999918</v>
      </c>
      <c r="W168" s="9">
        <f t="shared" si="19"/>
        <v>159751.65</v>
      </c>
      <c r="X168" s="9">
        <v>279930.56000000006</v>
      </c>
      <c r="Y168" s="9">
        <v>120385.10999999999</v>
      </c>
      <c r="Z168" s="9">
        <v>159545.45000000007</v>
      </c>
      <c r="AA168" s="9">
        <f t="shared" si="20"/>
        <v>319297.10000000009</v>
      </c>
      <c r="AB168" s="7" t="e">
        <f>W168-#REF!</f>
        <v>#REF!</v>
      </c>
      <c r="AC168" s="12">
        <v>535</v>
      </c>
      <c r="AD168" s="12">
        <v>1</v>
      </c>
      <c r="AE168" s="12">
        <f t="shared" si="21"/>
        <v>0</v>
      </c>
      <c r="AF168" s="12">
        <f t="shared" si="22"/>
        <v>535</v>
      </c>
      <c r="AG168" s="13" t="s">
        <v>719</v>
      </c>
      <c r="AH168" s="13">
        <v>10456611.020000001</v>
      </c>
      <c r="AI168" s="13">
        <v>4661566.92</v>
      </c>
      <c r="AJ168" s="13">
        <f t="shared" si="23"/>
        <v>5795044.1000000015</v>
      </c>
    </row>
    <row r="169" spans="1:36" s="1" customFormat="1" x14ac:dyDescent="0.25">
      <c r="A169">
        <v>548</v>
      </c>
      <c r="B169">
        <v>1</v>
      </c>
      <c r="C169">
        <f t="shared" si="24"/>
        <v>1</v>
      </c>
      <c r="D169" s="1" t="s">
        <v>192</v>
      </c>
      <c r="E169" s="7">
        <v>71744.239999999991</v>
      </c>
      <c r="F169" s="7">
        <v>683.49</v>
      </c>
      <c r="G169" s="7">
        <v>0</v>
      </c>
      <c r="H169" s="7">
        <v>25414.209999999992</v>
      </c>
      <c r="I169" s="7">
        <v>14614.570000000007</v>
      </c>
      <c r="J169" s="7">
        <v>7416.6499999999942</v>
      </c>
      <c r="K169" s="7">
        <v>13285.969999999972</v>
      </c>
      <c r="L169" s="7">
        <v>11227.619999999995</v>
      </c>
      <c r="M169" s="7">
        <v>10628.780000000028</v>
      </c>
      <c r="N169" s="7">
        <v>12786.929999999993</v>
      </c>
      <c r="O169" s="7">
        <v>13285.97000000003</v>
      </c>
      <c r="P169" s="7">
        <v>15759.51999999996</v>
      </c>
      <c r="Q169" s="7">
        <v>10628.770000000019</v>
      </c>
      <c r="R169" s="7">
        <v>18624.319999999949</v>
      </c>
      <c r="S169" s="7">
        <v>13285.969999999972</v>
      </c>
      <c r="T169" s="7">
        <v>13309.909999999996</v>
      </c>
      <c r="U169" s="7">
        <v>13285.970000000001</v>
      </c>
      <c r="V169" s="7">
        <v>-13732.85</v>
      </c>
      <c r="W169" s="9">
        <f t="shared" si="19"/>
        <v>252250.03999999989</v>
      </c>
      <c r="X169" s="9">
        <v>577779.87</v>
      </c>
      <c r="Y169" s="9">
        <v>274623.76</v>
      </c>
      <c r="Z169" s="9">
        <v>303156.11</v>
      </c>
      <c r="AA169" s="9">
        <f t="shared" si="20"/>
        <v>555406.14999999991</v>
      </c>
      <c r="AB169" s="7" t="e">
        <f>W169-#REF!</f>
        <v>#REF!</v>
      </c>
      <c r="AC169" s="12">
        <v>542</v>
      </c>
      <c r="AD169" s="12">
        <v>1</v>
      </c>
      <c r="AE169" s="12">
        <f t="shared" si="21"/>
        <v>0</v>
      </c>
      <c r="AF169" s="12">
        <f t="shared" si="22"/>
        <v>542</v>
      </c>
      <c r="AG169" s="13" t="s">
        <v>720</v>
      </c>
      <c r="AH169" s="13">
        <v>433038.11</v>
      </c>
      <c r="AI169" s="13">
        <v>205826.76</v>
      </c>
      <c r="AJ169" s="13">
        <f t="shared" si="23"/>
        <v>227211.34999999998</v>
      </c>
    </row>
    <row r="170" spans="1:36" s="1" customFormat="1" x14ac:dyDescent="0.25">
      <c r="A170">
        <v>549</v>
      </c>
      <c r="B170">
        <v>1</v>
      </c>
      <c r="C170">
        <f t="shared" si="24"/>
        <v>1</v>
      </c>
      <c r="D170" s="1" t="s">
        <v>193</v>
      </c>
      <c r="E170" s="7">
        <v>110699.68000000002</v>
      </c>
      <c r="F170" s="7">
        <v>3009.39</v>
      </c>
      <c r="G170" s="7">
        <v>-6686.7200000000012</v>
      </c>
      <c r="H170" s="7">
        <v>34990.660000000003</v>
      </c>
      <c r="I170" s="7">
        <v>21187.820000000065</v>
      </c>
      <c r="J170" s="7">
        <v>10645.780000000028</v>
      </c>
      <c r="K170" s="7">
        <v>19261.650000000023</v>
      </c>
      <c r="L170" s="7">
        <v>16392.680000000051</v>
      </c>
      <c r="M170" s="7">
        <v>15409.330000000016</v>
      </c>
      <c r="N170" s="7">
        <v>18442.189999999944</v>
      </c>
      <c r="O170" s="7">
        <v>19969.030000000028</v>
      </c>
      <c r="P170" s="7">
        <v>22812.439999999944</v>
      </c>
      <c r="Q170" s="7">
        <v>15409.330000000016</v>
      </c>
      <c r="R170" s="7">
        <v>27005.669999999925</v>
      </c>
      <c r="S170" s="7">
        <v>19261.650000000023</v>
      </c>
      <c r="T170" s="7">
        <v>19300.959999999992</v>
      </c>
      <c r="U170" s="7">
        <v>19261.660000000003</v>
      </c>
      <c r="V170" s="7">
        <v>-9190.75</v>
      </c>
      <c r="W170" s="9">
        <f t="shared" si="19"/>
        <v>377182.45000000007</v>
      </c>
      <c r="X170" s="9">
        <v>777131.83</v>
      </c>
      <c r="Y170" s="9">
        <v>343106.21</v>
      </c>
      <c r="Z170" s="9">
        <v>434025.61999999994</v>
      </c>
      <c r="AA170" s="9">
        <f t="shared" si="20"/>
        <v>811208.07000000007</v>
      </c>
      <c r="AB170" s="7" t="e">
        <f>W170-#REF!</f>
        <v>#REF!</v>
      </c>
      <c r="AC170" s="12">
        <v>544</v>
      </c>
      <c r="AD170" s="12">
        <v>1</v>
      </c>
      <c r="AE170" s="12">
        <f t="shared" si="21"/>
        <v>0</v>
      </c>
      <c r="AF170" s="12">
        <f t="shared" si="22"/>
        <v>544</v>
      </c>
      <c r="AG170" s="13" t="s">
        <v>721</v>
      </c>
      <c r="AH170" s="13">
        <v>1049620.7</v>
      </c>
      <c r="AI170" s="13">
        <v>474356.70999999996</v>
      </c>
      <c r="AJ170" s="13">
        <f t="shared" si="23"/>
        <v>575263.99</v>
      </c>
    </row>
    <row r="171" spans="1:36" s="1" customFormat="1" x14ac:dyDescent="0.25">
      <c r="A171">
        <v>550</v>
      </c>
      <c r="B171">
        <v>1</v>
      </c>
      <c r="C171">
        <f t="shared" si="24"/>
        <v>1</v>
      </c>
      <c r="D171" s="1" t="s">
        <v>194</v>
      </c>
      <c r="E171" s="7">
        <v>47556.929999999993</v>
      </c>
      <c r="F171" s="7">
        <v>6475.0500000000029</v>
      </c>
      <c r="G171" s="7">
        <v>2576.9499999999971</v>
      </c>
      <c r="H171" s="7">
        <v>7141.9899999999907</v>
      </c>
      <c r="I171" s="7">
        <v>9347</v>
      </c>
      <c r="J171" s="7">
        <v>3980.5999999999913</v>
      </c>
      <c r="K171" s="7">
        <v>8497.2699999999895</v>
      </c>
      <c r="L171" s="7">
        <v>8004.0100000000093</v>
      </c>
      <c r="M171" s="7">
        <v>6797.820000000007</v>
      </c>
      <c r="N171" s="7">
        <v>7492.0999999999767</v>
      </c>
      <c r="O171" s="7">
        <v>8500</v>
      </c>
      <c r="P171" s="7">
        <v>9826.8099999999977</v>
      </c>
      <c r="Q171" s="7">
        <v>6797.8099999999977</v>
      </c>
      <c r="R171" s="7">
        <v>11931.809999999998</v>
      </c>
      <c r="S171" s="7">
        <v>8497.2599999999802</v>
      </c>
      <c r="T171" s="7">
        <v>8558.1499999999942</v>
      </c>
      <c r="U171" s="7">
        <v>8497.2700000000186</v>
      </c>
      <c r="V171" s="7">
        <v>-2055.7399999999998</v>
      </c>
      <c r="W171" s="9">
        <f t="shared" si="19"/>
        <v>168423.08999999997</v>
      </c>
      <c r="X171" s="9">
        <v>75175.649999999994</v>
      </c>
      <c r="Y171" s="9">
        <v>35731.629999999997</v>
      </c>
      <c r="Z171" s="9">
        <v>39444.019999999997</v>
      </c>
      <c r="AA171" s="9">
        <f t="shared" si="20"/>
        <v>207867.10999999996</v>
      </c>
      <c r="AB171" s="7" t="e">
        <f>W171-#REF!</f>
        <v>#REF!</v>
      </c>
      <c r="AC171" s="12">
        <v>545</v>
      </c>
      <c r="AD171" s="12">
        <v>1</v>
      </c>
      <c r="AE171" s="12">
        <f t="shared" si="21"/>
        <v>0</v>
      </c>
      <c r="AF171" s="12">
        <f t="shared" si="22"/>
        <v>545</v>
      </c>
      <c r="AG171" s="13" t="s">
        <v>722</v>
      </c>
      <c r="AH171" s="13">
        <v>253817.48</v>
      </c>
      <c r="AI171" s="13">
        <v>101155.99</v>
      </c>
      <c r="AJ171" s="13">
        <f t="shared" si="23"/>
        <v>152661.49</v>
      </c>
    </row>
    <row r="172" spans="1:36" s="1" customFormat="1" x14ac:dyDescent="0.25">
      <c r="A172">
        <v>553</v>
      </c>
      <c r="B172">
        <v>1</v>
      </c>
      <c r="C172">
        <f t="shared" si="24"/>
        <v>1</v>
      </c>
      <c r="D172" s="1" t="s">
        <v>195</v>
      </c>
      <c r="E172" s="7">
        <v>56314.509999999995</v>
      </c>
      <c r="F172" s="7">
        <v>9063.429999999993</v>
      </c>
      <c r="G172" s="7">
        <v>4586.4600000000064</v>
      </c>
      <c r="H172" s="7">
        <v>8975.2900000000081</v>
      </c>
      <c r="I172" s="7">
        <v>11354.419999999984</v>
      </c>
      <c r="J172" s="7">
        <v>3863.0299999999988</v>
      </c>
      <c r="K172" s="7">
        <v>10322.200000000012</v>
      </c>
      <c r="L172" s="7">
        <v>10772.459999999992</v>
      </c>
      <c r="M172" s="7">
        <v>8257.7599999999802</v>
      </c>
      <c r="N172" s="7">
        <v>8226.609999999986</v>
      </c>
      <c r="O172" s="7">
        <v>10329.02999999997</v>
      </c>
      <c r="P172" s="7">
        <v>11615.450000000012</v>
      </c>
      <c r="Q172" s="7">
        <v>8257.7700000000186</v>
      </c>
      <c r="R172" s="7">
        <v>14356.229999999981</v>
      </c>
      <c r="S172" s="7">
        <v>10322.200000000012</v>
      </c>
      <c r="T172" s="7">
        <v>10618.220000000001</v>
      </c>
      <c r="U172" s="7">
        <v>10322.200000000012</v>
      </c>
      <c r="V172" s="7">
        <v>100.59000000000015</v>
      </c>
      <c r="W172" s="9">
        <f t="shared" si="19"/>
        <v>207657.85999999996</v>
      </c>
      <c r="X172" s="9">
        <v>120079.60999999999</v>
      </c>
      <c r="Y172" s="9">
        <v>46826.609999999993</v>
      </c>
      <c r="Z172" s="9">
        <v>73253</v>
      </c>
      <c r="AA172" s="9">
        <f t="shared" si="20"/>
        <v>280910.86</v>
      </c>
      <c r="AB172" s="7" t="e">
        <f>W172-#REF!</f>
        <v>#REF!</v>
      </c>
      <c r="AC172" s="12">
        <v>547</v>
      </c>
      <c r="AD172" s="12">
        <v>1</v>
      </c>
      <c r="AE172" s="12">
        <f t="shared" si="21"/>
        <v>0</v>
      </c>
      <c r="AF172" s="12">
        <f t="shared" si="22"/>
        <v>547</v>
      </c>
      <c r="AG172" s="13" t="s">
        <v>723</v>
      </c>
      <c r="AH172" s="13">
        <v>279930.56000000006</v>
      </c>
      <c r="AI172" s="13">
        <v>120385.10999999999</v>
      </c>
      <c r="AJ172" s="13">
        <f t="shared" si="23"/>
        <v>159545.45000000007</v>
      </c>
    </row>
    <row r="173" spans="1:36" s="1" customFormat="1" x14ac:dyDescent="0.25">
      <c r="A173">
        <v>561</v>
      </c>
      <c r="B173">
        <v>1</v>
      </c>
      <c r="C173">
        <f t="shared" si="24"/>
        <v>1</v>
      </c>
      <c r="D173" s="1" t="s">
        <v>196</v>
      </c>
      <c r="E173" s="7">
        <v>21555.71</v>
      </c>
      <c r="F173" s="7">
        <v>2395.0699999999997</v>
      </c>
      <c r="G173" s="7">
        <v>1995.8999999999978</v>
      </c>
      <c r="H173" s="7">
        <v>3193.4400000000023</v>
      </c>
      <c r="I173" s="7">
        <v>4390.9799999999959</v>
      </c>
      <c r="J173" s="7">
        <v>2395.0699999999997</v>
      </c>
      <c r="K173" s="7">
        <v>3991.8000000000029</v>
      </c>
      <c r="L173" s="7">
        <v>3193.4300000000076</v>
      </c>
      <c r="M173" s="7">
        <v>3193.4400000000023</v>
      </c>
      <c r="N173" s="7">
        <v>3991.8099999999977</v>
      </c>
      <c r="O173" s="7">
        <v>3991.7899999999936</v>
      </c>
      <c r="P173" s="7">
        <v>4790.1600000000035</v>
      </c>
      <c r="Q173" s="7">
        <v>3193.4400000000023</v>
      </c>
      <c r="R173" s="7">
        <v>5588.5099999999802</v>
      </c>
      <c r="S173" s="7">
        <v>3991.7900000000081</v>
      </c>
      <c r="T173" s="7">
        <v>3991.8099999999977</v>
      </c>
      <c r="U173" s="7">
        <v>3991.7899999999936</v>
      </c>
      <c r="V173" s="7">
        <v>0</v>
      </c>
      <c r="W173" s="9">
        <f t="shared" si="19"/>
        <v>79835.939999999988</v>
      </c>
      <c r="X173" s="9">
        <v>98540.15</v>
      </c>
      <c r="Y173" s="9">
        <v>40777.75</v>
      </c>
      <c r="Z173" s="9">
        <v>57762.399999999994</v>
      </c>
      <c r="AA173" s="9">
        <f t="shared" si="20"/>
        <v>137598.33999999997</v>
      </c>
      <c r="AB173" s="7" t="e">
        <f>W173-#REF!</f>
        <v>#REF!</v>
      </c>
      <c r="AC173" s="12">
        <v>548</v>
      </c>
      <c r="AD173" s="12">
        <v>1</v>
      </c>
      <c r="AE173" s="12">
        <f t="shared" si="21"/>
        <v>0</v>
      </c>
      <c r="AF173" s="12">
        <f t="shared" si="22"/>
        <v>548</v>
      </c>
      <c r="AG173" s="13" t="s">
        <v>724</v>
      </c>
      <c r="AH173" s="13">
        <v>577779.87</v>
      </c>
      <c r="AI173" s="13">
        <v>274623.76</v>
      </c>
      <c r="AJ173" s="13">
        <f t="shared" si="23"/>
        <v>303156.11</v>
      </c>
    </row>
    <row r="174" spans="1:36" s="1" customFormat="1" x14ac:dyDescent="0.25">
      <c r="A174">
        <v>564</v>
      </c>
      <c r="B174">
        <v>1</v>
      </c>
      <c r="C174">
        <f t="shared" si="24"/>
        <v>1</v>
      </c>
      <c r="D174" s="1" t="s">
        <v>197</v>
      </c>
      <c r="E174" s="7">
        <v>196218.77000000002</v>
      </c>
      <c r="F174" s="7">
        <v>25234.91</v>
      </c>
      <c r="G174" s="7">
        <v>-39127.759999999995</v>
      </c>
      <c r="H174" s="7">
        <v>39763.320000000007</v>
      </c>
      <c r="I174" s="7">
        <v>32000.019999999902</v>
      </c>
      <c r="J174" s="7">
        <v>11137.229999999981</v>
      </c>
      <c r="K174" s="7">
        <v>29090.930000000051</v>
      </c>
      <c r="L174" s="7">
        <v>30089.040000000037</v>
      </c>
      <c r="M174" s="7">
        <v>23272.739999999991</v>
      </c>
      <c r="N174" s="7">
        <v>23410.670000000042</v>
      </c>
      <c r="O174" s="7">
        <v>29631.869999999995</v>
      </c>
      <c r="P174" s="7">
        <v>32818.780000000028</v>
      </c>
      <c r="Q174" s="7">
        <v>23272.739999999991</v>
      </c>
      <c r="R174" s="7">
        <v>39295.829999999842</v>
      </c>
      <c r="S174" s="7">
        <v>29090.920000000042</v>
      </c>
      <c r="T174" s="7">
        <v>31067.729999999981</v>
      </c>
      <c r="U174" s="7">
        <v>29090.919999999984</v>
      </c>
      <c r="V174" s="7">
        <v>272.66000000000076</v>
      </c>
      <c r="W174" s="9">
        <f t="shared" si="19"/>
        <v>585631.31999999995</v>
      </c>
      <c r="X174" s="9">
        <v>888995.41000000015</v>
      </c>
      <c r="Y174" s="9">
        <v>382326.70999999996</v>
      </c>
      <c r="Z174" s="9">
        <v>506668.70000000019</v>
      </c>
      <c r="AA174" s="9">
        <f t="shared" si="20"/>
        <v>1092300.02</v>
      </c>
      <c r="AB174" s="7" t="e">
        <f>W174-#REF!</f>
        <v>#REF!</v>
      </c>
      <c r="AC174" s="12">
        <v>549</v>
      </c>
      <c r="AD174" s="12">
        <v>1</v>
      </c>
      <c r="AE174" s="12">
        <f t="shared" si="21"/>
        <v>0</v>
      </c>
      <c r="AF174" s="12">
        <f t="shared" si="22"/>
        <v>549</v>
      </c>
      <c r="AG174" s="13" t="s">
        <v>725</v>
      </c>
      <c r="AH174" s="13">
        <v>777131.83</v>
      </c>
      <c r="AI174" s="13">
        <v>343106.21</v>
      </c>
      <c r="AJ174" s="13">
        <f t="shared" si="23"/>
        <v>434025.61999999994</v>
      </c>
    </row>
    <row r="175" spans="1:36" s="1" customFormat="1" x14ac:dyDescent="0.25">
      <c r="A175">
        <v>577</v>
      </c>
      <c r="B175">
        <v>1</v>
      </c>
      <c r="C175">
        <f t="shared" si="24"/>
        <v>1</v>
      </c>
      <c r="D175" s="1" t="s">
        <v>198</v>
      </c>
      <c r="E175" s="7">
        <v>36963.069999999992</v>
      </c>
      <c r="F175" s="7">
        <v>4575.8400000000038</v>
      </c>
      <c r="G175" s="7">
        <v>3422.5</v>
      </c>
      <c r="H175" s="7">
        <v>5687.5999999999913</v>
      </c>
      <c r="I175" s="7">
        <v>7529.5099999999802</v>
      </c>
      <c r="J175" s="7">
        <v>3726.3499999999913</v>
      </c>
      <c r="K175" s="7">
        <v>6845.0099999999802</v>
      </c>
      <c r="L175" s="7">
        <v>5886.7799999999988</v>
      </c>
      <c r="M175" s="7">
        <v>5476.0199999999895</v>
      </c>
      <c r="N175" s="7">
        <v>6502.7200000000012</v>
      </c>
      <c r="O175" s="7">
        <v>6845.0100000000093</v>
      </c>
      <c r="P175" s="7">
        <v>8088.0599999999977</v>
      </c>
      <c r="Q175" s="7">
        <v>5476</v>
      </c>
      <c r="R175" s="7">
        <v>9599.4400000000023</v>
      </c>
      <c r="S175" s="7">
        <v>6845.0199999999895</v>
      </c>
      <c r="T175" s="7">
        <v>6861.429999999993</v>
      </c>
      <c r="U175" s="7">
        <v>6845.0100000000093</v>
      </c>
      <c r="V175" s="7">
        <v>-77.94</v>
      </c>
      <c r="W175" s="9">
        <f t="shared" si="19"/>
        <v>137097.42999999993</v>
      </c>
      <c r="X175" s="9">
        <v>152495.73000000001</v>
      </c>
      <c r="Y175" s="9">
        <v>69433.73</v>
      </c>
      <c r="Z175" s="9">
        <v>83062.000000000015</v>
      </c>
      <c r="AA175" s="9">
        <f t="shared" si="20"/>
        <v>220159.42999999993</v>
      </c>
      <c r="AB175" s="7" t="e">
        <f>W175-#REF!</f>
        <v>#REF!</v>
      </c>
      <c r="AC175" s="12">
        <v>550</v>
      </c>
      <c r="AD175" s="12">
        <v>1</v>
      </c>
      <c r="AE175" s="12">
        <f t="shared" si="21"/>
        <v>0</v>
      </c>
      <c r="AF175" s="12">
        <f t="shared" si="22"/>
        <v>550</v>
      </c>
      <c r="AG175" s="13" t="s">
        <v>726</v>
      </c>
      <c r="AH175" s="13">
        <v>75175.649999999994</v>
      </c>
      <c r="AI175" s="13">
        <v>35731.629999999997</v>
      </c>
      <c r="AJ175" s="13">
        <f t="shared" si="23"/>
        <v>39444.019999999997</v>
      </c>
    </row>
    <row r="176" spans="1:36" s="1" customFormat="1" x14ac:dyDescent="0.25">
      <c r="A176">
        <v>578</v>
      </c>
      <c r="B176">
        <v>1</v>
      </c>
      <c r="C176">
        <f t="shared" si="24"/>
        <v>1</v>
      </c>
      <c r="D176" s="1" t="s">
        <v>199</v>
      </c>
      <c r="E176" s="7">
        <v>147897.71999999997</v>
      </c>
      <c r="F176" s="7">
        <v>2569.7799999999997</v>
      </c>
      <c r="G176" s="7">
        <v>-10604.720000000001</v>
      </c>
      <c r="H176" s="7">
        <v>47431.460000000021</v>
      </c>
      <c r="I176" s="7">
        <v>27967.089999999967</v>
      </c>
      <c r="J176" s="7">
        <v>14154.179999999993</v>
      </c>
      <c r="K176" s="7">
        <v>25424.630000000005</v>
      </c>
      <c r="L176" s="7">
        <v>21527.390000000014</v>
      </c>
      <c r="M176" s="7">
        <v>20339.709999999963</v>
      </c>
      <c r="N176" s="7">
        <v>24434.890000000014</v>
      </c>
      <c r="O176" s="7">
        <v>25582.530000000028</v>
      </c>
      <c r="P176" s="7">
        <v>30145.340000000084</v>
      </c>
      <c r="Q176" s="7">
        <v>20339.699999999953</v>
      </c>
      <c r="R176" s="7">
        <v>35641.989999999991</v>
      </c>
      <c r="S176" s="7">
        <v>25424.630000000005</v>
      </c>
      <c r="T176" s="7">
        <v>25472.139999999985</v>
      </c>
      <c r="U176" s="7">
        <v>25424.630000000005</v>
      </c>
      <c r="V176" s="7">
        <v>47.5</v>
      </c>
      <c r="W176" s="9">
        <f t="shared" si="19"/>
        <v>509220.58999999997</v>
      </c>
      <c r="X176" s="9">
        <v>733870.14999999991</v>
      </c>
      <c r="Y176" s="9">
        <v>298806.42</v>
      </c>
      <c r="Z176" s="9">
        <v>435063.72999999992</v>
      </c>
      <c r="AA176" s="9">
        <f t="shared" si="20"/>
        <v>944284.31999999983</v>
      </c>
      <c r="AB176" s="7" t="e">
        <f>W176-#REF!</f>
        <v>#REF!</v>
      </c>
      <c r="AC176" s="12">
        <v>553</v>
      </c>
      <c r="AD176" s="12">
        <v>1</v>
      </c>
      <c r="AE176" s="12">
        <f t="shared" si="21"/>
        <v>0</v>
      </c>
      <c r="AF176" s="12">
        <f t="shared" si="22"/>
        <v>553</v>
      </c>
      <c r="AG176" s="13" t="s">
        <v>727</v>
      </c>
      <c r="AH176" s="13">
        <v>120079.60999999999</v>
      </c>
      <c r="AI176" s="13">
        <v>46826.609999999993</v>
      </c>
      <c r="AJ176" s="13">
        <f t="shared" si="23"/>
        <v>73253</v>
      </c>
    </row>
    <row r="177" spans="1:36" s="1" customFormat="1" x14ac:dyDescent="0.25">
      <c r="A177">
        <v>581</v>
      </c>
      <c r="B177">
        <v>1</v>
      </c>
      <c r="C177">
        <f t="shared" ref="C177:C208" si="25">B177</f>
        <v>1</v>
      </c>
      <c r="D177" s="1" t="s">
        <v>200</v>
      </c>
      <c r="E177" s="7">
        <v>38833.81</v>
      </c>
      <c r="F177" s="7">
        <v>4258.6499999999978</v>
      </c>
      <c r="G177" s="7">
        <v>-1826.5999999999985</v>
      </c>
      <c r="H177" s="7">
        <v>5141.7400000000052</v>
      </c>
      <c r="I177" s="7">
        <v>6899.6499999999942</v>
      </c>
      <c r="J177" s="7">
        <v>3361.3700000000099</v>
      </c>
      <c r="K177" s="7">
        <v>6272.4100000000035</v>
      </c>
      <c r="L177" s="7">
        <v>5451.820000000007</v>
      </c>
      <c r="M177" s="7">
        <v>5017.9200000000128</v>
      </c>
      <c r="N177" s="7">
        <v>5910.8399999999965</v>
      </c>
      <c r="O177" s="7">
        <v>7760.0100000000093</v>
      </c>
      <c r="P177" s="7">
        <v>7393.8300000000163</v>
      </c>
      <c r="Q177" s="7">
        <v>5017.929999999993</v>
      </c>
      <c r="R177" s="7">
        <v>8692.929999999993</v>
      </c>
      <c r="S177" s="7">
        <v>6272.4100000000035</v>
      </c>
      <c r="T177" s="7">
        <v>6395.5499999999956</v>
      </c>
      <c r="U177" s="7">
        <v>6272.4100000000035</v>
      </c>
      <c r="V177" s="7">
        <v>17.370000000000005</v>
      </c>
      <c r="W177" s="9">
        <f t="shared" si="19"/>
        <v>127144.05000000002</v>
      </c>
      <c r="X177" s="9">
        <v>170783.47</v>
      </c>
      <c r="Y177" s="9">
        <v>53852.549999999996</v>
      </c>
      <c r="Z177" s="9">
        <v>116930.92000000001</v>
      </c>
      <c r="AA177" s="9">
        <f t="shared" si="20"/>
        <v>244074.97000000003</v>
      </c>
      <c r="AB177" s="7" t="e">
        <f>W177-#REF!</f>
        <v>#REF!</v>
      </c>
      <c r="AC177" s="12">
        <v>561</v>
      </c>
      <c r="AD177" s="12">
        <v>1</v>
      </c>
      <c r="AE177" s="12">
        <f t="shared" si="21"/>
        <v>0</v>
      </c>
      <c r="AF177" s="12">
        <f t="shared" si="22"/>
        <v>561</v>
      </c>
      <c r="AG177" s="13" t="s">
        <v>728</v>
      </c>
      <c r="AH177" s="13">
        <v>98540.15</v>
      </c>
      <c r="AI177" s="13">
        <v>40777.75</v>
      </c>
      <c r="AJ177" s="13">
        <f t="shared" si="23"/>
        <v>57762.399999999994</v>
      </c>
    </row>
    <row r="178" spans="1:36" s="1" customFormat="1" x14ac:dyDescent="0.25">
      <c r="A178">
        <v>592</v>
      </c>
      <c r="B178">
        <v>1</v>
      </c>
      <c r="C178">
        <f t="shared" si="25"/>
        <v>1</v>
      </c>
      <c r="D178" s="1" t="s">
        <v>201</v>
      </c>
      <c r="E178" s="7">
        <v>15216.59</v>
      </c>
      <c r="F178" s="7">
        <v>1592.0600000000013</v>
      </c>
      <c r="G178" s="7">
        <v>438.63000000000102</v>
      </c>
      <c r="H178" s="7">
        <v>0</v>
      </c>
      <c r="I178" s="7">
        <v>5041.5299999999988</v>
      </c>
      <c r="J178" s="7">
        <v>1592.0500000000029</v>
      </c>
      <c r="K178" s="7">
        <v>2653.429999999993</v>
      </c>
      <c r="L178" s="7">
        <v>2122.7400000000052</v>
      </c>
      <c r="M178" s="7">
        <v>2122.739999999998</v>
      </c>
      <c r="N178" s="7">
        <v>2653.4300000000076</v>
      </c>
      <c r="O178" s="7">
        <v>2759.4499999999971</v>
      </c>
      <c r="P178" s="7">
        <v>3184.1100000000006</v>
      </c>
      <c r="Q178" s="7">
        <v>2122.739999999998</v>
      </c>
      <c r="R178" s="7">
        <v>3714.8099999999977</v>
      </c>
      <c r="S178" s="7">
        <v>2653.4199999999983</v>
      </c>
      <c r="T178" s="7">
        <v>2653.4300000000003</v>
      </c>
      <c r="U178" s="7">
        <v>2653.4300000000003</v>
      </c>
      <c r="V178" s="7">
        <v>0</v>
      </c>
      <c r="W178" s="9">
        <f t="shared" si="19"/>
        <v>53174.590000000004</v>
      </c>
      <c r="X178" s="9">
        <v>67503.360000000001</v>
      </c>
      <c r="Y178" s="9">
        <v>32052.71</v>
      </c>
      <c r="Z178" s="9">
        <v>35450.65</v>
      </c>
      <c r="AA178" s="9">
        <f t="shared" si="20"/>
        <v>88625.24</v>
      </c>
      <c r="AB178" s="7" t="e">
        <f>W178-#REF!</f>
        <v>#REF!</v>
      </c>
      <c r="AC178" s="12">
        <v>564</v>
      </c>
      <c r="AD178" s="12">
        <v>1</v>
      </c>
      <c r="AE178" s="12">
        <f t="shared" si="21"/>
        <v>0</v>
      </c>
      <c r="AF178" s="12">
        <f t="shared" si="22"/>
        <v>564</v>
      </c>
      <c r="AG178" s="13" t="s">
        <v>729</v>
      </c>
      <c r="AH178" s="13">
        <v>888995.41000000015</v>
      </c>
      <c r="AI178" s="13">
        <v>382326.70999999996</v>
      </c>
      <c r="AJ178" s="13">
        <f t="shared" si="23"/>
        <v>506668.70000000019</v>
      </c>
    </row>
    <row r="179" spans="1:36" s="1" customFormat="1" x14ac:dyDescent="0.25">
      <c r="A179">
        <v>593</v>
      </c>
      <c r="B179">
        <v>1</v>
      </c>
      <c r="C179">
        <f t="shared" si="25"/>
        <v>1</v>
      </c>
      <c r="D179" s="1" t="s">
        <v>202</v>
      </c>
      <c r="E179" s="7">
        <v>120225.65</v>
      </c>
      <c r="F179" s="7">
        <v>3277.2699999999995</v>
      </c>
      <c r="G179" s="7">
        <v>-13686.88</v>
      </c>
      <c r="H179" s="7">
        <v>819.32000000000016</v>
      </c>
      <c r="I179" s="7">
        <v>59188.199999999953</v>
      </c>
      <c r="J179" s="7">
        <v>9175.9800000000396</v>
      </c>
      <c r="K179" s="7">
        <v>19729.400000000023</v>
      </c>
      <c r="L179" s="7">
        <v>18653.360000000044</v>
      </c>
      <c r="M179" s="7">
        <v>15783.51999999996</v>
      </c>
      <c r="N179" s="7">
        <v>17337.869999999995</v>
      </c>
      <c r="O179" s="7">
        <v>20168.479999999981</v>
      </c>
      <c r="P179" s="7">
        <v>22795.199999999953</v>
      </c>
      <c r="Q179" s="7">
        <v>15783.520000000019</v>
      </c>
      <c r="R179" s="7">
        <v>26859.819999999949</v>
      </c>
      <c r="S179" s="7">
        <v>19729.400000000023</v>
      </c>
      <c r="T179" s="7">
        <v>14879.660000000002</v>
      </c>
      <c r="U179" s="7">
        <v>25570.080000000009</v>
      </c>
      <c r="V179" s="7">
        <v>114.79999999999973</v>
      </c>
      <c r="W179" s="9">
        <f t="shared" si="19"/>
        <v>396404.64999999991</v>
      </c>
      <c r="X179" s="9">
        <v>1056901.6599999999</v>
      </c>
      <c r="Y179" s="9">
        <v>502354.49000000005</v>
      </c>
      <c r="Z179" s="9">
        <v>554547.16999999993</v>
      </c>
      <c r="AA179" s="9">
        <f t="shared" si="20"/>
        <v>950951.81999999983</v>
      </c>
      <c r="AB179" s="7" t="e">
        <f>W179-#REF!</f>
        <v>#REF!</v>
      </c>
      <c r="AC179" s="12">
        <v>577</v>
      </c>
      <c r="AD179" s="12">
        <v>1</v>
      </c>
      <c r="AE179" s="12">
        <f t="shared" si="21"/>
        <v>0</v>
      </c>
      <c r="AF179" s="12">
        <f t="shared" si="22"/>
        <v>577</v>
      </c>
      <c r="AG179" s="13" t="s">
        <v>730</v>
      </c>
      <c r="AH179" s="13">
        <v>152495.73000000001</v>
      </c>
      <c r="AI179" s="13">
        <v>69433.73</v>
      </c>
      <c r="AJ179" s="13">
        <f t="shared" si="23"/>
        <v>83062.000000000015</v>
      </c>
    </row>
    <row r="180" spans="1:36" s="1" customFormat="1" x14ac:dyDescent="0.25">
      <c r="A180">
        <v>595</v>
      </c>
      <c r="B180">
        <v>1</v>
      </c>
      <c r="C180">
        <f t="shared" si="25"/>
        <v>1</v>
      </c>
      <c r="D180" s="1" t="s">
        <v>203</v>
      </c>
      <c r="E180" s="7">
        <v>133655.10999999999</v>
      </c>
      <c r="F180" s="7">
        <v>19518.449999999997</v>
      </c>
      <c r="G180" s="7">
        <v>10606.080000000002</v>
      </c>
      <c r="H180" s="7">
        <v>20772.799999999988</v>
      </c>
      <c r="I180" s="7">
        <v>26896.140000000014</v>
      </c>
      <c r="J180" s="7">
        <v>10734.559999999998</v>
      </c>
      <c r="K180" s="7">
        <v>24451.04999999993</v>
      </c>
      <c r="L180" s="7">
        <v>23808.27999999997</v>
      </c>
      <c r="M180" s="7">
        <v>19560.840000000084</v>
      </c>
      <c r="N180" s="7">
        <v>20911.520000000019</v>
      </c>
      <c r="O180" s="7">
        <v>25871.380000000005</v>
      </c>
      <c r="P180" s="7">
        <v>28038.729999999981</v>
      </c>
      <c r="Q180" s="7">
        <v>19560.840000000084</v>
      </c>
      <c r="R180" s="7">
        <v>34095.660000000033</v>
      </c>
      <c r="S180" s="7">
        <v>24451.039999999921</v>
      </c>
      <c r="T180" s="7">
        <v>24926.669999999984</v>
      </c>
      <c r="U180" s="7">
        <v>24451.050000000047</v>
      </c>
      <c r="V180" s="7">
        <v>169.86999999999989</v>
      </c>
      <c r="W180" s="9">
        <f t="shared" si="19"/>
        <v>492480.07000000007</v>
      </c>
      <c r="X180" s="9">
        <v>613900.71</v>
      </c>
      <c r="Y180" s="9">
        <v>291792.31000000006</v>
      </c>
      <c r="Z180" s="9">
        <v>322108.39999999991</v>
      </c>
      <c r="AA180" s="9">
        <f t="shared" si="20"/>
        <v>814588.47</v>
      </c>
      <c r="AB180" s="7" t="e">
        <f>W180-#REF!</f>
        <v>#REF!</v>
      </c>
      <c r="AC180" s="12">
        <v>578</v>
      </c>
      <c r="AD180" s="12">
        <v>1</v>
      </c>
      <c r="AE180" s="12">
        <f t="shared" si="21"/>
        <v>0</v>
      </c>
      <c r="AF180" s="12">
        <f t="shared" si="22"/>
        <v>578</v>
      </c>
      <c r="AG180" s="13" t="s">
        <v>731</v>
      </c>
      <c r="AH180" s="13">
        <v>733870.14999999991</v>
      </c>
      <c r="AI180" s="13">
        <v>298806.42</v>
      </c>
      <c r="AJ180" s="13">
        <f t="shared" si="23"/>
        <v>435063.72999999992</v>
      </c>
    </row>
    <row r="181" spans="1:36" s="1" customFormat="1" x14ac:dyDescent="0.25">
      <c r="A181">
        <v>599</v>
      </c>
      <c r="B181">
        <v>1</v>
      </c>
      <c r="C181">
        <f t="shared" si="25"/>
        <v>1</v>
      </c>
      <c r="D181" s="1" t="s">
        <v>204</v>
      </c>
      <c r="E181" s="7">
        <v>41457.61</v>
      </c>
      <c r="F181" s="7">
        <v>2512.3000000000002</v>
      </c>
      <c r="G181" s="7">
        <v>0</v>
      </c>
      <c r="H181" s="7">
        <v>12074.64</v>
      </c>
      <c r="I181" s="7">
        <v>8445.0599999999977</v>
      </c>
      <c r="J181" s="7">
        <v>4606.4100000000035</v>
      </c>
      <c r="K181" s="7">
        <v>7677.3299999999872</v>
      </c>
      <c r="L181" s="7">
        <v>6141.8699999999953</v>
      </c>
      <c r="M181" s="7">
        <v>6141.8699999999953</v>
      </c>
      <c r="N181" s="7">
        <v>7677.3299999999872</v>
      </c>
      <c r="O181" s="7">
        <v>7677.3399999999965</v>
      </c>
      <c r="P181" s="7">
        <v>9212.789999999979</v>
      </c>
      <c r="Q181" s="7">
        <v>6141.8800000000047</v>
      </c>
      <c r="R181" s="7">
        <v>10748.260000000009</v>
      </c>
      <c r="S181" s="7">
        <v>7677.3399999999965</v>
      </c>
      <c r="T181" s="7">
        <v>7677.3299999999981</v>
      </c>
      <c r="U181" s="7">
        <v>7677.3399999999965</v>
      </c>
      <c r="V181" s="7">
        <v>0</v>
      </c>
      <c r="W181" s="9">
        <f t="shared" si="19"/>
        <v>153546.69999999995</v>
      </c>
      <c r="X181" s="9">
        <v>285832.03000000003</v>
      </c>
      <c r="Y181" s="9">
        <v>116162.78999999998</v>
      </c>
      <c r="Z181" s="9">
        <v>169669.24000000005</v>
      </c>
      <c r="AA181" s="9">
        <f t="shared" si="20"/>
        <v>323215.94</v>
      </c>
      <c r="AB181" s="7" t="e">
        <f>W181-#REF!</f>
        <v>#REF!</v>
      </c>
      <c r="AC181" s="12">
        <v>581</v>
      </c>
      <c r="AD181" s="12">
        <v>1</v>
      </c>
      <c r="AE181" s="12">
        <f t="shared" si="21"/>
        <v>0</v>
      </c>
      <c r="AF181" s="12">
        <f t="shared" si="22"/>
        <v>581</v>
      </c>
      <c r="AG181" s="13" t="s">
        <v>732</v>
      </c>
      <c r="AH181" s="13">
        <v>170783.47</v>
      </c>
      <c r="AI181" s="13">
        <v>53852.549999999996</v>
      </c>
      <c r="AJ181" s="13">
        <f t="shared" si="23"/>
        <v>116930.92000000001</v>
      </c>
    </row>
    <row r="182" spans="1:36" s="1" customFormat="1" x14ac:dyDescent="0.25">
      <c r="A182">
        <v>600</v>
      </c>
      <c r="B182">
        <v>1</v>
      </c>
      <c r="C182">
        <f t="shared" si="25"/>
        <v>1</v>
      </c>
      <c r="D182" s="1" t="s">
        <v>205</v>
      </c>
      <c r="E182" s="7">
        <v>22730.010000000002</v>
      </c>
      <c r="F182" s="7">
        <v>2776.4300000000003</v>
      </c>
      <c r="G182" s="7">
        <v>2104.6199999999953</v>
      </c>
      <c r="H182" s="7">
        <v>3430.1099999999969</v>
      </c>
      <c r="I182" s="7">
        <v>4630.1900000000023</v>
      </c>
      <c r="J182" s="7">
        <v>2321.7400000000052</v>
      </c>
      <c r="K182" s="7">
        <v>4209.2599999999948</v>
      </c>
      <c r="L182" s="7">
        <v>3586.8999999999942</v>
      </c>
      <c r="M182" s="7">
        <v>3367.4100000000035</v>
      </c>
      <c r="N182" s="7">
        <v>4026.3500000000058</v>
      </c>
      <c r="O182" s="7">
        <v>4209.2599999999948</v>
      </c>
      <c r="P182" s="7">
        <v>4983.7900000000081</v>
      </c>
      <c r="Q182" s="7">
        <v>3367.4199999999983</v>
      </c>
      <c r="R182" s="7">
        <v>5901.75</v>
      </c>
      <c r="S182" s="7">
        <v>4209.2599999999948</v>
      </c>
      <c r="T182" s="7">
        <v>4218.0300000000061</v>
      </c>
      <c r="U182" s="7">
        <v>4209.2599999999948</v>
      </c>
      <c r="V182" s="7">
        <v>8.789999999999992</v>
      </c>
      <c r="W182" s="9">
        <f t="shared" si="19"/>
        <v>84290.579999999987</v>
      </c>
      <c r="X182" s="9">
        <v>57205.54</v>
      </c>
      <c r="Y182" s="9">
        <v>27190.29</v>
      </c>
      <c r="Z182" s="9">
        <v>30015.25</v>
      </c>
      <c r="AA182" s="9">
        <f t="shared" si="20"/>
        <v>114305.82999999999</v>
      </c>
      <c r="AB182" s="7" t="e">
        <f>W182-#REF!</f>
        <v>#REF!</v>
      </c>
      <c r="AC182" s="12">
        <v>592</v>
      </c>
      <c r="AD182" s="12">
        <v>1</v>
      </c>
      <c r="AE182" s="12">
        <f t="shared" si="21"/>
        <v>0</v>
      </c>
      <c r="AF182" s="12">
        <f t="shared" si="22"/>
        <v>592</v>
      </c>
      <c r="AG182" s="13" t="s">
        <v>733</v>
      </c>
      <c r="AH182" s="13">
        <v>67503.360000000001</v>
      </c>
      <c r="AI182" s="13">
        <v>32052.71</v>
      </c>
      <c r="AJ182" s="13">
        <f t="shared" si="23"/>
        <v>35450.65</v>
      </c>
    </row>
    <row r="183" spans="1:36" s="1" customFormat="1" x14ac:dyDescent="0.25">
      <c r="A183">
        <v>601</v>
      </c>
      <c r="B183">
        <v>1</v>
      </c>
      <c r="C183">
        <f t="shared" si="25"/>
        <v>1</v>
      </c>
      <c r="D183" s="1" t="s">
        <v>206</v>
      </c>
      <c r="E183" s="7">
        <v>59896.449999999983</v>
      </c>
      <c r="F183" s="7">
        <v>7919.1499999999942</v>
      </c>
      <c r="G183" s="7">
        <v>5545.9599999999991</v>
      </c>
      <c r="H183" s="7">
        <v>9189.539999999979</v>
      </c>
      <c r="I183" s="7">
        <v>12201.130000000005</v>
      </c>
      <c r="J183" s="7">
        <v>5628.5299999999988</v>
      </c>
      <c r="K183" s="7">
        <v>11091.940000000002</v>
      </c>
      <c r="L183" s="7">
        <v>9980.2200000000012</v>
      </c>
      <c r="M183" s="7">
        <v>8873.5500000000175</v>
      </c>
      <c r="N183" s="7">
        <v>10169.700000000012</v>
      </c>
      <c r="O183" s="7">
        <v>11100.130000000005</v>
      </c>
      <c r="P183" s="7">
        <v>12970.940000000002</v>
      </c>
      <c r="Q183" s="7">
        <v>8873.5499999999884</v>
      </c>
      <c r="R183" s="7">
        <v>15449.940000000002</v>
      </c>
      <c r="S183" s="7">
        <v>11091.950000000012</v>
      </c>
      <c r="T183" s="7">
        <v>11259.219999999972</v>
      </c>
      <c r="U183" s="7">
        <v>11091.929999999993</v>
      </c>
      <c r="V183" s="7">
        <v>44.269999999999982</v>
      </c>
      <c r="W183" s="9">
        <f t="shared" si="19"/>
        <v>222378.09999999995</v>
      </c>
      <c r="X183" s="9">
        <v>287503.04000000004</v>
      </c>
      <c r="Y183" s="9">
        <v>131258.51999999999</v>
      </c>
      <c r="Z183" s="9">
        <v>156244.52000000005</v>
      </c>
      <c r="AA183" s="9">
        <f t="shared" si="20"/>
        <v>378622.62</v>
      </c>
      <c r="AB183" s="7" t="e">
        <f>W183-#REF!</f>
        <v>#REF!</v>
      </c>
      <c r="AC183" s="12">
        <v>593</v>
      </c>
      <c r="AD183" s="12">
        <v>1</v>
      </c>
      <c r="AE183" s="12">
        <f t="shared" si="21"/>
        <v>0</v>
      </c>
      <c r="AF183" s="12">
        <f t="shared" si="22"/>
        <v>593</v>
      </c>
      <c r="AG183" s="13" t="s">
        <v>734</v>
      </c>
      <c r="AH183" s="13">
        <v>1056901.6599999999</v>
      </c>
      <c r="AI183" s="13">
        <v>502354.49000000005</v>
      </c>
      <c r="AJ183" s="13">
        <f t="shared" si="23"/>
        <v>554547.16999999993</v>
      </c>
    </row>
    <row r="184" spans="1:36" s="1" customFormat="1" x14ac:dyDescent="0.25">
      <c r="A184">
        <v>621</v>
      </c>
      <c r="B184">
        <v>1</v>
      </c>
      <c r="C184">
        <f t="shared" si="25"/>
        <v>1</v>
      </c>
      <c r="D184" s="1" t="s">
        <v>207</v>
      </c>
      <c r="E184" s="7">
        <v>872970.33000000007</v>
      </c>
      <c r="F184" s="7">
        <v>23.96</v>
      </c>
      <c r="G184" s="7">
        <v>-33172.400000000001</v>
      </c>
      <c r="H184" s="7">
        <v>5.9700000000011642</v>
      </c>
      <c r="I184" s="7">
        <v>466554.40999999992</v>
      </c>
      <c r="J184" s="7">
        <v>93290.099999999627</v>
      </c>
      <c r="K184" s="7">
        <v>155518.12999999989</v>
      </c>
      <c r="L184" s="7">
        <v>124432.7900000005</v>
      </c>
      <c r="M184" s="7">
        <v>124414.50999999978</v>
      </c>
      <c r="N184" s="7">
        <v>155502.87999999989</v>
      </c>
      <c r="O184" s="7">
        <v>161520.40000000037</v>
      </c>
      <c r="P184" s="7">
        <v>186616.16000000015</v>
      </c>
      <c r="Q184" s="7">
        <v>124414.50999999978</v>
      </c>
      <c r="R184" s="7">
        <v>217726.15000000037</v>
      </c>
      <c r="S184" s="7">
        <v>466554.40999999992</v>
      </c>
      <c r="T184" s="7">
        <v>0.71000000000000085</v>
      </c>
      <c r="U184" s="7">
        <v>0</v>
      </c>
      <c r="V184" s="7">
        <v>-126467.29</v>
      </c>
      <c r="W184" s="9">
        <f t="shared" si="19"/>
        <v>2989905.7300000004</v>
      </c>
      <c r="X184" s="9">
        <v>10770034.050000001</v>
      </c>
      <c r="Y184" s="9">
        <v>3821586.0100000002</v>
      </c>
      <c r="Z184" s="9">
        <v>6948448.040000001</v>
      </c>
      <c r="AA184" s="9">
        <f t="shared" si="20"/>
        <v>9938353.7700000014</v>
      </c>
      <c r="AB184" s="7" t="e">
        <f>W184-#REF!</f>
        <v>#REF!</v>
      </c>
      <c r="AC184" s="12">
        <v>595</v>
      </c>
      <c r="AD184" s="12">
        <v>1</v>
      </c>
      <c r="AE184" s="12">
        <f t="shared" si="21"/>
        <v>0</v>
      </c>
      <c r="AF184" s="12">
        <f t="shared" si="22"/>
        <v>595</v>
      </c>
      <c r="AG184" s="13" t="s">
        <v>735</v>
      </c>
      <c r="AH184" s="13">
        <v>613900.71</v>
      </c>
      <c r="AI184" s="13">
        <v>291792.31000000006</v>
      </c>
      <c r="AJ184" s="13">
        <f t="shared" si="23"/>
        <v>322108.39999999991</v>
      </c>
    </row>
    <row r="185" spans="1:36" s="1" customFormat="1" x14ac:dyDescent="0.25">
      <c r="A185">
        <v>622</v>
      </c>
      <c r="B185">
        <v>1</v>
      </c>
      <c r="C185">
        <f t="shared" si="25"/>
        <v>1</v>
      </c>
      <c r="D185" s="1" t="s">
        <v>208</v>
      </c>
      <c r="E185" s="7">
        <v>984071.35000000009</v>
      </c>
      <c r="F185" s="7">
        <v>28.880000000000003</v>
      </c>
      <c r="G185" s="7">
        <v>-33433.600000000006</v>
      </c>
      <c r="H185" s="7">
        <v>7.2099999999991269</v>
      </c>
      <c r="I185" s="7">
        <v>528132.08999999985</v>
      </c>
      <c r="J185" s="7">
        <v>105602.16999999993</v>
      </c>
      <c r="K185" s="7">
        <v>176044.04000000004</v>
      </c>
      <c r="L185" s="7">
        <v>140858.91000000015</v>
      </c>
      <c r="M185" s="7">
        <v>140835.21999999974</v>
      </c>
      <c r="N185" s="7">
        <v>176024.27999999933</v>
      </c>
      <c r="O185" s="7">
        <v>195594.11000000034</v>
      </c>
      <c r="P185" s="7">
        <v>211245.58000000007</v>
      </c>
      <c r="Q185" s="7">
        <v>140835.20999999996</v>
      </c>
      <c r="R185" s="7">
        <v>246462.58999999985</v>
      </c>
      <c r="S185" s="7">
        <v>240423.41999999993</v>
      </c>
      <c r="T185" s="7">
        <v>57327.94</v>
      </c>
      <c r="U185" s="7">
        <v>230381.67</v>
      </c>
      <c r="V185" s="7">
        <v>-141592.76999999999</v>
      </c>
      <c r="W185" s="9">
        <f t="shared" si="19"/>
        <v>3398848.2999999989</v>
      </c>
      <c r="X185" s="9">
        <v>7186900.7999999998</v>
      </c>
      <c r="Y185" s="9">
        <v>3415996.06</v>
      </c>
      <c r="Z185" s="9">
        <v>3770904.7399999998</v>
      </c>
      <c r="AA185" s="9">
        <f t="shared" si="20"/>
        <v>7169753.0399999991</v>
      </c>
      <c r="AB185" s="7" t="e">
        <f>W185-#REF!</f>
        <v>#REF!</v>
      </c>
      <c r="AC185" s="12">
        <v>599</v>
      </c>
      <c r="AD185" s="12">
        <v>1</v>
      </c>
      <c r="AE185" s="12">
        <f t="shared" si="21"/>
        <v>0</v>
      </c>
      <c r="AF185" s="12">
        <f t="shared" si="22"/>
        <v>599</v>
      </c>
      <c r="AG185" s="13" t="s">
        <v>736</v>
      </c>
      <c r="AH185" s="13">
        <v>285832.03000000003</v>
      </c>
      <c r="AI185" s="13">
        <v>116162.78999999998</v>
      </c>
      <c r="AJ185" s="13">
        <f t="shared" si="23"/>
        <v>169669.24000000005</v>
      </c>
    </row>
    <row r="186" spans="1:36" s="1" customFormat="1" x14ac:dyDescent="0.25">
      <c r="A186">
        <v>623</v>
      </c>
      <c r="B186">
        <v>1</v>
      </c>
      <c r="C186">
        <f t="shared" si="25"/>
        <v>1</v>
      </c>
      <c r="D186" s="1" t="s">
        <v>209</v>
      </c>
      <c r="E186" s="7">
        <v>611885.58000000007</v>
      </c>
      <c r="F186" s="7">
        <v>13.839999999999998</v>
      </c>
      <c r="G186" s="7">
        <v>-30873.839999999997</v>
      </c>
      <c r="H186" s="7">
        <v>3.4699999999975262</v>
      </c>
      <c r="I186" s="7">
        <v>322784.31000000006</v>
      </c>
      <c r="J186" s="7">
        <v>64544.850000000093</v>
      </c>
      <c r="K186" s="7">
        <v>107594.77000000002</v>
      </c>
      <c r="L186" s="7">
        <v>86086.419999999925</v>
      </c>
      <c r="M186" s="7">
        <v>86075.810000000056</v>
      </c>
      <c r="N186" s="7">
        <v>107585.9299999997</v>
      </c>
      <c r="O186" s="7">
        <v>116874.48999999976</v>
      </c>
      <c r="P186" s="7">
        <v>129110.48999999976</v>
      </c>
      <c r="Q186" s="7">
        <v>86075.810000000056</v>
      </c>
      <c r="R186" s="7">
        <v>150633.09999999963</v>
      </c>
      <c r="S186" s="7">
        <v>322784.30000000005</v>
      </c>
      <c r="T186" s="7">
        <v>0.42999999999999972</v>
      </c>
      <c r="U186" s="7">
        <v>0</v>
      </c>
      <c r="V186" s="7">
        <v>-98110.84</v>
      </c>
      <c r="W186" s="9">
        <f t="shared" si="19"/>
        <v>2063068.9199999992</v>
      </c>
      <c r="X186" s="9">
        <v>5496705.3600000003</v>
      </c>
      <c r="Y186" s="9">
        <v>1940154.02</v>
      </c>
      <c r="Z186" s="9">
        <v>3556551.3400000003</v>
      </c>
      <c r="AA186" s="9">
        <f t="shared" si="20"/>
        <v>5619620.2599999998</v>
      </c>
      <c r="AB186" s="7" t="e">
        <f>W186-#REF!</f>
        <v>#REF!</v>
      </c>
      <c r="AC186" s="12">
        <v>600</v>
      </c>
      <c r="AD186" s="12">
        <v>1</v>
      </c>
      <c r="AE186" s="12">
        <f t="shared" si="21"/>
        <v>0</v>
      </c>
      <c r="AF186" s="12">
        <f t="shared" si="22"/>
        <v>600</v>
      </c>
      <c r="AG186" s="13" t="s">
        <v>737</v>
      </c>
      <c r="AH186" s="13">
        <v>57205.54</v>
      </c>
      <c r="AI186" s="13">
        <v>27190.29</v>
      </c>
      <c r="AJ186" s="13">
        <f t="shared" si="23"/>
        <v>30015.25</v>
      </c>
    </row>
    <row r="187" spans="1:36" s="1" customFormat="1" x14ac:dyDescent="0.25">
      <c r="A187">
        <v>624</v>
      </c>
      <c r="B187">
        <v>1</v>
      </c>
      <c r="C187">
        <f t="shared" si="25"/>
        <v>1</v>
      </c>
      <c r="D187" s="1" t="s">
        <v>210</v>
      </c>
      <c r="E187" s="7">
        <v>601934.75</v>
      </c>
      <c r="F187" s="7">
        <v>97.050000000000011</v>
      </c>
      <c r="G187" s="7">
        <v>-3343.3600000000006</v>
      </c>
      <c r="H187" s="7">
        <v>24.260000000000218</v>
      </c>
      <c r="I187" s="7">
        <v>32397.39</v>
      </c>
      <c r="J187" s="7">
        <v>366583.67000000016</v>
      </c>
      <c r="K187" s="7">
        <v>110850.25</v>
      </c>
      <c r="L187" s="7">
        <v>88763.099999999627</v>
      </c>
      <c r="M187" s="7">
        <v>88680.209999999963</v>
      </c>
      <c r="N187" s="7">
        <v>110781.16999999993</v>
      </c>
      <c r="O187" s="7">
        <v>114165.0700000003</v>
      </c>
      <c r="P187" s="7">
        <v>132994.90000000037</v>
      </c>
      <c r="Q187" s="7">
        <v>88680.200000000186</v>
      </c>
      <c r="R187" s="7">
        <v>455347.06000000052</v>
      </c>
      <c r="S187" s="7">
        <v>32397.4</v>
      </c>
      <c r="T187" s="7">
        <v>3.3200000000000074</v>
      </c>
      <c r="U187" s="7">
        <v>0</v>
      </c>
      <c r="V187" s="7">
        <v>-68179.039999999994</v>
      </c>
      <c r="W187" s="9">
        <f t="shared" si="19"/>
        <v>2152177.4000000008</v>
      </c>
      <c r="X187" s="9">
        <v>9967696.2100000009</v>
      </c>
      <c r="Y187" s="9">
        <v>3907592.2499999995</v>
      </c>
      <c r="Z187" s="9">
        <v>6060103.9600000009</v>
      </c>
      <c r="AA187" s="9">
        <f t="shared" si="20"/>
        <v>8212281.3600000013</v>
      </c>
      <c r="AB187" s="7" t="e">
        <f>W187-#REF!</f>
        <v>#REF!</v>
      </c>
      <c r="AC187" s="12">
        <v>601</v>
      </c>
      <c r="AD187" s="12">
        <v>1</v>
      </c>
      <c r="AE187" s="12">
        <f t="shared" si="21"/>
        <v>0</v>
      </c>
      <c r="AF187" s="12">
        <f t="shared" si="22"/>
        <v>601</v>
      </c>
      <c r="AG187" s="13" t="s">
        <v>738</v>
      </c>
      <c r="AH187" s="13">
        <v>287503.04000000004</v>
      </c>
      <c r="AI187" s="13">
        <v>131258.51999999999</v>
      </c>
      <c r="AJ187" s="13">
        <f t="shared" si="23"/>
        <v>156244.52000000005</v>
      </c>
    </row>
    <row r="188" spans="1:36" s="1" customFormat="1" x14ac:dyDescent="0.25">
      <c r="A188">
        <v>625</v>
      </c>
      <c r="B188">
        <v>1</v>
      </c>
      <c r="C188">
        <f t="shared" si="25"/>
        <v>1</v>
      </c>
      <c r="D188" s="1" t="s">
        <v>211</v>
      </c>
      <c r="E188" s="7">
        <v>4095860.4499999993</v>
      </c>
      <c r="F188" s="7">
        <v>333331.44999999995</v>
      </c>
      <c r="G188" s="7">
        <v>-42053.199999999953</v>
      </c>
      <c r="H188" s="7">
        <v>83332.87</v>
      </c>
      <c r="I188" s="7">
        <v>2252115.1300000027</v>
      </c>
      <c r="J188" s="7">
        <v>519071.09999999963</v>
      </c>
      <c r="K188" s="7">
        <v>750705.04000000283</v>
      </c>
      <c r="L188" s="7">
        <v>692540.16999999806</v>
      </c>
      <c r="M188" s="7">
        <v>600564.03999999911</v>
      </c>
      <c r="N188" s="7">
        <v>820499.69000000134</v>
      </c>
      <c r="O188" s="7">
        <v>801031.48999999836</v>
      </c>
      <c r="P188" s="7">
        <v>358898.09999999776</v>
      </c>
      <c r="Q188" s="7">
        <v>605604.03000000119</v>
      </c>
      <c r="R188" s="7">
        <v>964543.6799999997</v>
      </c>
      <c r="S188" s="7">
        <v>992654.49000000209</v>
      </c>
      <c r="T188" s="7">
        <v>517559.18</v>
      </c>
      <c r="U188" s="7">
        <v>851708.24</v>
      </c>
      <c r="V188" s="7">
        <v>-1324730.5900000001</v>
      </c>
      <c r="W188" s="9">
        <f t="shared" si="19"/>
        <v>13873235.360000001</v>
      </c>
      <c r="X188" s="9">
        <v>28834425.990000002</v>
      </c>
      <c r="Y188" s="9">
        <v>12407510.649999999</v>
      </c>
      <c r="Z188" s="9">
        <v>16426915.340000004</v>
      </c>
      <c r="AA188" s="9">
        <f t="shared" si="20"/>
        <v>30300150.700000003</v>
      </c>
      <c r="AB188" s="7" t="e">
        <f>W188-#REF!</f>
        <v>#REF!</v>
      </c>
      <c r="AC188" s="12">
        <v>611</v>
      </c>
      <c r="AD188" s="12">
        <v>1</v>
      </c>
      <c r="AE188" s="12">
        <f t="shared" si="21"/>
        <v>2769</v>
      </c>
      <c r="AF188" s="12">
        <f t="shared" si="22"/>
        <v>2769</v>
      </c>
      <c r="AG188" s="13" t="s">
        <v>739</v>
      </c>
      <c r="AH188" s="13">
        <v>37714.270000000004</v>
      </c>
      <c r="AI188" s="13">
        <v>17925.919999999998</v>
      </c>
      <c r="AJ188" s="13">
        <f t="shared" si="23"/>
        <v>19788.350000000006</v>
      </c>
    </row>
    <row r="189" spans="1:36" s="1" customFormat="1" x14ac:dyDescent="0.25">
      <c r="A189">
        <v>630</v>
      </c>
      <c r="B189">
        <v>1</v>
      </c>
      <c r="C189">
        <f t="shared" si="25"/>
        <v>1</v>
      </c>
      <c r="D189" s="1" t="s">
        <v>212</v>
      </c>
      <c r="E189" s="7">
        <v>36859.089999999997</v>
      </c>
      <c r="F189" s="7">
        <v>13966.349999999999</v>
      </c>
      <c r="G189" s="7">
        <v>3412.880000000001</v>
      </c>
      <c r="H189" s="7">
        <v>7928.3199999999924</v>
      </c>
      <c r="I189" s="7">
        <v>7508.3399999999965</v>
      </c>
      <c r="J189" s="7">
        <v>-3918.8699999999953</v>
      </c>
      <c r="K189" s="7">
        <v>6825.75</v>
      </c>
      <c r="L189" s="7">
        <v>8984.539999999979</v>
      </c>
      <c r="M189" s="7">
        <v>5460.6100000000151</v>
      </c>
      <c r="N189" s="7">
        <v>4743.2399999999907</v>
      </c>
      <c r="O189" s="7">
        <v>6825.75</v>
      </c>
      <c r="P189" s="7">
        <v>5538.7000000000116</v>
      </c>
      <c r="Q189" s="7">
        <v>5460.6000000000058</v>
      </c>
      <c r="R189" s="7">
        <v>8999.460000000021</v>
      </c>
      <c r="S189" s="7">
        <v>6825.75</v>
      </c>
      <c r="T189" s="7">
        <v>8074.25</v>
      </c>
      <c r="U189" s="7">
        <v>6825.75</v>
      </c>
      <c r="V189" s="7">
        <v>345.95999999999913</v>
      </c>
      <c r="W189" s="9">
        <f t="shared" si="19"/>
        <v>140666.47</v>
      </c>
      <c r="X189" s="9">
        <v>195488.8</v>
      </c>
      <c r="Y189" s="9">
        <v>84567.329999999987</v>
      </c>
      <c r="Z189" s="9">
        <v>110921.47</v>
      </c>
      <c r="AA189" s="9">
        <f t="shared" si="20"/>
        <v>251587.94</v>
      </c>
      <c r="AB189" s="7" t="e">
        <f>W189-#REF!</f>
        <v>#REF!</v>
      </c>
      <c r="AC189" s="12">
        <v>621</v>
      </c>
      <c r="AD189" s="12">
        <v>1</v>
      </c>
      <c r="AE189" s="12">
        <f t="shared" si="21"/>
        <v>0</v>
      </c>
      <c r="AF189" s="12">
        <f t="shared" si="22"/>
        <v>621</v>
      </c>
      <c r="AG189" s="13" t="s">
        <v>740</v>
      </c>
      <c r="AH189" s="13">
        <v>10770034.050000001</v>
      </c>
      <c r="AI189" s="13">
        <v>3821586.0100000002</v>
      </c>
      <c r="AJ189" s="13">
        <f t="shared" si="23"/>
        <v>6948448.040000001</v>
      </c>
    </row>
    <row r="190" spans="1:36" s="1" customFormat="1" x14ac:dyDescent="0.25">
      <c r="A190">
        <v>635</v>
      </c>
      <c r="B190">
        <v>1</v>
      </c>
      <c r="C190">
        <f t="shared" si="25"/>
        <v>1</v>
      </c>
      <c r="D190" s="1" t="s">
        <v>213</v>
      </c>
      <c r="E190" s="7">
        <v>4811.7599999999984</v>
      </c>
      <c r="F190" s="7">
        <v>0</v>
      </c>
      <c r="G190" s="7">
        <v>0</v>
      </c>
      <c r="H190" s="7">
        <v>0</v>
      </c>
      <c r="I190" s="7">
        <v>0</v>
      </c>
      <c r="J190" s="7">
        <v>3207.8400000000011</v>
      </c>
      <c r="K190" s="7">
        <v>891.06000000000131</v>
      </c>
      <c r="L190" s="7">
        <v>712.85999999999694</v>
      </c>
      <c r="M190" s="7">
        <v>712.84999999999854</v>
      </c>
      <c r="N190" s="7">
        <v>891.06999999999971</v>
      </c>
      <c r="O190" s="7">
        <v>956.97000000000116</v>
      </c>
      <c r="P190" s="7">
        <v>1069.2799999999988</v>
      </c>
      <c r="Q190" s="7">
        <v>712.86000000000058</v>
      </c>
      <c r="R190" s="7">
        <v>3851.6399999999994</v>
      </c>
      <c r="S190" s="7">
        <v>0</v>
      </c>
      <c r="T190" s="7">
        <v>0</v>
      </c>
      <c r="U190" s="7">
        <v>0</v>
      </c>
      <c r="V190" s="7">
        <v>-251.19</v>
      </c>
      <c r="W190" s="9">
        <f t="shared" si="19"/>
        <v>17566.999999999996</v>
      </c>
      <c r="X190" s="9">
        <v>67861.240000000005</v>
      </c>
      <c r="Y190" s="9">
        <v>17191.41</v>
      </c>
      <c r="Z190" s="9">
        <v>50669.83</v>
      </c>
      <c r="AA190" s="9">
        <f t="shared" si="20"/>
        <v>68236.83</v>
      </c>
      <c r="AB190" s="7" t="e">
        <f>W190-#REF!</f>
        <v>#REF!</v>
      </c>
      <c r="AC190" s="12">
        <v>622</v>
      </c>
      <c r="AD190" s="12">
        <v>1</v>
      </c>
      <c r="AE190" s="12">
        <f t="shared" si="21"/>
        <v>0</v>
      </c>
      <c r="AF190" s="12">
        <f t="shared" si="22"/>
        <v>622</v>
      </c>
      <c r="AG190" s="13" t="s">
        <v>741</v>
      </c>
      <c r="AH190" s="13">
        <v>7186900.7999999998</v>
      </c>
      <c r="AI190" s="13">
        <v>3415996.06</v>
      </c>
      <c r="AJ190" s="13">
        <f t="shared" si="23"/>
        <v>3770904.7399999998</v>
      </c>
    </row>
    <row r="191" spans="1:36" s="1" customFormat="1" x14ac:dyDescent="0.25">
      <c r="A191">
        <v>640</v>
      </c>
      <c r="B191">
        <v>1</v>
      </c>
      <c r="C191">
        <f t="shared" si="25"/>
        <v>1</v>
      </c>
      <c r="D191" s="1" t="s">
        <v>214</v>
      </c>
      <c r="E191" s="7">
        <v>65234.3</v>
      </c>
      <c r="F191" s="7">
        <v>4492</v>
      </c>
      <c r="G191" s="7">
        <v>-31002.789999999997</v>
      </c>
      <c r="H191" s="7">
        <v>4662.5600000000004</v>
      </c>
      <c r="I191" s="7">
        <v>6613.8699999999953</v>
      </c>
      <c r="J191" s="7">
        <v>2660.4600000000064</v>
      </c>
      <c r="K191" s="7">
        <v>5801.9599999999919</v>
      </c>
      <c r="L191" s="7">
        <v>5527.2100000000064</v>
      </c>
      <c r="M191" s="7">
        <v>4641.5599999999977</v>
      </c>
      <c r="N191" s="7">
        <v>5063.9100000000035</v>
      </c>
      <c r="O191" s="7">
        <v>6189.0499999999884</v>
      </c>
      <c r="P191" s="7">
        <v>6690.7300000000105</v>
      </c>
      <c r="Q191" s="7">
        <v>4641.5699999999924</v>
      </c>
      <c r="R191" s="7">
        <v>8047.2900000000081</v>
      </c>
      <c r="S191" s="7">
        <v>5801.9500000000116</v>
      </c>
      <c r="T191" s="7">
        <v>5948.2599999999948</v>
      </c>
      <c r="U191" s="7">
        <v>5801.9499999999971</v>
      </c>
      <c r="V191" s="7">
        <v>-2149.4100000000003</v>
      </c>
      <c r="W191" s="9">
        <f t="shared" si="19"/>
        <v>114666.43000000001</v>
      </c>
      <c r="X191" s="9">
        <v>197869.84999999998</v>
      </c>
      <c r="Y191" s="9">
        <v>82895.47</v>
      </c>
      <c r="Z191" s="9">
        <v>114974.37999999998</v>
      </c>
      <c r="AA191" s="9">
        <f t="shared" si="20"/>
        <v>229640.81</v>
      </c>
      <c r="AB191" s="7" t="e">
        <f>W191-#REF!</f>
        <v>#REF!</v>
      </c>
      <c r="AC191" s="12">
        <v>623</v>
      </c>
      <c r="AD191" s="12">
        <v>1</v>
      </c>
      <c r="AE191" s="12">
        <f t="shared" si="21"/>
        <v>0</v>
      </c>
      <c r="AF191" s="12">
        <f t="shared" si="22"/>
        <v>623</v>
      </c>
      <c r="AG191" s="13" t="s">
        <v>742</v>
      </c>
      <c r="AH191" s="13">
        <v>5496705.3600000003</v>
      </c>
      <c r="AI191" s="13">
        <v>1940154.02</v>
      </c>
      <c r="AJ191" s="13">
        <f t="shared" si="23"/>
        <v>3556551.3400000003</v>
      </c>
    </row>
    <row r="192" spans="1:36" s="1" customFormat="1" x14ac:dyDescent="0.25">
      <c r="A192">
        <v>656</v>
      </c>
      <c r="B192">
        <v>1</v>
      </c>
      <c r="C192">
        <f t="shared" si="25"/>
        <v>1</v>
      </c>
      <c r="D192" s="1" t="s">
        <v>215</v>
      </c>
      <c r="E192" s="7">
        <v>354272.81000000006</v>
      </c>
      <c r="F192" s="7">
        <v>42694.420000000013</v>
      </c>
      <c r="G192" s="7">
        <v>14697.760000000009</v>
      </c>
      <c r="H192" s="7">
        <v>57355.760000000009</v>
      </c>
      <c r="I192" s="7">
        <v>69804.270000000019</v>
      </c>
      <c r="J192" s="7">
        <v>34324.529999999912</v>
      </c>
      <c r="K192" s="7">
        <v>63458.429999999935</v>
      </c>
      <c r="L192" s="7">
        <v>54814.080000000075</v>
      </c>
      <c r="M192" s="7">
        <v>50766.739999999991</v>
      </c>
      <c r="N192" s="7">
        <v>60085.659999999916</v>
      </c>
      <c r="O192" s="7">
        <v>69397.050000000047</v>
      </c>
      <c r="P192" s="7">
        <v>74908.929999999702</v>
      </c>
      <c r="Q192" s="7">
        <v>50766.75</v>
      </c>
      <c r="R192" s="7">
        <v>88551.25</v>
      </c>
      <c r="S192" s="7">
        <v>63458.429999999935</v>
      </c>
      <c r="T192" s="7">
        <v>64072.790000000037</v>
      </c>
      <c r="U192" s="7">
        <v>63458.430000000051</v>
      </c>
      <c r="V192" s="7">
        <v>-52466.369999999995</v>
      </c>
      <c r="W192" s="9">
        <f t="shared" si="19"/>
        <v>1224421.7199999997</v>
      </c>
      <c r="X192" s="9">
        <v>1778542.0299999998</v>
      </c>
      <c r="Y192" s="9">
        <v>672222.84999999986</v>
      </c>
      <c r="Z192" s="9">
        <v>1106319.18</v>
      </c>
      <c r="AA192" s="9">
        <f t="shared" si="20"/>
        <v>2330740.8999999994</v>
      </c>
      <c r="AB192" s="7" t="e">
        <f>W192-#REF!</f>
        <v>#REF!</v>
      </c>
      <c r="AC192" s="12">
        <v>624</v>
      </c>
      <c r="AD192" s="12">
        <v>1</v>
      </c>
      <c r="AE192" s="12">
        <f t="shared" si="21"/>
        <v>0</v>
      </c>
      <c r="AF192" s="12">
        <f t="shared" si="22"/>
        <v>624</v>
      </c>
      <c r="AG192" s="13" t="s">
        <v>743</v>
      </c>
      <c r="AH192" s="13">
        <v>9967696.2100000009</v>
      </c>
      <c r="AI192" s="13">
        <v>3907592.2499999995</v>
      </c>
      <c r="AJ192" s="13">
        <f t="shared" si="23"/>
        <v>6060103.9600000009</v>
      </c>
    </row>
    <row r="193" spans="1:36" s="1" customFormat="1" x14ac:dyDescent="0.25">
      <c r="A193">
        <v>659</v>
      </c>
      <c r="B193">
        <v>1</v>
      </c>
      <c r="C193">
        <f t="shared" si="25"/>
        <v>1</v>
      </c>
      <c r="D193" s="1" t="s">
        <v>216</v>
      </c>
      <c r="E193" s="7">
        <v>362570.43999999994</v>
      </c>
      <c r="F193" s="7">
        <v>4373.5599999999995</v>
      </c>
      <c r="G193" s="7">
        <v>-89643.839999999997</v>
      </c>
      <c r="H193" s="7">
        <v>1093.3900000000003</v>
      </c>
      <c r="I193" s="7">
        <v>151625.88999999998</v>
      </c>
      <c r="J193" s="7">
        <v>26774.229999999981</v>
      </c>
      <c r="K193" s="7">
        <v>50541.960000000196</v>
      </c>
      <c r="L193" s="7">
        <v>44265.549999999814</v>
      </c>
      <c r="M193" s="7">
        <v>40433.570000000065</v>
      </c>
      <c r="N193" s="7">
        <v>47348.64000000013</v>
      </c>
      <c r="O193" s="7">
        <v>51571.320000000065</v>
      </c>
      <c r="P193" s="7">
        <v>59475.209999999963</v>
      </c>
      <c r="Q193" s="7">
        <v>40433.569999999832</v>
      </c>
      <c r="R193" s="7">
        <v>70541.160000000149</v>
      </c>
      <c r="S193" s="7">
        <v>151625.88999999998</v>
      </c>
      <c r="T193" s="7">
        <v>524.15999999999985</v>
      </c>
      <c r="U193" s="7">
        <v>0</v>
      </c>
      <c r="V193" s="7">
        <v>153.26999999999998</v>
      </c>
      <c r="W193" s="9">
        <f t="shared" si="19"/>
        <v>1013707.9700000002</v>
      </c>
      <c r="X193" s="9">
        <v>4081548.35</v>
      </c>
      <c r="Y193" s="9">
        <v>1743516.17</v>
      </c>
      <c r="Z193" s="9">
        <v>2338032.1800000002</v>
      </c>
      <c r="AA193" s="9">
        <f t="shared" si="20"/>
        <v>3351740.1500000004</v>
      </c>
      <c r="AB193" s="7" t="e">
        <f>W193-#REF!</f>
        <v>#REF!</v>
      </c>
      <c r="AC193" s="12">
        <v>625</v>
      </c>
      <c r="AD193" s="12">
        <v>1</v>
      </c>
      <c r="AE193" s="12">
        <f t="shared" si="21"/>
        <v>0</v>
      </c>
      <c r="AF193" s="12">
        <f t="shared" si="22"/>
        <v>625</v>
      </c>
      <c r="AG193" s="13" t="s">
        <v>744</v>
      </c>
      <c r="AH193" s="13">
        <v>28834425.990000002</v>
      </c>
      <c r="AI193" s="13">
        <v>12407510.649999999</v>
      </c>
      <c r="AJ193" s="13">
        <f t="shared" si="23"/>
        <v>16426915.340000004</v>
      </c>
    </row>
    <row r="194" spans="1:36" s="1" customFormat="1" x14ac:dyDescent="0.25">
      <c r="A194">
        <v>671</v>
      </c>
      <c r="B194">
        <v>1</v>
      </c>
      <c r="C194">
        <f t="shared" si="25"/>
        <v>1</v>
      </c>
      <c r="D194" s="1" t="s">
        <v>217</v>
      </c>
      <c r="E194" s="7">
        <v>30281.53</v>
      </c>
      <c r="F194" s="7">
        <v>4799.83</v>
      </c>
      <c r="G194" s="7">
        <v>-2455.2800000000002</v>
      </c>
      <c r="H194" s="7">
        <v>427</v>
      </c>
      <c r="I194" s="7">
        <v>12367.23000000001</v>
      </c>
      <c r="J194" s="7">
        <v>1705.0400000000081</v>
      </c>
      <c r="K194" s="7">
        <v>5153</v>
      </c>
      <c r="L194" s="7">
        <v>5618.9300000000076</v>
      </c>
      <c r="M194" s="7">
        <v>4122.4100000000035</v>
      </c>
      <c r="N194" s="7">
        <v>3905.9200000000128</v>
      </c>
      <c r="O194" s="7">
        <v>5153.0099999999802</v>
      </c>
      <c r="P194" s="7">
        <v>5724.6600000000035</v>
      </c>
      <c r="Q194" s="7">
        <v>4122.4100000000035</v>
      </c>
      <c r="R194" s="7">
        <v>7047.3500000000058</v>
      </c>
      <c r="S194" s="7">
        <v>5153.0099999999802</v>
      </c>
      <c r="T194" s="7">
        <v>5439.6</v>
      </c>
      <c r="U194" s="7">
        <v>5153.0099999999984</v>
      </c>
      <c r="V194" s="7">
        <v>59.8599999999999</v>
      </c>
      <c r="W194" s="9">
        <f t="shared" si="19"/>
        <v>103778.52000000002</v>
      </c>
      <c r="X194" s="9">
        <v>211889.74</v>
      </c>
      <c r="Y194" s="9">
        <v>66663.260000000009</v>
      </c>
      <c r="Z194" s="9">
        <v>145226.47999999998</v>
      </c>
      <c r="AA194" s="9">
        <f t="shared" si="20"/>
        <v>249005</v>
      </c>
      <c r="AB194" s="7" t="e">
        <f>W194-#REF!</f>
        <v>#REF!</v>
      </c>
      <c r="AC194" s="12">
        <v>627</v>
      </c>
      <c r="AD194" s="12">
        <v>1</v>
      </c>
      <c r="AE194" s="12">
        <f t="shared" si="21"/>
        <v>2906</v>
      </c>
      <c r="AF194" s="12">
        <f t="shared" si="22"/>
        <v>2906</v>
      </c>
      <c r="AG194" s="13" t="s">
        <v>745</v>
      </c>
      <c r="AH194" s="13">
        <v>60455.280000000013</v>
      </c>
      <c r="AI194" s="13">
        <v>26189.47</v>
      </c>
      <c r="AJ194" s="13">
        <f t="shared" si="23"/>
        <v>34265.810000000012</v>
      </c>
    </row>
    <row r="195" spans="1:36" s="1" customFormat="1" x14ac:dyDescent="0.25">
      <c r="A195">
        <v>676</v>
      </c>
      <c r="B195">
        <v>1</v>
      </c>
      <c r="C195">
        <f t="shared" si="25"/>
        <v>1</v>
      </c>
      <c r="D195" s="1" t="s">
        <v>218</v>
      </c>
      <c r="E195" s="7">
        <v>21350.43</v>
      </c>
      <c r="F195" s="7">
        <v>2372.260000000002</v>
      </c>
      <c r="G195" s="7">
        <v>1976.8899999999994</v>
      </c>
      <c r="H195" s="7">
        <v>3163.0299999999988</v>
      </c>
      <c r="I195" s="7">
        <v>4349.1600000000035</v>
      </c>
      <c r="J195" s="7">
        <v>2372.2700000000041</v>
      </c>
      <c r="K195" s="7">
        <v>3953.7799999999988</v>
      </c>
      <c r="L195" s="7">
        <v>3163.0200000000041</v>
      </c>
      <c r="M195" s="7">
        <v>3163.0299999999988</v>
      </c>
      <c r="N195" s="7">
        <v>3953.7899999999936</v>
      </c>
      <c r="O195" s="7">
        <v>3953.7700000000041</v>
      </c>
      <c r="P195" s="7">
        <v>4744.5400000000081</v>
      </c>
      <c r="Q195" s="7">
        <v>3163.0299999999988</v>
      </c>
      <c r="R195" s="7">
        <v>5535.289999999979</v>
      </c>
      <c r="S195" s="7">
        <v>3953.7799999999988</v>
      </c>
      <c r="T195" s="7">
        <v>3953.7899999999972</v>
      </c>
      <c r="U195" s="7">
        <v>3953.7800000000025</v>
      </c>
      <c r="V195" s="7">
        <v>0</v>
      </c>
      <c r="W195" s="9">
        <f t="shared" si="19"/>
        <v>79075.639999999985</v>
      </c>
      <c r="X195" s="9">
        <v>65220.100000000006</v>
      </c>
      <c r="Y195" s="9">
        <v>24984.31</v>
      </c>
      <c r="Z195" s="9">
        <v>40235.790000000008</v>
      </c>
      <c r="AA195" s="9">
        <f t="shared" si="20"/>
        <v>119311.43</v>
      </c>
      <c r="AB195" s="7" t="e">
        <f>W195-#REF!</f>
        <v>#REF!</v>
      </c>
      <c r="AC195" s="12">
        <v>628</v>
      </c>
      <c r="AD195" s="12">
        <v>1</v>
      </c>
      <c r="AE195" s="12">
        <f t="shared" si="21"/>
        <v>2906</v>
      </c>
      <c r="AF195" s="12">
        <f t="shared" si="22"/>
        <v>2906</v>
      </c>
      <c r="AG195" s="13" t="s">
        <v>746</v>
      </c>
      <c r="AH195" s="13">
        <v>116232.94999999998</v>
      </c>
      <c r="AI195" s="13">
        <v>42966.01</v>
      </c>
      <c r="AJ195" s="13">
        <f t="shared" si="23"/>
        <v>73266.939999999973</v>
      </c>
    </row>
    <row r="196" spans="1:36" s="1" customFormat="1" x14ac:dyDescent="0.25">
      <c r="A196">
        <v>682</v>
      </c>
      <c r="B196">
        <v>1</v>
      </c>
      <c r="C196">
        <f t="shared" si="25"/>
        <v>1</v>
      </c>
      <c r="D196" s="1" t="s">
        <v>219</v>
      </c>
      <c r="E196" s="7">
        <v>117565.94000000003</v>
      </c>
      <c r="F196" s="7">
        <v>21174.699999999983</v>
      </c>
      <c r="G196" s="7">
        <v>-9205.64</v>
      </c>
      <c r="H196" s="7">
        <v>17232.049999999988</v>
      </c>
      <c r="I196" s="7">
        <v>20202.25</v>
      </c>
      <c r="J196" s="7">
        <v>2771.8899999999558</v>
      </c>
      <c r="K196" s="7">
        <v>18365.679999999993</v>
      </c>
      <c r="L196" s="7">
        <v>17603.729999999981</v>
      </c>
      <c r="M196" s="7">
        <v>14692.539999999979</v>
      </c>
      <c r="N196" s="7">
        <v>16937.869999999995</v>
      </c>
      <c r="O196" s="7">
        <v>18437.170000000042</v>
      </c>
      <c r="P196" s="7">
        <v>19309.420000000042</v>
      </c>
      <c r="Q196" s="7">
        <v>14692.549999999988</v>
      </c>
      <c r="R196" s="7">
        <v>25997.489999999991</v>
      </c>
      <c r="S196" s="7">
        <v>18365.669999999984</v>
      </c>
      <c r="T196" s="7">
        <v>18792.149999999994</v>
      </c>
      <c r="U196" s="7">
        <v>18365.679999999993</v>
      </c>
      <c r="V196" s="7">
        <v>356.01999999999862</v>
      </c>
      <c r="W196" s="9">
        <f t="shared" si="19"/>
        <v>371657.16</v>
      </c>
      <c r="X196" s="9">
        <v>368809.16</v>
      </c>
      <c r="Y196" s="9">
        <v>151397.91999999998</v>
      </c>
      <c r="Z196" s="9">
        <v>217411.24</v>
      </c>
      <c r="AA196" s="9">
        <f t="shared" si="20"/>
        <v>589068.39999999991</v>
      </c>
      <c r="AB196" s="7" t="e">
        <f>W196-#REF!</f>
        <v>#REF!</v>
      </c>
      <c r="AC196" s="12">
        <v>630</v>
      </c>
      <c r="AD196" s="12">
        <v>1</v>
      </c>
      <c r="AE196" s="12">
        <f t="shared" si="21"/>
        <v>0</v>
      </c>
      <c r="AF196" s="12">
        <f t="shared" si="22"/>
        <v>630</v>
      </c>
      <c r="AG196" s="13" t="s">
        <v>747</v>
      </c>
      <c r="AH196" s="13">
        <v>195488.8</v>
      </c>
      <c r="AI196" s="13">
        <v>84567.329999999987</v>
      </c>
      <c r="AJ196" s="13">
        <f t="shared" si="23"/>
        <v>110921.47</v>
      </c>
    </row>
    <row r="197" spans="1:36" s="1" customFormat="1" x14ac:dyDescent="0.25">
      <c r="A197">
        <v>690</v>
      </c>
      <c r="B197">
        <v>1</v>
      </c>
      <c r="C197">
        <f t="shared" si="25"/>
        <v>1</v>
      </c>
      <c r="D197" s="1" t="s">
        <v>220</v>
      </c>
      <c r="E197" s="7">
        <v>92406.020000000019</v>
      </c>
      <c r="F197" s="7">
        <v>16868.769999999997</v>
      </c>
      <c r="G197" s="7">
        <v>850.72000000000116</v>
      </c>
      <c r="H197" s="7">
        <v>14491.25</v>
      </c>
      <c r="I197" s="7">
        <v>17386.849999999977</v>
      </c>
      <c r="J197" s="7">
        <v>3487.6900000000023</v>
      </c>
      <c r="K197" s="7">
        <v>15806.229999999981</v>
      </c>
      <c r="L197" s="7">
        <v>14006.960000000021</v>
      </c>
      <c r="M197" s="7">
        <v>12644.969999999972</v>
      </c>
      <c r="N197" s="7">
        <v>15522.679999999993</v>
      </c>
      <c r="O197" s="7">
        <v>15877.819999999949</v>
      </c>
      <c r="P197" s="7">
        <v>16983.160000000033</v>
      </c>
      <c r="Q197" s="7">
        <v>12644.989999999991</v>
      </c>
      <c r="R197" s="7">
        <v>22387.550000000047</v>
      </c>
      <c r="S197" s="7">
        <v>15806.229999999981</v>
      </c>
      <c r="T197" s="7">
        <v>16065.040000000008</v>
      </c>
      <c r="U197" s="7">
        <v>15806.229999999981</v>
      </c>
      <c r="V197" s="7">
        <v>258.81999999999971</v>
      </c>
      <c r="W197" s="9">
        <f t="shared" si="19"/>
        <v>319301.97999999992</v>
      </c>
      <c r="X197" s="9">
        <v>377374.89999999997</v>
      </c>
      <c r="Y197" s="9">
        <v>159963.97999999998</v>
      </c>
      <c r="Z197" s="9">
        <v>217410.91999999998</v>
      </c>
      <c r="AA197" s="9">
        <f t="shared" si="20"/>
        <v>536712.89999999991</v>
      </c>
      <c r="AB197" s="7" t="e">
        <f>W197-#REF!</f>
        <v>#REF!</v>
      </c>
      <c r="AC197" s="12">
        <v>635</v>
      </c>
      <c r="AD197" s="12">
        <v>1</v>
      </c>
      <c r="AE197" s="12">
        <f t="shared" si="21"/>
        <v>0</v>
      </c>
      <c r="AF197" s="12">
        <f t="shared" si="22"/>
        <v>635</v>
      </c>
      <c r="AG197" s="13" t="s">
        <v>748</v>
      </c>
      <c r="AH197" s="13">
        <v>67861.240000000005</v>
      </c>
      <c r="AI197" s="13">
        <v>17191.41</v>
      </c>
      <c r="AJ197" s="13">
        <f t="shared" si="23"/>
        <v>50669.83</v>
      </c>
    </row>
    <row r="198" spans="1:36" s="1" customFormat="1" x14ac:dyDescent="0.25">
      <c r="A198">
        <v>695</v>
      </c>
      <c r="B198">
        <v>1</v>
      </c>
      <c r="C198">
        <f t="shared" si="25"/>
        <v>1</v>
      </c>
      <c r="D198" s="1" t="s">
        <v>221</v>
      </c>
      <c r="E198" s="7">
        <v>62786.860000000015</v>
      </c>
      <c r="F198" s="7">
        <v>16335.350000000006</v>
      </c>
      <c r="G198" s="7">
        <v>5813.6000000000058</v>
      </c>
      <c r="H198" s="7">
        <v>11641.51999999996</v>
      </c>
      <c r="I198" s="7">
        <v>12789.919999999984</v>
      </c>
      <c r="J198" s="7">
        <v>-623.02000000001863</v>
      </c>
      <c r="K198" s="7">
        <v>11627.200000000012</v>
      </c>
      <c r="L198" s="7">
        <v>17500.690000000002</v>
      </c>
      <c r="M198" s="7">
        <v>9301.76</v>
      </c>
      <c r="N198" s="7">
        <v>4794.75</v>
      </c>
      <c r="O198" s="7">
        <v>11627.190000000002</v>
      </c>
      <c r="P198" s="7">
        <v>11438.309999999998</v>
      </c>
      <c r="Q198" s="7">
        <v>9301.75</v>
      </c>
      <c r="R198" s="7">
        <v>15579.690000000002</v>
      </c>
      <c r="S198" s="7">
        <v>11627.200000000012</v>
      </c>
      <c r="T198" s="7">
        <v>12981.49000000002</v>
      </c>
      <c r="U198" s="7">
        <v>11627.199999999983</v>
      </c>
      <c r="V198" s="7">
        <v>327.97000000000116</v>
      </c>
      <c r="W198" s="9">
        <f t="shared" si="19"/>
        <v>236479.43</v>
      </c>
      <c r="X198" s="9">
        <v>133497.41</v>
      </c>
      <c r="Y198" s="9">
        <v>48924.78</v>
      </c>
      <c r="Z198" s="9">
        <v>84572.63</v>
      </c>
      <c r="AA198" s="9">
        <f t="shared" si="20"/>
        <v>321052.06</v>
      </c>
      <c r="AB198" s="7" t="e">
        <f>W198-#REF!</f>
        <v>#REF!</v>
      </c>
      <c r="AC198" s="12">
        <v>640</v>
      </c>
      <c r="AD198" s="12">
        <v>1</v>
      </c>
      <c r="AE198" s="12">
        <f t="shared" si="21"/>
        <v>0</v>
      </c>
      <c r="AF198" s="12">
        <f t="shared" si="22"/>
        <v>640</v>
      </c>
      <c r="AG198" s="13" t="s">
        <v>749</v>
      </c>
      <c r="AH198" s="13">
        <v>197869.84999999998</v>
      </c>
      <c r="AI198" s="13">
        <v>82895.47</v>
      </c>
      <c r="AJ198" s="13">
        <f t="shared" si="23"/>
        <v>114974.37999999998</v>
      </c>
    </row>
    <row r="199" spans="1:36" s="1" customFormat="1" x14ac:dyDescent="0.25">
      <c r="A199">
        <v>696</v>
      </c>
      <c r="B199">
        <v>1</v>
      </c>
      <c r="C199">
        <f t="shared" si="25"/>
        <v>1</v>
      </c>
      <c r="D199" s="1" t="s">
        <v>222</v>
      </c>
      <c r="E199" s="7">
        <v>52541.94</v>
      </c>
      <c r="F199" s="7">
        <v>1677.1699999999998</v>
      </c>
      <c r="G199" s="7">
        <v>-10552.48</v>
      </c>
      <c r="H199" s="7">
        <v>419.27</v>
      </c>
      <c r="I199" s="7">
        <v>23327.480000000003</v>
      </c>
      <c r="J199" s="7">
        <v>3303.7999999999884</v>
      </c>
      <c r="K199" s="7">
        <v>7775.820000000007</v>
      </c>
      <c r="L199" s="7">
        <v>7690.1300000000047</v>
      </c>
      <c r="M199" s="7">
        <v>6220.6599999999744</v>
      </c>
      <c r="N199" s="7">
        <v>6551.2700000000186</v>
      </c>
      <c r="O199" s="7">
        <v>7777.7799999999697</v>
      </c>
      <c r="P199" s="7">
        <v>8880.3699999999953</v>
      </c>
      <c r="Q199" s="7">
        <v>6220.6600000000035</v>
      </c>
      <c r="R199" s="7">
        <v>10358.150000000023</v>
      </c>
      <c r="S199" s="7">
        <v>23327.480000000003</v>
      </c>
      <c r="T199" s="7">
        <v>645.55000000000007</v>
      </c>
      <c r="U199" s="7">
        <v>0</v>
      </c>
      <c r="V199" s="7">
        <v>58.789999999999964</v>
      </c>
      <c r="W199" s="9">
        <f t="shared" si="19"/>
        <v>156223.84</v>
      </c>
      <c r="X199" s="9">
        <v>624462.49</v>
      </c>
      <c r="Y199" s="9">
        <v>264562.53999999998</v>
      </c>
      <c r="Z199" s="9">
        <v>359899.95</v>
      </c>
      <c r="AA199" s="9">
        <f t="shared" si="20"/>
        <v>516123.79000000004</v>
      </c>
      <c r="AB199" s="7" t="e">
        <f>W199-#REF!</f>
        <v>#REF!</v>
      </c>
      <c r="AC199" s="12">
        <v>656</v>
      </c>
      <c r="AD199" s="12">
        <v>1</v>
      </c>
      <c r="AE199" s="12">
        <f t="shared" si="21"/>
        <v>0</v>
      </c>
      <c r="AF199" s="12">
        <f t="shared" si="22"/>
        <v>656</v>
      </c>
      <c r="AG199" s="13" t="s">
        <v>750</v>
      </c>
      <c r="AH199" s="13">
        <v>1778542.0299999998</v>
      </c>
      <c r="AI199" s="13">
        <v>672222.84999999986</v>
      </c>
      <c r="AJ199" s="13">
        <f t="shared" si="23"/>
        <v>1106319.18</v>
      </c>
    </row>
    <row r="200" spans="1:36" s="1" customFormat="1" x14ac:dyDescent="0.25">
      <c r="A200">
        <v>698</v>
      </c>
      <c r="B200">
        <v>1</v>
      </c>
      <c r="C200">
        <f t="shared" si="25"/>
        <v>1</v>
      </c>
      <c r="D200" s="1" t="s">
        <v>223</v>
      </c>
      <c r="E200" s="7">
        <v>32238.949999999997</v>
      </c>
      <c r="F200" s="7">
        <v>5192.8100000000013</v>
      </c>
      <c r="G200" s="7">
        <v>2985.09</v>
      </c>
      <c r="H200" s="7">
        <v>5201.5599999999977</v>
      </c>
      <c r="I200" s="7">
        <v>6567.1999999999825</v>
      </c>
      <c r="J200" s="7">
        <v>2273.3300000000017</v>
      </c>
      <c r="K200" s="7">
        <v>5970.1700000000128</v>
      </c>
      <c r="L200" s="7">
        <v>6137.2299999999959</v>
      </c>
      <c r="M200" s="7">
        <v>4776.1299999999901</v>
      </c>
      <c r="N200" s="7">
        <v>4843.9599999999919</v>
      </c>
      <c r="O200" s="7">
        <v>5981.9500000000116</v>
      </c>
      <c r="P200" s="7">
        <v>6732.0400000000081</v>
      </c>
      <c r="Q200" s="7">
        <v>4776.1499999999942</v>
      </c>
      <c r="R200" s="7">
        <v>8095.6699999999837</v>
      </c>
      <c r="S200" s="7">
        <v>5970.1800000000221</v>
      </c>
      <c r="T200" s="7">
        <v>6345.4899999999907</v>
      </c>
      <c r="U200" s="7">
        <v>5970.1800000000076</v>
      </c>
      <c r="V200" s="7">
        <v>33.620000000000118</v>
      </c>
      <c r="W200" s="9">
        <f t="shared" ref="W200:W263" si="26">SUM(E200:V200)</f>
        <v>120091.70999999998</v>
      </c>
      <c r="X200" s="9">
        <v>170355.84</v>
      </c>
      <c r="Y200" s="9">
        <v>73158.17</v>
      </c>
      <c r="Z200" s="9">
        <v>97197.67</v>
      </c>
      <c r="AA200" s="9">
        <f t="shared" si="20"/>
        <v>217289.37999999998</v>
      </c>
      <c r="AB200" s="7" t="e">
        <f>W200-#REF!</f>
        <v>#REF!</v>
      </c>
      <c r="AC200" s="12">
        <v>659</v>
      </c>
      <c r="AD200" s="12">
        <v>1</v>
      </c>
      <c r="AE200" s="12">
        <f t="shared" si="21"/>
        <v>0</v>
      </c>
      <c r="AF200" s="12">
        <f t="shared" si="22"/>
        <v>659</v>
      </c>
      <c r="AG200" s="13" t="s">
        <v>751</v>
      </c>
      <c r="AH200" s="13">
        <v>4081548.35</v>
      </c>
      <c r="AI200" s="13">
        <v>1743516.17</v>
      </c>
      <c r="AJ200" s="13">
        <f t="shared" si="23"/>
        <v>2338032.1800000002</v>
      </c>
    </row>
    <row r="201" spans="1:36" s="1" customFormat="1" x14ac:dyDescent="0.25">
      <c r="A201">
        <v>700</v>
      </c>
      <c r="B201">
        <v>1</v>
      </c>
      <c r="C201">
        <f t="shared" si="25"/>
        <v>1</v>
      </c>
      <c r="D201" s="1" t="s">
        <v>224</v>
      </c>
      <c r="E201" s="7">
        <v>149913.52999999997</v>
      </c>
      <c r="F201" s="7">
        <v>19172.78</v>
      </c>
      <c r="G201" s="7">
        <v>13424.26</v>
      </c>
      <c r="H201" s="7">
        <v>22818.839999999967</v>
      </c>
      <c r="I201" s="7">
        <v>30452.810000000056</v>
      </c>
      <c r="J201" s="7">
        <v>14530.260000000009</v>
      </c>
      <c r="K201" s="7">
        <v>27684.380000000005</v>
      </c>
      <c r="L201" s="7">
        <v>24392.189999999944</v>
      </c>
      <c r="M201" s="7">
        <v>22147.489999999991</v>
      </c>
      <c r="N201" s="7">
        <v>25813.809999999939</v>
      </c>
      <c r="O201" s="7">
        <v>27746.939999999944</v>
      </c>
      <c r="P201" s="7">
        <v>32532.880000000005</v>
      </c>
      <c r="Q201" s="7">
        <v>22147.510000000009</v>
      </c>
      <c r="R201" s="7">
        <v>37970.650000000023</v>
      </c>
      <c r="S201" s="7">
        <v>27684.380000000005</v>
      </c>
      <c r="T201" s="7">
        <v>28651.380000000005</v>
      </c>
      <c r="U201" s="7">
        <v>27684.380000000005</v>
      </c>
      <c r="V201" s="7">
        <v>58.989999999999782</v>
      </c>
      <c r="W201" s="9">
        <f t="shared" si="26"/>
        <v>554827.45999999985</v>
      </c>
      <c r="X201" s="9">
        <v>1094389.1000000001</v>
      </c>
      <c r="Y201" s="9">
        <v>476516.92</v>
      </c>
      <c r="Z201" s="9">
        <v>617872.18000000017</v>
      </c>
      <c r="AA201" s="9">
        <f t="shared" ref="AA201:AA264" si="27">W201+Z201</f>
        <v>1172699.6400000001</v>
      </c>
      <c r="AB201" s="7" t="e">
        <f>W201-#REF!</f>
        <v>#REF!</v>
      </c>
      <c r="AC201" s="12">
        <v>671</v>
      </c>
      <c r="AD201" s="12">
        <v>1</v>
      </c>
      <c r="AE201" s="12">
        <f t="shared" ref="AE201:AE264" si="28">SUMIF($AM$8:$AM$15,AC201,$AL$8:$AL$15)</f>
        <v>0</v>
      </c>
      <c r="AF201" s="12">
        <f t="shared" ref="AF201:AF264" si="29">IF(AE201=0,AC201,AE201)</f>
        <v>671</v>
      </c>
      <c r="AG201" s="13" t="s">
        <v>752</v>
      </c>
      <c r="AH201" s="13">
        <v>211889.74</v>
      </c>
      <c r="AI201" s="13">
        <v>66663.260000000009</v>
      </c>
      <c r="AJ201" s="13">
        <f t="shared" ref="AJ201:AJ264" si="30">AH201-AI201</f>
        <v>145226.47999999998</v>
      </c>
    </row>
    <row r="202" spans="1:36" s="1" customFormat="1" x14ac:dyDescent="0.25">
      <c r="A202">
        <v>701</v>
      </c>
      <c r="B202">
        <v>1</v>
      </c>
      <c r="C202">
        <f t="shared" si="25"/>
        <v>1</v>
      </c>
      <c r="D202" s="1" t="s">
        <v>225</v>
      </c>
      <c r="E202" s="7">
        <v>198604.92000000004</v>
      </c>
      <c r="F202" s="7">
        <v>36964.350000000006</v>
      </c>
      <c r="G202" s="7">
        <v>10969.329999999994</v>
      </c>
      <c r="H202" s="7">
        <v>32329.760000000009</v>
      </c>
      <c r="I202" s="7">
        <v>39073.170000000158</v>
      </c>
      <c r="J202" s="7">
        <v>8604.6699999999255</v>
      </c>
      <c r="K202" s="7">
        <v>35521.04999999993</v>
      </c>
      <c r="L202" s="7">
        <v>42130.160000000033</v>
      </c>
      <c r="M202" s="7">
        <v>28416.850000000006</v>
      </c>
      <c r="N202" s="7">
        <v>24093.310000000056</v>
      </c>
      <c r="O202" s="7">
        <v>36450.409999999916</v>
      </c>
      <c r="P202" s="7">
        <v>38419.840000000084</v>
      </c>
      <c r="Q202" s="7">
        <v>28416.850000000093</v>
      </c>
      <c r="R202" s="7">
        <v>44797.949999999953</v>
      </c>
      <c r="S202" s="7">
        <v>35521.059999999939</v>
      </c>
      <c r="T202" s="7">
        <v>41549.670000000042</v>
      </c>
      <c r="U202" s="7">
        <v>35521.059999999939</v>
      </c>
      <c r="V202" s="7">
        <v>548.53999999999905</v>
      </c>
      <c r="W202" s="9">
        <f t="shared" si="26"/>
        <v>717932.95000000019</v>
      </c>
      <c r="X202" s="9">
        <v>571042.86</v>
      </c>
      <c r="Y202" s="9">
        <v>214192.88</v>
      </c>
      <c r="Z202" s="9">
        <v>356849.98</v>
      </c>
      <c r="AA202" s="9">
        <f t="shared" si="27"/>
        <v>1074782.9300000002</v>
      </c>
      <c r="AB202" s="7" t="e">
        <f>W202-#REF!</f>
        <v>#REF!</v>
      </c>
      <c r="AC202" s="12">
        <v>676</v>
      </c>
      <c r="AD202" s="12">
        <v>1</v>
      </c>
      <c r="AE202" s="12">
        <f t="shared" si="28"/>
        <v>0</v>
      </c>
      <c r="AF202" s="12">
        <f t="shared" si="29"/>
        <v>676</v>
      </c>
      <c r="AG202" s="13" t="s">
        <v>753</v>
      </c>
      <c r="AH202" s="13">
        <v>65220.100000000006</v>
      </c>
      <c r="AI202" s="13">
        <v>24984.31</v>
      </c>
      <c r="AJ202" s="13">
        <f t="shared" si="30"/>
        <v>40235.790000000008</v>
      </c>
    </row>
    <row r="203" spans="1:36" s="1" customFormat="1" x14ac:dyDescent="0.25">
      <c r="A203">
        <v>704</v>
      </c>
      <c r="B203">
        <v>1</v>
      </c>
      <c r="C203">
        <f t="shared" si="25"/>
        <v>1</v>
      </c>
      <c r="D203" s="1" t="s">
        <v>226</v>
      </c>
      <c r="E203" s="7">
        <v>130303.64000000001</v>
      </c>
      <c r="F203" s="7">
        <v>19747.159999999996</v>
      </c>
      <c r="G203" s="7">
        <v>-574.6400000000001</v>
      </c>
      <c r="H203" s="7">
        <v>32619.119999999995</v>
      </c>
      <c r="I203" s="7">
        <v>26426.280000000028</v>
      </c>
      <c r="J203" s="7">
        <v>10083.979999999981</v>
      </c>
      <c r="K203" s="7">
        <v>24023.890000000014</v>
      </c>
      <c r="L203" s="7">
        <v>23890.489999999991</v>
      </c>
      <c r="M203" s="7">
        <v>19219.109999999986</v>
      </c>
      <c r="N203" s="7">
        <v>20131.090000000084</v>
      </c>
      <c r="O203" s="7">
        <v>24192.800000000047</v>
      </c>
      <c r="P203" s="7">
        <v>27396.099999999977</v>
      </c>
      <c r="Q203" s="7">
        <v>19219.109999999986</v>
      </c>
      <c r="R203" s="7">
        <v>32560.429999999935</v>
      </c>
      <c r="S203" s="7">
        <v>24023.900000000023</v>
      </c>
      <c r="T203" s="7">
        <v>25470.609999999986</v>
      </c>
      <c r="U203" s="7">
        <v>24023.890000000014</v>
      </c>
      <c r="V203" s="7">
        <v>131.98999999999978</v>
      </c>
      <c r="W203" s="9">
        <f t="shared" si="26"/>
        <v>482888.95000000007</v>
      </c>
      <c r="X203" s="9">
        <v>781775.75</v>
      </c>
      <c r="Y203" s="9">
        <v>343251.51</v>
      </c>
      <c r="Z203" s="9">
        <v>438524.24</v>
      </c>
      <c r="AA203" s="9">
        <f t="shared" si="27"/>
        <v>921413.19000000006</v>
      </c>
      <c r="AB203" s="7" t="e">
        <f>W203-#REF!</f>
        <v>#REF!</v>
      </c>
      <c r="AC203" s="12">
        <v>682</v>
      </c>
      <c r="AD203" s="12">
        <v>1</v>
      </c>
      <c r="AE203" s="12">
        <f t="shared" si="28"/>
        <v>0</v>
      </c>
      <c r="AF203" s="12">
        <f t="shared" si="29"/>
        <v>682</v>
      </c>
      <c r="AG203" s="13" t="s">
        <v>754</v>
      </c>
      <c r="AH203" s="13">
        <v>368809.16</v>
      </c>
      <c r="AI203" s="13">
        <v>151397.91999999998</v>
      </c>
      <c r="AJ203" s="13">
        <f t="shared" si="30"/>
        <v>217411.24</v>
      </c>
    </row>
    <row r="204" spans="1:36" s="1" customFormat="1" x14ac:dyDescent="0.25">
      <c r="A204">
        <v>706</v>
      </c>
      <c r="B204">
        <v>1</v>
      </c>
      <c r="C204">
        <f t="shared" si="25"/>
        <v>1</v>
      </c>
      <c r="D204" s="1" t="s">
        <v>227</v>
      </c>
      <c r="E204" s="7">
        <v>146631.88999999996</v>
      </c>
      <c r="F204" s="7">
        <v>25591.070000000007</v>
      </c>
      <c r="G204" s="7">
        <v>9638.7199999999993</v>
      </c>
      <c r="H204" s="7">
        <v>23614.020000000019</v>
      </c>
      <c r="I204" s="7">
        <v>29135.190000000061</v>
      </c>
      <c r="J204" s="7">
        <v>8017.0300000000279</v>
      </c>
      <c r="K204" s="7">
        <v>26486.539999999921</v>
      </c>
      <c r="L204" s="7">
        <v>29687.329999999958</v>
      </c>
      <c r="M204" s="7">
        <v>21189.24000000002</v>
      </c>
      <c r="N204" s="7">
        <v>19404.790000000037</v>
      </c>
      <c r="O204" s="7">
        <v>26889.25</v>
      </c>
      <c r="P204" s="7">
        <v>29177.779999999912</v>
      </c>
      <c r="Q204" s="7">
        <v>21189.219999999972</v>
      </c>
      <c r="R204" s="7">
        <v>36969.860000000102</v>
      </c>
      <c r="S204" s="7">
        <v>26486.529999999912</v>
      </c>
      <c r="T204" s="7">
        <v>27277.700000000012</v>
      </c>
      <c r="U204" s="7">
        <v>26486.539999999979</v>
      </c>
      <c r="V204" s="7">
        <v>339.93000000000029</v>
      </c>
      <c r="W204" s="9">
        <f t="shared" si="26"/>
        <v>534212.62999999989</v>
      </c>
      <c r="X204" s="9">
        <v>406134.87000000005</v>
      </c>
      <c r="Y204" s="9">
        <v>158314.59</v>
      </c>
      <c r="Z204" s="9">
        <v>247820.28000000006</v>
      </c>
      <c r="AA204" s="9">
        <f t="shared" si="27"/>
        <v>782032.90999999992</v>
      </c>
      <c r="AB204" s="7" t="e">
        <f>W204-#REF!</f>
        <v>#REF!</v>
      </c>
      <c r="AC204" s="12">
        <v>690</v>
      </c>
      <c r="AD204" s="12">
        <v>1</v>
      </c>
      <c r="AE204" s="12">
        <f t="shared" si="28"/>
        <v>0</v>
      </c>
      <c r="AF204" s="12">
        <f t="shared" si="29"/>
        <v>690</v>
      </c>
      <c r="AG204" s="13" t="s">
        <v>755</v>
      </c>
      <c r="AH204" s="13">
        <v>377374.89999999997</v>
      </c>
      <c r="AI204" s="13">
        <v>159963.97999999998</v>
      </c>
      <c r="AJ204" s="13">
        <f t="shared" si="30"/>
        <v>217410.91999999998</v>
      </c>
    </row>
    <row r="205" spans="1:36" s="1" customFormat="1" x14ac:dyDescent="0.25">
      <c r="A205">
        <v>707</v>
      </c>
      <c r="B205">
        <v>1</v>
      </c>
      <c r="C205">
        <f t="shared" si="25"/>
        <v>1</v>
      </c>
      <c r="D205" s="1" t="s">
        <v>228</v>
      </c>
      <c r="E205" s="7">
        <v>12808.980000000003</v>
      </c>
      <c r="F205" s="7">
        <v>2997.0899999999965</v>
      </c>
      <c r="G205" s="7">
        <v>1186.010000000002</v>
      </c>
      <c r="H205" s="7">
        <v>2291.1000000000022</v>
      </c>
      <c r="I205" s="7">
        <v>2609.2300000000032</v>
      </c>
      <c r="J205" s="7">
        <v>145.36999999999534</v>
      </c>
      <c r="K205" s="7">
        <v>2372.0400000000009</v>
      </c>
      <c r="L205" s="7">
        <v>1989.5699999999997</v>
      </c>
      <c r="M205" s="7">
        <v>1897.6300000000047</v>
      </c>
      <c r="N205" s="7">
        <v>2509.9199999999983</v>
      </c>
      <c r="O205" s="7">
        <v>2372.0299999999988</v>
      </c>
      <c r="P205" s="7">
        <v>2423.5599999999977</v>
      </c>
      <c r="Q205" s="7">
        <v>1897.6200000000026</v>
      </c>
      <c r="R205" s="7">
        <v>3376.0099999999948</v>
      </c>
      <c r="S205" s="7">
        <v>2372.0299999999988</v>
      </c>
      <c r="T205" s="7">
        <v>2427.1900000000023</v>
      </c>
      <c r="U205" s="7">
        <v>2372.0299999999988</v>
      </c>
      <c r="V205" s="7">
        <v>55.160000000000082</v>
      </c>
      <c r="W205" s="9">
        <f t="shared" si="26"/>
        <v>48102.57</v>
      </c>
      <c r="X205" s="9">
        <v>19309.07</v>
      </c>
      <c r="Y205" s="9">
        <v>9157.4499999999989</v>
      </c>
      <c r="Z205" s="9">
        <v>10151.620000000001</v>
      </c>
      <c r="AA205" s="9">
        <f t="shared" si="27"/>
        <v>58254.19</v>
      </c>
      <c r="AB205" s="7" t="e">
        <f>W205-#REF!</f>
        <v>#REF!</v>
      </c>
      <c r="AC205" s="12">
        <v>695</v>
      </c>
      <c r="AD205" s="12">
        <v>1</v>
      </c>
      <c r="AE205" s="12">
        <f t="shared" si="28"/>
        <v>0</v>
      </c>
      <c r="AF205" s="12">
        <f t="shared" si="29"/>
        <v>695</v>
      </c>
      <c r="AG205" s="13" t="s">
        <v>756</v>
      </c>
      <c r="AH205" s="13">
        <v>133497.41</v>
      </c>
      <c r="AI205" s="13">
        <v>48924.78</v>
      </c>
      <c r="AJ205" s="13">
        <f t="shared" si="30"/>
        <v>84572.63</v>
      </c>
    </row>
    <row r="206" spans="1:36" s="1" customFormat="1" x14ac:dyDescent="0.25">
      <c r="A206">
        <v>709</v>
      </c>
      <c r="B206">
        <v>1</v>
      </c>
      <c r="C206">
        <f t="shared" si="25"/>
        <v>1</v>
      </c>
      <c r="D206" s="1" t="s">
        <v>229</v>
      </c>
      <c r="E206" s="7">
        <v>761845.67000000016</v>
      </c>
      <c r="F206" s="7">
        <v>184664.2</v>
      </c>
      <c r="G206" s="7">
        <v>-24030.400000000009</v>
      </c>
      <c r="H206" s="7">
        <v>308311.79000000004</v>
      </c>
      <c r="I206" s="7">
        <v>150295.70000000019</v>
      </c>
      <c r="J206" s="7">
        <v>5250.160000000149</v>
      </c>
      <c r="K206" s="7">
        <v>136632.45000000019</v>
      </c>
      <c r="L206" s="7">
        <v>227931.75</v>
      </c>
      <c r="M206" s="7">
        <v>109305.95999999996</v>
      </c>
      <c r="N206" s="7">
        <v>69373.639999999665</v>
      </c>
      <c r="O206" s="7">
        <v>147174.15000000037</v>
      </c>
      <c r="P206" s="7">
        <v>15972.730000000447</v>
      </c>
      <c r="Q206" s="7">
        <v>109305.95999999996</v>
      </c>
      <c r="R206" s="7">
        <v>143441.01999999955</v>
      </c>
      <c r="S206" s="7">
        <v>136632.45000000019</v>
      </c>
      <c r="T206" s="7">
        <v>197250.6100000001</v>
      </c>
      <c r="U206" s="7">
        <v>136632.44999999995</v>
      </c>
      <c r="V206" s="7">
        <v>-123353.35</v>
      </c>
      <c r="W206" s="9">
        <f t="shared" si="26"/>
        <v>2692636.9400000009</v>
      </c>
      <c r="X206" s="9">
        <v>5072811.53</v>
      </c>
      <c r="Y206" s="9">
        <v>2115621.37</v>
      </c>
      <c r="Z206" s="9">
        <v>2957190.16</v>
      </c>
      <c r="AA206" s="9">
        <f t="shared" si="27"/>
        <v>5649827.1000000015</v>
      </c>
      <c r="AB206" s="7" t="e">
        <f>W206-#REF!</f>
        <v>#REF!</v>
      </c>
      <c r="AC206" s="12">
        <v>696</v>
      </c>
      <c r="AD206" s="12">
        <v>1</v>
      </c>
      <c r="AE206" s="12">
        <f t="shared" si="28"/>
        <v>0</v>
      </c>
      <c r="AF206" s="12">
        <f t="shared" si="29"/>
        <v>696</v>
      </c>
      <c r="AG206" s="13" t="s">
        <v>757</v>
      </c>
      <c r="AH206" s="13">
        <v>624462.49</v>
      </c>
      <c r="AI206" s="13">
        <v>264562.53999999998</v>
      </c>
      <c r="AJ206" s="13">
        <f t="shared" si="30"/>
        <v>359899.95</v>
      </c>
    </row>
    <row r="207" spans="1:36" s="1" customFormat="1" x14ac:dyDescent="0.25">
      <c r="A207">
        <v>712</v>
      </c>
      <c r="B207">
        <v>1</v>
      </c>
      <c r="C207">
        <f t="shared" si="25"/>
        <v>1</v>
      </c>
      <c r="D207" s="1" t="s">
        <v>230</v>
      </c>
      <c r="E207" s="7">
        <v>48842.110000000015</v>
      </c>
      <c r="F207" s="7">
        <v>7801.5299999999988</v>
      </c>
      <c r="G207" s="7">
        <v>4522.4199999999983</v>
      </c>
      <c r="H207" s="7">
        <v>7829.5199999999895</v>
      </c>
      <c r="I207" s="7">
        <v>9949.3099999999977</v>
      </c>
      <c r="J207" s="7">
        <v>3498.7399999999907</v>
      </c>
      <c r="K207" s="7">
        <v>9044.8299999999581</v>
      </c>
      <c r="L207" s="7">
        <v>9316.0899999999965</v>
      </c>
      <c r="M207" s="7">
        <v>0</v>
      </c>
      <c r="N207" s="7">
        <v>14547.199999999997</v>
      </c>
      <c r="O207" s="7">
        <v>9044.8399999999674</v>
      </c>
      <c r="P207" s="7">
        <v>10215.849999999977</v>
      </c>
      <c r="Q207" s="7">
        <v>7235.8600000000151</v>
      </c>
      <c r="R207" s="7">
        <v>12194.429999999993</v>
      </c>
      <c r="S207" s="7">
        <v>9044.8399999999674</v>
      </c>
      <c r="T207" s="7">
        <v>9679.5899999999965</v>
      </c>
      <c r="U207" s="7">
        <v>9044.8299999999872</v>
      </c>
      <c r="V207" s="7">
        <v>83.2199999999998</v>
      </c>
      <c r="W207" s="9">
        <f t="shared" si="26"/>
        <v>181895.20999999985</v>
      </c>
      <c r="X207" s="9">
        <v>88839.5</v>
      </c>
      <c r="Y207" s="9">
        <v>28230.140000000003</v>
      </c>
      <c r="Z207" s="9">
        <v>60609.36</v>
      </c>
      <c r="AA207" s="9">
        <f t="shared" si="27"/>
        <v>242504.56999999983</v>
      </c>
      <c r="AB207" s="7" t="e">
        <f>W207-#REF!</f>
        <v>#REF!</v>
      </c>
      <c r="AC207" s="12">
        <v>698</v>
      </c>
      <c r="AD207" s="12">
        <v>1</v>
      </c>
      <c r="AE207" s="12">
        <f t="shared" si="28"/>
        <v>0</v>
      </c>
      <c r="AF207" s="12">
        <f t="shared" si="29"/>
        <v>698</v>
      </c>
      <c r="AG207" s="13" t="s">
        <v>758</v>
      </c>
      <c r="AH207" s="13">
        <v>170355.84</v>
      </c>
      <c r="AI207" s="13">
        <v>73158.17</v>
      </c>
      <c r="AJ207" s="13">
        <f t="shared" si="30"/>
        <v>97197.67</v>
      </c>
    </row>
    <row r="208" spans="1:36" s="1" customFormat="1" x14ac:dyDescent="0.25">
      <c r="A208">
        <v>716</v>
      </c>
      <c r="B208">
        <v>1</v>
      </c>
      <c r="C208">
        <f t="shared" si="25"/>
        <v>1</v>
      </c>
      <c r="D208" s="1" t="s">
        <v>231</v>
      </c>
      <c r="E208" s="7">
        <v>122195.01000000001</v>
      </c>
      <c r="F208" s="7">
        <v>30216.719999999987</v>
      </c>
      <c r="G208" s="7">
        <v>8232.1900000000023</v>
      </c>
      <c r="H208" s="7">
        <v>21923.280000000028</v>
      </c>
      <c r="I208" s="7">
        <v>24316.930000000051</v>
      </c>
      <c r="J208" s="7">
        <v>-500.55999999999767</v>
      </c>
      <c r="K208" s="7">
        <v>22106.309999999939</v>
      </c>
      <c r="L208" s="7">
        <v>21439.409999999974</v>
      </c>
      <c r="M208" s="7">
        <v>17685.050000000047</v>
      </c>
      <c r="N208" s="7">
        <v>20827.520000000019</v>
      </c>
      <c r="O208" s="7">
        <v>22689.440000000061</v>
      </c>
      <c r="P208" s="7">
        <v>21972.469999999972</v>
      </c>
      <c r="Q208" s="7">
        <v>17685.049999999988</v>
      </c>
      <c r="R208" s="7">
        <v>31542.969999999972</v>
      </c>
      <c r="S208" s="7">
        <v>22106.309999999939</v>
      </c>
      <c r="T208" s="7">
        <v>22700.440000000002</v>
      </c>
      <c r="U208" s="7">
        <v>22106.310000000056</v>
      </c>
      <c r="V208" s="7">
        <v>-3268.2499999999982</v>
      </c>
      <c r="W208" s="9">
        <f t="shared" si="26"/>
        <v>445976.60000000003</v>
      </c>
      <c r="X208" s="9">
        <v>713353.59</v>
      </c>
      <c r="Y208" s="9">
        <v>324501</v>
      </c>
      <c r="Z208" s="9">
        <v>388852.58999999997</v>
      </c>
      <c r="AA208" s="9">
        <f t="shared" si="27"/>
        <v>834829.19</v>
      </c>
      <c r="AB208" s="7" t="e">
        <f>W208-#REF!</f>
        <v>#REF!</v>
      </c>
      <c r="AC208" s="12">
        <v>700</v>
      </c>
      <c r="AD208" s="12">
        <v>1</v>
      </c>
      <c r="AE208" s="12">
        <f t="shared" si="28"/>
        <v>0</v>
      </c>
      <c r="AF208" s="12">
        <f t="shared" si="29"/>
        <v>700</v>
      </c>
      <c r="AG208" s="13" t="s">
        <v>759</v>
      </c>
      <c r="AH208" s="13">
        <v>1094389.1000000001</v>
      </c>
      <c r="AI208" s="13">
        <v>476516.92</v>
      </c>
      <c r="AJ208" s="13">
        <f t="shared" si="30"/>
        <v>617872.18000000017</v>
      </c>
    </row>
    <row r="209" spans="1:36" s="1" customFormat="1" x14ac:dyDescent="0.25">
      <c r="A209">
        <v>717</v>
      </c>
      <c r="B209">
        <v>1</v>
      </c>
      <c r="C209">
        <f t="shared" ref="C209:C237" si="31">B209</f>
        <v>1</v>
      </c>
      <c r="D209" s="1" t="s">
        <v>232</v>
      </c>
      <c r="E209" s="7">
        <v>143362.77000000002</v>
      </c>
      <c r="F209" s="7">
        <v>1049.8899999999999</v>
      </c>
      <c r="G209" s="7">
        <v>-14209.279999999999</v>
      </c>
      <c r="H209" s="7">
        <v>45705.380000000005</v>
      </c>
      <c r="I209" s="7">
        <v>26309.050000000047</v>
      </c>
      <c r="J209" s="7">
        <v>13497.959999999963</v>
      </c>
      <c r="K209" s="7">
        <v>23917.310000000056</v>
      </c>
      <c r="L209" s="7">
        <v>20053.729999999981</v>
      </c>
      <c r="M209" s="7">
        <v>19133.850000000093</v>
      </c>
      <c r="N209" s="7">
        <v>23150.760000000009</v>
      </c>
      <c r="O209" s="7">
        <v>24484.409999999916</v>
      </c>
      <c r="P209" s="7">
        <v>28418.689999999944</v>
      </c>
      <c r="Q209" s="7">
        <v>19133.839999999967</v>
      </c>
      <c r="R209" s="7">
        <v>33484.670000000042</v>
      </c>
      <c r="S209" s="7">
        <v>23917.320000000065</v>
      </c>
      <c r="T209" s="7">
        <v>23990.450000000012</v>
      </c>
      <c r="U209" s="7">
        <v>23917.319999999978</v>
      </c>
      <c r="V209" s="7">
        <v>-1181.75</v>
      </c>
      <c r="W209" s="9">
        <f t="shared" si="26"/>
        <v>478136.37000000011</v>
      </c>
      <c r="X209" s="9">
        <v>857904.25</v>
      </c>
      <c r="Y209" s="9">
        <v>378886.24</v>
      </c>
      <c r="Z209" s="9">
        <v>479018.01</v>
      </c>
      <c r="AA209" s="9">
        <f t="shared" si="27"/>
        <v>957154.38000000012</v>
      </c>
      <c r="AB209" s="7" t="e">
        <f>W209-#REF!</f>
        <v>#REF!</v>
      </c>
      <c r="AC209" s="12">
        <v>701</v>
      </c>
      <c r="AD209" s="12">
        <v>1</v>
      </c>
      <c r="AE209" s="12">
        <f t="shared" si="28"/>
        <v>0</v>
      </c>
      <c r="AF209" s="12">
        <f t="shared" si="29"/>
        <v>701</v>
      </c>
      <c r="AG209" s="13" t="s">
        <v>760</v>
      </c>
      <c r="AH209" s="13">
        <v>571042.86</v>
      </c>
      <c r="AI209" s="13">
        <v>214192.88</v>
      </c>
      <c r="AJ209" s="13">
        <f t="shared" si="30"/>
        <v>356849.98</v>
      </c>
    </row>
    <row r="210" spans="1:36" s="1" customFormat="1" x14ac:dyDescent="0.25">
      <c r="A210">
        <v>719</v>
      </c>
      <c r="B210">
        <v>1</v>
      </c>
      <c r="C210">
        <f t="shared" si="31"/>
        <v>1</v>
      </c>
      <c r="D210" s="1" t="s">
        <v>233</v>
      </c>
      <c r="E210" s="7">
        <v>528330.46</v>
      </c>
      <c r="F210" s="7">
        <v>16897.089999999997</v>
      </c>
      <c r="G210" s="7">
        <v>-25545.360000000001</v>
      </c>
      <c r="H210" s="7">
        <v>4224.2700000000004</v>
      </c>
      <c r="I210" s="7">
        <v>279325.06999999983</v>
      </c>
      <c r="J210" s="7">
        <v>42146</v>
      </c>
      <c r="K210" s="7">
        <v>93108.350000000093</v>
      </c>
      <c r="L210" s="7">
        <v>75884.740000000224</v>
      </c>
      <c r="M210" s="7">
        <v>74486.680000000168</v>
      </c>
      <c r="N210" s="7">
        <v>94177.740000000224</v>
      </c>
      <c r="O210" s="7">
        <v>96335.399999999907</v>
      </c>
      <c r="P210" s="7">
        <v>107189.91999999993</v>
      </c>
      <c r="Q210" s="7">
        <v>74486.689999999944</v>
      </c>
      <c r="R210" s="7">
        <v>130913.15000000037</v>
      </c>
      <c r="S210" s="7">
        <v>279325.06000000006</v>
      </c>
      <c r="T210" s="7">
        <v>622.92000000000007</v>
      </c>
      <c r="U210" s="7">
        <v>0</v>
      </c>
      <c r="V210" s="7">
        <v>-1189.42</v>
      </c>
      <c r="W210" s="9">
        <f t="shared" si="26"/>
        <v>1870718.7600000007</v>
      </c>
      <c r="X210" s="9">
        <v>4890571.3199999994</v>
      </c>
      <c r="Y210" s="9">
        <v>1855823.21</v>
      </c>
      <c r="Z210" s="9">
        <v>3034748.1099999994</v>
      </c>
      <c r="AA210" s="9">
        <f t="shared" si="27"/>
        <v>4905466.87</v>
      </c>
      <c r="AB210" s="7" t="e">
        <f>W210-#REF!</f>
        <v>#REF!</v>
      </c>
      <c r="AC210" s="12">
        <v>704</v>
      </c>
      <c r="AD210" s="12">
        <v>1</v>
      </c>
      <c r="AE210" s="12">
        <f t="shared" si="28"/>
        <v>0</v>
      </c>
      <c r="AF210" s="12">
        <f t="shared" si="29"/>
        <v>704</v>
      </c>
      <c r="AG210" s="13" t="s">
        <v>761</v>
      </c>
      <c r="AH210" s="13">
        <v>781775.75</v>
      </c>
      <c r="AI210" s="13">
        <v>343251.51</v>
      </c>
      <c r="AJ210" s="13">
        <f t="shared" si="30"/>
        <v>438524.24</v>
      </c>
    </row>
    <row r="211" spans="1:36" s="1" customFormat="1" x14ac:dyDescent="0.25">
      <c r="A211">
        <v>720</v>
      </c>
      <c r="B211">
        <v>1</v>
      </c>
      <c r="C211">
        <f t="shared" si="31"/>
        <v>1</v>
      </c>
      <c r="D211" s="1" t="s">
        <v>234</v>
      </c>
      <c r="E211" s="7">
        <v>793755.66999999993</v>
      </c>
      <c r="F211" s="7">
        <v>30971.019999999997</v>
      </c>
      <c r="G211" s="7">
        <v>-211833.2</v>
      </c>
      <c r="H211" s="7">
        <v>212493.24999999988</v>
      </c>
      <c r="I211" s="7">
        <v>118539.76000000024</v>
      </c>
      <c r="J211" s="7">
        <v>39512.209999999963</v>
      </c>
      <c r="K211" s="7">
        <v>107763.40999999968</v>
      </c>
      <c r="L211" s="7">
        <v>88430.799999999814</v>
      </c>
      <c r="M211" s="7">
        <v>86210.729999999981</v>
      </c>
      <c r="N211" s="7">
        <v>110066</v>
      </c>
      <c r="O211" s="7">
        <v>108173.95000000019</v>
      </c>
      <c r="P211" s="7">
        <v>120994.44999999972</v>
      </c>
      <c r="Q211" s="7">
        <v>86210.729999999981</v>
      </c>
      <c r="R211" s="7">
        <v>151951.24000000022</v>
      </c>
      <c r="S211" s="7">
        <v>107763.41999999993</v>
      </c>
      <c r="T211" s="7">
        <v>108851.84000000008</v>
      </c>
      <c r="U211" s="7">
        <v>107763.41999999993</v>
      </c>
      <c r="V211" s="7">
        <v>-3198.5499999999993</v>
      </c>
      <c r="W211" s="9">
        <f t="shared" si="26"/>
        <v>2164420.1499999994</v>
      </c>
      <c r="X211" s="9">
        <v>4029829.71</v>
      </c>
      <c r="Y211" s="9">
        <v>1915412.89</v>
      </c>
      <c r="Z211" s="9">
        <v>2114416.8200000003</v>
      </c>
      <c r="AA211" s="9">
        <f t="shared" si="27"/>
        <v>4278836.97</v>
      </c>
      <c r="AB211" s="7" t="e">
        <f>W211-#REF!</f>
        <v>#REF!</v>
      </c>
      <c r="AC211" s="12">
        <v>706</v>
      </c>
      <c r="AD211" s="12">
        <v>1</v>
      </c>
      <c r="AE211" s="12">
        <f t="shared" si="28"/>
        <v>0</v>
      </c>
      <c r="AF211" s="12">
        <f t="shared" si="29"/>
        <v>706</v>
      </c>
      <c r="AG211" s="13" t="s">
        <v>762</v>
      </c>
      <c r="AH211" s="13">
        <v>406134.87000000005</v>
      </c>
      <c r="AI211" s="13">
        <v>158314.59</v>
      </c>
      <c r="AJ211" s="13">
        <f t="shared" si="30"/>
        <v>247820.28000000006</v>
      </c>
    </row>
    <row r="212" spans="1:36" s="1" customFormat="1" x14ac:dyDescent="0.25">
      <c r="A212">
        <v>721</v>
      </c>
      <c r="B212">
        <v>1</v>
      </c>
      <c r="C212">
        <f t="shared" si="31"/>
        <v>1</v>
      </c>
      <c r="D212" s="1" t="s">
        <v>235</v>
      </c>
      <c r="E212" s="7">
        <v>316702.42999999993</v>
      </c>
      <c r="F212" s="7">
        <v>23993.82</v>
      </c>
      <c r="G212" s="7">
        <v>-30926.079999999998</v>
      </c>
      <c r="H212" s="7">
        <v>106549.39999999997</v>
      </c>
      <c r="I212" s="7">
        <v>58213.710000000196</v>
      </c>
      <c r="J212" s="7">
        <v>12271.960000000079</v>
      </c>
      <c r="K212" s="7">
        <v>52921.550000000047</v>
      </c>
      <c r="L212" s="7">
        <v>47717.569999999832</v>
      </c>
      <c r="M212" s="7">
        <v>42337.229999999981</v>
      </c>
      <c r="N212" s="7">
        <v>51044.989999999991</v>
      </c>
      <c r="O212" s="7">
        <v>55237.809999999823</v>
      </c>
      <c r="P212" s="7">
        <v>57058.909999999916</v>
      </c>
      <c r="Q212" s="7">
        <v>42337.239999999991</v>
      </c>
      <c r="R212" s="7">
        <v>74533.839999999851</v>
      </c>
      <c r="S212" s="7">
        <v>52921.540000000037</v>
      </c>
      <c r="T212" s="7">
        <v>54159.700000000012</v>
      </c>
      <c r="U212" s="7">
        <v>52921.550000000047</v>
      </c>
      <c r="V212" s="7">
        <v>840.90000000000146</v>
      </c>
      <c r="W212" s="9">
        <f t="shared" si="26"/>
        <v>1070838.0699999996</v>
      </c>
      <c r="X212" s="9">
        <v>1875313.04</v>
      </c>
      <c r="Y212" s="9">
        <v>806519.77999999991</v>
      </c>
      <c r="Z212" s="9">
        <v>1068793.2600000002</v>
      </c>
      <c r="AA212" s="9">
        <f t="shared" si="27"/>
        <v>2139631.33</v>
      </c>
      <c r="AB212" s="7" t="e">
        <f>W212-#REF!</f>
        <v>#REF!</v>
      </c>
      <c r="AC212" s="12">
        <v>707</v>
      </c>
      <c r="AD212" s="12">
        <v>1</v>
      </c>
      <c r="AE212" s="12">
        <f t="shared" si="28"/>
        <v>0</v>
      </c>
      <c r="AF212" s="12">
        <f t="shared" si="29"/>
        <v>707</v>
      </c>
      <c r="AG212" s="13" t="s">
        <v>763</v>
      </c>
      <c r="AH212" s="13">
        <v>19309.07</v>
      </c>
      <c r="AI212" s="13">
        <v>9157.4499999999989</v>
      </c>
      <c r="AJ212" s="13">
        <f t="shared" si="30"/>
        <v>10151.620000000001</v>
      </c>
    </row>
    <row r="213" spans="1:36" s="1" customFormat="1" x14ac:dyDescent="0.25">
      <c r="A213">
        <v>726</v>
      </c>
      <c r="B213">
        <v>1</v>
      </c>
      <c r="C213">
        <f t="shared" si="31"/>
        <v>1</v>
      </c>
      <c r="D213" s="1" t="s">
        <v>236</v>
      </c>
      <c r="E213" s="7">
        <v>224323.23000000004</v>
      </c>
      <c r="F213" s="7">
        <v>601.58000000000004</v>
      </c>
      <c r="G213" s="7">
        <v>-30142.48</v>
      </c>
      <c r="H213" s="7">
        <v>14853.11</v>
      </c>
      <c r="I213" s="7">
        <v>93175.470000000205</v>
      </c>
      <c r="J213" s="7">
        <v>21085.760000000009</v>
      </c>
      <c r="K213" s="7">
        <v>35959.39000000013</v>
      </c>
      <c r="L213" s="7">
        <v>29291.670000000042</v>
      </c>
      <c r="M213" s="7">
        <v>28767.520000000019</v>
      </c>
      <c r="N213" s="7">
        <v>35522.589999999851</v>
      </c>
      <c r="O213" s="7">
        <v>36103.820000000065</v>
      </c>
      <c r="P213" s="7">
        <v>42990.530000000028</v>
      </c>
      <c r="Q213" s="7">
        <v>28767.520000000019</v>
      </c>
      <c r="R213" s="7">
        <v>50364.129999999888</v>
      </c>
      <c r="S213" s="7">
        <v>35959.39000000013</v>
      </c>
      <c r="T213" s="7">
        <v>31225.829999999998</v>
      </c>
      <c r="U213" s="7">
        <v>40713.930000000008</v>
      </c>
      <c r="V213" s="7">
        <v>-15640.36</v>
      </c>
      <c r="W213" s="9">
        <f t="shared" si="26"/>
        <v>703922.63000000047</v>
      </c>
      <c r="X213" s="9">
        <v>1165027.22</v>
      </c>
      <c r="Y213" s="9">
        <v>553747.5</v>
      </c>
      <c r="Z213" s="9">
        <v>611279.72</v>
      </c>
      <c r="AA213" s="9">
        <f t="shared" si="27"/>
        <v>1315202.3500000006</v>
      </c>
      <c r="AB213" s="7" t="e">
        <f>W213-#REF!</f>
        <v>#REF!</v>
      </c>
      <c r="AC213" s="12">
        <v>709</v>
      </c>
      <c r="AD213" s="12">
        <v>1</v>
      </c>
      <c r="AE213" s="12">
        <f t="shared" si="28"/>
        <v>0</v>
      </c>
      <c r="AF213" s="12">
        <f t="shared" si="29"/>
        <v>709</v>
      </c>
      <c r="AG213" s="13" t="s">
        <v>764</v>
      </c>
      <c r="AH213" s="13">
        <v>5072811.53</v>
      </c>
      <c r="AI213" s="13">
        <v>2115621.37</v>
      </c>
      <c r="AJ213" s="13">
        <f t="shared" si="30"/>
        <v>2957190.16</v>
      </c>
    </row>
    <row r="214" spans="1:36" s="1" customFormat="1" x14ac:dyDescent="0.25">
      <c r="A214">
        <v>727</v>
      </c>
      <c r="B214">
        <v>1</v>
      </c>
      <c r="C214">
        <f t="shared" si="31"/>
        <v>1</v>
      </c>
      <c r="D214" s="1" t="s">
        <v>237</v>
      </c>
      <c r="E214" s="7">
        <v>265463.51000000007</v>
      </c>
      <c r="F214" s="7">
        <v>116898.40999999997</v>
      </c>
      <c r="G214" s="7">
        <v>-13739.12</v>
      </c>
      <c r="H214" s="7">
        <v>82832.599999999977</v>
      </c>
      <c r="I214" s="7">
        <v>51277.189999999944</v>
      </c>
      <c r="J214" s="7">
        <v>-44233.70000000007</v>
      </c>
      <c r="K214" s="7">
        <v>46615.619999999879</v>
      </c>
      <c r="L214" s="7">
        <v>42977.860000000102</v>
      </c>
      <c r="M214" s="7">
        <v>37292.5</v>
      </c>
      <c r="N214" s="7">
        <v>53916.379999999888</v>
      </c>
      <c r="O214" s="7">
        <v>46717.679999999935</v>
      </c>
      <c r="P214" s="7">
        <v>32044.340000000084</v>
      </c>
      <c r="Q214" s="7">
        <v>37292.510000000009</v>
      </c>
      <c r="R214" s="7">
        <v>68296.780000000028</v>
      </c>
      <c r="S214" s="7">
        <v>46615.639999999898</v>
      </c>
      <c r="T214" s="7">
        <v>49814.04999999993</v>
      </c>
      <c r="U214" s="7">
        <v>46615.630000000005</v>
      </c>
      <c r="V214" s="7">
        <v>3116.6500000000087</v>
      </c>
      <c r="W214" s="9">
        <f t="shared" si="26"/>
        <v>969814.52999999968</v>
      </c>
      <c r="X214" s="9">
        <v>974366.07</v>
      </c>
      <c r="Y214" s="9">
        <v>411081.62</v>
      </c>
      <c r="Z214" s="9">
        <v>563284.44999999995</v>
      </c>
      <c r="AA214" s="9">
        <f t="shared" si="27"/>
        <v>1533098.9799999995</v>
      </c>
      <c r="AB214" s="7" t="e">
        <f>W214-#REF!</f>
        <v>#REF!</v>
      </c>
      <c r="AC214" s="12">
        <v>712</v>
      </c>
      <c r="AD214" s="12">
        <v>1</v>
      </c>
      <c r="AE214" s="12">
        <f t="shared" si="28"/>
        <v>0</v>
      </c>
      <c r="AF214" s="12">
        <f t="shared" si="29"/>
        <v>712</v>
      </c>
      <c r="AG214" s="13" t="s">
        <v>765</v>
      </c>
      <c r="AH214" s="13">
        <v>88839.5</v>
      </c>
      <c r="AI214" s="13">
        <v>28230.140000000003</v>
      </c>
      <c r="AJ214" s="13">
        <f t="shared" si="30"/>
        <v>60609.36</v>
      </c>
    </row>
    <row r="215" spans="1:36" s="1" customFormat="1" x14ac:dyDescent="0.25">
      <c r="A215">
        <v>728</v>
      </c>
      <c r="B215">
        <v>1</v>
      </c>
      <c r="C215">
        <f t="shared" si="31"/>
        <v>1</v>
      </c>
      <c r="D215" s="1" t="s">
        <v>238</v>
      </c>
      <c r="E215" s="7">
        <v>984721.09000000032</v>
      </c>
      <c r="F215" s="7">
        <v>47917.03</v>
      </c>
      <c r="G215" s="7">
        <v>-9977.84</v>
      </c>
      <c r="H215" s="7">
        <v>354944.49</v>
      </c>
      <c r="I215" s="7">
        <v>198558.80999999959</v>
      </c>
      <c r="J215" s="7">
        <v>69399.229999999981</v>
      </c>
      <c r="K215" s="7">
        <v>180508.02000000048</v>
      </c>
      <c r="L215" s="7">
        <v>148604.64999999944</v>
      </c>
      <c r="M215" s="7">
        <v>144406.41000000015</v>
      </c>
      <c r="N215" s="7">
        <v>183306.69000000041</v>
      </c>
      <c r="O215" s="7">
        <v>182861.96999999974</v>
      </c>
      <c r="P215" s="7">
        <v>203735.30000000075</v>
      </c>
      <c r="Q215" s="7">
        <v>144406.40999999922</v>
      </c>
      <c r="R215" s="7">
        <v>254325.63999999966</v>
      </c>
      <c r="S215" s="7">
        <v>180508.01000000071</v>
      </c>
      <c r="T215" s="7">
        <v>182252.07</v>
      </c>
      <c r="U215" s="7">
        <v>180508.00999999995</v>
      </c>
      <c r="V215" s="7">
        <v>-83459.989999999991</v>
      </c>
      <c r="W215" s="9">
        <f t="shared" si="26"/>
        <v>3547526</v>
      </c>
      <c r="X215" s="9">
        <v>7248289.1299999999</v>
      </c>
      <c r="Y215" s="9">
        <v>3445174.46</v>
      </c>
      <c r="Z215" s="9">
        <v>3803114.67</v>
      </c>
      <c r="AA215" s="9">
        <f t="shared" si="27"/>
        <v>7350640.6699999999</v>
      </c>
      <c r="AB215" s="7" t="e">
        <f>W215-#REF!</f>
        <v>#REF!</v>
      </c>
      <c r="AC215" s="12">
        <v>716</v>
      </c>
      <c r="AD215" s="12">
        <v>1</v>
      </c>
      <c r="AE215" s="12">
        <f t="shared" si="28"/>
        <v>0</v>
      </c>
      <c r="AF215" s="12">
        <f t="shared" si="29"/>
        <v>716</v>
      </c>
      <c r="AG215" s="13" t="s">
        <v>766</v>
      </c>
      <c r="AH215" s="13">
        <v>713353.59</v>
      </c>
      <c r="AI215" s="13">
        <v>324501</v>
      </c>
      <c r="AJ215" s="13">
        <f t="shared" si="30"/>
        <v>388852.58999999997</v>
      </c>
    </row>
    <row r="216" spans="1:36" s="1" customFormat="1" x14ac:dyDescent="0.25">
      <c r="A216">
        <v>738</v>
      </c>
      <c r="B216">
        <v>1</v>
      </c>
      <c r="C216">
        <f t="shared" si="31"/>
        <v>1</v>
      </c>
      <c r="D216" s="1" t="s">
        <v>239</v>
      </c>
      <c r="E216" s="7">
        <v>73398.97</v>
      </c>
      <c r="F216" s="7">
        <v>11520.869999999995</v>
      </c>
      <c r="G216" s="7">
        <v>6624.9700000000012</v>
      </c>
      <c r="H216" s="7">
        <v>11696.399999999994</v>
      </c>
      <c r="I216" s="7">
        <v>14919.72000000003</v>
      </c>
      <c r="J216" s="7">
        <v>5390.2399999999907</v>
      </c>
      <c r="K216" s="7">
        <v>13563.370000000054</v>
      </c>
      <c r="L216" s="7">
        <v>13812.240000000049</v>
      </c>
      <c r="M216" s="7">
        <v>10850.710000000021</v>
      </c>
      <c r="N216" s="7">
        <v>11095.440000000002</v>
      </c>
      <c r="O216" s="7">
        <v>13563.369999999995</v>
      </c>
      <c r="P216" s="7">
        <v>15367.859999999986</v>
      </c>
      <c r="Q216" s="7">
        <v>10850.700000000012</v>
      </c>
      <c r="R216" s="7">
        <v>18992.170000000042</v>
      </c>
      <c r="S216" s="7">
        <v>13563.380000000005</v>
      </c>
      <c r="T216" s="7">
        <v>13796.850000000006</v>
      </c>
      <c r="U216" s="7">
        <v>13563.380000000005</v>
      </c>
      <c r="V216" s="7">
        <v>-395.21000000000004</v>
      </c>
      <c r="W216" s="9">
        <f t="shared" si="26"/>
        <v>272175.43000000017</v>
      </c>
      <c r="X216" s="9">
        <v>168891.13</v>
      </c>
      <c r="Y216" s="9">
        <v>62030.67</v>
      </c>
      <c r="Z216" s="9">
        <v>106860.46</v>
      </c>
      <c r="AA216" s="9">
        <f t="shared" si="27"/>
        <v>379035.89000000019</v>
      </c>
      <c r="AB216" s="7" t="e">
        <f>W216-#REF!</f>
        <v>#REF!</v>
      </c>
      <c r="AC216" s="12">
        <v>717</v>
      </c>
      <c r="AD216" s="12">
        <v>1</v>
      </c>
      <c r="AE216" s="12">
        <f t="shared" si="28"/>
        <v>0</v>
      </c>
      <c r="AF216" s="12">
        <f t="shared" si="29"/>
        <v>717</v>
      </c>
      <c r="AG216" s="13" t="s">
        <v>767</v>
      </c>
      <c r="AH216" s="13">
        <v>857904.25</v>
      </c>
      <c r="AI216" s="13">
        <v>378886.24</v>
      </c>
      <c r="AJ216" s="13">
        <f t="shared" si="30"/>
        <v>479018.01</v>
      </c>
    </row>
    <row r="217" spans="1:36" s="1" customFormat="1" x14ac:dyDescent="0.25">
      <c r="A217">
        <v>739</v>
      </c>
      <c r="B217">
        <v>1</v>
      </c>
      <c r="C217">
        <f t="shared" si="31"/>
        <v>1</v>
      </c>
      <c r="D217" s="1" t="s">
        <v>240</v>
      </c>
      <c r="E217" s="7">
        <v>53626.280000000013</v>
      </c>
      <c r="F217" s="7">
        <v>1336.2399999999998</v>
      </c>
      <c r="G217" s="7">
        <v>-2716.48</v>
      </c>
      <c r="H217" s="7">
        <v>18246.780000000002</v>
      </c>
      <c r="I217" s="7">
        <v>10370.51999999996</v>
      </c>
      <c r="J217" s="7">
        <v>4571.7200000000012</v>
      </c>
      <c r="K217" s="7">
        <v>9427.7399999999907</v>
      </c>
      <c r="L217" s="7">
        <v>8712.960000000021</v>
      </c>
      <c r="M217" s="7">
        <v>7542.1999999999825</v>
      </c>
      <c r="N217" s="7">
        <v>8452.0899999999674</v>
      </c>
      <c r="O217" s="7">
        <v>9473.0899999999674</v>
      </c>
      <c r="P217" s="7">
        <v>10954.259999999951</v>
      </c>
      <c r="Q217" s="7">
        <v>7542.2000000000116</v>
      </c>
      <c r="R217" s="7">
        <v>13177.950000000012</v>
      </c>
      <c r="S217" s="7">
        <v>9427.7399999999907</v>
      </c>
      <c r="T217" s="7">
        <v>9542.2900000000009</v>
      </c>
      <c r="U217" s="7">
        <v>9427.739999999998</v>
      </c>
      <c r="V217" s="7">
        <v>-2730.74</v>
      </c>
      <c r="W217" s="9">
        <f t="shared" si="26"/>
        <v>186384.57999999987</v>
      </c>
      <c r="X217" s="9">
        <v>402700.19999999995</v>
      </c>
      <c r="Y217" s="9">
        <v>168510.39</v>
      </c>
      <c r="Z217" s="9">
        <v>234189.80999999994</v>
      </c>
      <c r="AA217" s="9">
        <f t="shared" si="27"/>
        <v>420574.38999999978</v>
      </c>
      <c r="AB217" s="7" t="e">
        <f>W217-#REF!</f>
        <v>#REF!</v>
      </c>
      <c r="AC217" s="12">
        <v>719</v>
      </c>
      <c r="AD217" s="12">
        <v>1</v>
      </c>
      <c r="AE217" s="12">
        <f t="shared" si="28"/>
        <v>0</v>
      </c>
      <c r="AF217" s="12">
        <f t="shared" si="29"/>
        <v>719</v>
      </c>
      <c r="AG217" s="13" t="s">
        <v>768</v>
      </c>
      <c r="AH217" s="13">
        <v>4890571.3199999994</v>
      </c>
      <c r="AI217" s="13">
        <v>1855823.21</v>
      </c>
      <c r="AJ217" s="13">
        <f t="shared" si="30"/>
        <v>3034748.1099999994</v>
      </c>
    </row>
    <row r="218" spans="1:36" s="1" customFormat="1" x14ac:dyDescent="0.25">
      <c r="A218">
        <v>740</v>
      </c>
      <c r="B218">
        <v>1</v>
      </c>
      <c r="C218">
        <f t="shared" si="31"/>
        <v>1</v>
      </c>
      <c r="D218" s="1" t="s">
        <v>241</v>
      </c>
      <c r="E218" s="7">
        <v>232776.84999999998</v>
      </c>
      <c r="F218" s="7">
        <v>14191.760000000009</v>
      </c>
      <c r="G218" s="7">
        <v>-112063.93</v>
      </c>
      <c r="H218" s="7">
        <v>16846.809999999998</v>
      </c>
      <c r="I218" s="7">
        <v>22505.800000000047</v>
      </c>
      <c r="J218" s="7">
        <v>10720.369999999995</v>
      </c>
      <c r="K218" s="7">
        <v>20459.820000000065</v>
      </c>
      <c r="L218" s="7">
        <v>18046.469999999972</v>
      </c>
      <c r="M218" s="7">
        <v>16367.859999999986</v>
      </c>
      <c r="N218" s="7">
        <v>19060.970000000088</v>
      </c>
      <c r="O218" s="7">
        <v>21698.800000000047</v>
      </c>
      <c r="P218" s="7">
        <v>24037.010000000009</v>
      </c>
      <c r="Q218" s="7">
        <v>16367.859999999986</v>
      </c>
      <c r="R218" s="7">
        <v>28558.5</v>
      </c>
      <c r="S218" s="7">
        <v>20459.820000000065</v>
      </c>
      <c r="T218" s="7">
        <v>20679.329999999987</v>
      </c>
      <c r="U218" s="7">
        <v>20459.820000000007</v>
      </c>
      <c r="V218" s="7">
        <v>-13141.98</v>
      </c>
      <c r="W218" s="9">
        <f t="shared" si="26"/>
        <v>398031.94000000024</v>
      </c>
      <c r="X218" s="9">
        <v>551008.01</v>
      </c>
      <c r="Y218" s="9">
        <v>234472.82</v>
      </c>
      <c r="Z218" s="9">
        <v>316535.19</v>
      </c>
      <c r="AA218" s="9">
        <f t="shared" si="27"/>
        <v>714567.13000000024</v>
      </c>
      <c r="AB218" s="7" t="e">
        <f>W218-#REF!</f>
        <v>#REF!</v>
      </c>
      <c r="AC218" s="12">
        <v>720</v>
      </c>
      <c r="AD218" s="12">
        <v>1</v>
      </c>
      <c r="AE218" s="12">
        <f t="shared" si="28"/>
        <v>0</v>
      </c>
      <c r="AF218" s="12">
        <f t="shared" si="29"/>
        <v>720</v>
      </c>
      <c r="AG218" s="13" t="s">
        <v>769</v>
      </c>
      <c r="AH218" s="13">
        <v>4029829.71</v>
      </c>
      <c r="AI218" s="13">
        <v>1915412.89</v>
      </c>
      <c r="AJ218" s="13">
        <f t="shared" si="30"/>
        <v>2114416.8200000003</v>
      </c>
    </row>
    <row r="219" spans="1:36" s="1" customFormat="1" x14ac:dyDescent="0.25">
      <c r="A219">
        <v>741</v>
      </c>
      <c r="B219">
        <v>1</v>
      </c>
      <c r="C219">
        <f t="shared" si="31"/>
        <v>1</v>
      </c>
      <c r="D219" s="1" t="s">
        <v>242</v>
      </c>
      <c r="E219" s="7">
        <v>83576.01999999999</v>
      </c>
      <c r="F219" s="7">
        <v>973.44</v>
      </c>
      <c r="G219" s="7">
        <v>-5485.2000000000007</v>
      </c>
      <c r="H219" s="7">
        <v>27719.759999999995</v>
      </c>
      <c r="I219" s="7">
        <v>15907.400000000023</v>
      </c>
      <c r="J219" s="7">
        <v>7886.4100000000035</v>
      </c>
      <c r="K219" s="7">
        <v>14461.260000000009</v>
      </c>
      <c r="L219" s="7">
        <v>12421.900000000023</v>
      </c>
      <c r="M219" s="7">
        <v>11569.010000000009</v>
      </c>
      <c r="N219" s="7">
        <v>13750.52999999997</v>
      </c>
      <c r="O219" s="7">
        <v>14471.409999999974</v>
      </c>
      <c r="P219" s="7">
        <v>17091.97000000003</v>
      </c>
      <c r="Q219" s="7">
        <v>11569.010000000009</v>
      </c>
      <c r="R219" s="7">
        <v>20235.930000000051</v>
      </c>
      <c r="S219" s="7">
        <v>14461.280000000028</v>
      </c>
      <c r="T219" s="7">
        <v>14539.32</v>
      </c>
      <c r="U219" s="7">
        <v>14461.260000000009</v>
      </c>
      <c r="V219" s="7">
        <v>34.110000000000014</v>
      </c>
      <c r="W219" s="9">
        <f t="shared" si="26"/>
        <v>289644.82000000012</v>
      </c>
      <c r="X219" s="9">
        <v>530966.97000000009</v>
      </c>
      <c r="Y219" s="9">
        <v>225933.84000000003</v>
      </c>
      <c r="Z219" s="9">
        <v>305033.13000000006</v>
      </c>
      <c r="AA219" s="9">
        <f t="shared" si="27"/>
        <v>594677.95000000019</v>
      </c>
      <c r="AB219" s="7" t="e">
        <f>W219-#REF!</f>
        <v>#REF!</v>
      </c>
      <c r="AC219" s="12">
        <v>721</v>
      </c>
      <c r="AD219" s="12">
        <v>1</v>
      </c>
      <c r="AE219" s="12">
        <f t="shared" si="28"/>
        <v>0</v>
      </c>
      <c r="AF219" s="12">
        <f t="shared" si="29"/>
        <v>721</v>
      </c>
      <c r="AG219" s="13" t="s">
        <v>770</v>
      </c>
      <c r="AH219" s="13">
        <v>1875313.04</v>
      </c>
      <c r="AI219" s="13">
        <v>806519.77999999991</v>
      </c>
      <c r="AJ219" s="13">
        <f t="shared" si="30"/>
        <v>1068793.2600000002</v>
      </c>
    </row>
    <row r="220" spans="1:36" s="1" customFormat="1" x14ac:dyDescent="0.25">
      <c r="A220">
        <v>742</v>
      </c>
      <c r="B220">
        <v>1</v>
      </c>
      <c r="C220">
        <f t="shared" si="31"/>
        <v>1</v>
      </c>
      <c r="D220" s="1" t="s">
        <v>243</v>
      </c>
      <c r="E220" s="7">
        <v>925022.78000000026</v>
      </c>
      <c r="F220" s="7">
        <v>1673.49</v>
      </c>
      <c r="G220" s="7">
        <v>-31814.160000000003</v>
      </c>
      <c r="H220" s="7">
        <v>314695.48</v>
      </c>
      <c r="I220" s="7">
        <v>181949.89999999944</v>
      </c>
      <c r="J220" s="7">
        <v>97886.429999999702</v>
      </c>
      <c r="K220" s="7">
        <v>165409.00999999978</v>
      </c>
      <c r="L220" s="7">
        <v>133792.97999999998</v>
      </c>
      <c r="M220" s="7">
        <v>132327.19999999972</v>
      </c>
      <c r="N220" s="7">
        <v>164187.51999999955</v>
      </c>
      <c r="O220" s="7">
        <v>184014.71999999974</v>
      </c>
      <c r="P220" s="7">
        <v>198041.29999999981</v>
      </c>
      <c r="Q220" s="7">
        <v>132327.20999999996</v>
      </c>
      <c r="R220" s="7">
        <v>231463.41999999993</v>
      </c>
      <c r="S220" s="7">
        <v>165409.00999999978</v>
      </c>
      <c r="T220" s="7">
        <v>165635.45000000001</v>
      </c>
      <c r="U220" s="7">
        <v>165409.00999999995</v>
      </c>
      <c r="V220" s="7">
        <v>-120599.54000000001</v>
      </c>
      <c r="W220" s="9">
        <f t="shared" si="26"/>
        <v>3206831.2099999976</v>
      </c>
      <c r="X220" s="9">
        <v>6918737.9000000004</v>
      </c>
      <c r="Y220" s="9">
        <v>2960859.33</v>
      </c>
      <c r="Z220" s="9">
        <v>3957878.5700000003</v>
      </c>
      <c r="AA220" s="9">
        <f t="shared" si="27"/>
        <v>7164709.7799999975</v>
      </c>
      <c r="AB220" s="7" t="e">
        <f>W220-#REF!</f>
        <v>#REF!</v>
      </c>
      <c r="AC220" s="12">
        <v>726</v>
      </c>
      <c r="AD220" s="12">
        <v>1</v>
      </c>
      <c r="AE220" s="12">
        <f t="shared" si="28"/>
        <v>0</v>
      </c>
      <c r="AF220" s="12">
        <f t="shared" si="29"/>
        <v>726</v>
      </c>
      <c r="AG220" s="13" t="s">
        <v>771</v>
      </c>
      <c r="AH220" s="13">
        <v>1165027.22</v>
      </c>
      <c r="AI220" s="13">
        <v>553747.5</v>
      </c>
      <c r="AJ220" s="13">
        <f t="shared" si="30"/>
        <v>611279.72</v>
      </c>
    </row>
    <row r="221" spans="1:36" s="1" customFormat="1" x14ac:dyDescent="0.25">
      <c r="A221">
        <v>743</v>
      </c>
      <c r="B221">
        <v>1</v>
      </c>
      <c r="C221">
        <f t="shared" si="31"/>
        <v>1</v>
      </c>
      <c r="D221" s="1" t="s">
        <v>244</v>
      </c>
      <c r="E221" s="7">
        <v>96920.219999999972</v>
      </c>
      <c r="F221" s="7">
        <v>1502.9499999999998</v>
      </c>
      <c r="G221" s="7">
        <v>-23978.16</v>
      </c>
      <c r="H221" s="7">
        <v>26040.54</v>
      </c>
      <c r="I221" s="7">
        <v>14858.570000000007</v>
      </c>
      <c r="J221" s="7">
        <v>6884.3999999999942</v>
      </c>
      <c r="K221" s="7">
        <v>13507.790000000037</v>
      </c>
      <c r="L221" s="7">
        <v>12123.059999999998</v>
      </c>
      <c r="M221" s="7">
        <v>10806.229999999981</v>
      </c>
      <c r="N221" s="7">
        <v>12410.429999999993</v>
      </c>
      <c r="O221" s="7">
        <v>14411.340000000026</v>
      </c>
      <c r="P221" s="7">
        <v>15805.520000000019</v>
      </c>
      <c r="Q221" s="7">
        <v>10806.229999999981</v>
      </c>
      <c r="R221" s="7">
        <v>18861.429999999935</v>
      </c>
      <c r="S221" s="7">
        <v>13507.790000000037</v>
      </c>
      <c r="T221" s="7">
        <v>13662.610000000004</v>
      </c>
      <c r="U221" s="7">
        <v>13507.790000000008</v>
      </c>
      <c r="V221" s="7">
        <v>-6094.0999999999995</v>
      </c>
      <c r="W221" s="9">
        <f t="shared" si="26"/>
        <v>265544.64</v>
      </c>
      <c r="X221" s="9">
        <v>613511.1399999999</v>
      </c>
      <c r="Y221" s="9">
        <v>273028.99</v>
      </c>
      <c r="Z221" s="9">
        <v>340482.14999999991</v>
      </c>
      <c r="AA221" s="9">
        <f t="shared" si="27"/>
        <v>606026.78999999992</v>
      </c>
      <c r="AB221" s="7" t="e">
        <f>W221-#REF!</f>
        <v>#REF!</v>
      </c>
      <c r="AC221" s="12">
        <v>727</v>
      </c>
      <c r="AD221" s="12">
        <v>1</v>
      </c>
      <c r="AE221" s="12">
        <f t="shared" si="28"/>
        <v>0</v>
      </c>
      <c r="AF221" s="12">
        <f t="shared" si="29"/>
        <v>727</v>
      </c>
      <c r="AG221" s="13" t="s">
        <v>772</v>
      </c>
      <c r="AH221" s="13">
        <v>974366.07</v>
      </c>
      <c r="AI221" s="13">
        <v>411081.62</v>
      </c>
      <c r="AJ221" s="13">
        <f t="shared" si="30"/>
        <v>563284.44999999995</v>
      </c>
    </row>
    <row r="222" spans="1:36" s="1" customFormat="1" x14ac:dyDescent="0.25">
      <c r="A222">
        <v>745</v>
      </c>
      <c r="B222">
        <v>1</v>
      </c>
      <c r="C222">
        <f t="shared" si="31"/>
        <v>1</v>
      </c>
      <c r="D222" s="1" t="s">
        <v>245</v>
      </c>
      <c r="E222" s="7">
        <v>210119.71000000002</v>
      </c>
      <c r="F222" s="7">
        <v>16603.420000000013</v>
      </c>
      <c r="G222" s="7">
        <v>-71068.649999999994</v>
      </c>
      <c r="H222" s="7">
        <v>19470.040000000037</v>
      </c>
      <c r="I222" s="7">
        <v>25924.770000000019</v>
      </c>
      <c r="J222" s="7">
        <v>12141.320000000007</v>
      </c>
      <c r="K222" s="7">
        <v>23567.969999999972</v>
      </c>
      <c r="L222" s="7">
        <v>21012.030000000028</v>
      </c>
      <c r="M222" s="7">
        <v>18854.380000000005</v>
      </c>
      <c r="N222" s="7">
        <v>21769.940000000061</v>
      </c>
      <c r="O222" s="7">
        <v>24185.979999999981</v>
      </c>
      <c r="P222" s="7">
        <v>27619.880000000005</v>
      </c>
      <c r="Q222" s="7">
        <v>18854.380000000005</v>
      </c>
      <c r="R222" s="7">
        <v>33020.359999999986</v>
      </c>
      <c r="S222" s="7">
        <v>23567.979999999981</v>
      </c>
      <c r="T222" s="7">
        <v>23715.390000000014</v>
      </c>
      <c r="U222" s="7">
        <v>23567.98000000004</v>
      </c>
      <c r="V222" s="7">
        <v>86.289999999999964</v>
      </c>
      <c r="W222" s="9">
        <f t="shared" si="26"/>
        <v>473013.17000000016</v>
      </c>
      <c r="X222" s="9">
        <v>382284.14</v>
      </c>
      <c r="Y222" s="9">
        <v>150051.19</v>
      </c>
      <c r="Z222" s="9">
        <v>232232.95</v>
      </c>
      <c r="AA222" s="9">
        <f t="shared" si="27"/>
        <v>705246.12000000011</v>
      </c>
      <c r="AB222" s="7" t="e">
        <f>W222-#REF!</f>
        <v>#REF!</v>
      </c>
      <c r="AC222" s="12">
        <v>728</v>
      </c>
      <c r="AD222" s="12">
        <v>1</v>
      </c>
      <c r="AE222" s="12">
        <f t="shared" si="28"/>
        <v>0</v>
      </c>
      <c r="AF222" s="12">
        <f t="shared" si="29"/>
        <v>728</v>
      </c>
      <c r="AG222" s="13" t="s">
        <v>773</v>
      </c>
      <c r="AH222" s="13">
        <v>7248289.1299999999</v>
      </c>
      <c r="AI222" s="13">
        <v>3445174.46</v>
      </c>
      <c r="AJ222" s="13">
        <f t="shared" si="30"/>
        <v>3803114.67</v>
      </c>
    </row>
    <row r="223" spans="1:36" s="1" customFormat="1" x14ac:dyDescent="0.25">
      <c r="A223">
        <v>748</v>
      </c>
      <c r="B223">
        <v>1</v>
      </c>
      <c r="C223">
        <f t="shared" si="31"/>
        <v>1</v>
      </c>
      <c r="D223" s="1" t="s">
        <v>246</v>
      </c>
      <c r="E223" s="7">
        <v>278037.40000000002</v>
      </c>
      <c r="F223" s="7">
        <v>68455.420000000013</v>
      </c>
      <c r="G223" s="7">
        <v>-7470.3200000000006</v>
      </c>
      <c r="H223" s="7">
        <v>74734.609999999986</v>
      </c>
      <c r="I223" s="7">
        <v>55115.520000000019</v>
      </c>
      <c r="J223" s="7">
        <v>-1108.390000000014</v>
      </c>
      <c r="K223" s="7">
        <v>50105.020000000019</v>
      </c>
      <c r="L223" s="7">
        <v>43391.389999999898</v>
      </c>
      <c r="M223" s="7">
        <v>40084</v>
      </c>
      <c r="N223" s="7">
        <v>52404.019999999786</v>
      </c>
      <c r="O223" s="7">
        <v>50715.14000000013</v>
      </c>
      <c r="P223" s="7">
        <v>49810.320000000065</v>
      </c>
      <c r="Q223" s="7">
        <v>40084</v>
      </c>
      <c r="R223" s="7">
        <v>71337.729999999981</v>
      </c>
      <c r="S223" s="7">
        <v>50105.020000000019</v>
      </c>
      <c r="T223" s="7">
        <v>51605.349999999977</v>
      </c>
      <c r="U223" s="7">
        <v>50105.020000000019</v>
      </c>
      <c r="V223" s="7">
        <v>1345.5199999999968</v>
      </c>
      <c r="W223" s="9">
        <f t="shared" si="26"/>
        <v>1018856.7699999999</v>
      </c>
      <c r="X223" s="9">
        <v>1234993.43</v>
      </c>
      <c r="Y223" s="9">
        <v>538387.30000000005</v>
      </c>
      <c r="Z223" s="9">
        <v>696606.12999999989</v>
      </c>
      <c r="AA223" s="9">
        <f t="shared" si="27"/>
        <v>1715462.9</v>
      </c>
      <c r="AB223" s="7" t="e">
        <f>W223-#REF!</f>
        <v>#REF!</v>
      </c>
      <c r="AC223" s="12">
        <v>738</v>
      </c>
      <c r="AD223" s="12">
        <v>1</v>
      </c>
      <c r="AE223" s="12">
        <f t="shared" si="28"/>
        <v>0</v>
      </c>
      <c r="AF223" s="12">
        <f t="shared" si="29"/>
        <v>738</v>
      </c>
      <c r="AG223" s="13" t="s">
        <v>774</v>
      </c>
      <c r="AH223" s="13">
        <v>168891.13</v>
      </c>
      <c r="AI223" s="13">
        <v>62030.67</v>
      </c>
      <c r="AJ223" s="13">
        <f t="shared" si="30"/>
        <v>106860.46</v>
      </c>
    </row>
    <row r="224" spans="1:36" s="1" customFormat="1" x14ac:dyDescent="0.25">
      <c r="A224">
        <v>750</v>
      </c>
      <c r="B224">
        <v>1</v>
      </c>
      <c r="C224">
        <f t="shared" si="31"/>
        <v>1</v>
      </c>
      <c r="D224" s="1" t="s">
        <v>247</v>
      </c>
      <c r="E224" s="7">
        <v>296061.39999999997</v>
      </c>
      <c r="F224" s="7">
        <v>9088.48</v>
      </c>
      <c r="G224" s="7">
        <v>-146533.19999999998</v>
      </c>
      <c r="H224" s="7">
        <v>45910.369999999995</v>
      </c>
      <c r="I224" s="7">
        <v>30459.45000000007</v>
      </c>
      <c r="J224" s="7">
        <v>15063.760000000009</v>
      </c>
      <c r="K224" s="7">
        <v>27690.409999999916</v>
      </c>
      <c r="L224" s="7">
        <v>23825.5</v>
      </c>
      <c r="M224" s="7">
        <v>22152.319999999949</v>
      </c>
      <c r="N224" s="7">
        <v>26296.109999999986</v>
      </c>
      <c r="O224" s="7">
        <v>29287.410000000033</v>
      </c>
      <c r="P224" s="7">
        <v>32715.350000000093</v>
      </c>
      <c r="Q224" s="7">
        <v>22152.330000000075</v>
      </c>
      <c r="R224" s="7">
        <v>38725</v>
      </c>
      <c r="S224" s="7">
        <v>27690.419999999925</v>
      </c>
      <c r="T224" s="7">
        <v>27865.819999999978</v>
      </c>
      <c r="U224" s="7">
        <v>27690.410000000003</v>
      </c>
      <c r="V224" s="7">
        <v>-9093.67</v>
      </c>
      <c r="W224" s="9">
        <f t="shared" si="26"/>
        <v>547047.66999999993</v>
      </c>
      <c r="X224" s="9">
        <v>866940.64</v>
      </c>
      <c r="Y224" s="9">
        <v>383186.17</v>
      </c>
      <c r="Z224" s="9">
        <v>483754.47000000003</v>
      </c>
      <c r="AA224" s="9">
        <f t="shared" si="27"/>
        <v>1030802.1399999999</v>
      </c>
      <c r="AB224" s="7" t="e">
        <f>W224-#REF!</f>
        <v>#REF!</v>
      </c>
      <c r="AC224" s="12">
        <v>739</v>
      </c>
      <c r="AD224" s="12">
        <v>1</v>
      </c>
      <c r="AE224" s="12">
        <f t="shared" si="28"/>
        <v>0</v>
      </c>
      <c r="AF224" s="12">
        <f t="shared" si="29"/>
        <v>739</v>
      </c>
      <c r="AG224" s="13" t="s">
        <v>775</v>
      </c>
      <c r="AH224" s="13">
        <v>402700.19999999995</v>
      </c>
      <c r="AI224" s="13">
        <v>168510.39</v>
      </c>
      <c r="AJ224" s="13">
        <f t="shared" si="30"/>
        <v>234189.80999999994</v>
      </c>
    </row>
    <row r="225" spans="1:36" s="1" customFormat="1" x14ac:dyDescent="0.25">
      <c r="A225">
        <v>756</v>
      </c>
      <c r="B225">
        <v>1</v>
      </c>
      <c r="C225">
        <f t="shared" si="31"/>
        <v>1</v>
      </c>
      <c r="D225" s="1" t="s">
        <v>248</v>
      </c>
      <c r="E225" s="7">
        <v>61193.600000000006</v>
      </c>
      <c r="F225" s="7">
        <v>9520.3499999999913</v>
      </c>
      <c r="G225" s="7">
        <v>1328.2099999999991</v>
      </c>
      <c r="H225" s="7">
        <v>9268.1000000000058</v>
      </c>
      <c r="I225" s="7">
        <v>11656.610000000044</v>
      </c>
      <c r="J225" s="7">
        <v>3790.6999999999825</v>
      </c>
      <c r="K225" s="7">
        <v>10596.909999999974</v>
      </c>
      <c r="L225" s="7">
        <v>11248.170000000013</v>
      </c>
      <c r="M225" s="7">
        <v>8477.5299999999988</v>
      </c>
      <c r="N225" s="7">
        <v>8288.0599999999977</v>
      </c>
      <c r="O225" s="7">
        <v>10607.859999999986</v>
      </c>
      <c r="P225" s="7">
        <v>11866.649999999965</v>
      </c>
      <c r="Q225" s="7">
        <v>8477.5299999999988</v>
      </c>
      <c r="R225" s="7">
        <v>14430.099999999977</v>
      </c>
      <c r="S225" s="7">
        <v>10596.909999999974</v>
      </c>
      <c r="T225" s="7">
        <v>11224.160000000003</v>
      </c>
      <c r="U225" s="7">
        <v>10596.910000000003</v>
      </c>
      <c r="V225" s="7">
        <v>110.82999999999993</v>
      </c>
      <c r="W225" s="9">
        <f t="shared" si="26"/>
        <v>213279.18999999992</v>
      </c>
      <c r="X225" s="9">
        <v>252793.28000000003</v>
      </c>
      <c r="Y225" s="9">
        <v>94249.55</v>
      </c>
      <c r="Z225" s="9">
        <v>158543.73000000004</v>
      </c>
      <c r="AA225" s="9">
        <f t="shared" si="27"/>
        <v>371822.91999999993</v>
      </c>
      <c r="AB225" s="7" t="e">
        <f>W225-#REF!</f>
        <v>#REF!</v>
      </c>
      <c r="AC225" s="12">
        <v>740</v>
      </c>
      <c r="AD225" s="12">
        <v>1</v>
      </c>
      <c r="AE225" s="12">
        <f t="shared" si="28"/>
        <v>0</v>
      </c>
      <c r="AF225" s="12">
        <f t="shared" si="29"/>
        <v>740</v>
      </c>
      <c r="AG225" s="13" t="s">
        <v>776</v>
      </c>
      <c r="AH225" s="13">
        <v>551008.01</v>
      </c>
      <c r="AI225" s="13">
        <v>234472.82</v>
      </c>
      <c r="AJ225" s="13">
        <f t="shared" si="30"/>
        <v>316535.19</v>
      </c>
    </row>
    <row r="226" spans="1:36" s="1" customFormat="1" x14ac:dyDescent="0.25">
      <c r="A226">
        <v>761</v>
      </c>
      <c r="B226">
        <v>1</v>
      </c>
      <c r="C226">
        <f t="shared" si="31"/>
        <v>1</v>
      </c>
      <c r="D226" s="1" t="s">
        <v>249</v>
      </c>
      <c r="E226" s="7">
        <v>496389.29000000015</v>
      </c>
      <c r="F226" s="7">
        <v>37920.719999999994</v>
      </c>
      <c r="G226" s="7">
        <v>-91785.68</v>
      </c>
      <c r="H226" s="7">
        <v>107475.94000000018</v>
      </c>
      <c r="I226" s="7">
        <v>82419.260000000242</v>
      </c>
      <c r="J226" s="7">
        <v>42983.879999999888</v>
      </c>
      <c r="K226" s="7">
        <v>74926.590000000084</v>
      </c>
      <c r="L226" s="7">
        <v>62069.420000000158</v>
      </c>
      <c r="M226" s="7">
        <v>59941.270000000019</v>
      </c>
      <c r="N226" s="7">
        <v>73153.139999999898</v>
      </c>
      <c r="O226" s="7">
        <v>77381.020000000019</v>
      </c>
      <c r="P226" s="7">
        <v>89259.280000000261</v>
      </c>
      <c r="Q226" s="7">
        <v>59941.280000000028</v>
      </c>
      <c r="R226" s="7">
        <v>104486.55000000028</v>
      </c>
      <c r="S226" s="7">
        <v>74926.590000000084</v>
      </c>
      <c r="T226" s="7">
        <v>75507.530000000028</v>
      </c>
      <c r="U226" s="7">
        <v>74926.590000000084</v>
      </c>
      <c r="V226" s="7">
        <v>85.119999999999891</v>
      </c>
      <c r="W226" s="9">
        <f t="shared" si="26"/>
        <v>1502007.7900000014</v>
      </c>
      <c r="X226" s="9">
        <v>2181422.83</v>
      </c>
      <c r="Y226" s="9">
        <v>858813.27999999991</v>
      </c>
      <c r="Z226" s="9">
        <v>1322609.5500000003</v>
      </c>
      <c r="AA226" s="9">
        <f t="shared" si="27"/>
        <v>2824617.3400000017</v>
      </c>
      <c r="AB226" s="7" t="e">
        <f>W226-#REF!</f>
        <v>#REF!</v>
      </c>
      <c r="AC226" s="12">
        <v>741</v>
      </c>
      <c r="AD226" s="12">
        <v>1</v>
      </c>
      <c r="AE226" s="12">
        <f t="shared" si="28"/>
        <v>0</v>
      </c>
      <c r="AF226" s="12">
        <f t="shared" si="29"/>
        <v>741</v>
      </c>
      <c r="AG226" s="13" t="s">
        <v>777</v>
      </c>
      <c r="AH226" s="13">
        <v>530966.97000000009</v>
      </c>
      <c r="AI226" s="13">
        <v>225933.84000000003</v>
      </c>
      <c r="AJ226" s="13">
        <f t="shared" si="30"/>
        <v>305033.13000000006</v>
      </c>
    </row>
    <row r="227" spans="1:36" s="1" customFormat="1" x14ac:dyDescent="0.25">
      <c r="A227">
        <v>763</v>
      </c>
      <c r="B227">
        <v>1</v>
      </c>
      <c r="C227">
        <f t="shared" si="31"/>
        <v>1</v>
      </c>
      <c r="D227" s="1" t="s">
        <v>250</v>
      </c>
      <c r="E227" s="7">
        <v>59269.89</v>
      </c>
      <c r="F227" s="7">
        <v>10356.399999999994</v>
      </c>
      <c r="G227" s="7">
        <v>5487.9599999999919</v>
      </c>
      <c r="H227" s="7">
        <v>9723.4400000000023</v>
      </c>
      <c r="I227" s="7">
        <v>12073.489999999991</v>
      </c>
      <c r="J227" s="7">
        <v>3523.9199999999837</v>
      </c>
      <c r="K227" s="7">
        <v>10975.900000000023</v>
      </c>
      <c r="L227" s="7">
        <v>10026.889999999985</v>
      </c>
      <c r="M227" s="7">
        <v>8780.7300000000105</v>
      </c>
      <c r="N227" s="7">
        <v>10280.400000000023</v>
      </c>
      <c r="O227" s="7">
        <v>10975.900000000023</v>
      </c>
      <c r="P227" s="7">
        <v>12157.869999999995</v>
      </c>
      <c r="Q227" s="7">
        <v>8780.7300000000105</v>
      </c>
      <c r="R227" s="7">
        <v>15462.509999999951</v>
      </c>
      <c r="S227" s="7">
        <v>10975.910000000033</v>
      </c>
      <c r="T227" s="7">
        <v>11143.970000000001</v>
      </c>
      <c r="U227" s="7">
        <v>10975.899999999994</v>
      </c>
      <c r="V227" s="7">
        <v>132.15999999999985</v>
      </c>
      <c r="W227" s="9">
        <f t="shared" si="26"/>
        <v>221103.97000000003</v>
      </c>
      <c r="X227" s="9">
        <v>115495.73</v>
      </c>
      <c r="Y227" s="9">
        <v>54896.119999999995</v>
      </c>
      <c r="Z227" s="9">
        <v>60599.61</v>
      </c>
      <c r="AA227" s="9">
        <f t="shared" si="27"/>
        <v>281703.58</v>
      </c>
      <c r="AB227" s="7" t="e">
        <f>W227-#REF!</f>
        <v>#REF!</v>
      </c>
      <c r="AC227" s="12">
        <v>742</v>
      </c>
      <c r="AD227" s="12">
        <v>1</v>
      </c>
      <c r="AE227" s="12">
        <f t="shared" si="28"/>
        <v>0</v>
      </c>
      <c r="AF227" s="12">
        <f t="shared" si="29"/>
        <v>742</v>
      </c>
      <c r="AG227" s="13" t="s">
        <v>778</v>
      </c>
      <c r="AH227" s="13">
        <v>6918737.9000000004</v>
      </c>
      <c r="AI227" s="13">
        <v>2960859.33</v>
      </c>
      <c r="AJ227" s="13">
        <f t="shared" si="30"/>
        <v>3957878.5700000003</v>
      </c>
    </row>
    <row r="228" spans="1:36" s="1" customFormat="1" x14ac:dyDescent="0.25">
      <c r="A228">
        <v>768</v>
      </c>
      <c r="B228">
        <v>1</v>
      </c>
      <c r="C228">
        <f t="shared" si="31"/>
        <v>1</v>
      </c>
      <c r="D228" s="1" t="s">
        <v>251</v>
      </c>
      <c r="E228" s="7">
        <v>24477.299999999996</v>
      </c>
      <c r="F228" s="7">
        <v>3663.4199999999983</v>
      </c>
      <c r="G228" s="7">
        <v>2266.4200000000019</v>
      </c>
      <c r="H228" s="7">
        <v>3862.2000000000044</v>
      </c>
      <c r="I228" s="7">
        <v>4986.1199999999953</v>
      </c>
      <c r="J228" s="7">
        <v>1953.4900000000052</v>
      </c>
      <c r="K228" s="7">
        <v>4532.8300000000017</v>
      </c>
      <c r="L228" s="7">
        <v>4453.1100000000006</v>
      </c>
      <c r="M228" s="7">
        <v>3626.2699999999895</v>
      </c>
      <c r="N228" s="7">
        <v>3843.8000000000029</v>
      </c>
      <c r="O228" s="7">
        <v>4532.8300000000017</v>
      </c>
      <c r="P228" s="7">
        <v>5185.8300000000163</v>
      </c>
      <c r="Q228" s="7">
        <v>3626.2599999999948</v>
      </c>
      <c r="R228" s="7">
        <v>6179.5699999999779</v>
      </c>
      <c r="S228" s="7">
        <v>4532.8399999999965</v>
      </c>
      <c r="T228" s="7">
        <v>4765.3600000000006</v>
      </c>
      <c r="U228" s="7">
        <v>4532.8400000000038</v>
      </c>
      <c r="V228" s="7">
        <v>33.07000000000005</v>
      </c>
      <c r="W228" s="9">
        <f t="shared" si="26"/>
        <v>91053.56</v>
      </c>
      <c r="X228" s="9">
        <v>105437.51000000001</v>
      </c>
      <c r="Y228" s="9">
        <v>41238.300000000003</v>
      </c>
      <c r="Z228" s="9">
        <v>64199.210000000006</v>
      </c>
      <c r="AA228" s="9">
        <f t="shared" si="27"/>
        <v>155252.77000000002</v>
      </c>
      <c r="AB228" s="7" t="e">
        <f>W228-#REF!</f>
        <v>#REF!</v>
      </c>
      <c r="AC228" s="12">
        <v>743</v>
      </c>
      <c r="AD228" s="12">
        <v>1</v>
      </c>
      <c r="AE228" s="12">
        <f t="shared" si="28"/>
        <v>0</v>
      </c>
      <c r="AF228" s="12">
        <f t="shared" si="29"/>
        <v>743</v>
      </c>
      <c r="AG228" s="13" t="s">
        <v>779</v>
      </c>
      <c r="AH228" s="13">
        <v>613511.1399999999</v>
      </c>
      <c r="AI228" s="13">
        <v>273028.99</v>
      </c>
      <c r="AJ228" s="13">
        <f t="shared" si="30"/>
        <v>340482.14999999991</v>
      </c>
    </row>
    <row r="229" spans="1:36" s="1" customFormat="1" x14ac:dyDescent="0.25">
      <c r="A229">
        <v>771</v>
      </c>
      <c r="B229">
        <v>1</v>
      </c>
      <c r="C229">
        <f t="shared" si="31"/>
        <v>1</v>
      </c>
      <c r="D229" s="1" t="s">
        <v>252</v>
      </c>
      <c r="E229" s="7">
        <v>12898.710000000006</v>
      </c>
      <c r="F229" s="7">
        <v>0</v>
      </c>
      <c r="G229" s="7">
        <v>0</v>
      </c>
      <c r="H229" s="7">
        <v>0</v>
      </c>
      <c r="I229" s="7">
        <v>0</v>
      </c>
      <c r="J229" s="7">
        <v>8599.1299999999974</v>
      </c>
      <c r="K229" s="7">
        <v>2388.6600000000035</v>
      </c>
      <c r="L229" s="7">
        <v>1910.9100000000035</v>
      </c>
      <c r="M229" s="7">
        <v>1910.9300000000076</v>
      </c>
      <c r="N229" s="7">
        <v>2388.6500000000087</v>
      </c>
      <c r="O229" s="7">
        <v>2388.6399999999994</v>
      </c>
      <c r="P229" s="7">
        <v>2866.3899999999994</v>
      </c>
      <c r="Q229" s="7">
        <v>1910.9100000000035</v>
      </c>
      <c r="R229" s="7">
        <v>10510.059999999998</v>
      </c>
      <c r="S229" s="7">
        <v>0</v>
      </c>
      <c r="T229" s="7">
        <v>0</v>
      </c>
      <c r="U229" s="7">
        <v>0</v>
      </c>
      <c r="V229" s="7">
        <v>0</v>
      </c>
      <c r="W229" s="9">
        <f t="shared" si="26"/>
        <v>47772.990000000027</v>
      </c>
      <c r="X229" s="9">
        <v>164106.48000000001</v>
      </c>
      <c r="Y229" s="9">
        <v>29997.609999999997</v>
      </c>
      <c r="Z229" s="9">
        <v>134108.87000000002</v>
      </c>
      <c r="AA229" s="9">
        <f t="shared" si="27"/>
        <v>181881.86000000004</v>
      </c>
      <c r="AB229" s="7" t="e">
        <f>W229-#REF!</f>
        <v>#REF!</v>
      </c>
      <c r="AC229" s="12">
        <v>745</v>
      </c>
      <c r="AD229" s="12">
        <v>1</v>
      </c>
      <c r="AE229" s="12">
        <f t="shared" si="28"/>
        <v>0</v>
      </c>
      <c r="AF229" s="12">
        <f t="shared" si="29"/>
        <v>745</v>
      </c>
      <c r="AG229" s="13" t="s">
        <v>780</v>
      </c>
      <c r="AH229" s="13">
        <v>382284.14</v>
      </c>
      <c r="AI229" s="13">
        <v>150051.19</v>
      </c>
      <c r="AJ229" s="13">
        <f t="shared" si="30"/>
        <v>232232.95</v>
      </c>
    </row>
    <row r="230" spans="1:36" s="1" customFormat="1" x14ac:dyDescent="0.25">
      <c r="A230">
        <v>775</v>
      </c>
      <c r="B230">
        <v>1</v>
      </c>
      <c r="C230">
        <f t="shared" si="31"/>
        <v>1</v>
      </c>
      <c r="D230" s="1" t="s">
        <v>253</v>
      </c>
      <c r="E230" s="7">
        <v>62727.91</v>
      </c>
      <c r="F230" s="7">
        <v>6540.3699999999953</v>
      </c>
      <c r="G230" s="7">
        <v>-6691.739999999998</v>
      </c>
      <c r="H230" s="7">
        <v>7808.5900000000038</v>
      </c>
      <c r="I230" s="7">
        <v>10447.419999999984</v>
      </c>
      <c r="J230" s="7">
        <v>5015.1399999999849</v>
      </c>
      <c r="K230" s="7">
        <v>9497.6600000000035</v>
      </c>
      <c r="L230" s="7">
        <v>8335.6600000000035</v>
      </c>
      <c r="M230" s="7">
        <v>7598.1300000000047</v>
      </c>
      <c r="N230" s="7">
        <v>8883.0500000000175</v>
      </c>
      <c r="O230" s="7">
        <v>9519.6100000000442</v>
      </c>
      <c r="P230" s="7">
        <v>11171.010000000009</v>
      </c>
      <c r="Q230" s="7">
        <v>7598.1300000000047</v>
      </c>
      <c r="R230" s="7">
        <v>13315.460000000021</v>
      </c>
      <c r="S230" s="7">
        <v>9497.6600000000035</v>
      </c>
      <c r="T230" s="7">
        <v>9537.9300000000076</v>
      </c>
      <c r="U230" s="7">
        <v>9497.6599999999889</v>
      </c>
      <c r="V230" s="7">
        <v>-3818.5600000000004</v>
      </c>
      <c r="W230" s="9">
        <f t="shared" si="26"/>
        <v>186481.09000000008</v>
      </c>
      <c r="X230" s="9">
        <v>171421.06</v>
      </c>
      <c r="Y230" s="9">
        <v>81477.91</v>
      </c>
      <c r="Z230" s="9">
        <v>89943.15</v>
      </c>
      <c r="AA230" s="9">
        <f t="shared" si="27"/>
        <v>276424.24000000011</v>
      </c>
      <c r="AB230" s="7" t="e">
        <f>W230-#REF!</f>
        <v>#REF!</v>
      </c>
      <c r="AC230" s="12">
        <v>748</v>
      </c>
      <c r="AD230" s="12">
        <v>1</v>
      </c>
      <c r="AE230" s="12">
        <f t="shared" si="28"/>
        <v>0</v>
      </c>
      <c r="AF230" s="12">
        <f t="shared" si="29"/>
        <v>748</v>
      </c>
      <c r="AG230" s="13" t="s">
        <v>781</v>
      </c>
      <c r="AH230" s="13">
        <v>1234993.43</v>
      </c>
      <c r="AI230" s="13">
        <v>538387.30000000005</v>
      </c>
      <c r="AJ230" s="13">
        <f t="shared" si="30"/>
        <v>696606.12999999989</v>
      </c>
    </row>
    <row r="231" spans="1:36" s="1" customFormat="1" x14ac:dyDescent="0.25">
      <c r="A231">
        <v>777</v>
      </c>
      <c r="B231">
        <v>1</v>
      </c>
      <c r="C231">
        <f t="shared" si="31"/>
        <v>1</v>
      </c>
      <c r="D231" s="1" t="s">
        <v>254</v>
      </c>
      <c r="E231" s="7">
        <v>87554.559999999998</v>
      </c>
      <c r="F231" s="7">
        <v>9070.2799999999988</v>
      </c>
      <c r="G231" s="7">
        <v>-4678.3600000000006</v>
      </c>
      <c r="H231" s="7">
        <v>11398.029999999999</v>
      </c>
      <c r="I231" s="7">
        <v>15451.489999999991</v>
      </c>
      <c r="J231" s="7">
        <v>7906.6600000000035</v>
      </c>
      <c r="K231" s="7">
        <v>14046.820000000007</v>
      </c>
      <c r="L231" s="7">
        <v>11800.130000000005</v>
      </c>
      <c r="M231" s="7">
        <v>11237.450000000012</v>
      </c>
      <c r="N231" s="7">
        <v>13577.910000000033</v>
      </c>
      <c r="O231" s="7">
        <v>14068.839999999967</v>
      </c>
      <c r="P231" s="7">
        <v>16683.630000000005</v>
      </c>
      <c r="Q231" s="7">
        <v>11237.440000000002</v>
      </c>
      <c r="R231" s="7">
        <v>19613.880000000005</v>
      </c>
      <c r="S231" s="7">
        <v>14046.809999999998</v>
      </c>
      <c r="T231" s="7">
        <v>14143.5</v>
      </c>
      <c r="U231" s="7">
        <v>14046.820000000007</v>
      </c>
      <c r="V231" s="7">
        <v>22.5</v>
      </c>
      <c r="W231" s="9">
        <f t="shared" si="26"/>
        <v>281228.39</v>
      </c>
      <c r="X231" s="9">
        <v>444372.22</v>
      </c>
      <c r="Y231" s="9">
        <v>180958.3</v>
      </c>
      <c r="Z231" s="9">
        <v>263413.92</v>
      </c>
      <c r="AA231" s="9">
        <f t="shared" si="27"/>
        <v>544642.31000000006</v>
      </c>
      <c r="AB231" s="7" t="e">
        <f>W231-#REF!</f>
        <v>#REF!</v>
      </c>
      <c r="AC231" s="12">
        <v>750</v>
      </c>
      <c r="AD231" s="12">
        <v>1</v>
      </c>
      <c r="AE231" s="12">
        <f t="shared" si="28"/>
        <v>0</v>
      </c>
      <c r="AF231" s="12">
        <f t="shared" si="29"/>
        <v>750</v>
      </c>
      <c r="AG231" s="13" t="s">
        <v>782</v>
      </c>
      <c r="AH231" s="13">
        <v>866940.64</v>
      </c>
      <c r="AI231" s="13">
        <v>383186.17</v>
      </c>
      <c r="AJ231" s="13">
        <f t="shared" si="30"/>
        <v>483754.47000000003</v>
      </c>
    </row>
    <row r="232" spans="1:36" s="1" customFormat="1" x14ac:dyDescent="0.25">
      <c r="A232">
        <v>786</v>
      </c>
      <c r="B232">
        <v>1</v>
      </c>
      <c r="C232">
        <f t="shared" si="31"/>
        <v>1</v>
      </c>
      <c r="D232" s="1" t="s">
        <v>255</v>
      </c>
      <c r="E232" s="7">
        <v>36841.100000000006</v>
      </c>
      <c r="F232" s="7">
        <v>16979.149999999994</v>
      </c>
      <c r="G232" s="7">
        <v>3239.9800000000032</v>
      </c>
      <c r="H232" s="7">
        <v>8660.5200000000041</v>
      </c>
      <c r="I232" s="7">
        <v>7472.7400000000198</v>
      </c>
      <c r="J232" s="7">
        <v>-6400.2100000000064</v>
      </c>
      <c r="K232" s="7">
        <v>6793.3999999999942</v>
      </c>
      <c r="L232" s="7">
        <v>8028.5400000000081</v>
      </c>
      <c r="M232" s="7">
        <v>5434.7200000000012</v>
      </c>
      <c r="N232" s="7">
        <v>6083.8099999999977</v>
      </c>
      <c r="O232" s="7">
        <v>6793.3999999999942</v>
      </c>
      <c r="P232" s="7">
        <v>4685.1199999999953</v>
      </c>
      <c r="Q232" s="7">
        <v>5434.7200000000012</v>
      </c>
      <c r="R232" s="7">
        <v>9832.9499999999825</v>
      </c>
      <c r="S232" s="7">
        <v>6793.3999999999942</v>
      </c>
      <c r="T232" s="7">
        <v>7375.6699999999983</v>
      </c>
      <c r="U232" s="7">
        <v>6793.4000000000087</v>
      </c>
      <c r="V232" s="7">
        <v>452.21000000000095</v>
      </c>
      <c r="W232" s="9">
        <f t="shared" si="26"/>
        <v>141294.61999999997</v>
      </c>
      <c r="X232" s="9">
        <v>112741.48</v>
      </c>
      <c r="Y232" s="9">
        <v>48819.79</v>
      </c>
      <c r="Z232" s="9">
        <v>63921.689999999995</v>
      </c>
      <c r="AA232" s="9">
        <f t="shared" si="27"/>
        <v>205216.30999999997</v>
      </c>
      <c r="AB232" s="7" t="e">
        <f>W232-#REF!</f>
        <v>#REF!</v>
      </c>
      <c r="AC232" s="12">
        <v>756</v>
      </c>
      <c r="AD232" s="12">
        <v>1</v>
      </c>
      <c r="AE232" s="12">
        <f t="shared" si="28"/>
        <v>0</v>
      </c>
      <c r="AF232" s="12">
        <f t="shared" si="29"/>
        <v>756</v>
      </c>
      <c r="AG232" s="13" t="s">
        <v>783</v>
      </c>
      <c r="AH232" s="13">
        <v>252793.28000000003</v>
      </c>
      <c r="AI232" s="13">
        <v>94249.55</v>
      </c>
      <c r="AJ232" s="13">
        <f t="shared" si="30"/>
        <v>158543.73000000004</v>
      </c>
    </row>
    <row r="233" spans="1:36" s="1" customFormat="1" x14ac:dyDescent="0.25">
      <c r="A233">
        <v>787</v>
      </c>
      <c r="B233">
        <v>1</v>
      </c>
      <c r="C233">
        <f t="shared" si="31"/>
        <v>1</v>
      </c>
      <c r="D233" s="1" t="s">
        <v>256</v>
      </c>
      <c r="E233" s="7">
        <v>57532.2</v>
      </c>
      <c r="F233" s="7">
        <v>5274.1499999999942</v>
      </c>
      <c r="G233" s="7">
        <v>-15334.829999999987</v>
      </c>
      <c r="H233" s="7">
        <v>5967.3999999999942</v>
      </c>
      <c r="I233" s="7">
        <v>7867.3099999999977</v>
      </c>
      <c r="J233" s="7">
        <v>3493.2200000000012</v>
      </c>
      <c r="K233" s="7">
        <v>7152.0899999999965</v>
      </c>
      <c r="L233" s="7">
        <v>6582.859999999986</v>
      </c>
      <c r="M233" s="7">
        <v>5721.679999999993</v>
      </c>
      <c r="N233" s="7">
        <v>6434.429999999993</v>
      </c>
      <c r="O233" s="7">
        <v>7296.3699999999953</v>
      </c>
      <c r="P233" s="7">
        <v>8318.4199999999837</v>
      </c>
      <c r="Q233" s="7">
        <v>5721.679999999993</v>
      </c>
      <c r="R233" s="7">
        <v>9910.4499999999825</v>
      </c>
      <c r="S233" s="7">
        <v>7152.1000000000058</v>
      </c>
      <c r="T233" s="7">
        <v>7323.4700000000012</v>
      </c>
      <c r="U233" s="7">
        <v>7152.1000000000058</v>
      </c>
      <c r="V233" s="7">
        <v>34.450000000000045</v>
      </c>
      <c r="W233" s="9">
        <f t="shared" si="26"/>
        <v>143599.54999999996</v>
      </c>
      <c r="X233" s="9">
        <v>66913.94</v>
      </c>
      <c r="Y233" s="9">
        <v>28448.44</v>
      </c>
      <c r="Z233" s="9">
        <v>38465.5</v>
      </c>
      <c r="AA233" s="9">
        <f t="shared" si="27"/>
        <v>182065.04999999996</v>
      </c>
      <c r="AB233" s="7" t="e">
        <f>W233-#REF!</f>
        <v>#REF!</v>
      </c>
      <c r="AC233" s="12">
        <v>761</v>
      </c>
      <c r="AD233" s="12">
        <v>1</v>
      </c>
      <c r="AE233" s="12">
        <f t="shared" si="28"/>
        <v>0</v>
      </c>
      <c r="AF233" s="12">
        <f t="shared" si="29"/>
        <v>761</v>
      </c>
      <c r="AG233" s="13" t="s">
        <v>784</v>
      </c>
      <c r="AH233" s="13">
        <v>2181422.83</v>
      </c>
      <c r="AI233" s="13">
        <v>858813.27999999991</v>
      </c>
      <c r="AJ233" s="13">
        <f t="shared" si="30"/>
        <v>1322609.5500000003</v>
      </c>
    </row>
    <row r="234" spans="1:36" s="1" customFormat="1" x14ac:dyDescent="0.25">
      <c r="A234">
        <v>801</v>
      </c>
      <c r="B234">
        <v>1</v>
      </c>
      <c r="C234">
        <f t="shared" si="31"/>
        <v>1</v>
      </c>
      <c r="D234" s="1" t="s">
        <v>257</v>
      </c>
      <c r="E234" s="7">
        <v>12963.629999999997</v>
      </c>
      <c r="F234" s="7">
        <v>1440.3999999999996</v>
      </c>
      <c r="G234" s="7">
        <v>1200.33</v>
      </c>
      <c r="H234" s="7">
        <v>1920.5400000000009</v>
      </c>
      <c r="I234" s="7">
        <v>2640.7300000000105</v>
      </c>
      <c r="J234" s="7">
        <v>1440.4100000000035</v>
      </c>
      <c r="K234" s="7">
        <v>2400.6600000000035</v>
      </c>
      <c r="L234" s="7">
        <v>1920.5400000000009</v>
      </c>
      <c r="M234" s="7">
        <v>1920.5400000000009</v>
      </c>
      <c r="N234" s="7">
        <v>2400.6700000000055</v>
      </c>
      <c r="O234" s="7">
        <v>2400.6700000000055</v>
      </c>
      <c r="P234" s="7">
        <v>2880.8000000000029</v>
      </c>
      <c r="Q234" s="7">
        <v>1920.5400000000009</v>
      </c>
      <c r="R234" s="7">
        <v>3360.9400000000023</v>
      </c>
      <c r="S234" s="7">
        <v>2400.6700000000055</v>
      </c>
      <c r="T234" s="7">
        <v>2400.6699999999983</v>
      </c>
      <c r="U234" s="7">
        <v>2400.6700000000019</v>
      </c>
      <c r="V234" s="7">
        <v>0</v>
      </c>
      <c r="W234" s="9">
        <f t="shared" si="26"/>
        <v>48013.410000000033</v>
      </c>
      <c r="X234" s="9">
        <v>25700.71</v>
      </c>
      <c r="Y234" s="9">
        <v>12215.77</v>
      </c>
      <c r="Z234" s="9">
        <v>13484.939999999999</v>
      </c>
      <c r="AA234" s="9">
        <f t="shared" si="27"/>
        <v>61498.350000000035</v>
      </c>
      <c r="AB234" s="7" t="e">
        <f>W234-#REF!</f>
        <v>#REF!</v>
      </c>
      <c r="AC234" s="12">
        <v>763</v>
      </c>
      <c r="AD234" s="12">
        <v>1</v>
      </c>
      <c r="AE234" s="12">
        <f t="shared" si="28"/>
        <v>0</v>
      </c>
      <c r="AF234" s="12">
        <f t="shared" si="29"/>
        <v>763</v>
      </c>
      <c r="AG234" s="13" t="s">
        <v>785</v>
      </c>
      <c r="AH234" s="13">
        <v>115495.73</v>
      </c>
      <c r="AI234" s="13">
        <v>54896.119999999995</v>
      </c>
      <c r="AJ234" s="13">
        <f t="shared" si="30"/>
        <v>60599.61</v>
      </c>
    </row>
    <row r="235" spans="1:36" s="1" customFormat="1" x14ac:dyDescent="0.25">
      <c r="A235">
        <v>803</v>
      </c>
      <c r="B235">
        <v>1</v>
      </c>
      <c r="C235">
        <f t="shared" si="31"/>
        <v>1</v>
      </c>
      <c r="D235" s="1" t="s">
        <v>258</v>
      </c>
      <c r="E235" s="7">
        <v>33460.679999999993</v>
      </c>
      <c r="F235" s="7">
        <v>3717.8599999999997</v>
      </c>
      <c r="G235" s="7">
        <v>0</v>
      </c>
      <c r="H235" s="7">
        <v>8055.34</v>
      </c>
      <c r="I235" s="7">
        <v>6816.070000000007</v>
      </c>
      <c r="J235" s="7">
        <v>3717.8500000000058</v>
      </c>
      <c r="K235" s="7">
        <v>6196.4199999999837</v>
      </c>
      <c r="L235" s="7">
        <v>4957.1499999999942</v>
      </c>
      <c r="M235" s="7">
        <v>4957.1299999999756</v>
      </c>
      <c r="N235" s="7">
        <v>6196.4199999999837</v>
      </c>
      <c r="O235" s="7">
        <v>6196.429999999993</v>
      </c>
      <c r="P235" s="7">
        <v>7435.6999999999825</v>
      </c>
      <c r="Q235" s="7">
        <v>4957.1399999999849</v>
      </c>
      <c r="R235" s="7">
        <v>8675</v>
      </c>
      <c r="S235" s="7">
        <v>6196.4100000000035</v>
      </c>
      <c r="T235" s="7">
        <v>6196.43</v>
      </c>
      <c r="U235" s="7">
        <v>6196.4199999999983</v>
      </c>
      <c r="V235" s="7">
        <v>0</v>
      </c>
      <c r="W235" s="9">
        <f t="shared" si="26"/>
        <v>123928.44999999991</v>
      </c>
      <c r="X235" s="9">
        <v>202895.63999999998</v>
      </c>
      <c r="Y235" s="9">
        <v>50440.81</v>
      </c>
      <c r="Z235" s="9">
        <v>152454.82999999999</v>
      </c>
      <c r="AA235" s="9">
        <f t="shared" si="27"/>
        <v>276383.27999999991</v>
      </c>
      <c r="AB235" s="7" t="e">
        <f>W235-#REF!</f>
        <v>#REF!</v>
      </c>
      <c r="AC235" s="12">
        <v>768</v>
      </c>
      <c r="AD235" s="12">
        <v>1</v>
      </c>
      <c r="AE235" s="12">
        <f t="shared" si="28"/>
        <v>0</v>
      </c>
      <c r="AF235" s="12">
        <f t="shared" si="29"/>
        <v>768</v>
      </c>
      <c r="AG235" s="13" t="s">
        <v>786</v>
      </c>
      <c r="AH235" s="13">
        <v>105437.51000000001</v>
      </c>
      <c r="AI235" s="13">
        <v>41238.300000000003</v>
      </c>
      <c r="AJ235" s="13">
        <f t="shared" si="30"/>
        <v>64199.210000000006</v>
      </c>
    </row>
    <row r="236" spans="1:36" s="1" customFormat="1" x14ac:dyDescent="0.25">
      <c r="A236">
        <v>811</v>
      </c>
      <c r="B236">
        <v>1</v>
      </c>
      <c r="C236">
        <f t="shared" si="31"/>
        <v>1</v>
      </c>
      <c r="D236" s="1" t="s">
        <v>259</v>
      </c>
      <c r="E236" s="7">
        <v>49519.790000000008</v>
      </c>
      <c r="F236" s="7">
        <v>686.6099999999999</v>
      </c>
      <c r="G236" s="7">
        <v>-3447.84</v>
      </c>
      <c r="H236" s="7">
        <v>10876.640000000001</v>
      </c>
      <c r="I236" s="7">
        <v>14890.52999999997</v>
      </c>
      <c r="J236" s="7">
        <v>4561.6300000000047</v>
      </c>
      <c r="K236" s="7">
        <v>8531.8399999999965</v>
      </c>
      <c r="L236" s="7">
        <v>7427.0499999999884</v>
      </c>
      <c r="M236" s="7">
        <v>6825.4700000000012</v>
      </c>
      <c r="N236" s="7">
        <v>8030.5400000000081</v>
      </c>
      <c r="O236" s="7">
        <v>8888.4400000000023</v>
      </c>
      <c r="P236" s="7">
        <v>10053.710000000021</v>
      </c>
      <c r="Q236" s="7">
        <v>6825.4800000000105</v>
      </c>
      <c r="R236" s="7">
        <v>11860.940000000002</v>
      </c>
      <c r="S236" s="7">
        <v>8531.8299999999872</v>
      </c>
      <c r="T236" s="7">
        <v>8663.619999999999</v>
      </c>
      <c r="U236" s="7">
        <v>8531.8400000000111</v>
      </c>
      <c r="V236" s="7">
        <v>24.060000000000059</v>
      </c>
      <c r="W236" s="9">
        <f t="shared" si="26"/>
        <v>171282.18</v>
      </c>
      <c r="X236" s="9">
        <v>361498.06</v>
      </c>
      <c r="Y236" s="9">
        <v>140859.33000000002</v>
      </c>
      <c r="Z236" s="9">
        <v>220638.72999999998</v>
      </c>
      <c r="AA236" s="9">
        <f t="shared" si="27"/>
        <v>391920.91</v>
      </c>
      <c r="AB236" s="7" t="e">
        <f>W236-#REF!</f>
        <v>#REF!</v>
      </c>
      <c r="AC236" s="12">
        <v>769</v>
      </c>
      <c r="AD236" s="12">
        <v>1</v>
      </c>
      <c r="AE236" s="12">
        <f t="shared" si="28"/>
        <v>2769</v>
      </c>
      <c r="AF236" s="12">
        <f t="shared" si="29"/>
        <v>2769</v>
      </c>
      <c r="AG236" s="13" t="s">
        <v>787</v>
      </c>
      <c r="AH236" s="13">
        <v>348800.44</v>
      </c>
      <c r="AI236" s="13">
        <v>111501.98000000001</v>
      </c>
      <c r="AJ236" s="13">
        <f t="shared" si="30"/>
        <v>237298.46</v>
      </c>
    </row>
    <row r="237" spans="1:36" s="1" customFormat="1" x14ac:dyDescent="0.25">
      <c r="A237">
        <v>813</v>
      </c>
      <c r="B237">
        <v>1</v>
      </c>
      <c r="C237">
        <f t="shared" si="31"/>
        <v>1</v>
      </c>
      <c r="D237" s="1" t="s">
        <v>260</v>
      </c>
      <c r="E237" s="7">
        <v>94149.169999999984</v>
      </c>
      <c r="F237" s="7">
        <v>1640.8199999999997</v>
      </c>
      <c r="G237" s="7">
        <v>-5850.88</v>
      </c>
      <c r="H237" s="7">
        <v>31478.12</v>
      </c>
      <c r="I237" s="7">
        <v>17986.690000000061</v>
      </c>
      <c r="J237" s="7">
        <v>8478.7300000000396</v>
      </c>
      <c r="K237" s="7">
        <v>16351.540000000037</v>
      </c>
      <c r="L237" s="7">
        <v>14518.860000000044</v>
      </c>
      <c r="M237" s="7">
        <v>13081.219999999972</v>
      </c>
      <c r="N237" s="7">
        <v>15153.510000000009</v>
      </c>
      <c r="O237" s="7">
        <v>16587.849999999977</v>
      </c>
      <c r="P237" s="7">
        <v>19180.969999999972</v>
      </c>
      <c r="Q237" s="7">
        <v>13081.23000000004</v>
      </c>
      <c r="R237" s="7">
        <v>22849.329999999958</v>
      </c>
      <c r="S237" s="7">
        <v>16351.539999999979</v>
      </c>
      <c r="T237" s="7">
        <v>16509.37</v>
      </c>
      <c r="U237" s="7">
        <v>16351.529999999999</v>
      </c>
      <c r="V237" s="7">
        <v>57.510000000000218</v>
      </c>
      <c r="W237" s="9">
        <f t="shared" si="26"/>
        <v>327957.1100000001</v>
      </c>
      <c r="X237" s="9">
        <v>775054.19000000006</v>
      </c>
      <c r="Y237" s="9">
        <v>368389.94999999995</v>
      </c>
      <c r="Z237" s="9">
        <v>406664.24000000011</v>
      </c>
      <c r="AA237" s="9">
        <f t="shared" si="27"/>
        <v>734621.35000000021</v>
      </c>
      <c r="AB237" s="7" t="e">
        <f>W237-#REF!</f>
        <v>#REF!</v>
      </c>
      <c r="AC237" s="12">
        <v>771</v>
      </c>
      <c r="AD237" s="12">
        <v>1</v>
      </c>
      <c r="AE237" s="12">
        <f t="shared" si="28"/>
        <v>0</v>
      </c>
      <c r="AF237" s="12">
        <f t="shared" si="29"/>
        <v>771</v>
      </c>
      <c r="AG237" s="13" t="s">
        <v>788</v>
      </c>
      <c r="AH237" s="13">
        <v>164106.48000000001</v>
      </c>
      <c r="AI237" s="13">
        <v>29997.609999999997</v>
      </c>
      <c r="AJ237" s="13">
        <f t="shared" si="30"/>
        <v>134108.87000000002</v>
      </c>
    </row>
    <row r="238" spans="1:36" s="1" customFormat="1" x14ac:dyDescent="0.25">
      <c r="A238">
        <v>815</v>
      </c>
      <c r="B238">
        <v>2</v>
      </c>
      <c r="C238">
        <v>1</v>
      </c>
      <c r="D238" s="1" t="s">
        <v>261</v>
      </c>
      <c r="E238" s="7">
        <v>24410.18</v>
      </c>
      <c r="F238" s="7">
        <v>0</v>
      </c>
      <c r="G238" s="7">
        <v>-24134.879999999997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367.05999999999949</v>
      </c>
      <c r="O238" s="7">
        <v>2169.8299999999981</v>
      </c>
      <c r="P238" s="7">
        <v>326.27999999999997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9">
        <f t="shared" si="26"/>
        <v>3138.4700000000003</v>
      </c>
      <c r="X238" s="9">
        <v>5216.0599999999995</v>
      </c>
      <c r="Y238" s="9">
        <v>2479.23</v>
      </c>
      <c r="Z238" s="9">
        <v>2736.8299999999995</v>
      </c>
      <c r="AA238" s="9">
        <f t="shared" si="27"/>
        <v>5875.2999999999993</v>
      </c>
      <c r="AB238" s="7" t="e">
        <f>W238-#REF!</f>
        <v>#REF!</v>
      </c>
      <c r="AC238" s="12">
        <v>775</v>
      </c>
      <c r="AD238" s="12">
        <v>1</v>
      </c>
      <c r="AE238" s="12">
        <f t="shared" si="28"/>
        <v>0</v>
      </c>
      <c r="AF238" s="12">
        <f t="shared" si="29"/>
        <v>775</v>
      </c>
      <c r="AG238" s="13" t="s">
        <v>789</v>
      </c>
      <c r="AH238" s="13">
        <v>171421.06</v>
      </c>
      <c r="AI238" s="13">
        <v>81477.91</v>
      </c>
      <c r="AJ238" s="13">
        <f t="shared" si="30"/>
        <v>89943.15</v>
      </c>
    </row>
    <row r="239" spans="1:36" s="1" customFormat="1" x14ac:dyDescent="0.25">
      <c r="A239">
        <v>818</v>
      </c>
      <c r="B239">
        <v>1</v>
      </c>
      <c r="C239">
        <f t="shared" ref="C239:C302" si="32">B239</f>
        <v>1</v>
      </c>
      <c r="D239" s="1" t="s">
        <v>262</v>
      </c>
      <c r="E239" s="7">
        <v>46841.94</v>
      </c>
      <c r="F239" s="7">
        <v>6866.3000000000029</v>
      </c>
      <c r="G239" s="7">
        <v>1825.820000000007</v>
      </c>
      <c r="H239" s="7">
        <v>7078.2799999999988</v>
      </c>
      <c r="I239" s="7">
        <v>9073.640000000014</v>
      </c>
      <c r="J239" s="7">
        <v>3392.7899999999936</v>
      </c>
      <c r="K239" s="7">
        <v>8248.7700000000186</v>
      </c>
      <c r="L239" s="7">
        <v>7360.6700000000128</v>
      </c>
      <c r="M239" s="7">
        <v>6599.0199999999895</v>
      </c>
      <c r="N239" s="7">
        <v>7767.070000000007</v>
      </c>
      <c r="O239" s="7">
        <v>8248.7799999999988</v>
      </c>
      <c r="P239" s="7">
        <v>9383.429999999993</v>
      </c>
      <c r="Q239" s="7">
        <v>6599.0199999999895</v>
      </c>
      <c r="R239" s="7">
        <v>11593.630000000005</v>
      </c>
      <c r="S239" s="7">
        <v>8248.7699999999895</v>
      </c>
      <c r="T239" s="7">
        <v>8337.8099999999977</v>
      </c>
      <c r="U239" s="7">
        <v>8248.7699999999895</v>
      </c>
      <c r="V239" s="7">
        <v>67.170000000000073</v>
      </c>
      <c r="W239" s="9">
        <f t="shared" si="26"/>
        <v>165781.68000000002</v>
      </c>
      <c r="X239" s="9">
        <v>78423.539999999994</v>
      </c>
      <c r="Y239" s="9">
        <v>32080.62</v>
      </c>
      <c r="Z239" s="9">
        <v>46342.92</v>
      </c>
      <c r="AA239" s="9">
        <f t="shared" si="27"/>
        <v>212124.60000000003</v>
      </c>
      <c r="AB239" s="7" t="e">
        <f>W239-#REF!</f>
        <v>#REF!</v>
      </c>
      <c r="AC239" s="12">
        <v>777</v>
      </c>
      <c r="AD239" s="12">
        <v>1</v>
      </c>
      <c r="AE239" s="12">
        <f t="shared" si="28"/>
        <v>0</v>
      </c>
      <c r="AF239" s="12">
        <f t="shared" si="29"/>
        <v>777</v>
      </c>
      <c r="AG239" s="13" t="s">
        <v>790</v>
      </c>
      <c r="AH239" s="13">
        <v>444372.22</v>
      </c>
      <c r="AI239" s="13">
        <v>180958.3</v>
      </c>
      <c r="AJ239" s="13">
        <f t="shared" si="30"/>
        <v>263413.92</v>
      </c>
    </row>
    <row r="240" spans="1:36" s="1" customFormat="1" x14ac:dyDescent="0.25">
      <c r="A240">
        <v>820</v>
      </c>
      <c r="B240">
        <v>1</v>
      </c>
      <c r="C240">
        <f t="shared" si="32"/>
        <v>1</v>
      </c>
      <c r="D240" s="1" t="s">
        <v>263</v>
      </c>
      <c r="E240" s="7">
        <v>43458.189999999988</v>
      </c>
      <c r="F240" s="7">
        <v>4828.6900000000023</v>
      </c>
      <c r="G240" s="7">
        <v>4023.9100000000035</v>
      </c>
      <c r="H240" s="7">
        <v>6438.2399999999907</v>
      </c>
      <c r="I240" s="7">
        <v>8852.5899999999965</v>
      </c>
      <c r="J240" s="7">
        <v>4828.6900000000023</v>
      </c>
      <c r="K240" s="7">
        <v>8047.820000000007</v>
      </c>
      <c r="L240" s="7">
        <v>6438.25</v>
      </c>
      <c r="M240" s="7">
        <v>6438.2599999999802</v>
      </c>
      <c r="N240" s="7">
        <v>8047.7999999999884</v>
      </c>
      <c r="O240" s="7">
        <v>8047.8199999999779</v>
      </c>
      <c r="P240" s="7">
        <v>9657.3800000000047</v>
      </c>
      <c r="Q240" s="7">
        <v>6438.2400000000198</v>
      </c>
      <c r="R240" s="7">
        <v>11266.940000000002</v>
      </c>
      <c r="S240" s="7">
        <v>8047.820000000007</v>
      </c>
      <c r="T240" s="7">
        <v>8047.7999999999884</v>
      </c>
      <c r="U240" s="7">
        <v>8047.8199999999924</v>
      </c>
      <c r="V240" s="7">
        <v>0</v>
      </c>
      <c r="W240" s="9">
        <f t="shared" si="26"/>
        <v>160956.25999999995</v>
      </c>
      <c r="X240" s="9">
        <v>149978.80000000002</v>
      </c>
      <c r="Y240" s="9">
        <v>62794.340000000004</v>
      </c>
      <c r="Z240" s="9">
        <v>87184.460000000021</v>
      </c>
      <c r="AA240" s="9">
        <f t="shared" si="27"/>
        <v>248140.71999999997</v>
      </c>
      <c r="AB240" s="7" t="e">
        <f>W240-#REF!</f>
        <v>#REF!</v>
      </c>
      <c r="AC240" s="12">
        <v>786</v>
      </c>
      <c r="AD240" s="12">
        <v>1</v>
      </c>
      <c r="AE240" s="12">
        <f t="shared" si="28"/>
        <v>0</v>
      </c>
      <c r="AF240" s="12">
        <f t="shared" si="29"/>
        <v>786</v>
      </c>
      <c r="AG240" s="13" t="s">
        <v>791</v>
      </c>
      <c r="AH240" s="13">
        <v>112741.48</v>
      </c>
      <c r="AI240" s="13">
        <v>48819.79</v>
      </c>
      <c r="AJ240" s="13">
        <f t="shared" si="30"/>
        <v>63921.689999999995</v>
      </c>
    </row>
    <row r="241" spans="1:36" s="1" customFormat="1" x14ac:dyDescent="0.25">
      <c r="A241">
        <v>821</v>
      </c>
      <c r="B241">
        <v>1</v>
      </c>
      <c r="C241">
        <f t="shared" si="32"/>
        <v>1</v>
      </c>
      <c r="D241" s="1" t="s">
        <v>264</v>
      </c>
      <c r="E241" s="7">
        <v>71514.200000000012</v>
      </c>
      <c r="F241" s="7">
        <v>9081.1800000000221</v>
      </c>
      <c r="G241" s="7">
        <v>6222.1499999999942</v>
      </c>
      <c r="H241" s="7">
        <v>10834.459999999992</v>
      </c>
      <c r="I241" s="7">
        <v>14493.209999999963</v>
      </c>
      <c r="J241" s="7">
        <v>6950.7600000000093</v>
      </c>
      <c r="K241" s="7">
        <v>13175.649999999965</v>
      </c>
      <c r="L241" s="7">
        <v>11570.710000000021</v>
      </c>
      <c r="M241" s="7">
        <v>10540.520000000019</v>
      </c>
      <c r="N241" s="7">
        <v>12317.169999999984</v>
      </c>
      <c r="O241" s="7">
        <v>13175.649999999965</v>
      </c>
      <c r="P241" s="7">
        <v>15494.849999999977</v>
      </c>
      <c r="Q241" s="7">
        <v>10540.530000000028</v>
      </c>
      <c r="R241" s="7">
        <v>18368.119999999995</v>
      </c>
      <c r="S241" s="7">
        <v>13175.649999999965</v>
      </c>
      <c r="T241" s="7">
        <v>13335.859999999986</v>
      </c>
      <c r="U241" s="7">
        <v>13175.649999999994</v>
      </c>
      <c r="V241" s="7">
        <v>41.220000000000027</v>
      </c>
      <c r="W241" s="9">
        <f t="shared" si="26"/>
        <v>264007.53999999986</v>
      </c>
      <c r="X241" s="9">
        <v>223156.41</v>
      </c>
      <c r="Y241" s="9">
        <v>106068.17</v>
      </c>
      <c r="Z241" s="9">
        <v>117088.24</v>
      </c>
      <c r="AA241" s="9">
        <f t="shared" si="27"/>
        <v>381095.77999999985</v>
      </c>
      <c r="AB241" s="7" t="e">
        <f>W241-#REF!</f>
        <v>#REF!</v>
      </c>
      <c r="AC241" s="12">
        <v>787</v>
      </c>
      <c r="AD241" s="12">
        <v>1</v>
      </c>
      <c r="AE241" s="12">
        <f t="shared" si="28"/>
        <v>0</v>
      </c>
      <c r="AF241" s="12">
        <f t="shared" si="29"/>
        <v>787</v>
      </c>
      <c r="AG241" s="13" t="s">
        <v>792</v>
      </c>
      <c r="AH241" s="13">
        <v>66913.94</v>
      </c>
      <c r="AI241" s="13">
        <v>28448.44</v>
      </c>
      <c r="AJ241" s="13">
        <f t="shared" si="30"/>
        <v>38465.5</v>
      </c>
    </row>
    <row r="242" spans="1:36" s="1" customFormat="1" x14ac:dyDescent="0.25">
      <c r="A242">
        <v>829</v>
      </c>
      <c r="B242">
        <v>1</v>
      </c>
      <c r="C242">
        <f t="shared" si="32"/>
        <v>1</v>
      </c>
      <c r="D242" s="1" t="s">
        <v>265</v>
      </c>
      <c r="E242" s="7">
        <v>169898.19</v>
      </c>
      <c r="F242" s="7">
        <v>19210.64</v>
      </c>
      <c r="G242" s="7">
        <v>-4519.8700000000008</v>
      </c>
      <c r="H242" s="7">
        <v>30170.169999999984</v>
      </c>
      <c r="I242" s="7">
        <v>32033.660000000033</v>
      </c>
      <c r="J242" s="7">
        <v>16061.979999999981</v>
      </c>
      <c r="K242" s="7">
        <v>29121.510000000009</v>
      </c>
      <c r="L242" s="7">
        <v>24819.75</v>
      </c>
      <c r="M242" s="7">
        <v>23297.20000000007</v>
      </c>
      <c r="N242" s="7">
        <v>27852.719999999972</v>
      </c>
      <c r="O242" s="7">
        <v>29685.29999999993</v>
      </c>
      <c r="P242" s="7">
        <v>34478.880000000005</v>
      </c>
      <c r="Q242" s="7">
        <v>23297.199999999953</v>
      </c>
      <c r="R242" s="7">
        <v>40739.770000000019</v>
      </c>
      <c r="S242" s="7">
        <v>29121.5</v>
      </c>
      <c r="T242" s="7">
        <v>29273.640000000014</v>
      </c>
      <c r="U242" s="7">
        <v>29121.5</v>
      </c>
      <c r="V242" s="7">
        <v>60.899999999999864</v>
      </c>
      <c r="W242" s="9">
        <f t="shared" si="26"/>
        <v>583724.64</v>
      </c>
      <c r="X242" s="9">
        <v>733438.85</v>
      </c>
      <c r="Y242" s="9">
        <v>297837.88</v>
      </c>
      <c r="Z242" s="9">
        <v>435600.97</v>
      </c>
      <c r="AA242" s="9">
        <f t="shared" si="27"/>
        <v>1019325.61</v>
      </c>
      <c r="AB242" s="7" t="e">
        <f>W242-#REF!</f>
        <v>#REF!</v>
      </c>
      <c r="AC242" s="12">
        <v>801</v>
      </c>
      <c r="AD242" s="12">
        <v>1</v>
      </c>
      <c r="AE242" s="12">
        <f t="shared" si="28"/>
        <v>0</v>
      </c>
      <c r="AF242" s="12">
        <f t="shared" si="29"/>
        <v>801</v>
      </c>
      <c r="AG242" s="13" t="s">
        <v>793</v>
      </c>
      <c r="AH242" s="13">
        <v>25700.71</v>
      </c>
      <c r="AI242" s="13">
        <v>12215.77</v>
      </c>
      <c r="AJ242" s="13">
        <f t="shared" si="30"/>
        <v>13484.939999999999</v>
      </c>
    </row>
    <row r="243" spans="1:36" s="1" customFormat="1" x14ac:dyDescent="0.25">
      <c r="A243">
        <v>831</v>
      </c>
      <c r="B243">
        <v>1</v>
      </c>
      <c r="C243">
        <f t="shared" si="32"/>
        <v>1</v>
      </c>
      <c r="D243" s="1" t="s">
        <v>266</v>
      </c>
      <c r="E243" s="7">
        <v>559435.48</v>
      </c>
      <c r="F243" s="7">
        <v>801.40999999999985</v>
      </c>
      <c r="G243" s="7">
        <v>-30038</v>
      </c>
      <c r="H243" s="7">
        <v>200.34000000000015</v>
      </c>
      <c r="I243" s="7">
        <v>294109.70999999996</v>
      </c>
      <c r="J243" s="7">
        <v>58171.209999999963</v>
      </c>
      <c r="K243" s="7">
        <v>98036.580000000075</v>
      </c>
      <c r="L243" s="7">
        <v>79131.280000000261</v>
      </c>
      <c r="M243" s="7">
        <v>78429.25</v>
      </c>
      <c r="N243" s="7">
        <v>97451.540000000037</v>
      </c>
      <c r="O243" s="7">
        <v>99440.880000000354</v>
      </c>
      <c r="P243" s="7">
        <v>117428.59000000032</v>
      </c>
      <c r="Q243" s="7">
        <v>78429.260000000242</v>
      </c>
      <c r="R243" s="7">
        <v>137279.29999999981</v>
      </c>
      <c r="S243" s="7">
        <v>294109.70999999996</v>
      </c>
      <c r="T243" s="7">
        <v>28.059999999999945</v>
      </c>
      <c r="U243" s="7">
        <v>0</v>
      </c>
      <c r="V243" s="7">
        <v>-42385.200000000004</v>
      </c>
      <c r="W243" s="9">
        <f t="shared" si="26"/>
        <v>1920059.4000000011</v>
      </c>
      <c r="X243" s="9">
        <v>5037381.5999999996</v>
      </c>
      <c r="Y243" s="9">
        <v>2187893.06</v>
      </c>
      <c r="Z243" s="9">
        <v>2849488.5399999996</v>
      </c>
      <c r="AA243" s="9">
        <f t="shared" si="27"/>
        <v>4769547.9400000004</v>
      </c>
      <c r="AB243" s="7" t="e">
        <f>W243-#REF!</f>
        <v>#REF!</v>
      </c>
      <c r="AC243" s="12">
        <v>803</v>
      </c>
      <c r="AD243" s="12">
        <v>1</v>
      </c>
      <c r="AE243" s="12">
        <f t="shared" si="28"/>
        <v>0</v>
      </c>
      <c r="AF243" s="12">
        <f t="shared" si="29"/>
        <v>803</v>
      </c>
      <c r="AG243" s="13" t="s">
        <v>794</v>
      </c>
      <c r="AH243" s="13">
        <v>202895.63999999998</v>
      </c>
      <c r="AI243" s="13">
        <v>50440.81</v>
      </c>
      <c r="AJ243" s="13">
        <f t="shared" si="30"/>
        <v>152454.82999999999</v>
      </c>
    </row>
    <row r="244" spans="1:36" s="1" customFormat="1" x14ac:dyDescent="0.25">
      <c r="A244">
        <v>832</v>
      </c>
      <c r="B244">
        <v>1</v>
      </c>
      <c r="C244">
        <f t="shared" si="32"/>
        <v>1</v>
      </c>
      <c r="D244" s="1" t="s">
        <v>267</v>
      </c>
      <c r="E244" s="7">
        <v>268667.74</v>
      </c>
      <c r="F244" s="7">
        <v>265.04999999999995</v>
      </c>
      <c r="G244" s="7">
        <v>-21052.720000000001</v>
      </c>
      <c r="H244" s="7">
        <v>66.269999999999982</v>
      </c>
      <c r="I244" s="7">
        <v>137563.89999999991</v>
      </c>
      <c r="J244" s="7">
        <v>27297.559999999939</v>
      </c>
      <c r="K244" s="7">
        <v>45854.639999999898</v>
      </c>
      <c r="L244" s="7">
        <v>36915.929999999935</v>
      </c>
      <c r="M244" s="7">
        <v>36683.700000000186</v>
      </c>
      <c r="N244" s="7">
        <v>45661.119999999879</v>
      </c>
      <c r="O244" s="7">
        <v>46552.739999999991</v>
      </c>
      <c r="P244" s="7">
        <v>54954.339999999851</v>
      </c>
      <c r="Q244" s="7">
        <v>36683.699999999953</v>
      </c>
      <c r="R244" s="7">
        <v>64205.789999999804</v>
      </c>
      <c r="S244" s="7">
        <v>137563.90000000014</v>
      </c>
      <c r="T244" s="7">
        <v>9.2800000000000011</v>
      </c>
      <c r="U244" s="7">
        <v>0</v>
      </c>
      <c r="V244" s="7">
        <v>-22754.7</v>
      </c>
      <c r="W244" s="9">
        <f t="shared" si="26"/>
        <v>895138.23999999953</v>
      </c>
      <c r="X244" s="9">
        <v>2465120.4700000002</v>
      </c>
      <c r="Y244" s="9">
        <v>1052137.93</v>
      </c>
      <c r="Z244" s="9">
        <v>1412982.5400000003</v>
      </c>
      <c r="AA244" s="9">
        <f t="shared" si="27"/>
        <v>2308120.7799999998</v>
      </c>
      <c r="AB244" s="7" t="e">
        <f>W244-#REF!</f>
        <v>#REF!</v>
      </c>
      <c r="AC244" s="12">
        <v>811</v>
      </c>
      <c r="AD244" s="12">
        <v>1</v>
      </c>
      <c r="AE244" s="12">
        <f t="shared" si="28"/>
        <v>0</v>
      </c>
      <c r="AF244" s="12">
        <f t="shared" si="29"/>
        <v>811</v>
      </c>
      <c r="AG244" s="13" t="s">
        <v>795</v>
      </c>
      <c r="AH244" s="13">
        <v>361498.06</v>
      </c>
      <c r="AI244" s="13">
        <v>140859.33000000002</v>
      </c>
      <c r="AJ244" s="13">
        <f t="shared" si="30"/>
        <v>220638.72999999998</v>
      </c>
    </row>
    <row r="245" spans="1:36" s="1" customFormat="1" x14ac:dyDescent="0.25">
      <c r="A245">
        <v>833</v>
      </c>
      <c r="B245">
        <v>1</v>
      </c>
      <c r="C245">
        <f t="shared" si="32"/>
        <v>1</v>
      </c>
      <c r="D245" s="1" t="s">
        <v>268</v>
      </c>
      <c r="E245" s="7">
        <v>1308154.2399999998</v>
      </c>
      <c r="F245" s="7">
        <v>450.38</v>
      </c>
      <c r="G245" s="7">
        <v>-11127.119999999995</v>
      </c>
      <c r="H245" s="7">
        <v>112.61000000000058</v>
      </c>
      <c r="I245" s="7">
        <v>720570.62000000011</v>
      </c>
      <c r="J245" s="7">
        <v>143748.43999999948</v>
      </c>
      <c r="K245" s="7">
        <v>240190.20999999996</v>
      </c>
      <c r="L245" s="7">
        <v>192546.77000000048</v>
      </c>
      <c r="M245" s="7">
        <v>192152.16999999993</v>
      </c>
      <c r="N245" s="7">
        <v>239861.37000000011</v>
      </c>
      <c r="O245" s="7">
        <v>249255.43000000063</v>
      </c>
      <c r="P245" s="7">
        <v>288107.22000000067</v>
      </c>
      <c r="Q245" s="7">
        <v>192152.16999999993</v>
      </c>
      <c r="R245" s="7">
        <v>336282.0700000003</v>
      </c>
      <c r="S245" s="7">
        <v>530962.3900000006</v>
      </c>
      <c r="T245" s="7">
        <v>15.79000000000002</v>
      </c>
      <c r="U245" s="7">
        <v>189608.22999999998</v>
      </c>
      <c r="V245" s="7">
        <v>-208764.76</v>
      </c>
      <c r="W245" s="9">
        <f t="shared" si="26"/>
        <v>4604278.2300000023</v>
      </c>
      <c r="X245" s="9">
        <v>10581402.74</v>
      </c>
      <c r="Y245" s="9">
        <v>4157450.29</v>
      </c>
      <c r="Z245" s="9">
        <v>6423952.4500000002</v>
      </c>
      <c r="AA245" s="9">
        <f t="shared" si="27"/>
        <v>11028230.680000003</v>
      </c>
      <c r="AB245" s="7" t="e">
        <f>W245-#REF!</f>
        <v>#REF!</v>
      </c>
      <c r="AC245" s="12">
        <v>813</v>
      </c>
      <c r="AD245" s="12">
        <v>1</v>
      </c>
      <c r="AE245" s="12">
        <f t="shared" si="28"/>
        <v>0</v>
      </c>
      <c r="AF245" s="12">
        <f t="shared" si="29"/>
        <v>813</v>
      </c>
      <c r="AG245" s="13" t="s">
        <v>796</v>
      </c>
      <c r="AH245" s="13">
        <v>775054.19000000006</v>
      </c>
      <c r="AI245" s="13">
        <v>368389.94999999995</v>
      </c>
      <c r="AJ245" s="13">
        <f t="shared" si="30"/>
        <v>406664.24000000011</v>
      </c>
    </row>
    <row r="246" spans="1:36" s="1" customFormat="1" x14ac:dyDescent="0.25">
      <c r="A246">
        <v>834</v>
      </c>
      <c r="B246">
        <v>1</v>
      </c>
      <c r="C246">
        <f t="shared" si="32"/>
        <v>1</v>
      </c>
      <c r="D246" s="1" t="s">
        <v>269</v>
      </c>
      <c r="E246" s="7">
        <v>635818.40999999968</v>
      </c>
      <c r="F246" s="7">
        <v>925.73000000000013</v>
      </c>
      <c r="G246" s="7">
        <v>-20948.240000000002</v>
      </c>
      <c r="H246" s="7">
        <v>231.42999999999847</v>
      </c>
      <c r="I246" s="7">
        <v>341594.54000000004</v>
      </c>
      <c r="J246" s="7">
        <v>67567.280000000261</v>
      </c>
      <c r="K246" s="7">
        <v>113864.85000000009</v>
      </c>
      <c r="L246" s="7">
        <v>91902.950000000186</v>
      </c>
      <c r="M246" s="7">
        <v>91091.869999999646</v>
      </c>
      <c r="N246" s="7">
        <v>113188.95999999996</v>
      </c>
      <c r="O246" s="7">
        <v>117077.90999999968</v>
      </c>
      <c r="P246" s="7">
        <v>136389.08000000007</v>
      </c>
      <c r="Q246" s="7">
        <v>91091.879999999888</v>
      </c>
      <c r="R246" s="7">
        <v>159443.21999999974</v>
      </c>
      <c r="S246" s="7">
        <v>341590.79000000004</v>
      </c>
      <c r="T246" s="7">
        <v>32.450000000000045</v>
      </c>
      <c r="U246" s="7">
        <v>0</v>
      </c>
      <c r="V246" s="7">
        <v>-61987.060000000005</v>
      </c>
      <c r="W246" s="9">
        <f t="shared" si="26"/>
        <v>2218876.0499999993</v>
      </c>
      <c r="X246" s="9">
        <v>8672508.4600000009</v>
      </c>
      <c r="Y246" s="9">
        <v>3261720.0100000002</v>
      </c>
      <c r="Z246" s="9">
        <v>5410788.4500000011</v>
      </c>
      <c r="AA246" s="9">
        <f t="shared" si="27"/>
        <v>7629664.5</v>
      </c>
      <c r="AB246" s="7" t="e">
        <f>W246-#REF!</f>
        <v>#REF!</v>
      </c>
      <c r="AC246" s="12">
        <v>815</v>
      </c>
      <c r="AD246" s="12">
        <v>2</v>
      </c>
      <c r="AE246" s="12">
        <f t="shared" si="28"/>
        <v>0</v>
      </c>
      <c r="AF246" s="12">
        <f t="shared" si="29"/>
        <v>815</v>
      </c>
      <c r="AG246" s="13" t="s">
        <v>797</v>
      </c>
      <c r="AH246" s="13">
        <v>5216.0599999999995</v>
      </c>
      <c r="AI246" s="13">
        <v>2479.23</v>
      </c>
      <c r="AJ246" s="13">
        <f t="shared" si="30"/>
        <v>2736.8299999999995</v>
      </c>
    </row>
    <row r="247" spans="1:36" s="1" customFormat="1" x14ac:dyDescent="0.25">
      <c r="A247">
        <v>836</v>
      </c>
      <c r="B247">
        <v>1</v>
      </c>
      <c r="C247">
        <f t="shared" si="32"/>
        <v>1</v>
      </c>
      <c r="D247" s="1" t="s">
        <v>270</v>
      </c>
      <c r="E247" s="7">
        <v>21889.019999999997</v>
      </c>
      <c r="F247" s="7">
        <v>2426.2999999999956</v>
      </c>
      <c r="G247" s="7">
        <v>1969.6800000000003</v>
      </c>
      <c r="H247" s="7">
        <v>0</v>
      </c>
      <c r="I247" s="7">
        <v>7683.3100000000122</v>
      </c>
      <c r="J247" s="7">
        <v>2426.3099999999977</v>
      </c>
      <c r="K247" s="7">
        <v>4043.8500000000058</v>
      </c>
      <c r="L247" s="7">
        <v>3235.0699999999924</v>
      </c>
      <c r="M247" s="7">
        <v>3235.0800000000017</v>
      </c>
      <c r="N247" s="7">
        <v>4043.8399999999965</v>
      </c>
      <c r="O247" s="7">
        <v>4043.8499999999913</v>
      </c>
      <c r="P247" s="7">
        <v>4852.6199999999953</v>
      </c>
      <c r="Q247" s="7">
        <v>3235.0699999999924</v>
      </c>
      <c r="R247" s="7">
        <v>5661.3899999999849</v>
      </c>
      <c r="S247" s="7">
        <v>4043.8500000000058</v>
      </c>
      <c r="T247" s="7">
        <v>4043.84</v>
      </c>
      <c r="U247" s="7">
        <v>4043.8499999999985</v>
      </c>
      <c r="V247" s="7">
        <v>-2781.84</v>
      </c>
      <c r="W247" s="9">
        <f t="shared" si="26"/>
        <v>78095.089999999967</v>
      </c>
      <c r="X247" s="9">
        <v>104548.29</v>
      </c>
      <c r="Y247" s="9">
        <v>49692.71</v>
      </c>
      <c r="Z247" s="9">
        <v>54855.579999999994</v>
      </c>
      <c r="AA247" s="9">
        <f t="shared" si="27"/>
        <v>132950.66999999995</v>
      </c>
      <c r="AB247" s="7" t="e">
        <f>W247-#REF!</f>
        <v>#REF!</v>
      </c>
      <c r="AC247" s="12">
        <v>818</v>
      </c>
      <c r="AD247" s="12">
        <v>1</v>
      </c>
      <c r="AE247" s="12">
        <f t="shared" si="28"/>
        <v>0</v>
      </c>
      <c r="AF247" s="12">
        <f t="shared" si="29"/>
        <v>818</v>
      </c>
      <c r="AG247" s="13" t="s">
        <v>798</v>
      </c>
      <c r="AH247" s="13">
        <v>78423.539999999994</v>
      </c>
      <c r="AI247" s="13">
        <v>32080.62</v>
      </c>
      <c r="AJ247" s="13">
        <f t="shared" si="30"/>
        <v>46342.92</v>
      </c>
    </row>
    <row r="248" spans="1:36" s="1" customFormat="1" x14ac:dyDescent="0.25">
      <c r="A248">
        <v>837</v>
      </c>
      <c r="B248">
        <v>1</v>
      </c>
      <c r="C248">
        <f t="shared" si="32"/>
        <v>1</v>
      </c>
      <c r="D248" s="1" t="s">
        <v>271</v>
      </c>
      <c r="E248" s="7">
        <v>53889.51999999999</v>
      </c>
      <c r="F248" s="7">
        <v>6121.93</v>
      </c>
      <c r="G248" s="7">
        <v>-7783.76</v>
      </c>
      <c r="H248" s="7">
        <v>11349.29</v>
      </c>
      <c r="I248" s="7">
        <v>9391.9200000000419</v>
      </c>
      <c r="J248" s="7">
        <v>4311.7200000000012</v>
      </c>
      <c r="K248" s="7">
        <v>8538.109999999986</v>
      </c>
      <c r="L248" s="7">
        <v>7705.8099999999977</v>
      </c>
      <c r="M248" s="7">
        <v>6830.4800000000105</v>
      </c>
      <c r="N248" s="7">
        <v>7808.6600000000035</v>
      </c>
      <c r="O248" s="7">
        <v>8678.8699999999953</v>
      </c>
      <c r="P248" s="7">
        <v>9977.2700000000186</v>
      </c>
      <c r="Q248" s="7">
        <v>6830.4899999999907</v>
      </c>
      <c r="R248" s="7">
        <v>11969.390000000014</v>
      </c>
      <c r="S248" s="7">
        <v>8538.1000000000058</v>
      </c>
      <c r="T248" s="7">
        <v>8592.0900000000038</v>
      </c>
      <c r="U248" s="7">
        <v>8538.11</v>
      </c>
      <c r="V248" s="7">
        <v>-7506.1900000000005</v>
      </c>
      <c r="W248" s="9">
        <f t="shared" si="26"/>
        <v>163781.81000000006</v>
      </c>
      <c r="X248" s="9">
        <v>286832.88</v>
      </c>
      <c r="Y248" s="9">
        <v>95033.159999999989</v>
      </c>
      <c r="Z248" s="9">
        <v>191799.72000000003</v>
      </c>
      <c r="AA248" s="9">
        <f t="shared" si="27"/>
        <v>355581.53000000009</v>
      </c>
      <c r="AB248" s="7" t="e">
        <f>W248-#REF!</f>
        <v>#REF!</v>
      </c>
      <c r="AC248" s="12">
        <v>820</v>
      </c>
      <c r="AD248" s="12">
        <v>1</v>
      </c>
      <c r="AE248" s="12">
        <f t="shared" si="28"/>
        <v>0</v>
      </c>
      <c r="AF248" s="12">
        <f t="shared" si="29"/>
        <v>820</v>
      </c>
      <c r="AG248" s="13" t="s">
        <v>799</v>
      </c>
      <c r="AH248" s="13">
        <v>149978.80000000002</v>
      </c>
      <c r="AI248" s="13">
        <v>62794.340000000004</v>
      </c>
      <c r="AJ248" s="13">
        <f t="shared" si="30"/>
        <v>87184.460000000021</v>
      </c>
    </row>
    <row r="249" spans="1:36" s="1" customFormat="1" x14ac:dyDescent="0.25">
      <c r="A249">
        <v>840</v>
      </c>
      <c r="B249">
        <v>1</v>
      </c>
      <c r="C249">
        <f t="shared" si="32"/>
        <v>1</v>
      </c>
      <c r="D249" s="1" t="s">
        <v>272</v>
      </c>
      <c r="E249" s="7">
        <v>88052.32</v>
      </c>
      <c r="F249" s="7">
        <v>10284.720000000001</v>
      </c>
      <c r="G249" s="7">
        <v>8153</v>
      </c>
      <c r="H249" s="7">
        <v>13170.069999999992</v>
      </c>
      <c r="I249" s="7">
        <v>17936.589999999967</v>
      </c>
      <c r="J249" s="7">
        <v>9376.710000000021</v>
      </c>
      <c r="K249" s="7">
        <v>16305.989999999991</v>
      </c>
      <c r="L249" s="7">
        <v>13483.859999999986</v>
      </c>
      <c r="M249" s="7">
        <v>13044.780000000028</v>
      </c>
      <c r="N249" s="7">
        <v>15940.089999999967</v>
      </c>
      <c r="O249" s="7">
        <v>16482.219999999972</v>
      </c>
      <c r="P249" s="7">
        <v>19432.529999999912</v>
      </c>
      <c r="Q249" s="7">
        <v>13044.799999999988</v>
      </c>
      <c r="R249" s="7">
        <v>22822.390000000014</v>
      </c>
      <c r="S249" s="7">
        <v>16305.98000000004</v>
      </c>
      <c r="T249" s="7">
        <v>16347.099999999991</v>
      </c>
      <c r="U249" s="7">
        <v>16305.98000000001</v>
      </c>
      <c r="V249" s="7">
        <v>-15024.26</v>
      </c>
      <c r="W249" s="9">
        <f t="shared" si="26"/>
        <v>311464.86999999988</v>
      </c>
      <c r="X249" s="9">
        <v>521228.67000000004</v>
      </c>
      <c r="Y249" s="9">
        <v>212647.86000000002</v>
      </c>
      <c r="Z249" s="9">
        <v>308580.81000000006</v>
      </c>
      <c r="AA249" s="9">
        <f t="shared" si="27"/>
        <v>620045.67999999993</v>
      </c>
      <c r="AB249" s="7" t="e">
        <f>W249-#REF!</f>
        <v>#REF!</v>
      </c>
      <c r="AC249" s="12">
        <v>821</v>
      </c>
      <c r="AD249" s="12">
        <v>1</v>
      </c>
      <c r="AE249" s="12">
        <f t="shared" si="28"/>
        <v>0</v>
      </c>
      <c r="AF249" s="12">
        <f t="shared" si="29"/>
        <v>821</v>
      </c>
      <c r="AG249" s="13" t="s">
        <v>800</v>
      </c>
      <c r="AH249" s="13">
        <v>223156.41</v>
      </c>
      <c r="AI249" s="13">
        <v>106068.17</v>
      </c>
      <c r="AJ249" s="13">
        <f t="shared" si="30"/>
        <v>117088.24</v>
      </c>
    </row>
    <row r="250" spans="1:36" s="1" customFormat="1" x14ac:dyDescent="0.25">
      <c r="A250">
        <v>846</v>
      </c>
      <c r="B250">
        <v>1</v>
      </c>
      <c r="C250">
        <f t="shared" si="32"/>
        <v>1</v>
      </c>
      <c r="D250" s="1" t="s">
        <v>273</v>
      </c>
      <c r="E250" s="7">
        <v>97076.12999999999</v>
      </c>
      <c r="F250" s="7">
        <v>7629.2299999999959</v>
      </c>
      <c r="G250" s="7">
        <v>-34789.549999999996</v>
      </c>
      <c r="H250" s="7">
        <v>8769.39</v>
      </c>
      <c r="I250" s="7">
        <v>11612.739999999991</v>
      </c>
      <c r="J250" s="7">
        <v>5282.7900000000081</v>
      </c>
      <c r="K250" s="7">
        <v>10557.049999999988</v>
      </c>
      <c r="L250" s="7">
        <v>9580.2799999999988</v>
      </c>
      <c r="M250" s="7">
        <v>8445.640000000014</v>
      </c>
      <c r="N250" s="7">
        <v>9611.5</v>
      </c>
      <c r="O250" s="7">
        <v>11311.709999999963</v>
      </c>
      <c r="P250" s="7">
        <v>12320.509999999951</v>
      </c>
      <c r="Q250" s="7">
        <v>8445.6299999999756</v>
      </c>
      <c r="R250" s="7">
        <v>14654.200000000012</v>
      </c>
      <c r="S250" s="7">
        <v>10557.049999999988</v>
      </c>
      <c r="T250" s="7">
        <v>10773.48000000001</v>
      </c>
      <c r="U250" s="7">
        <v>10557.049999999988</v>
      </c>
      <c r="V250" s="7">
        <v>45.3900000000001</v>
      </c>
      <c r="W250" s="9">
        <f t="shared" si="26"/>
        <v>212440.21999999991</v>
      </c>
      <c r="X250" s="9">
        <v>389419.61000000004</v>
      </c>
      <c r="Y250" s="9">
        <v>175314.76</v>
      </c>
      <c r="Z250" s="9">
        <v>214104.85000000003</v>
      </c>
      <c r="AA250" s="9">
        <f t="shared" si="27"/>
        <v>426545.06999999995</v>
      </c>
      <c r="AB250" s="7" t="e">
        <f>W250-#REF!</f>
        <v>#REF!</v>
      </c>
      <c r="AC250" s="12">
        <v>829</v>
      </c>
      <c r="AD250" s="12">
        <v>1</v>
      </c>
      <c r="AE250" s="12">
        <f t="shared" si="28"/>
        <v>0</v>
      </c>
      <c r="AF250" s="12">
        <f t="shared" si="29"/>
        <v>829</v>
      </c>
      <c r="AG250" s="13" t="s">
        <v>801</v>
      </c>
      <c r="AH250" s="13">
        <v>733438.85</v>
      </c>
      <c r="AI250" s="13">
        <v>297837.88</v>
      </c>
      <c r="AJ250" s="13">
        <f t="shared" si="30"/>
        <v>435600.97</v>
      </c>
    </row>
    <row r="251" spans="1:36" s="1" customFormat="1" x14ac:dyDescent="0.25">
      <c r="A251">
        <v>850</v>
      </c>
      <c r="B251">
        <v>1</v>
      </c>
      <c r="C251">
        <f t="shared" si="32"/>
        <v>1</v>
      </c>
      <c r="D251" s="1" t="s">
        <v>274</v>
      </c>
      <c r="E251" s="7">
        <v>22705.4</v>
      </c>
      <c r="F251" s="7">
        <v>0</v>
      </c>
      <c r="G251" s="7">
        <v>0</v>
      </c>
      <c r="H251" s="7">
        <v>0</v>
      </c>
      <c r="I251" s="7">
        <v>12614.11</v>
      </c>
      <c r="J251" s="7">
        <v>2522.820000000007</v>
      </c>
      <c r="K251" s="7">
        <v>4204.7000000000116</v>
      </c>
      <c r="L251" s="7">
        <v>3363.7700000000041</v>
      </c>
      <c r="M251" s="7">
        <v>3363.7599999999948</v>
      </c>
      <c r="N251" s="7">
        <v>4204.7000000000116</v>
      </c>
      <c r="O251" s="7">
        <v>4204.7099999999919</v>
      </c>
      <c r="P251" s="7">
        <v>5045.640000000014</v>
      </c>
      <c r="Q251" s="7">
        <v>3363.7599999999948</v>
      </c>
      <c r="R251" s="7">
        <v>5886.5899999999965</v>
      </c>
      <c r="S251" s="7">
        <v>12614.11</v>
      </c>
      <c r="T251" s="7">
        <v>0</v>
      </c>
      <c r="U251" s="7">
        <v>0</v>
      </c>
      <c r="V251" s="7">
        <v>0</v>
      </c>
      <c r="W251" s="9">
        <f t="shared" si="26"/>
        <v>84094.070000000022</v>
      </c>
      <c r="X251" s="9">
        <v>207077.9</v>
      </c>
      <c r="Y251" s="9">
        <v>61416.929999999993</v>
      </c>
      <c r="Z251" s="9">
        <v>145660.97</v>
      </c>
      <c r="AA251" s="9">
        <f t="shared" si="27"/>
        <v>229755.04000000004</v>
      </c>
      <c r="AB251" s="7" t="e">
        <f>W251-#REF!</f>
        <v>#REF!</v>
      </c>
      <c r="AC251" s="12">
        <v>831</v>
      </c>
      <c r="AD251" s="12">
        <v>1</v>
      </c>
      <c r="AE251" s="12">
        <f t="shared" si="28"/>
        <v>0</v>
      </c>
      <c r="AF251" s="12">
        <f t="shared" si="29"/>
        <v>831</v>
      </c>
      <c r="AG251" s="13" t="s">
        <v>802</v>
      </c>
      <c r="AH251" s="13">
        <v>5037381.5999999996</v>
      </c>
      <c r="AI251" s="13">
        <v>2187893.06</v>
      </c>
      <c r="AJ251" s="13">
        <f t="shared" si="30"/>
        <v>2849488.5399999996</v>
      </c>
    </row>
    <row r="252" spans="1:36" s="1" customFormat="1" x14ac:dyDescent="0.25">
      <c r="A252">
        <v>852</v>
      </c>
      <c r="B252">
        <v>1</v>
      </c>
      <c r="C252">
        <f t="shared" si="32"/>
        <v>1</v>
      </c>
      <c r="D252" s="1" t="s">
        <v>275</v>
      </c>
      <c r="E252" s="7">
        <v>16197.800000000003</v>
      </c>
      <c r="F252" s="7">
        <v>608.56999999999994</v>
      </c>
      <c r="G252" s="7">
        <v>-1723.92</v>
      </c>
      <c r="H252" s="7">
        <v>41.31</v>
      </c>
      <c r="I252" s="7">
        <v>7597.75</v>
      </c>
      <c r="J252" s="7">
        <v>1474.0400000000009</v>
      </c>
      <c r="K252" s="7">
        <v>2680.3399999999965</v>
      </c>
      <c r="L252" s="7">
        <v>2289.0899999999965</v>
      </c>
      <c r="M252" s="7">
        <v>2144.2799999999988</v>
      </c>
      <c r="N252" s="7">
        <v>2559.6800000000076</v>
      </c>
      <c r="O252" s="7">
        <v>2680.3399999999965</v>
      </c>
      <c r="P252" s="7">
        <v>3172.0099999999948</v>
      </c>
      <c r="Q252" s="7">
        <v>2144.2799999999988</v>
      </c>
      <c r="R252" s="7">
        <v>3755.9199999999983</v>
      </c>
      <c r="S252" s="7">
        <v>8041.0500000000029</v>
      </c>
      <c r="T252" s="7">
        <v>8.1300000000000239</v>
      </c>
      <c r="U252" s="7">
        <v>0</v>
      </c>
      <c r="V252" s="7">
        <v>5.789999999999992</v>
      </c>
      <c r="W252" s="9">
        <f t="shared" si="26"/>
        <v>53676.459999999992</v>
      </c>
      <c r="X252" s="9">
        <v>82759.969999999987</v>
      </c>
      <c r="Y252" s="9">
        <v>33762.19</v>
      </c>
      <c r="Z252" s="9">
        <v>48997.779999999984</v>
      </c>
      <c r="AA252" s="9">
        <f t="shared" si="27"/>
        <v>102674.23999999998</v>
      </c>
      <c r="AB252" s="7" t="e">
        <f>W252-#REF!</f>
        <v>#REF!</v>
      </c>
      <c r="AC252" s="12">
        <v>832</v>
      </c>
      <c r="AD252" s="12">
        <v>1</v>
      </c>
      <c r="AE252" s="12">
        <f t="shared" si="28"/>
        <v>0</v>
      </c>
      <c r="AF252" s="12">
        <f t="shared" si="29"/>
        <v>832</v>
      </c>
      <c r="AG252" s="13" t="s">
        <v>803</v>
      </c>
      <c r="AH252" s="13">
        <v>2465120.4700000002</v>
      </c>
      <c r="AI252" s="13">
        <v>1052137.93</v>
      </c>
      <c r="AJ252" s="13">
        <f t="shared" si="30"/>
        <v>1412982.5400000003</v>
      </c>
    </row>
    <row r="253" spans="1:36" s="1" customFormat="1" x14ac:dyDescent="0.25">
      <c r="A253">
        <v>857</v>
      </c>
      <c r="B253">
        <v>1</v>
      </c>
      <c r="C253">
        <f t="shared" si="32"/>
        <v>1</v>
      </c>
      <c r="D253" s="1" t="s">
        <v>276</v>
      </c>
      <c r="E253" s="7">
        <v>63418.25</v>
      </c>
      <c r="F253" s="7">
        <v>7946.9099999999889</v>
      </c>
      <c r="G253" s="7">
        <v>3018.2200000000012</v>
      </c>
      <c r="H253" s="7">
        <v>9306</v>
      </c>
      <c r="I253" s="7">
        <v>12386.460000000021</v>
      </c>
      <c r="J253" s="7">
        <v>5789.5299999999988</v>
      </c>
      <c r="K253" s="7">
        <v>11260.419999999984</v>
      </c>
      <c r="L253" s="7">
        <v>10051.550000000017</v>
      </c>
      <c r="M253" s="7">
        <v>9008.3299999999872</v>
      </c>
      <c r="N253" s="7">
        <v>10391.070000000007</v>
      </c>
      <c r="O253" s="7">
        <v>12380.5</v>
      </c>
      <c r="P253" s="7">
        <v>13192.589999999967</v>
      </c>
      <c r="Q253" s="7">
        <v>9008.3299999999872</v>
      </c>
      <c r="R253" s="7">
        <v>15806.320000000007</v>
      </c>
      <c r="S253" s="7">
        <v>11260.419999999984</v>
      </c>
      <c r="T253" s="7">
        <v>11302.139999999985</v>
      </c>
      <c r="U253" s="7">
        <v>11260.420000000013</v>
      </c>
      <c r="V253" s="7">
        <v>41.740000000000009</v>
      </c>
      <c r="W253" s="9">
        <f t="shared" si="26"/>
        <v>226829.19999999992</v>
      </c>
      <c r="X253" s="9">
        <v>278525.42</v>
      </c>
      <c r="Y253" s="9">
        <v>132385.54</v>
      </c>
      <c r="Z253" s="9">
        <v>146139.87999999998</v>
      </c>
      <c r="AA253" s="9">
        <f t="shared" si="27"/>
        <v>372969.0799999999</v>
      </c>
      <c r="AB253" s="7" t="e">
        <f>W253-#REF!</f>
        <v>#REF!</v>
      </c>
      <c r="AC253" s="12">
        <v>833</v>
      </c>
      <c r="AD253" s="12">
        <v>1</v>
      </c>
      <c r="AE253" s="12">
        <f t="shared" si="28"/>
        <v>0</v>
      </c>
      <c r="AF253" s="12">
        <f t="shared" si="29"/>
        <v>833</v>
      </c>
      <c r="AG253" s="13" t="s">
        <v>804</v>
      </c>
      <c r="AH253" s="13">
        <v>10581402.74</v>
      </c>
      <c r="AI253" s="13">
        <v>4157450.29</v>
      </c>
      <c r="AJ253" s="13">
        <f t="shared" si="30"/>
        <v>6423952.4500000002</v>
      </c>
    </row>
    <row r="254" spans="1:36" s="1" customFormat="1" x14ac:dyDescent="0.25">
      <c r="A254">
        <v>858</v>
      </c>
      <c r="B254">
        <v>1</v>
      </c>
      <c r="C254">
        <f t="shared" si="32"/>
        <v>1</v>
      </c>
      <c r="D254" s="1" t="s">
        <v>277</v>
      </c>
      <c r="E254" s="7">
        <v>71921.74000000002</v>
      </c>
      <c r="F254" s="7">
        <v>9413.570000000007</v>
      </c>
      <c r="G254" s="7">
        <v>6659.419999999991</v>
      </c>
      <c r="H254" s="7">
        <v>11010.649999999994</v>
      </c>
      <c r="I254" s="7">
        <v>14650.73000000004</v>
      </c>
      <c r="J254" s="7">
        <v>6836.5400000000081</v>
      </c>
      <c r="K254" s="7">
        <v>13318.849999999977</v>
      </c>
      <c r="L254" s="7">
        <v>11901.200000000012</v>
      </c>
      <c r="M254" s="7">
        <v>10655.070000000007</v>
      </c>
      <c r="N254" s="7">
        <v>12280.389999999956</v>
      </c>
      <c r="O254" s="7">
        <v>13320.800000000047</v>
      </c>
      <c r="P254" s="7">
        <v>15600.490000000049</v>
      </c>
      <c r="Q254" s="7">
        <v>10655.080000000016</v>
      </c>
      <c r="R254" s="7">
        <v>18578.640000000014</v>
      </c>
      <c r="S254" s="7">
        <v>13318.850000000035</v>
      </c>
      <c r="T254" s="7">
        <v>13486.25</v>
      </c>
      <c r="U254" s="7">
        <v>13318.839999999997</v>
      </c>
      <c r="V254" s="7">
        <v>49.850000000000136</v>
      </c>
      <c r="W254" s="9">
        <f t="shared" si="26"/>
        <v>266976.96000000014</v>
      </c>
      <c r="X254" s="9">
        <v>247413.93000000002</v>
      </c>
      <c r="Y254" s="9">
        <v>117597.97999999998</v>
      </c>
      <c r="Z254" s="9">
        <v>129815.95000000004</v>
      </c>
      <c r="AA254" s="9">
        <f t="shared" si="27"/>
        <v>396792.91000000015</v>
      </c>
      <c r="AB254" s="7" t="e">
        <f>W254-#REF!</f>
        <v>#REF!</v>
      </c>
      <c r="AC254" s="12">
        <v>834</v>
      </c>
      <c r="AD254" s="12">
        <v>1</v>
      </c>
      <c r="AE254" s="12">
        <f t="shared" si="28"/>
        <v>0</v>
      </c>
      <c r="AF254" s="12">
        <f t="shared" si="29"/>
        <v>834</v>
      </c>
      <c r="AG254" s="13" t="s">
        <v>805</v>
      </c>
      <c r="AH254" s="13">
        <v>8672508.4600000009</v>
      </c>
      <c r="AI254" s="13">
        <v>3261720.0100000002</v>
      </c>
      <c r="AJ254" s="13">
        <f t="shared" si="30"/>
        <v>5410788.4500000011</v>
      </c>
    </row>
    <row r="255" spans="1:36" s="1" customFormat="1" x14ac:dyDescent="0.25">
      <c r="A255">
        <v>861</v>
      </c>
      <c r="B255">
        <v>1</v>
      </c>
      <c r="C255">
        <f t="shared" si="32"/>
        <v>1</v>
      </c>
      <c r="D255" s="1" t="s">
        <v>278</v>
      </c>
      <c r="E255" s="7">
        <v>272152.33999999997</v>
      </c>
      <c r="F255" s="7">
        <v>3549.5999999999995</v>
      </c>
      <c r="G255" s="7">
        <v>-17030.240000000005</v>
      </c>
      <c r="H255" s="7">
        <v>887.40000000000146</v>
      </c>
      <c r="I255" s="7">
        <v>141734.49</v>
      </c>
      <c r="J255" s="7">
        <v>25464.900000000023</v>
      </c>
      <c r="K255" s="7">
        <v>47244.840000000084</v>
      </c>
      <c r="L255" s="7">
        <v>40905.889999999898</v>
      </c>
      <c r="M255" s="7">
        <v>37795.870000000112</v>
      </c>
      <c r="N255" s="7">
        <v>44653.15000000014</v>
      </c>
      <c r="O255" s="7">
        <v>54597.320000000065</v>
      </c>
      <c r="P255" s="7">
        <v>55740.050000000047</v>
      </c>
      <c r="Q255" s="7">
        <v>37795.869999999879</v>
      </c>
      <c r="R255" s="7">
        <v>65723.709999999963</v>
      </c>
      <c r="S255" s="7">
        <v>141734.5</v>
      </c>
      <c r="T255" s="7">
        <v>667.84000000000015</v>
      </c>
      <c r="U255" s="7">
        <v>0</v>
      </c>
      <c r="V255" s="7">
        <v>124.42000000000007</v>
      </c>
      <c r="W255" s="9">
        <f t="shared" si="26"/>
        <v>953741.95000000019</v>
      </c>
      <c r="X255" s="9">
        <v>3961006.8800000004</v>
      </c>
      <c r="Y255" s="9">
        <v>1797031.5</v>
      </c>
      <c r="Z255" s="9">
        <v>2163975.3800000004</v>
      </c>
      <c r="AA255" s="9">
        <f t="shared" si="27"/>
        <v>3117717.3300000005</v>
      </c>
      <c r="AB255" s="7" t="e">
        <f>W255-#REF!</f>
        <v>#REF!</v>
      </c>
      <c r="AC255" s="12">
        <v>836</v>
      </c>
      <c r="AD255" s="12">
        <v>1</v>
      </c>
      <c r="AE255" s="12">
        <f t="shared" si="28"/>
        <v>0</v>
      </c>
      <c r="AF255" s="12">
        <f t="shared" si="29"/>
        <v>836</v>
      </c>
      <c r="AG255" s="13" t="s">
        <v>806</v>
      </c>
      <c r="AH255" s="13">
        <v>104548.29</v>
      </c>
      <c r="AI255" s="13">
        <v>49692.71</v>
      </c>
      <c r="AJ255" s="13">
        <f t="shared" si="30"/>
        <v>54855.579999999994</v>
      </c>
    </row>
    <row r="256" spans="1:36" s="1" customFormat="1" x14ac:dyDescent="0.25">
      <c r="A256">
        <v>876</v>
      </c>
      <c r="B256">
        <v>1</v>
      </c>
      <c r="C256">
        <f t="shared" si="32"/>
        <v>1</v>
      </c>
      <c r="D256" s="1" t="s">
        <v>279</v>
      </c>
      <c r="E256" s="7">
        <v>122840.08000000002</v>
      </c>
      <c r="F256" s="7">
        <v>1653.6699999999998</v>
      </c>
      <c r="G256" s="7">
        <v>-156.72000000000003</v>
      </c>
      <c r="H256" s="7">
        <v>35825.69</v>
      </c>
      <c r="I256" s="7">
        <v>32745.130000000005</v>
      </c>
      <c r="J256" s="7">
        <v>12288.840000000026</v>
      </c>
      <c r="K256" s="7">
        <v>22719.129999999888</v>
      </c>
      <c r="L256" s="7">
        <v>19624.220000000088</v>
      </c>
      <c r="M256" s="7">
        <v>18175.310000000056</v>
      </c>
      <c r="N256" s="7">
        <v>21511.719999999972</v>
      </c>
      <c r="O256" s="7">
        <v>22794.969999999972</v>
      </c>
      <c r="P256" s="7">
        <v>26818.630000000005</v>
      </c>
      <c r="Q256" s="7">
        <v>18175.320000000065</v>
      </c>
      <c r="R256" s="7">
        <v>31801.699999999953</v>
      </c>
      <c r="S256" s="7">
        <v>22719.139999999898</v>
      </c>
      <c r="T256" s="7">
        <v>22840.15</v>
      </c>
      <c r="U256" s="7">
        <v>22719.14</v>
      </c>
      <c r="V256" s="7">
        <v>-9475.3000000000011</v>
      </c>
      <c r="W256" s="9">
        <f t="shared" si="26"/>
        <v>445620.82</v>
      </c>
      <c r="X256" s="9">
        <v>870163.39000000013</v>
      </c>
      <c r="Y256" s="9">
        <v>304702.3</v>
      </c>
      <c r="Z256" s="9">
        <v>565461.09000000008</v>
      </c>
      <c r="AA256" s="9">
        <f t="shared" si="27"/>
        <v>1011081.9100000001</v>
      </c>
      <c r="AB256" s="7" t="e">
        <f>W256-#REF!</f>
        <v>#REF!</v>
      </c>
      <c r="AC256" s="12">
        <v>837</v>
      </c>
      <c r="AD256" s="12">
        <v>1</v>
      </c>
      <c r="AE256" s="12">
        <f t="shared" si="28"/>
        <v>0</v>
      </c>
      <c r="AF256" s="12">
        <f t="shared" si="29"/>
        <v>837</v>
      </c>
      <c r="AG256" s="13" t="s">
        <v>807</v>
      </c>
      <c r="AH256" s="13">
        <v>286832.88</v>
      </c>
      <c r="AI256" s="13">
        <v>95033.159999999989</v>
      </c>
      <c r="AJ256" s="13">
        <f t="shared" si="30"/>
        <v>191799.72000000003</v>
      </c>
    </row>
    <row r="257" spans="1:36" s="1" customFormat="1" x14ac:dyDescent="0.25">
      <c r="A257">
        <v>877</v>
      </c>
      <c r="B257">
        <v>1</v>
      </c>
      <c r="C257">
        <f t="shared" si="32"/>
        <v>1</v>
      </c>
      <c r="D257" s="1" t="s">
        <v>280</v>
      </c>
      <c r="E257" s="7">
        <v>454642.7300000001</v>
      </c>
      <c r="F257" s="7">
        <v>42831.990000000005</v>
      </c>
      <c r="G257" s="7">
        <v>-8671.8399999999983</v>
      </c>
      <c r="H257" s="7">
        <v>118035.85000000009</v>
      </c>
      <c r="I257" s="7">
        <v>90845.919999999925</v>
      </c>
      <c r="J257" s="7">
        <v>46985.25</v>
      </c>
      <c r="K257" s="7">
        <v>82587.209999999963</v>
      </c>
      <c r="L257" s="7">
        <v>68839.979999999981</v>
      </c>
      <c r="M257" s="7">
        <v>66069.760000000009</v>
      </c>
      <c r="N257" s="7">
        <v>80278.689999999944</v>
      </c>
      <c r="O257" s="7">
        <v>83830.170000000391</v>
      </c>
      <c r="P257" s="7">
        <v>98255.10999999987</v>
      </c>
      <c r="Q257" s="7">
        <v>66069.770000000019</v>
      </c>
      <c r="R257" s="7">
        <v>115695.12999999989</v>
      </c>
      <c r="S257" s="7">
        <v>82587.199999999721</v>
      </c>
      <c r="T257" s="7">
        <v>82735.780000000028</v>
      </c>
      <c r="U257" s="7">
        <v>82587.20000000007</v>
      </c>
      <c r="V257" s="7">
        <v>-37662.18</v>
      </c>
      <c r="W257" s="9">
        <f t="shared" si="26"/>
        <v>1616543.72</v>
      </c>
      <c r="X257" s="9">
        <v>2467272.31</v>
      </c>
      <c r="Y257" s="9">
        <v>1172715.8500000001</v>
      </c>
      <c r="Z257" s="9">
        <v>1294556.46</v>
      </c>
      <c r="AA257" s="9">
        <f t="shared" si="27"/>
        <v>2911100.1799999997</v>
      </c>
      <c r="AB257" s="7" t="e">
        <f>W257-#REF!</f>
        <v>#REF!</v>
      </c>
      <c r="AC257" s="12">
        <v>840</v>
      </c>
      <c r="AD257" s="12">
        <v>1</v>
      </c>
      <c r="AE257" s="12">
        <f t="shared" si="28"/>
        <v>0</v>
      </c>
      <c r="AF257" s="12">
        <f t="shared" si="29"/>
        <v>840</v>
      </c>
      <c r="AG257" s="13" t="s">
        <v>808</v>
      </c>
      <c r="AH257" s="13">
        <v>521228.67000000004</v>
      </c>
      <c r="AI257" s="13">
        <v>212647.86000000002</v>
      </c>
      <c r="AJ257" s="13">
        <f t="shared" si="30"/>
        <v>308580.81000000006</v>
      </c>
    </row>
    <row r="258" spans="1:36" s="1" customFormat="1" x14ac:dyDescent="0.25">
      <c r="A258">
        <v>879</v>
      </c>
      <c r="B258">
        <v>1</v>
      </c>
      <c r="C258">
        <f t="shared" si="32"/>
        <v>1</v>
      </c>
      <c r="D258" s="1" t="s">
        <v>281</v>
      </c>
      <c r="E258" s="7">
        <v>175532.75</v>
      </c>
      <c r="F258" s="7">
        <v>1123.27</v>
      </c>
      <c r="G258" s="7">
        <v>-7365.84</v>
      </c>
      <c r="H258" s="7">
        <v>59450.650000000023</v>
      </c>
      <c r="I258" s="7">
        <v>34256.219999999972</v>
      </c>
      <c r="J258" s="7">
        <v>17773.169999999925</v>
      </c>
      <c r="K258" s="7">
        <v>31142.020000000019</v>
      </c>
      <c r="L258" s="7">
        <v>25897.719999999972</v>
      </c>
      <c r="M258" s="7">
        <v>24913.619999999995</v>
      </c>
      <c r="N258" s="7">
        <v>30321.920000000042</v>
      </c>
      <c r="O258" s="7">
        <v>31800.609999999986</v>
      </c>
      <c r="P258" s="7">
        <v>37068.64000000013</v>
      </c>
      <c r="Q258" s="7">
        <v>24913.599999999977</v>
      </c>
      <c r="R258" s="7">
        <v>43638.199999999953</v>
      </c>
      <c r="S258" s="7">
        <v>31142.020000000019</v>
      </c>
      <c r="T258" s="7">
        <v>31181.390000000014</v>
      </c>
      <c r="U258" s="7">
        <v>31142.020000000019</v>
      </c>
      <c r="V258" s="7">
        <v>39.370000000000005</v>
      </c>
      <c r="W258" s="9">
        <f t="shared" si="26"/>
        <v>623971.35000000009</v>
      </c>
      <c r="X258" s="9">
        <v>1428561.3299999998</v>
      </c>
      <c r="Y258" s="9">
        <v>617116.32000000007</v>
      </c>
      <c r="Z258" s="9">
        <v>811445.00999999978</v>
      </c>
      <c r="AA258" s="9">
        <f t="shared" si="27"/>
        <v>1435416.3599999999</v>
      </c>
      <c r="AB258" s="7" t="e">
        <f>W258-#REF!</f>
        <v>#REF!</v>
      </c>
      <c r="AC258" s="12">
        <v>846</v>
      </c>
      <c r="AD258" s="12">
        <v>1</v>
      </c>
      <c r="AE258" s="12">
        <f t="shared" si="28"/>
        <v>0</v>
      </c>
      <c r="AF258" s="12">
        <f t="shared" si="29"/>
        <v>846</v>
      </c>
      <c r="AG258" s="13" t="s">
        <v>809</v>
      </c>
      <c r="AH258" s="13">
        <v>389419.61000000004</v>
      </c>
      <c r="AI258" s="13">
        <v>175314.76</v>
      </c>
      <c r="AJ258" s="13">
        <f t="shared" si="30"/>
        <v>214104.85000000003</v>
      </c>
    </row>
    <row r="259" spans="1:36" s="1" customFormat="1" x14ac:dyDescent="0.25">
      <c r="A259">
        <v>881</v>
      </c>
      <c r="B259">
        <v>1</v>
      </c>
      <c r="C259">
        <f t="shared" si="32"/>
        <v>1</v>
      </c>
      <c r="D259" s="1" t="s">
        <v>282</v>
      </c>
      <c r="E259" s="7">
        <v>87286.44</v>
      </c>
      <c r="F259" s="7">
        <v>12353.470000000001</v>
      </c>
      <c r="G259" s="7">
        <v>-15254.079999999998</v>
      </c>
      <c r="H259" s="7">
        <v>24877.570000000007</v>
      </c>
      <c r="I259" s="7">
        <v>14673.25</v>
      </c>
      <c r="J259" s="7">
        <v>283.06999999997788</v>
      </c>
      <c r="K259" s="7">
        <v>13339.320000000007</v>
      </c>
      <c r="L259" s="7">
        <v>12312.75</v>
      </c>
      <c r="M259" s="7">
        <v>10671.460000000021</v>
      </c>
      <c r="N259" s="7">
        <v>13086.630000000005</v>
      </c>
      <c r="O259" s="7">
        <v>13910.949999999953</v>
      </c>
      <c r="P259" s="7">
        <v>13452.170000000042</v>
      </c>
      <c r="Q259" s="7">
        <v>10671.460000000021</v>
      </c>
      <c r="R259" s="7">
        <v>19008.339999999967</v>
      </c>
      <c r="S259" s="7">
        <v>13339.320000000007</v>
      </c>
      <c r="T259" s="7">
        <v>13672.569999999992</v>
      </c>
      <c r="U259" s="7">
        <v>13339.329999999987</v>
      </c>
      <c r="V259" s="7">
        <v>333.26000000000022</v>
      </c>
      <c r="W259" s="9">
        <f t="shared" si="26"/>
        <v>271357.28000000003</v>
      </c>
      <c r="X259" s="9">
        <v>313573.64</v>
      </c>
      <c r="Y259" s="9">
        <v>98227.19</v>
      </c>
      <c r="Z259" s="9">
        <v>215346.45</v>
      </c>
      <c r="AA259" s="9">
        <f t="shared" si="27"/>
        <v>486703.73000000004</v>
      </c>
      <c r="AB259" s="7" t="e">
        <f>W259-#REF!</f>
        <v>#REF!</v>
      </c>
      <c r="AC259" s="12">
        <v>850</v>
      </c>
      <c r="AD259" s="12">
        <v>1</v>
      </c>
      <c r="AE259" s="12">
        <f t="shared" si="28"/>
        <v>0</v>
      </c>
      <c r="AF259" s="12">
        <f t="shared" si="29"/>
        <v>850</v>
      </c>
      <c r="AG259" s="13" t="s">
        <v>810</v>
      </c>
      <c r="AH259" s="13">
        <v>207077.9</v>
      </c>
      <c r="AI259" s="13">
        <v>61416.929999999993</v>
      </c>
      <c r="AJ259" s="13">
        <f t="shared" si="30"/>
        <v>145660.97</v>
      </c>
    </row>
    <row r="260" spans="1:36" s="1" customFormat="1" x14ac:dyDescent="0.25">
      <c r="A260">
        <v>882</v>
      </c>
      <c r="B260">
        <v>1</v>
      </c>
      <c r="C260">
        <f t="shared" si="32"/>
        <v>1</v>
      </c>
      <c r="D260" s="1" t="s">
        <v>283</v>
      </c>
      <c r="E260" s="7">
        <v>376435.68000000005</v>
      </c>
      <c r="F260" s="7">
        <v>1123.04</v>
      </c>
      <c r="G260" s="7">
        <v>-5746.4</v>
      </c>
      <c r="H260" s="7">
        <v>130708.46000000008</v>
      </c>
      <c r="I260" s="7">
        <v>75510.780000000261</v>
      </c>
      <c r="J260" s="7">
        <v>40275.540000000037</v>
      </c>
      <c r="K260" s="7">
        <v>68646.169999999925</v>
      </c>
      <c r="L260" s="7">
        <v>55900.159999999916</v>
      </c>
      <c r="M260" s="7">
        <v>54916.939999999944</v>
      </c>
      <c r="N260" s="7">
        <v>67826.799999999814</v>
      </c>
      <c r="O260" s="7">
        <v>68724.039999999804</v>
      </c>
      <c r="P260" s="7">
        <v>82073.870000000112</v>
      </c>
      <c r="Q260" s="7">
        <v>54916.929999999935</v>
      </c>
      <c r="R260" s="7">
        <v>96143.950000000186</v>
      </c>
      <c r="S260" s="7">
        <v>68646.160000000149</v>
      </c>
      <c r="T260" s="7">
        <v>68685.5</v>
      </c>
      <c r="U260" s="7">
        <v>68646.159999999974</v>
      </c>
      <c r="V260" s="7">
        <v>39.330000000000041</v>
      </c>
      <c r="W260" s="9">
        <f t="shared" si="26"/>
        <v>1373473.11</v>
      </c>
      <c r="X260" s="9">
        <v>2031515.75</v>
      </c>
      <c r="Y260" s="9">
        <v>713469.39999999991</v>
      </c>
      <c r="Z260" s="9">
        <v>1318046.3500000001</v>
      </c>
      <c r="AA260" s="9">
        <f t="shared" si="27"/>
        <v>2691519.46</v>
      </c>
      <c r="AB260" s="7" t="e">
        <f>W260-#REF!</f>
        <v>#REF!</v>
      </c>
      <c r="AC260" s="12">
        <v>852</v>
      </c>
      <c r="AD260" s="12">
        <v>1</v>
      </c>
      <c r="AE260" s="12">
        <f t="shared" si="28"/>
        <v>0</v>
      </c>
      <c r="AF260" s="12">
        <f t="shared" si="29"/>
        <v>852</v>
      </c>
      <c r="AG260" s="13" t="s">
        <v>811</v>
      </c>
      <c r="AH260" s="13">
        <v>82759.969999999987</v>
      </c>
      <c r="AI260" s="13">
        <v>33762.19</v>
      </c>
      <c r="AJ260" s="13">
        <f t="shared" si="30"/>
        <v>48997.779999999984</v>
      </c>
    </row>
    <row r="261" spans="1:36" s="1" customFormat="1" x14ac:dyDescent="0.25">
      <c r="A261">
        <v>883</v>
      </c>
      <c r="B261">
        <v>1</v>
      </c>
      <c r="C261">
        <f t="shared" si="32"/>
        <v>1</v>
      </c>
      <c r="D261" s="1" t="s">
        <v>284</v>
      </c>
      <c r="E261" s="7">
        <v>116702.89999999997</v>
      </c>
      <c r="F261" s="7">
        <v>20386.039999999997</v>
      </c>
      <c r="G261" s="7">
        <v>-3134.4</v>
      </c>
      <c r="H261" s="7">
        <v>45055.789999999979</v>
      </c>
      <c r="I261" s="7">
        <v>23134.319999999949</v>
      </c>
      <c r="J261" s="7">
        <v>-3934.929999999993</v>
      </c>
      <c r="K261" s="7">
        <v>21031.199999999953</v>
      </c>
      <c r="L261" s="7">
        <v>18992.399999999965</v>
      </c>
      <c r="M261" s="7">
        <v>16824.959999999963</v>
      </c>
      <c r="N261" s="7">
        <v>21840.070000000065</v>
      </c>
      <c r="O261" s="7">
        <v>21031.210000000079</v>
      </c>
      <c r="P261" s="7">
        <v>19761.04999999993</v>
      </c>
      <c r="Q261" s="7">
        <v>16824.959999999963</v>
      </c>
      <c r="R261" s="7">
        <v>30069.329999999958</v>
      </c>
      <c r="S261" s="7">
        <v>21031.199999999953</v>
      </c>
      <c r="T261" s="7">
        <v>21834.199999999983</v>
      </c>
      <c r="U261" s="7">
        <v>21031.200000000012</v>
      </c>
      <c r="V261" s="7">
        <v>-11015.18</v>
      </c>
      <c r="W261" s="9">
        <f t="shared" si="26"/>
        <v>417466.31999999972</v>
      </c>
      <c r="X261" s="9">
        <v>757007.21</v>
      </c>
      <c r="Y261" s="9">
        <v>345833.55</v>
      </c>
      <c r="Z261" s="9">
        <v>411173.66</v>
      </c>
      <c r="AA261" s="9">
        <f t="shared" si="27"/>
        <v>828639.97999999975</v>
      </c>
      <c r="AB261" s="7" t="e">
        <f>W261-#REF!</f>
        <v>#REF!</v>
      </c>
      <c r="AC261" s="12">
        <v>857</v>
      </c>
      <c r="AD261" s="12">
        <v>1</v>
      </c>
      <c r="AE261" s="12">
        <f t="shared" si="28"/>
        <v>0</v>
      </c>
      <c r="AF261" s="12">
        <f t="shared" si="29"/>
        <v>857</v>
      </c>
      <c r="AG261" s="13" t="s">
        <v>812</v>
      </c>
      <c r="AH261" s="13">
        <v>278525.42</v>
      </c>
      <c r="AI261" s="13">
        <v>132385.54</v>
      </c>
      <c r="AJ261" s="13">
        <f t="shared" si="30"/>
        <v>146139.87999999998</v>
      </c>
    </row>
    <row r="262" spans="1:36" s="1" customFormat="1" x14ac:dyDescent="0.25">
      <c r="A262">
        <v>885</v>
      </c>
      <c r="B262">
        <v>1</v>
      </c>
      <c r="C262">
        <f t="shared" si="32"/>
        <v>1</v>
      </c>
      <c r="D262" s="1" t="s">
        <v>285</v>
      </c>
      <c r="E262" s="7">
        <v>412057.38000000012</v>
      </c>
      <c r="F262" s="7">
        <v>565237.3899999999</v>
      </c>
      <c r="G262" s="7">
        <v>28279.130000000005</v>
      </c>
      <c r="H262" s="7">
        <v>189820.99</v>
      </c>
      <c r="I262" s="7">
        <v>82096.64000000013</v>
      </c>
      <c r="J262" s="7">
        <v>-377787.65000000014</v>
      </c>
      <c r="K262" s="7">
        <v>74633.310000000056</v>
      </c>
      <c r="L262" s="7">
        <v>90748.789999999804</v>
      </c>
      <c r="M262" s="7">
        <v>59706.649999999907</v>
      </c>
      <c r="N262" s="7">
        <v>119592.52000000002</v>
      </c>
      <c r="O262" s="7">
        <v>76462.220000000205</v>
      </c>
      <c r="P262" s="7">
        <v>-50282.560000000056</v>
      </c>
      <c r="Q262" s="7">
        <v>59706.65000000014</v>
      </c>
      <c r="R262" s="7">
        <v>122707.68999999994</v>
      </c>
      <c r="S262" s="7">
        <v>74633.310000000056</v>
      </c>
      <c r="T262" s="7">
        <v>92892.899999999907</v>
      </c>
      <c r="U262" s="7">
        <v>74633.310000000056</v>
      </c>
      <c r="V262" s="7">
        <v>18240.320000000007</v>
      </c>
      <c r="W262" s="9">
        <f t="shared" si="26"/>
        <v>1713378.9900000002</v>
      </c>
      <c r="X262" s="9">
        <v>1495371.3800000001</v>
      </c>
      <c r="Y262" s="9">
        <v>641956.74</v>
      </c>
      <c r="Z262" s="9">
        <v>853414.64000000013</v>
      </c>
      <c r="AA262" s="9">
        <f t="shared" si="27"/>
        <v>2566793.6300000004</v>
      </c>
      <c r="AB262" s="7" t="e">
        <f>W262-#REF!</f>
        <v>#REF!</v>
      </c>
      <c r="AC262" s="12">
        <v>858</v>
      </c>
      <c r="AD262" s="12">
        <v>1</v>
      </c>
      <c r="AE262" s="12">
        <f t="shared" si="28"/>
        <v>0</v>
      </c>
      <c r="AF262" s="12">
        <f t="shared" si="29"/>
        <v>858</v>
      </c>
      <c r="AG262" s="13" t="s">
        <v>813</v>
      </c>
      <c r="AH262" s="13">
        <v>247413.93000000002</v>
      </c>
      <c r="AI262" s="13">
        <v>117597.97999999998</v>
      </c>
      <c r="AJ262" s="13">
        <f t="shared" si="30"/>
        <v>129815.95000000004</v>
      </c>
    </row>
    <row r="263" spans="1:36" s="1" customFormat="1" x14ac:dyDescent="0.25">
      <c r="A263">
        <v>891</v>
      </c>
      <c r="B263">
        <v>1</v>
      </c>
      <c r="C263">
        <f t="shared" si="32"/>
        <v>1</v>
      </c>
      <c r="D263" s="1" t="s">
        <v>286</v>
      </c>
      <c r="E263" s="7">
        <v>51326.260000000009</v>
      </c>
      <c r="F263" s="7">
        <v>6526.8099999999977</v>
      </c>
      <c r="G263" s="7">
        <v>-3980.3499999999985</v>
      </c>
      <c r="H263" s="7">
        <v>6847.7799999999988</v>
      </c>
      <c r="I263" s="7">
        <v>8827.2000000000116</v>
      </c>
      <c r="J263" s="7">
        <v>3424.859999999986</v>
      </c>
      <c r="K263" s="7">
        <v>8024.7300000000105</v>
      </c>
      <c r="L263" s="7">
        <v>7919.75</v>
      </c>
      <c r="M263" s="7">
        <v>6419.7900000000081</v>
      </c>
      <c r="N263" s="7">
        <v>6774.75</v>
      </c>
      <c r="O263" s="7">
        <v>8242.9100000000035</v>
      </c>
      <c r="P263" s="7">
        <v>9169.6599999999744</v>
      </c>
      <c r="Q263" s="7">
        <v>6419.7900000000081</v>
      </c>
      <c r="R263" s="7">
        <v>10930.179999999993</v>
      </c>
      <c r="S263" s="7">
        <v>8024.7399999999907</v>
      </c>
      <c r="T263" s="7">
        <v>8449.1500000000087</v>
      </c>
      <c r="U263" s="7">
        <v>8024.7299999999959</v>
      </c>
      <c r="V263" s="7">
        <v>-2872.0600000000004</v>
      </c>
      <c r="W263" s="9">
        <f t="shared" si="26"/>
        <v>158500.68</v>
      </c>
      <c r="X263" s="9">
        <v>209096.9</v>
      </c>
      <c r="Y263" s="9">
        <v>82485.569999999992</v>
      </c>
      <c r="Z263" s="9">
        <v>126611.33</v>
      </c>
      <c r="AA263" s="9">
        <f t="shared" si="27"/>
        <v>285112.01</v>
      </c>
      <c r="AB263" s="7" t="e">
        <f>W263-#REF!</f>
        <v>#REF!</v>
      </c>
      <c r="AC263" s="12">
        <v>861</v>
      </c>
      <c r="AD263" s="12">
        <v>1</v>
      </c>
      <c r="AE263" s="12">
        <f t="shared" si="28"/>
        <v>0</v>
      </c>
      <c r="AF263" s="12">
        <f t="shared" si="29"/>
        <v>861</v>
      </c>
      <c r="AG263" s="13" t="s">
        <v>814</v>
      </c>
      <c r="AH263" s="13">
        <v>3961006.8800000004</v>
      </c>
      <c r="AI263" s="13">
        <v>1797031.5</v>
      </c>
      <c r="AJ263" s="13">
        <f t="shared" si="30"/>
        <v>2163975.3800000004</v>
      </c>
    </row>
    <row r="264" spans="1:36" s="1" customFormat="1" x14ac:dyDescent="0.25">
      <c r="A264">
        <v>911</v>
      </c>
      <c r="B264">
        <v>1</v>
      </c>
      <c r="C264">
        <f t="shared" si="32"/>
        <v>1</v>
      </c>
      <c r="D264" s="1" t="s">
        <v>287</v>
      </c>
      <c r="E264" s="7">
        <v>406665.05000000005</v>
      </c>
      <c r="F264" s="7">
        <v>52199.390000000014</v>
      </c>
      <c r="G264" s="7">
        <v>35827.699999999953</v>
      </c>
      <c r="H264" s="7">
        <v>61799.049999999814</v>
      </c>
      <c r="I264" s="7">
        <v>82498.649999999907</v>
      </c>
      <c r="J264" s="7">
        <v>39152.200000000186</v>
      </c>
      <c r="K264" s="7">
        <v>74998.780000000028</v>
      </c>
      <c r="L264" s="7">
        <v>66305.219999999972</v>
      </c>
      <c r="M264" s="7">
        <v>59999.020000000019</v>
      </c>
      <c r="N264" s="7">
        <v>69743.59999999986</v>
      </c>
      <c r="O264" s="7">
        <v>75896.689999999944</v>
      </c>
      <c r="P264" s="7">
        <v>88064.619999999646</v>
      </c>
      <c r="Q264" s="7">
        <v>59999.020000000019</v>
      </c>
      <c r="R264" s="7">
        <v>104515.70000000019</v>
      </c>
      <c r="S264" s="7">
        <v>74998.780000000028</v>
      </c>
      <c r="T264" s="7">
        <v>75985.860000000102</v>
      </c>
      <c r="U264" s="7">
        <v>74998.770000000019</v>
      </c>
      <c r="V264" s="7">
        <v>252.24000000000069</v>
      </c>
      <c r="W264" s="9">
        <f t="shared" ref="W264:W327" si="33">SUM(E264:V264)</f>
        <v>1503900.3399999996</v>
      </c>
      <c r="X264" s="9">
        <v>1338402.5199999998</v>
      </c>
      <c r="Y264" s="9">
        <v>600114.55000000005</v>
      </c>
      <c r="Z264" s="9">
        <v>738287.96999999974</v>
      </c>
      <c r="AA264" s="9">
        <f t="shared" si="27"/>
        <v>2242188.3099999996</v>
      </c>
      <c r="AB264" s="7" t="e">
        <f>W264-#REF!</f>
        <v>#REF!</v>
      </c>
      <c r="AC264" s="12">
        <v>876</v>
      </c>
      <c r="AD264" s="12">
        <v>1</v>
      </c>
      <c r="AE264" s="12">
        <f t="shared" si="28"/>
        <v>0</v>
      </c>
      <c r="AF264" s="12">
        <f t="shared" si="29"/>
        <v>876</v>
      </c>
      <c r="AG264" s="13" t="s">
        <v>815</v>
      </c>
      <c r="AH264" s="13">
        <v>870163.39000000013</v>
      </c>
      <c r="AI264" s="13">
        <v>304702.3</v>
      </c>
      <c r="AJ264" s="13">
        <f t="shared" si="30"/>
        <v>565461.09000000008</v>
      </c>
    </row>
    <row r="265" spans="1:36" s="1" customFormat="1" x14ac:dyDescent="0.25">
      <c r="A265">
        <v>912</v>
      </c>
      <c r="B265">
        <v>1</v>
      </c>
      <c r="C265">
        <f t="shared" si="32"/>
        <v>1</v>
      </c>
      <c r="D265" s="1" t="s">
        <v>288</v>
      </c>
      <c r="E265" s="7">
        <v>165130.81</v>
      </c>
      <c r="F265" s="7">
        <v>19692.359999999986</v>
      </c>
      <c r="G265" s="7">
        <v>-9938.1599999999744</v>
      </c>
      <c r="H265" s="7">
        <v>22020.599999999977</v>
      </c>
      <c r="I265" s="7">
        <v>28934.220000000088</v>
      </c>
      <c r="J265" s="7">
        <v>12607.630000000005</v>
      </c>
      <c r="K265" s="7">
        <v>26303.830000000075</v>
      </c>
      <c r="L265" s="7">
        <v>24468.900000000023</v>
      </c>
      <c r="M265" s="7">
        <v>21043.060000000056</v>
      </c>
      <c r="N265" s="7">
        <v>23448.979999999981</v>
      </c>
      <c r="O265" s="7">
        <v>27448.020000000019</v>
      </c>
      <c r="P265" s="7">
        <v>30514.029999999912</v>
      </c>
      <c r="Q265" s="7">
        <v>21043.069999999949</v>
      </c>
      <c r="R265" s="7">
        <v>36962.400000000023</v>
      </c>
      <c r="S265" s="7">
        <v>26303.840000000084</v>
      </c>
      <c r="T265" s="7">
        <v>26440.880000000005</v>
      </c>
      <c r="U265" s="7">
        <v>26303.839999999967</v>
      </c>
      <c r="V265" s="7">
        <v>137.01999999999998</v>
      </c>
      <c r="W265" s="9">
        <f t="shared" si="33"/>
        <v>528865.33000000019</v>
      </c>
      <c r="X265" s="9">
        <v>213791.74</v>
      </c>
      <c r="Y265" s="9">
        <v>90215.02</v>
      </c>
      <c r="Z265" s="9">
        <v>123576.71999999999</v>
      </c>
      <c r="AA265" s="9">
        <f t="shared" ref="AA265:AA328" si="34">W265+Z265</f>
        <v>652442.05000000016</v>
      </c>
      <c r="AB265" s="7" t="e">
        <f>W265-#REF!</f>
        <v>#REF!</v>
      </c>
      <c r="AC265" s="12">
        <v>877</v>
      </c>
      <c r="AD265" s="12">
        <v>1</v>
      </c>
      <c r="AE265" s="12">
        <f t="shared" ref="AE265:AE328" si="35">SUMIF($AM$8:$AM$15,AC265,$AL$8:$AL$15)</f>
        <v>0</v>
      </c>
      <c r="AF265" s="12">
        <f t="shared" ref="AF265:AF328" si="36">IF(AE265=0,AC265,AE265)</f>
        <v>877</v>
      </c>
      <c r="AG265" s="13" t="s">
        <v>816</v>
      </c>
      <c r="AH265" s="13">
        <v>2467272.31</v>
      </c>
      <c r="AI265" s="13">
        <v>1172715.8500000001</v>
      </c>
      <c r="AJ265" s="13">
        <f t="shared" ref="AJ265:AJ328" si="37">AH265-AI265</f>
        <v>1294556.46</v>
      </c>
    </row>
    <row r="266" spans="1:36" s="1" customFormat="1" x14ac:dyDescent="0.25">
      <c r="A266">
        <v>914</v>
      </c>
      <c r="B266">
        <v>1</v>
      </c>
      <c r="C266">
        <f t="shared" si="32"/>
        <v>1</v>
      </c>
      <c r="D266" s="1" t="s">
        <v>289</v>
      </c>
      <c r="E266" s="7">
        <v>25400.050000000003</v>
      </c>
      <c r="F266" s="7">
        <v>1070.8</v>
      </c>
      <c r="G266" s="7">
        <v>0</v>
      </c>
      <c r="H266" s="7">
        <v>8086.6200000000008</v>
      </c>
      <c r="I266" s="7">
        <v>6292.210000000021</v>
      </c>
      <c r="J266" s="7">
        <v>1952.8399999999965</v>
      </c>
      <c r="K266" s="7">
        <v>4703.7099999999919</v>
      </c>
      <c r="L266" s="7">
        <v>4701.1699999999983</v>
      </c>
      <c r="M266" s="7">
        <v>3762.9700000000012</v>
      </c>
      <c r="N266" s="7">
        <v>3921.8799999999756</v>
      </c>
      <c r="O266" s="7">
        <v>4703.6999999999825</v>
      </c>
      <c r="P266" s="7">
        <v>5356.75</v>
      </c>
      <c r="Q266" s="7">
        <v>3762.9700000000012</v>
      </c>
      <c r="R266" s="7">
        <v>6556.7099999999919</v>
      </c>
      <c r="S266" s="7">
        <v>4703.7099999999919</v>
      </c>
      <c r="T266" s="7">
        <v>4807.2500000000009</v>
      </c>
      <c r="U266" s="7">
        <v>4703.7099999999991</v>
      </c>
      <c r="V266" s="7">
        <v>37.530000000000086</v>
      </c>
      <c r="W266" s="9">
        <f t="shared" si="33"/>
        <v>94524.579999999958</v>
      </c>
      <c r="X266" s="9">
        <v>197410.55999999997</v>
      </c>
      <c r="Y266" s="9">
        <v>47474.46</v>
      </c>
      <c r="Z266" s="9">
        <v>149936.09999999998</v>
      </c>
      <c r="AA266" s="9">
        <f t="shared" si="34"/>
        <v>244460.67999999993</v>
      </c>
      <c r="AB266" s="7" t="e">
        <f>W266-#REF!</f>
        <v>#REF!</v>
      </c>
      <c r="AC266" s="12">
        <v>879</v>
      </c>
      <c r="AD266" s="12">
        <v>1</v>
      </c>
      <c r="AE266" s="12">
        <f t="shared" si="35"/>
        <v>0</v>
      </c>
      <c r="AF266" s="12">
        <f t="shared" si="36"/>
        <v>879</v>
      </c>
      <c r="AG266" s="13" t="s">
        <v>817</v>
      </c>
      <c r="AH266" s="13">
        <v>1428561.3299999998</v>
      </c>
      <c r="AI266" s="13">
        <v>617116.32000000007</v>
      </c>
      <c r="AJ266" s="13">
        <f t="shared" si="37"/>
        <v>811445.00999999978</v>
      </c>
    </row>
    <row r="267" spans="1:36" s="1" customFormat="1" x14ac:dyDescent="0.25">
      <c r="A267">
        <v>2071</v>
      </c>
      <c r="B267">
        <v>1</v>
      </c>
      <c r="C267">
        <f t="shared" si="32"/>
        <v>1</v>
      </c>
      <c r="D267" s="1" t="s">
        <v>302</v>
      </c>
      <c r="E267" s="7">
        <v>64948.59</v>
      </c>
      <c r="F267" s="7">
        <v>9292.9700000000012</v>
      </c>
      <c r="G267" s="7">
        <v>-104.48</v>
      </c>
      <c r="H267" s="7">
        <v>522.02</v>
      </c>
      <c r="I267" s="7">
        <v>28819.599999999977</v>
      </c>
      <c r="J267" s="7">
        <v>5509.5599999999977</v>
      </c>
      <c r="K267" s="7">
        <v>12008.169999999984</v>
      </c>
      <c r="L267" s="7">
        <v>11436.020000000019</v>
      </c>
      <c r="M267" s="7">
        <v>9606.5400000000373</v>
      </c>
      <c r="N267" s="7">
        <v>10483.590000000026</v>
      </c>
      <c r="O267" s="7">
        <v>12010.919999999984</v>
      </c>
      <c r="P267" s="7">
        <v>13848.770000000019</v>
      </c>
      <c r="Q267" s="7">
        <v>9606.5400000000373</v>
      </c>
      <c r="R267" s="7">
        <v>16738.119999999995</v>
      </c>
      <c r="S267" s="7">
        <v>12008.169999999984</v>
      </c>
      <c r="T267" s="7">
        <v>12227.83</v>
      </c>
      <c r="U267" s="7">
        <v>12008.170000000002</v>
      </c>
      <c r="V267" s="7">
        <v>-4096.9599999999991</v>
      </c>
      <c r="W267" s="9">
        <f t="shared" si="33"/>
        <v>236874.14000000007</v>
      </c>
      <c r="X267" s="9">
        <v>404691.91</v>
      </c>
      <c r="Y267" s="9">
        <v>192353.56</v>
      </c>
      <c r="Z267" s="9">
        <v>212338.34999999998</v>
      </c>
      <c r="AA267" s="9">
        <f t="shared" si="34"/>
        <v>449212.49000000005</v>
      </c>
      <c r="AB267" s="7" t="e">
        <f>W267-#REF!</f>
        <v>#REF!</v>
      </c>
      <c r="AC267" s="12">
        <v>881</v>
      </c>
      <c r="AD267" s="12">
        <v>1</v>
      </c>
      <c r="AE267" s="12">
        <f t="shared" si="35"/>
        <v>0</v>
      </c>
      <c r="AF267" s="12">
        <f t="shared" si="36"/>
        <v>881</v>
      </c>
      <c r="AG267" s="13" t="s">
        <v>818</v>
      </c>
      <c r="AH267" s="13">
        <v>313573.64</v>
      </c>
      <c r="AI267" s="13">
        <v>98227.19</v>
      </c>
      <c r="AJ267" s="13">
        <f t="shared" si="37"/>
        <v>215346.45</v>
      </c>
    </row>
    <row r="268" spans="1:36" s="1" customFormat="1" x14ac:dyDescent="0.25">
      <c r="A268">
        <v>2125</v>
      </c>
      <c r="B268">
        <v>1</v>
      </c>
      <c r="C268">
        <f t="shared" si="32"/>
        <v>1</v>
      </c>
      <c r="D268" s="1" t="s">
        <v>303</v>
      </c>
      <c r="E268" s="7">
        <v>95460.400000000023</v>
      </c>
      <c r="F268" s="7">
        <v>14011</v>
      </c>
      <c r="G268" s="7">
        <v>6384.6200000000026</v>
      </c>
      <c r="H268" s="7">
        <v>14722.959999999992</v>
      </c>
      <c r="I268" s="7">
        <v>18988.050000000047</v>
      </c>
      <c r="J268" s="7">
        <v>7390.4700000000303</v>
      </c>
      <c r="K268" s="7">
        <v>17261.869999999995</v>
      </c>
      <c r="L268" s="7">
        <v>17010.909999999974</v>
      </c>
      <c r="M268" s="7">
        <v>13809.489999999991</v>
      </c>
      <c r="N268" s="7">
        <v>14594.020000000019</v>
      </c>
      <c r="O268" s="7">
        <v>17358.669999999984</v>
      </c>
      <c r="P268" s="7">
        <v>19732.469999999972</v>
      </c>
      <c r="Q268" s="7">
        <v>13809.5</v>
      </c>
      <c r="R268" s="7">
        <v>23369.630000000005</v>
      </c>
      <c r="S268" s="7">
        <v>17261.869999999995</v>
      </c>
      <c r="T268" s="7">
        <v>18314.949999999983</v>
      </c>
      <c r="U268" s="7">
        <v>17261.869999999995</v>
      </c>
      <c r="V268" s="7">
        <v>128.05999999999995</v>
      </c>
      <c r="W268" s="9">
        <f t="shared" si="33"/>
        <v>346870.81</v>
      </c>
      <c r="X268" s="9">
        <v>384238.33</v>
      </c>
      <c r="Y268" s="9">
        <v>166767.69</v>
      </c>
      <c r="Z268" s="9">
        <v>217470.64</v>
      </c>
      <c r="AA268" s="9">
        <f t="shared" si="34"/>
        <v>564341.44999999995</v>
      </c>
      <c r="AB268" s="7" t="e">
        <f>W268-#REF!</f>
        <v>#REF!</v>
      </c>
      <c r="AC268" s="12">
        <v>882</v>
      </c>
      <c r="AD268" s="12">
        <v>1</v>
      </c>
      <c r="AE268" s="12">
        <f t="shared" si="35"/>
        <v>0</v>
      </c>
      <c r="AF268" s="12">
        <f t="shared" si="36"/>
        <v>882</v>
      </c>
      <c r="AG268" s="13" t="s">
        <v>819</v>
      </c>
      <c r="AH268" s="13">
        <v>2031515.75</v>
      </c>
      <c r="AI268" s="13">
        <v>713469.39999999991</v>
      </c>
      <c r="AJ268" s="13">
        <f t="shared" si="37"/>
        <v>1318046.3500000001</v>
      </c>
    </row>
    <row r="269" spans="1:36" s="1" customFormat="1" x14ac:dyDescent="0.25">
      <c r="A269">
        <v>2134</v>
      </c>
      <c r="B269">
        <v>1</v>
      </c>
      <c r="C269">
        <f t="shared" si="32"/>
        <v>1</v>
      </c>
      <c r="D269" s="1" t="s">
        <v>304</v>
      </c>
      <c r="E269" s="7">
        <v>73520.11</v>
      </c>
      <c r="F269" s="7">
        <v>9916.130000000001</v>
      </c>
      <c r="G269" s="7">
        <v>-15149.599999999999</v>
      </c>
      <c r="H269" s="7">
        <v>1074.0299999999997</v>
      </c>
      <c r="I269" s="7">
        <v>26807.97000000003</v>
      </c>
      <c r="J269" s="7">
        <v>2997.5599999999977</v>
      </c>
      <c r="K269" s="7">
        <v>10809.360000000044</v>
      </c>
      <c r="L269" s="7">
        <v>12411.540000000008</v>
      </c>
      <c r="M269" s="7">
        <v>8647.4800000000105</v>
      </c>
      <c r="N269" s="7">
        <v>7672.6300000000047</v>
      </c>
      <c r="O269" s="7">
        <v>11337.380000000005</v>
      </c>
      <c r="P269" s="7">
        <v>11816.909999999974</v>
      </c>
      <c r="Q269" s="7">
        <v>8647.4900000000198</v>
      </c>
      <c r="R269" s="7">
        <v>14842.190000000002</v>
      </c>
      <c r="S269" s="7">
        <v>10809.350000000035</v>
      </c>
      <c r="T269" s="7">
        <v>3706.52</v>
      </c>
      <c r="U269" s="7">
        <v>18504.22</v>
      </c>
      <c r="V269" s="7">
        <v>150.57000000000016</v>
      </c>
      <c r="W269" s="9">
        <f t="shared" si="33"/>
        <v>218521.84000000014</v>
      </c>
      <c r="X269" s="9">
        <v>365936.85</v>
      </c>
      <c r="Y269" s="9">
        <v>93469.97</v>
      </c>
      <c r="Z269" s="9">
        <v>272466.88</v>
      </c>
      <c r="AA269" s="9">
        <f t="shared" si="34"/>
        <v>490988.72000000015</v>
      </c>
      <c r="AB269" s="7" t="e">
        <f>W269-#REF!</f>
        <v>#REF!</v>
      </c>
      <c r="AC269" s="12">
        <v>883</v>
      </c>
      <c r="AD269" s="12">
        <v>1</v>
      </c>
      <c r="AE269" s="12">
        <f t="shared" si="35"/>
        <v>0</v>
      </c>
      <c r="AF269" s="12">
        <f t="shared" si="36"/>
        <v>883</v>
      </c>
      <c r="AG269" s="13" t="s">
        <v>820</v>
      </c>
      <c r="AH269" s="13">
        <v>757007.21</v>
      </c>
      <c r="AI269" s="13">
        <v>345833.55</v>
      </c>
      <c r="AJ269" s="13">
        <f t="shared" si="37"/>
        <v>411173.66</v>
      </c>
    </row>
    <row r="270" spans="1:36" s="1" customFormat="1" x14ac:dyDescent="0.25">
      <c r="A270">
        <v>2135</v>
      </c>
      <c r="B270">
        <v>1</v>
      </c>
      <c r="C270">
        <f t="shared" si="32"/>
        <v>1</v>
      </c>
      <c r="D270" s="1" t="s">
        <v>305</v>
      </c>
      <c r="E270" s="7">
        <v>88136.489999999991</v>
      </c>
      <c r="F270" s="7">
        <v>12434.400000000009</v>
      </c>
      <c r="G270" s="7">
        <v>8160.7900000000009</v>
      </c>
      <c r="H270" s="7">
        <v>13717.630000000005</v>
      </c>
      <c r="I270" s="7">
        <v>17953.729999999981</v>
      </c>
      <c r="J270" s="7">
        <v>7648.2900000000373</v>
      </c>
      <c r="K270" s="7">
        <v>16321.570000000007</v>
      </c>
      <c r="L270" s="7">
        <v>15371.630000000005</v>
      </c>
      <c r="M270" s="7">
        <v>13057.260000000009</v>
      </c>
      <c r="N270" s="7">
        <v>14392.940000000002</v>
      </c>
      <c r="O270" s="7">
        <v>16352.159999999974</v>
      </c>
      <c r="P270" s="7">
        <v>18876.160000000033</v>
      </c>
      <c r="Q270" s="7">
        <v>13057.25</v>
      </c>
      <c r="R270" s="7">
        <v>22246.089999999967</v>
      </c>
      <c r="S270" s="7">
        <v>16321.570000000007</v>
      </c>
      <c r="T270" s="7">
        <v>17110.819999999978</v>
      </c>
      <c r="U270" s="7">
        <v>16321.569999999978</v>
      </c>
      <c r="V270" s="7">
        <v>-5991.4000000000005</v>
      </c>
      <c r="W270" s="9">
        <f t="shared" si="33"/>
        <v>321488.94999999995</v>
      </c>
      <c r="X270" s="9">
        <v>369066.58</v>
      </c>
      <c r="Y270" s="9">
        <v>129144.35</v>
      </c>
      <c r="Z270" s="9">
        <v>239922.23</v>
      </c>
      <c r="AA270" s="9">
        <f t="shared" si="34"/>
        <v>561411.17999999993</v>
      </c>
      <c r="AB270" s="7" t="e">
        <f>W270-#REF!</f>
        <v>#REF!</v>
      </c>
      <c r="AC270" s="12">
        <v>885</v>
      </c>
      <c r="AD270" s="12">
        <v>1</v>
      </c>
      <c r="AE270" s="12">
        <f t="shared" si="35"/>
        <v>0</v>
      </c>
      <c r="AF270" s="12">
        <f t="shared" si="36"/>
        <v>885</v>
      </c>
      <c r="AG270" s="13" t="s">
        <v>821</v>
      </c>
      <c r="AH270" s="13">
        <v>1495371.3800000001</v>
      </c>
      <c r="AI270" s="13">
        <v>641956.74</v>
      </c>
      <c r="AJ270" s="13">
        <f t="shared" si="37"/>
        <v>853414.64000000013</v>
      </c>
    </row>
    <row r="271" spans="1:36" s="1" customFormat="1" x14ac:dyDescent="0.25">
      <c r="A271">
        <v>2137</v>
      </c>
      <c r="B271">
        <v>1</v>
      </c>
      <c r="C271">
        <f t="shared" si="32"/>
        <v>1</v>
      </c>
      <c r="D271" s="1" t="s">
        <v>306</v>
      </c>
      <c r="E271" s="7">
        <v>49456.22</v>
      </c>
      <c r="F271" s="7">
        <v>10541.870000000003</v>
      </c>
      <c r="G271" s="7">
        <v>-2403.0400000000004</v>
      </c>
      <c r="H271" s="7">
        <v>12656.050000000003</v>
      </c>
      <c r="I271" s="7">
        <v>9584.9100000000326</v>
      </c>
      <c r="J271" s="7">
        <v>913.8300000000163</v>
      </c>
      <c r="K271" s="7">
        <v>8713.5599999999977</v>
      </c>
      <c r="L271" s="7">
        <v>11626.550000000017</v>
      </c>
      <c r="M271" s="7">
        <v>6970.8400000000256</v>
      </c>
      <c r="N271" s="7">
        <v>4833.7799999999697</v>
      </c>
      <c r="O271" s="7">
        <v>9011.3099999999977</v>
      </c>
      <c r="P271" s="7">
        <v>9028.5</v>
      </c>
      <c r="Q271" s="7">
        <v>6970.8500000000058</v>
      </c>
      <c r="R271" s="7">
        <v>11383.059999999998</v>
      </c>
      <c r="S271" s="7">
        <v>8713.5499999999884</v>
      </c>
      <c r="T271" s="7">
        <v>9901.9500000000007</v>
      </c>
      <c r="U271" s="7">
        <v>8713.5500000000029</v>
      </c>
      <c r="V271" s="7">
        <v>186.21000000000004</v>
      </c>
      <c r="W271" s="9">
        <f t="shared" si="33"/>
        <v>176803.55000000008</v>
      </c>
      <c r="X271" s="9">
        <v>331135.10000000003</v>
      </c>
      <c r="Y271" s="9">
        <v>124281.93999999999</v>
      </c>
      <c r="Z271" s="9">
        <v>206853.16000000003</v>
      </c>
      <c r="AA271" s="9">
        <f t="shared" si="34"/>
        <v>383656.71000000008</v>
      </c>
      <c r="AB271" s="7" t="e">
        <f>W271-#REF!</f>
        <v>#REF!</v>
      </c>
      <c r="AC271" s="12">
        <v>891</v>
      </c>
      <c r="AD271" s="12">
        <v>1</v>
      </c>
      <c r="AE271" s="12">
        <f t="shared" si="35"/>
        <v>0</v>
      </c>
      <c r="AF271" s="12">
        <f t="shared" si="36"/>
        <v>891</v>
      </c>
      <c r="AG271" s="13" t="s">
        <v>822</v>
      </c>
      <c r="AH271" s="13">
        <v>209096.9</v>
      </c>
      <c r="AI271" s="13">
        <v>82485.569999999992</v>
      </c>
      <c r="AJ271" s="13">
        <f t="shared" si="37"/>
        <v>126611.33</v>
      </c>
    </row>
    <row r="272" spans="1:36" s="1" customFormat="1" x14ac:dyDescent="0.25">
      <c r="A272">
        <v>2142</v>
      </c>
      <c r="B272">
        <v>1</v>
      </c>
      <c r="C272">
        <f t="shared" si="32"/>
        <v>1</v>
      </c>
      <c r="D272" s="1" t="s">
        <v>307</v>
      </c>
      <c r="E272" s="7">
        <v>180250.13999999996</v>
      </c>
      <c r="F272" s="7">
        <v>28203.50999999998</v>
      </c>
      <c r="G272" s="7">
        <v>16518.600000000006</v>
      </c>
      <c r="H272" s="7">
        <v>28812.070000000007</v>
      </c>
      <c r="I272" s="7">
        <v>36685.699999999953</v>
      </c>
      <c r="J272" s="7">
        <v>13357.489999999991</v>
      </c>
      <c r="K272" s="7">
        <v>33350.639999999898</v>
      </c>
      <c r="L272" s="7">
        <v>33857.540000000037</v>
      </c>
      <c r="M272" s="7">
        <v>26680.510000000009</v>
      </c>
      <c r="N272" s="7">
        <v>27369.780000000028</v>
      </c>
      <c r="O272" s="7">
        <v>33405.550000000047</v>
      </c>
      <c r="P272" s="7">
        <v>37819.790000000037</v>
      </c>
      <c r="Q272" s="7">
        <v>26680.5</v>
      </c>
      <c r="R272" s="7">
        <v>44623.260000000009</v>
      </c>
      <c r="S272" s="7">
        <v>33350.630000000005</v>
      </c>
      <c r="T272" s="7">
        <v>35992.429999999993</v>
      </c>
      <c r="U272" s="7">
        <v>33350.629999999946</v>
      </c>
      <c r="V272" s="7">
        <v>203.8100000000004</v>
      </c>
      <c r="W272" s="9">
        <f t="shared" si="33"/>
        <v>670512.57999999984</v>
      </c>
      <c r="X272" s="9">
        <v>903151.58000000007</v>
      </c>
      <c r="Y272" s="9">
        <v>421230.95</v>
      </c>
      <c r="Z272" s="9">
        <v>481920.63000000006</v>
      </c>
      <c r="AA272" s="9">
        <f t="shared" si="34"/>
        <v>1152433.21</v>
      </c>
      <c r="AB272" s="7" t="e">
        <f>W272-#REF!</f>
        <v>#REF!</v>
      </c>
      <c r="AC272" s="12">
        <v>911</v>
      </c>
      <c r="AD272" s="12">
        <v>1</v>
      </c>
      <c r="AE272" s="12">
        <f t="shared" si="35"/>
        <v>0</v>
      </c>
      <c r="AF272" s="12">
        <f t="shared" si="36"/>
        <v>911</v>
      </c>
      <c r="AG272" s="13" t="s">
        <v>823</v>
      </c>
      <c r="AH272" s="13">
        <v>1338402.5199999998</v>
      </c>
      <c r="AI272" s="13">
        <v>600114.55000000005</v>
      </c>
      <c r="AJ272" s="13">
        <f t="shared" si="37"/>
        <v>738287.96999999974</v>
      </c>
    </row>
    <row r="273" spans="1:36" s="1" customFormat="1" x14ac:dyDescent="0.25">
      <c r="A273">
        <v>2143</v>
      </c>
      <c r="B273">
        <v>1</v>
      </c>
      <c r="C273">
        <f t="shared" si="32"/>
        <v>1</v>
      </c>
      <c r="D273" s="1" t="s">
        <v>308</v>
      </c>
      <c r="E273" s="7">
        <v>62857.400000000023</v>
      </c>
      <c r="F273" s="7">
        <v>0</v>
      </c>
      <c r="G273" s="7">
        <v>-156.72000000000003</v>
      </c>
      <c r="H273" s="7">
        <v>0</v>
      </c>
      <c r="I273" s="7">
        <v>34833.709999999992</v>
      </c>
      <c r="J273" s="7">
        <v>6966.7399999999907</v>
      </c>
      <c r="K273" s="7">
        <v>11611.239999999991</v>
      </c>
      <c r="L273" s="7">
        <v>9288.9800000000396</v>
      </c>
      <c r="M273" s="7">
        <v>9288.9899999999907</v>
      </c>
      <c r="N273" s="7">
        <v>11611.239999999991</v>
      </c>
      <c r="O273" s="7">
        <v>11830.309999999998</v>
      </c>
      <c r="P273" s="7">
        <v>13933.479999999981</v>
      </c>
      <c r="Q273" s="7">
        <v>9288.9899999999907</v>
      </c>
      <c r="R273" s="7">
        <v>16255.729999999923</v>
      </c>
      <c r="S273" s="7">
        <v>34833.709999999992</v>
      </c>
      <c r="T273" s="7">
        <v>0</v>
      </c>
      <c r="U273" s="7">
        <v>0</v>
      </c>
      <c r="V273" s="7">
        <v>-4775.97</v>
      </c>
      <c r="W273" s="9">
        <f t="shared" si="33"/>
        <v>227667.8299999999</v>
      </c>
      <c r="X273" s="9">
        <v>776968.7</v>
      </c>
      <c r="Y273" s="9">
        <v>331463.75</v>
      </c>
      <c r="Z273" s="9">
        <v>445504.94999999995</v>
      </c>
      <c r="AA273" s="9">
        <f t="shared" si="34"/>
        <v>673172.7799999998</v>
      </c>
      <c r="AB273" s="7" t="e">
        <f>W273-#REF!</f>
        <v>#REF!</v>
      </c>
      <c r="AC273" s="12">
        <v>912</v>
      </c>
      <c r="AD273" s="12">
        <v>1</v>
      </c>
      <c r="AE273" s="12">
        <f t="shared" si="35"/>
        <v>0</v>
      </c>
      <c r="AF273" s="12">
        <f t="shared" si="36"/>
        <v>912</v>
      </c>
      <c r="AG273" s="13" t="s">
        <v>824</v>
      </c>
      <c r="AH273" s="13">
        <v>213791.74</v>
      </c>
      <c r="AI273" s="13">
        <v>90215.02</v>
      </c>
      <c r="AJ273" s="13">
        <f t="shared" si="37"/>
        <v>123576.71999999999</v>
      </c>
    </row>
    <row r="274" spans="1:36" s="1" customFormat="1" x14ac:dyDescent="0.25">
      <c r="A274">
        <v>2144</v>
      </c>
      <c r="B274">
        <v>1</v>
      </c>
      <c r="C274">
        <f t="shared" si="32"/>
        <v>1</v>
      </c>
      <c r="D274" s="1" t="s">
        <v>309</v>
      </c>
      <c r="E274" s="7">
        <v>264967.12</v>
      </c>
      <c r="F274" s="7">
        <v>1537.15</v>
      </c>
      <c r="G274" s="7">
        <v>-6947.92</v>
      </c>
      <c r="H274" s="7">
        <v>91168.809999999939</v>
      </c>
      <c r="I274" s="7">
        <v>52559.459999999963</v>
      </c>
      <c r="J274" s="7">
        <v>27420.699999999953</v>
      </c>
      <c r="K274" s="7">
        <v>47781.329999999842</v>
      </c>
      <c r="L274" s="7">
        <v>39571.699999999953</v>
      </c>
      <c r="M274" s="7">
        <v>38225.060000000056</v>
      </c>
      <c r="N274" s="7">
        <v>46659.15000000014</v>
      </c>
      <c r="O274" s="7">
        <v>48018.590000000084</v>
      </c>
      <c r="P274" s="7">
        <v>56924.630000000121</v>
      </c>
      <c r="Q274" s="7">
        <v>38225.060000000056</v>
      </c>
      <c r="R274" s="7">
        <v>66935.34999999986</v>
      </c>
      <c r="S274" s="7">
        <v>47781.329999999842</v>
      </c>
      <c r="T274" s="7">
        <v>47847.589999999967</v>
      </c>
      <c r="U274" s="7">
        <v>47781.330000000016</v>
      </c>
      <c r="V274" s="7">
        <v>53.870000000000118</v>
      </c>
      <c r="W274" s="9">
        <f t="shared" si="33"/>
        <v>956510.30999999971</v>
      </c>
      <c r="X274" s="9">
        <v>1973021.48</v>
      </c>
      <c r="Y274" s="9">
        <v>826079.64999999991</v>
      </c>
      <c r="Z274" s="9">
        <v>1146941.83</v>
      </c>
      <c r="AA274" s="9">
        <f t="shared" si="34"/>
        <v>2103452.1399999997</v>
      </c>
      <c r="AB274" s="7" t="e">
        <f>W274-#REF!</f>
        <v>#REF!</v>
      </c>
      <c r="AC274" s="12">
        <v>914</v>
      </c>
      <c r="AD274" s="12">
        <v>1</v>
      </c>
      <c r="AE274" s="12">
        <f t="shared" si="35"/>
        <v>0</v>
      </c>
      <c r="AF274" s="12">
        <f t="shared" si="36"/>
        <v>914</v>
      </c>
      <c r="AG274" s="13" t="s">
        <v>825</v>
      </c>
      <c r="AH274" s="13">
        <v>197410.55999999997</v>
      </c>
      <c r="AI274" s="13">
        <v>47474.46</v>
      </c>
      <c r="AJ274" s="13">
        <f t="shared" si="37"/>
        <v>149936.09999999998</v>
      </c>
    </row>
    <row r="275" spans="1:36" s="1" customFormat="1" x14ac:dyDescent="0.25">
      <c r="A275">
        <v>2149</v>
      </c>
      <c r="B275">
        <v>1</v>
      </c>
      <c r="C275">
        <f t="shared" si="32"/>
        <v>1</v>
      </c>
      <c r="D275" s="1" t="s">
        <v>310</v>
      </c>
      <c r="E275" s="7">
        <v>98250.97</v>
      </c>
      <c r="F275" s="7">
        <v>2920.55</v>
      </c>
      <c r="G275" s="7">
        <v>-104.48000000000002</v>
      </c>
      <c r="H275" s="7">
        <v>35263.160000000003</v>
      </c>
      <c r="I275" s="7">
        <v>19992.800000000047</v>
      </c>
      <c r="J275" s="7">
        <v>8533.929999999993</v>
      </c>
      <c r="K275" s="7">
        <v>18175.26999999996</v>
      </c>
      <c r="L275" s="7">
        <v>17099.109999999986</v>
      </c>
      <c r="M275" s="7">
        <v>14540.23000000004</v>
      </c>
      <c r="N275" s="7">
        <v>16042.859999999986</v>
      </c>
      <c r="O275" s="7">
        <v>18212.150000000023</v>
      </c>
      <c r="P275" s="7">
        <v>21025.630000000005</v>
      </c>
      <c r="Q275" s="7">
        <v>14540.219999999972</v>
      </c>
      <c r="R275" s="7">
        <v>25075.920000000042</v>
      </c>
      <c r="S275" s="7">
        <v>18175.27999999997</v>
      </c>
      <c r="T275" s="7">
        <v>18749.429999999993</v>
      </c>
      <c r="U275" s="7">
        <v>18175.28</v>
      </c>
      <c r="V275" s="7">
        <v>102.36000000000013</v>
      </c>
      <c r="W275" s="9">
        <f t="shared" si="33"/>
        <v>364770.67000000004</v>
      </c>
      <c r="X275" s="9">
        <v>690670.6</v>
      </c>
      <c r="Y275" s="9">
        <v>272847.26</v>
      </c>
      <c r="Z275" s="9">
        <v>417823.33999999997</v>
      </c>
      <c r="AA275" s="9">
        <f t="shared" si="34"/>
        <v>782594.01</v>
      </c>
      <c r="AB275" s="7" t="e">
        <f>W275-#REF!</f>
        <v>#REF!</v>
      </c>
      <c r="AC275" s="12">
        <v>2071</v>
      </c>
      <c r="AD275" s="12">
        <v>1</v>
      </c>
      <c r="AE275" s="12">
        <f t="shared" si="35"/>
        <v>0</v>
      </c>
      <c r="AF275" s="12">
        <f t="shared" si="36"/>
        <v>2071</v>
      </c>
      <c r="AG275" s="13" t="s">
        <v>826</v>
      </c>
      <c r="AH275" s="13">
        <v>404691.91</v>
      </c>
      <c r="AI275" s="13">
        <v>192353.56</v>
      </c>
      <c r="AJ275" s="13">
        <f t="shared" si="37"/>
        <v>212338.34999999998</v>
      </c>
    </row>
    <row r="276" spans="1:36" s="1" customFormat="1" x14ac:dyDescent="0.25">
      <c r="A276">
        <v>2154</v>
      </c>
      <c r="B276">
        <v>1</v>
      </c>
      <c r="C276">
        <f t="shared" si="32"/>
        <v>1</v>
      </c>
      <c r="D276" s="1" t="s">
        <v>311</v>
      </c>
      <c r="E276" s="7">
        <v>85329.210000000021</v>
      </c>
      <c r="F276" s="7">
        <v>13909.329999999987</v>
      </c>
      <c r="G276" s="7">
        <v>7900.8500000000058</v>
      </c>
      <c r="H276" s="7">
        <v>13748.460000000021</v>
      </c>
      <c r="I276" s="7">
        <v>17381.879999999946</v>
      </c>
      <c r="J276" s="7">
        <v>5885.5899999999674</v>
      </c>
      <c r="K276" s="7">
        <v>15801.700000000012</v>
      </c>
      <c r="L276" s="7">
        <v>16521.309999999998</v>
      </c>
      <c r="M276" s="7">
        <v>0</v>
      </c>
      <c r="N276" s="7">
        <v>25209.77999999997</v>
      </c>
      <c r="O276" s="7">
        <v>15801.700000000012</v>
      </c>
      <c r="P276" s="7">
        <v>17772.20000000007</v>
      </c>
      <c r="Q276" s="7">
        <v>12641.369999999995</v>
      </c>
      <c r="R276" s="7">
        <v>21712.489999999991</v>
      </c>
      <c r="S276" s="7">
        <v>15801.710000000021</v>
      </c>
      <c r="T276" s="7">
        <v>16521.979999999981</v>
      </c>
      <c r="U276" s="7">
        <v>15801.709999999963</v>
      </c>
      <c r="V276" s="7">
        <v>155.21000000000004</v>
      </c>
      <c r="W276" s="9">
        <f t="shared" si="33"/>
        <v>317896.48</v>
      </c>
      <c r="X276" s="9">
        <v>186163.17</v>
      </c>
      <c r="Y276" s="9">
        <v>61056.08</v>
      </c>
      <c r="Z276" s="9">
        <v>125107.09000000001</v>
      </c>
      <c r="AA276" s="9">
        <f t="shared" si="34"/>
        <v>443003.57</v>
      </c>
      <c r="AB276" s="7" t="e">
        <f>W276-#REF!</f>
        <v>#REF!</v>
      </c>
      <c r="AC276" s="12">
        <v>2125</v>
      </c>
      <c r="AD276" s="12">
        <v>1</v>
      </c>
      <c r="AE276" s="12">
        <f t="shared" si="35"/>
        <v>0</v>
      </c>
      <c r="AF276" s="12">
        <f t="shared" si="36"/>
        <v>2125</v>
      </c>
      <c r="AG276" s="13" t="s">
        <v>827</v>
      </c>
      <c r="AH276" s="13">
        <v>384238.33</v>
      </c>
      <c r="AI276" s="13">
        <v>166767.69</v>
      </c>
      <c r="AJ276" s="13">
        <f t="shared" si="37"/>
        <v>217470.64</v>
      </c>
    </row>
    <row r="277" spans="1:36" s="1" customFormat="1" x14ac:dyDescent="0.25">
      <c r="A277">
        <v>2155</v>
      </c>
      <c r="B277">
        <v>1</v>
      </c>
      <c r="C277">
        <f t="shared" si="32"/>
        <v>1</v>
      </c>
      <c r="D277" s="1" t="s">
        <v>312</v>
      </c>
      <c r="E277" s="7">
        <v>102832.79000000001</v>
      </c>
      <c r="F277" s="7">
        <v>12709.36</v>
      </c>
      <c r="G277" s="7">
        <v>-3720.3099999999977</v>
      </c>
      <c r="H277" s="7">
        <v>14096.479999999981</v>
      </c>
      <c r="I277" s="7">
        <v>18478.600000000035</v>
      </c>
      <c r="J277" s="7">
        <v>7943.7999999999884</v>
      </c>
      <c r="K277" s="7">
        <v>16798.729999999981</v>
      </c>
      <c r="L277" s="7">
        <v>15743.399999999965</v>
      </c>
      <c r="M277" s="7">
        <v>13438.979999999981</v>
      </c>
      <c r="N277" s="7">
        <v>14878.369999999995</v>
      </c>
      <c r="O277" s="7">
        <v>16876.150000000023</v>
      </c>
      <c r="P277" s="7">
        <v>19451.790000000037</v>
      </c>
      <c r="Q277" s="7">
        <v>13438.979999999981</v>
      </c>
      <c r="R277" s="7">
        <v>23159.869999999995</v>
      </c>
      <c r="S277" s="7">
        <v>16798.72000000003</v>
      </c>
      <c r="T277" s="7">
        <v>17341.419999999984</v>
      </c>
      <c r="U277" s="7">
        <v>16798.729999999981</v>
      </c>
      <c r="V277" s="7">
        <v>92.180000000000291</v>
      </c>
      <c r="W277" s="9">
        <f t="shared" si="33"/>
        <v>337158.04</v>
      </c>
      <c r="X277" s="9">
        <v>346926.98</v>
      </c>
      <c r="Y277" s="9">
        <v>144876.57999999999</v>
      </c>
      <c r="Z277" s="9">
        <v>202050.4</v>
      </c>
      <c r="AA277" s="9">
        <f t="shared" si="34"/>
        <v>539208.43999999994</v>
      </c>
      <c r="AB277" s="7" t="e">
        <f>W277-#REF!</f>
        <v>#REF!</v>
      </c>
      <c r="AC277" s="12">
        <v>2134</v>
      </c>
      <c r="AD277" s="12">
        <v>1</v>
      </c>
      <c r="AE277" s="12">
        <f t="shared" si="35"/>
        <v>0</v>
      </c>
      <c r="AF277" s="12">
        <f t="shared" si="36"/>
        <v>2134</v>
      </c>
      <c r="AG277" s="13" t="s">
        <v>828</v>
      </c>
      <c r="AH277" s="13">
        <v>365936.85</v>
      </c>
      <c r="AI277" s="13">
        <v>93469.97</v>
      </c>
      <c r="AJ277" s="13">
        <f t="shared" si="37"/>
        <v>272466.88</v>
      </c>
    </row>
    <row r="278" spans="1:36" s="1" customFormat="1" x14ac:dyDescent="0.25">
      <c r="A278">
        <v>2159</v>
      </c>
      <c r="B278">
        <v>1</v>
      </c>
      <c r="C278">
        <f t="shared" si="32"/>
        <v>1</v>
      </c>
      <c r="D278" s="1" t="s">
        <v>313</v>
      </c>
      <c r="E278" s="7">
        <v>45263.200000000012</v>
      </c>
      <c r="F278" s="7">
        <v>6009.760000000002</v>
      </c>
      <c r="G278" s="7">
        <v>3163.6500000000015</v>
      </c>
      <c r="H278" s="7">
        <v>6837.6100000000006</v>
      </c>
      <c r="I278" s="7">
        <v>9028.7299999999814</v>
      </c>
      <c r="J278" s="7">
        <v>4043.8500000000058</v>
      </c>
      <c r="K278" s="7">
        <v>8207.9400000000023</v>
      </c>
      <c r="L278" s="7">
        <v>7516.9799999999814</v>
      </c>
      <c r="M278" s="7">
        <v>6566.3600000000151</v>
      </c>
      <c r="N278" s="7">
        <v>7415.7300000000105</v>
      </c>
      <c r="O278" s="7">
        <v>8210.679999999993</v>
      </c>
      <c r="P278" s="7">
        <v>9558</v>
      </c>
      <c r="Q278" s="7">
        <v>6566.359999999986</v>
      </c>
      <c r="R278" s="7">
        <v>11252.369999999995</v>
      </c>
      <c r="S278" s="7">
        <v>8207.9500000000116</v>
      </c>
      <c r="T278" s="7">
        <v>8522.7199999999939</v>
      </c>
      <c r="U278" s="7">
        <v>8207.9400000000023</v>
      </c>
      <c r="V278" s="7">
        <v>38.029999999999973</v>
      </c>
      <c r="W278" s="9">
        <f t="shared" si="33"/>
        <v>164617.85999999999</v>
      </c>
      <c r="X278" s="9">
        <v>224608.19</v>
      </c>
      <c r="Y278" s="9">
        <v>77405.88</v>
      </c>
      <c r="Z278" s="9">
        <v>147202.31</v>
      </c>
      <c r="AA278" s="9">
        <f t="shared" si="34"/>
        <v>311820.17</v>
      </c>
      <c r="AB278" s="7" t="e">
        <f>W278-#REF!</f>
        <v>#REF!</v>
      </c>
      <c r="AC278" s="12">
        <v>2135</v>
      </c>
      <c r="AD278" s="12">
        <v>1</v>
      </c>
      <c r="AE278" s="12">
        <f t="shared" si="35"/>
        <v>0</v>
      </c>
      <c r="AF278" s="12">
        <f t="shared" si="36"/>
        <v>2135</v>
      </c>
      <c r="AG278" s="13" t="s">
        <v>829</v>
      </c>
      <c r="AH278" s="13">
        <v>369066.58</v>
      </c>
      <c r="AI278" s="13">
        <v>129144.35</v>
      </c>
      <c r="AJ278" s="13">
        <f t="shared" si="37"/>
        <v>239922.23</v>
      </c>
    </row>
    <row r="279" spans="1:36" s="1" customFormat="1" x14ac:dyDescent="0.25">
      <c r="A279">
        <v>2164</v>
      </c>
      <c r="B279">
        <v>1</v>
      </c>
      <c r="C279">
        <f t="shared" si="32"/>
        <v>1</v>
      </c>
      <c r="D279" s="1" t="s">
        <v>314</v>
      </c>
      <c r="E279" s="7">
        <v>114889.20999999999</v>
      </c>
      <c r="F279" s="7">
        <v>17865.78</v>
      </c>
      <c r="G279" s="7">
        <v>10580.820000000007</v>
      </c>
      <c r="H279" s="7">
        <v>18289.419999999984</v>
      </c>
      <c r="I279" s="7">
        <v>23392.720000000088</v>
      </c>
      <c r="J279" s="7">
        <v>8613.9200000000419</v>
      </c>
      <c r="K279" s="7">
        <v>21266.109999999986</v>
      </c>
      <c r="L279" s="7">
        <v>21486.700000000012</v>
      </c>
      <c r="M279" s="7">
        <v>17012.880000000005</v>
      </c>
      <c r="N279" s="7">
        <v>17537.940000000061</v>
      </c>
      <c r="O279" s="7">
        <v>21271.569999999949</v>
      </c>
      <c r="P279" s="7">
        <v>24147.339999999967</v>
      </c>
      <c r="Q279" s="7">
        <v>17012.890000000014</v>
      </c>
      <c r="R279" s="7">
        <v>29819.640000000014</v>
      </c>
      <c r="S279" s="7">
        <v>21266.109999999986</v>
      </c>
      <c r="T279" s="7">
        <v>21576.929999999993</v>
      </c>
      <c r="U279" s="7">
        <v>21266.109999999986</v>
      </c>
      <c r="V279" s="7">
        <v>178.94999999999982</v>
      </c>
      <c r="W279" s="9">
        <f t="shared" si="33"/>
        <v>427475.0400000001</v>
      </c>
      <c r="X279" s="9">
        <v>322633.26</v>
      </c>
      <c r="Y279" s="9">
        <v>124224.58</v>
      </c>
      <c r="Z279" s="9">
        <v>198408.68</v>
      </c>
      <c r="AA279" s="9">
        <f t="shared" si="34"/>
        <v>625883.72000000009</v>
      </c>
      <c r="AB279" s="7" t="e">
        <f>W279-#REF!</f>
        <v>#REF!</v>
      </c>
      <c r="AC279" s="12">
        <v>2137</v>
      </c>
      <c r="AD279" s="12">
        <v>1</v>
      </c>
      <c r="AE279" s="12">
        <f t="shared" si="35"/>
        <v>0</v>
      </c>
      <c r="AF279" s="12">
        <f t="shared" si="36"/>
        <v>2137</v>
      </c>
      <c r="AG279" s="13" t="s">
        <v>830</v>
      </c>
      <c r="AH279" s="13">
        <v>331135.10000000003</v>
      </c>
      <c r="AI279" s="13">
        <v>124281.93999999999</v>
      </c>
      <c r="AJ279" s="13">
        <f t="shared" si="37"/>
        <v>206853.16000000003</v>
      </c>
    </row>
    <row r="280" spans="1:36" s="1" customFormat="1" x14ac:dyDescent="0.25">
      <c r="A280">
        <v>2165</v>
      </c>
      <c r="B280">
        <v>1</v>
      </c>
      <c r="C280">
        <f t="shared" si="32"/>
        <v>1</v>
      </c>
      <c r="D280" s="1" t="s">
        <v>315</v>
      </c>
      <c r="E280" s="7">
        <v>81259.540000000008</v>
      </c>
      <c r="F280" s="7">
        <v>10478.509999999995</v>
      </c>
      <c r="G280" s="7">
        <v>6268.3500000000058</v>
      </c>
      <c r="H280" s="7">
        <v>12262.51999999999</v>
      </c>
      <c r="I280" s="7">
        <v>16318.760000000009</v>
      </c>
      <c r="J280" s="7">
        <v>7620.4400000000023</v>
      </c>
      <c r="K280" s="7">
        <v>14835.239999999991</v>
      </c>
      <c r="L280" s="7">
        <v>13250.229999999981</v>
      </c>
      <c r="M280" s="7">
        <v>11868.190000000002</v>
      </c>
      <c r="N280" s="7">
        <v>13683.520000000019</v>
      </c>
      <c r="O280" s="7">
        <v>15388.320000000007</v>
      </c>
      <c r="P280" s="7">
        <v>17378.460000000021</v>
      </c>
      <c r="Q280" s="7">
        <v>11868.179999999993</v>
      </c>
      <c r="R280" s="7">
        <v>20813.520000000019</v>
      </c>
      <c r="S280" s="7">
        <v>14835.229999999981</v>
      </c>
      <c r="T280" s="7">
        <v>14901.600000000006</v>
      </c>
      <c r="U280" s="7">
        <v>14835.23000000001</v>
      </c>
      <c r="V280" s="7">
        <v>-13102.87</v>
      </c>
      <c r="W280" s="9">
        <f t="shared" si="33"/>
        <v>284762.96999999997</v>
      </c>
      <c r="X280" s="9">
        <v>212738.88999999998</v>
      </c>
      <c r="Y280" s="9">
        <v>89977.180000000008</v>
      </c>
      <c r="Z280" s="9">
        <v>122761.70999999998</v>
      </c>
      <c r="AA280" s="9">
        <f t="shared" si="34"/>
        <v>407524.67999999993</v>
      </c>
      <c r="AB280" s="7" t="e">
        <f>W280-#REF!</f>
        <v>#REF!</v>
      </c>
      <c r="AC280" s="12">
        <v>2142</v>
      </c>
      <c r="AD280" s="12">
        <v>1</v>
      </c>
      <c r="AE280" s="12">
        <f t="shared" si="35"/>
        <v>0</v>
      </c>
      <c r="AF280" s="12">
        <f t="shared" si="36"/>
        <v>2142</v>
      </c>
      <c r="AG280" s="13" t="s">
        <v>831</v>
      </c>
      <c r="AH280" s="13">
        <v>903151.58000000007</v>
      </c>
      <c r="AI280" s="13">
        <v>421230.95</v>
      </c>
      <c r="AJ280" s="13">
        <f t="shared" si="37"/>
        <v>481920.63000000006</v>
      </c>
    </row>
    <row r="281" spans="1:36" s="1" customFormat="1" x14ac:dyDescent="0.25">
      <c r="A281">
        <v>2167</v>
      </c>
      <c r="B281">
        <v>1</v>
      </c>
      <c r="C281">
        <f t="shared" si="32"/>
        <v>1</v>
      </c>
      <c r="D281" s="1" t="s">
        <v>316</v>
      </c>
      <c r="E281" s="7">
        <v>50990.87999999999</v>
      </c>
      <c r="F281" s="7">
        <v>6897.3299999999872</v>
      </c>
      <c r="G281" s="7">
        <v>4093.5199999999968</v>
      </c>
      <c r="H281" s="7">
        <v>7792.9700000000012</v>
      </c>
      <c r="I281" s="7">
        <v>10269.969999999972</v>
      </c>
      <c r="J281" s="7">
        <v>4549.9400000000023</v>
      </c>
      <c r="K281" s="7">
        <v>9336.3399999999965</v>
      </c>
      <c r="L281" s="7">
        <v>8604.1600000000035</v>
      </c>
      <c r="M281" s="7">
        <v>7469.0800000000163</v>
      </c>
      <c r="N281" s="7">
        <v>8390.429999999993</v>
      </c>
      <c r="O281" s="7">
        <v>9336.3399999999965</v>
      </c>
      <c r="P281" s="7">
        <v>10855.510000000009</v>
      </c>
      <c r="Q281" s="7">
        <v>7469.070000000007</v>
      </c>
      <c r="R281" s="7">
        <v>13034.179999999993</v>
      </c>
      <c r="S281" s="7">
        <v>9336.3399999999965</v>
      </c>
      <c r="T281" s="7">
        <v>9463.86</v>
      </c>
      <c r="U281" s="7">
        <v>9336.3399999999965</v>
      </c>
      <c r="V281" s="7">
        <v>-3867.69</v>
      </c>
      <c r="W281" s="9">
        <f t="shared" si="33"/>
        <v>183358.56999999998</v>
      </c>
      <c r="X281" s="9">
        <v>222313.15</v>
      </c>
      <c r="Y281" s="9">
        <v>88961.09</v>
      </c>
      <c r="Z281" s="9">
        <v>133352.06</v>
      </c>
      <c r="AA281" s="9">
        <f t="shared" si="34"/>
        <v>316710.63</v>
      </c>
      <c r="AB281" s="7" t="e">
        <f>W281-#REF!</f>
        <v>#REF!</v>
      </c>
      <c r="AC281" s="12">
        <v>2143</v>
      </c>
      <c r="AD281" s="12">
        <v>1</v>
      </c>
      <c r="AE281" s="12">
        <f t="shared" si="35"/>
        <v>0</v>
      </c>
      <c r="AF281" s="12">
        <f t="shared" si="36"/>
        <v>2143</v>
      </c>
      <c r="AG281" s="13" t="s">
        <v>832</v>
      </c>
      <c r="AH281" s="13">
        <v>776968.7</v>
      </c>
      <c r="AI281" s="13">
        <v>331463.75</v>
      </c>
      <c r="AJ281" s="13">
        <f t="shared" si="37"/>
        <v>445504.94999999995</v>
      </c>
    </row>
    <row r="282" spans="1:36" s="1" customFormat="1" x14ac:dyDescent="0.25">
      <c r="A282">
        <v>2168</v>
      </c>
      <c r="B282">
        <v>1</v>
      </c>
      <c r="C282">
        <f t="shared" si="32"/>
        <v>1</v>
      </c>
      <c r="D282" s="1" t="s">
        <v>317</v>
      </c>
      <c r="E282" s="7">
        <v>76790.22</v>
      </c>
      <c r="F282" s="7">
        <v>9220.0599999999977</v>
      </c>
      <c r="G282" s="7">
        <v>2715.2699999999895</v>
      </c>
      <c r="H282" s="7">
        <v>11064.110000000015</v>
      </c>
      <c r="I282" s="7">
        <v>14823.059999999998</v>
      </c>
      <c r="J282" s="7">
        <v>7163.9599999999919</v>
      </c>
      <c r="K282" s="7">
        <v>13475.5</v>
      </c>
      <c r="L282" s="7">
        <v>11774.650000000023</v>
      </c>
      <c r="M282" s="7">
        <v>10780.400000000023</v>
      </c>
      <c r="N282" s="7">
        <v>12646.98000000004</v>
      </c>
      <c r="O282" s="7">
        <v>13577.789999999979</v>
      </c>
      <c r="P282" s="7">
        <v>15865.690000000002</v>
      </c>
      <c r="Q282" s="7">
        <v>10780.409999999974</v>
      </c>
      <c r="R282" s="7">
        <v>18828.979999999981</v>
      </c>
      <c r="S282" s="7">
        <v>13475.5</v>
      </c>
      <c r="T282" s="7">
        <v>13591.809999999998</v>
      </c>
      <c r="U282" s="7">
        <v>13475.5</v>
      </c>
      <c r="V282" s="7">
        <v>39.740000000000009</v>
      </c>
      <c r="W282" s="9">
        <f t="shared" si="33"/>
        <v>270089.63</v>
      </c>
      <c r="X282" s="9">
        <v>205711.21000000002</v>
      </c>
      <c r="Y282" s="9">
        <v>86492.37</v>
      </c>
      <c r="Z282" s="9">
        <v>119218.84000000003</v>
      </c>
      <c r="AA282" s="9">
        <f t="shared" si="34"/>
        <v>389308.47000000003</v>
      </c>
      <c r="AB282" s="7" t="e">
        <f>W282-#REF!</f>
        <v>#REF!</v>
      </c>
      <c r="AC282" s="12">
        <v>2144</v>
      </c>
      <c r="AD282" s="12">
        <v>1</v>
      </c>
      <c r="AE282" s="12">
        <f t="shared" si="35"/>
        <v>0</v>
      </c>
      <c r="AF282" s="12">
        <f t="shared" si="36"/>
        <v>2144</v>
      </c>
      <c r="AG282" s="13" t="s">
        <v>833</v>
      </c>
      <c r="AH282" s="13">
        <v>1973021.48</v>
      </c>
      <c r="AI282" s="13">
        <v>826079.64999999991</v>
      </c>
      <c r="AJ282" s="13">
        <f t="shared" si="37"/>
        <v>1146941.83</v>
      </c>
    </row>
    <row r="283" spans="1:36" s="1" customFormat="1" x14ac:dyDescent="0.25">
      <c r="A283">
        <v>2169</v>
      </c>
      <c r="B283">
        <v>1</v>
      </c>
      <c r="C283">
        <f t="shared" si="32"/>
        <v>1</v>
      </c>
      <c r="D283" s="1" t="s">
        <v>318</v>
      </c>
      <c r="E283" s="7">
        <v>58433.319999999992</v>
      </c>
      <c r="F283" s="7">
        <v>2800.6</v>
      </c>
      <c r="G283" s="7">
        <v>-261.20000000000027</v>
      </c>
      <c r="H283" s="7">
        <v>700.14999999999964</v>
      </c>
      <c r="I283" s="7">
        <v>32317.839999999967</v>
      </c>
      <c r="J283" s="7">
        <v>4189.710000000021</v>
      </c>
      <c r="K283" s="7">
        <v>10772.619999999995</v>
      </c>
      <c r="L283" s="7">
        <v>11071.880000000005</v>
      </c>
      <c r="M283" s="7">
        <v>8618.0899999999674</v>
      </c>
      <c r="N283" s="7">
        <v>8727.7799999999697</v>
      </c>
      <c r="O283" s="7">
        <v>11028.880000000005</v>
      </c>
      <c r="P283" s="7">
        <v>12174.650000000023</v>
      </c>
      <c r="Q283" s="7">
        <v>8618.0900000000256</v>
      </c>
      <c r="R283" s="7">
        <v>14654.789999999979</v>
      </c>
      <c r="S283" s="7">
        <v>10772.609999999986</v>
      </c>
      <c r="T283" s="7">
        <v>11395.789999999999</v>
      </c>
      <c r="U283" s="7">
        <v>10772.61</v>
      </c>
      <c r="V283" s="7">
        <v>-4190.3599999999997</v>
      </c>
      <c r="W283" s="9">
        <f t="shared" si="33"/>
        <v>212597.84999999998</v>
      </c>
      <c r="X283" s="9">
        <v>529669.24</v>
      </c>
      <c r="Y283" s="9">
        <v>219602.94</v>
      </c>
      <c r="Z283" s="9">
        <v>310066.3</v>
      </c>
      <c r="AA283" s="9">
        <f t="shared" si="34"/>
        <v>522664.14999999997</v>
      </c>
      <c r="AB283" s="7" t="e">
        <f>W283-#REF!</f>
        <v>#REF!</v>
      </c>
      <c r="AC283" s="12">
        <v>2149</v>
      </c>
      <c r="AD283" s="12">
        <v>1</v>
      </c>
      <c r="AE283" s="12">
        <f t="shared" si="35"/>
        <v>0</v>
      </c>
      <c r="AF283" s="12">
        <f t="shared" si="36"/>
        <v>2149</v>
      </c>
      <c r="AG283" s="13" t="s">
        <v>834</v>
      </c>
      <c r="AH283" s="13">
        <v>690670.6</v>
      </c>
      <c r="AI283" s="13">
        <v>272847.26</v>
      </c>
      <c r="AJ283" s="13">
        <f t="shared" si="37"/>
        <v>417823.33999999997</v>
      </c>
    </row>
    <row r="284" spans="1:36" s="1" customFormat="1" x14ac:dyDescent="0.25">
      <c r="A284">
        <v>2170</v>
      </c>
      <c r="B284">
        <v>1</v>
      </c>
      <c r="C284">
        <f t="shared" si="32"/>
        <v>1</v>
      </c>
      <c r="D284" s="1" t="s">
        <v>319</v>
      </c>
      <c r="E284" s="7">
        <v>149298.69000000003</v>
      </c>
      <c r="F284" s="7">
        <v>13755.919999999998</v>
      </c>
      <c r="G284" s="7">
        <v>-33264.6</v>
      </c>
      <c r="H284" s="7">
        <v>16222.369999999995</v>
      </c>
      <c r="I284" s="7">
        <v>21633.469999999972</v>
      </c>
      <c r="J284" s="7">
        <v>10212.099999999977</v>
      </c>
      <c r="K284" s="7">
        <v>19666.789999999921</v>
      </c>
      <c r="L284" s="7">
        <v>17447.070000000007</v>
      </c>
      <c r="M284" s="7">
        <v>15733.450000000012</v>
      </c>
      <c r="N284" s="7">
        <v>18238.760000000009</v>
      </c>
      <c r="O284" s="7">
        <v>20068.599999999977</v>
      </c>
      <c r="P284" s="7">
        <v>23074.669999999925</v>
      </c>
      <c r="Q284" s="7">
        <v>15733.429999999993</v>
      </c>
      <c r="R284" s="7">
        <v>27343.069999999949</v>
      </c>
      <c r="S284" s="7">
        <v>19666.789999999921</v>
      </c>
      <c r="T284" s="7">
        <v>19994.320000000007</v>
      </c>
      <c r="U284" s="7">
        <v>19666.789999999979</v>
      </c>
      <c r="V284" s="7">
        <v>68.570000000000164</v>
      </c>
      <c r="W284" s="9">
        <f t="shared" si="33"/>
        <v>394560.25999999966</v>
      </c>
      <c r="X284" s="9">
        <v>426397.20999999996</v>
      </c>
      <c r="Y284" s="9">
        <v>161454.01</v>
      </c>
      <c r="Z284" s="9">
        <v>264943.19999999995</v>
      </c>
      <c r="AA284" s="9">
        <f t="shared" si="34"/>
        <v>659503.45999999961</v>
      </c>
      <c r="AB284" s="7" t="e">
        <f>W284-#REF!</f>
        <v>#REF!</v>
      </c>
      <c r="AC284" s="12">
        <v>2154</v>
      </c>
      <c r="AD284" s="12">
        <v>1</v>
      </c>
      <c r="AE284" s="12">
        <f t="shared" si="35"/>
        <v>0</v>
      </c>
      <c r="AF284" s="12">
        <f t="shared" si="36"/>
        <v>2154</v>
      </c>
      <c r="AG284" s="13" t="s">
        <v>835</v>
      </c>
      <c r="AH284" s="13">
        <v>186163.17</v>
      </c>
      <c r="AI284" s="13">
        <v>61056.08</v>
      </c>
      <c r="AJ284" s="13">
        <f t="shared" si="37"/>
        <v>125107.09000000001</v>
      </c>
    </row>
    <row r="285" spans="1:36" s="1" customFormat="1" x14ac:dyDescent="0.25">
      <c r="A285">
        <v>2171</v>
      </c>
      <c r="B285">
        <v>1</v>
      </c>
      <c r="C285">
        <f t="shared" si="32"/>
        <v>1</v>
      </c>
      <c r="D285" s="1" t="s">
        <v>320</v>
      </c>
      <c r="E285" s="7">
        <v>27570.379999999997</v>
      </c>
      <c r="F285" s="7">
        <v>557.77</v>
      </c>
      <c r="G285" s="7">
        <v>0</v>
      </c>
      <c r="H285" s="7">
        <v>139.44</v>
      </c>
      <c r="I285" s="7">
        <v>15316.869999999995</v>
      </c>
      <c r="J285" s="7">
        <v>2610.5200000000041</v>
      </c>
      <c r="K285" s="7">
        <v>5105.6199999999953</v>
      </c>
      <c r="L285" s="7">
        <v>4573.1900000000023</v>
      </c>
      <c r="M285" s="7">
        <v>4084.5100000000093</v>
      </c>
      <c r="N285" s="7">
        <v>4698.3800000000047</v>
      </c>
      <c r="O285" s="7">
        <v>5105.6299999999756</v>
      </c>
      <c r="P285" s="7">
        <v>5976.8699999999953</v>
      </c>
      <c r="Q285" s="7">
        <v>4084.5</v>
      </c>
      <c r="R285" s="7">
        <v>7115.2799999999988</v>
      </c>
      <c r="S285" s="7">
        <v>15316.880000000005</v>
      </c>
      <c r="T285" s="7">
        <v>71.69</v>
      </c>
      <c r="U285" s="7">
        <v>0</v>
      </c>
      <c r="V285" s="7">
        <v>19.560000000000002</v>
      </c>
      <c r="W285" s="9">
        <f t="shared" si="33"/>
        <v>102347.08999999998</v>
      </c>
      <c r="X285" s="9">
        <v>107033.25</v>
      </c>
      <c r="Y285" s="9">
        <v>50873.83</v>
      </c>
      <c r="Z285" s="9">
        <v>56159.42</v>
      </c>
      <c r="AA285" s="9">
        <f t="shared" si="34"/>
        <v>158506.50999999998</v>
      </c>
      <c r="AB285" s="7" t="e">
        <f>W285-#REF!</f>
        <v>#REF!</v>
      </c>
      <c r="AC285" s="12">
        <v>2155</v>
      </c>
      <c r="AD285" s="12">
        <v>1</v>
      </c>
      <c r="AE285" s="12">
        <f t="shared" si="35"/>
        <v>0</v>
      </c>
      <c r="AF285" s="12">
        <f t="shared" si="36"/>
        <v>2155</v>
      </c>
      <c r="AG285" s="13" t="s">
        <v>836</v>
      </c>
      <c r="AH285" s="13">
        <v>346926.98</v>
      </c>
      <c r="AI285" s="13">
        <v>144876.57999999999</v>
      </c>
      <c r="AJ285" s="13">
        <f t="shared" si="37"/>
        <v>202050.4</v>
      </c>
    </row>
    <row r="286" spans="1:36" s="1" customFormat="1" x14ac:dyDescent="0.25">
      <c r="A286">
        <v>2172</v>
      </c>
      <c r="B286">
        <v>1</v>
      </c>
      <c r="C286">
        <f t="shared" si="32"/>
        <v>1</v>
      </c>
      <c r="D286" s="1" t="s">
        <v>321</v>
      </c>
      <c r="E286" s="7">
        <v>62224.069999999978</v>
      </c>
      <c r="F286" s="7">
        <v>9133.91</v>
      </c>
      <c r="G286" s="7">
        <v>0</v>
      </c>
      <c r="H286" s="7">
        <v>11049</v>
      </c>
      <c r="I286" s="7">
        <v>17161.179999999993</v>
      </c>
      <c r="J286" s="7">
        <v>5111.2299999999814</v>
      </c>
      <c r="K286" s="7">
        <v>11522.97000000003</v>
      </c>
      <c r="L286" s="7">
        <v>11163.579999999958</v>
      </c>
      <c r="M286" s="7">
        <v>9218.3699999999953</v>
      </c>
      <c r="N286" s="7">
        <v>9902</v>
      </c>
      <c r="O286" s="7">
        <v>11550.299999999988</v>
      </c>
      <c r="P286" s="7">
        <v>13231.030000000028</v>
      </c>
      <c r="Q286" s="7">
        <v>9218.3699999999953</v>
      </c>
      <c r="R286" s="7">
        <v>16049.799999999988</v>
      </c>
      <c r="S286" s="7">
        <v>11522.97000000003</v>
      </c>
      <c r="T286" s="7">
        <v>11760.970000000001</v>
      </c>
      <c r="U286" s="7">
        <v>11522.969999999994</v>
      </c>
      <c r="V286" s="7">
        <v>77.809999999999945</v>
      </c>
      <c r="W286" s="9">
        <f t="shared" si="33"/>
        <v>231420.52999999997</v>
      </c>
      <c r="X286" s="9">
        <v>484124.10000000003</v>
      </c>
      <c r="Y286" s="9">
        <v>192352.01</v>
      </c>
      <c r="Z286" s="9">
        <v>291772.09000000003</v>
      </c>
      <c r="AA286" s="9">
        <f t="shared" si="34"/>
        <v>523192.62</v>
      </c>
      <c r="AB286" s="7" t="e">
        <f>W286-#REF!</f>
        <v>#REF!</v>
      </c>
      <c r="AC286" s="12">
        <v>2159</v>
      </c>
      <c r="AD286" s="12">
        <v>1</v>
      </c>
      <c r="AE286" s="12">
        <f t="shared" si="35"/>
        <v>0</v>
      </c>
      <c r="AF286" s="12">
        <f t="shared" si="36"/>
        <v>2159</v>
      </c>
      <c r="AG286" s="13" t="s">
        <v>837</v>
      </c>
      <c r="AH286" s="13">
        <v>224608.19</v>
      </c>
      <c r="AI286" s="13">
        <v>77405.88</v>
      </c>
      <c r="AJ286" s="13">
        <f t="shared" si="37"/>
        <v>147202.31</v>
      </c>
    </row>
    <row r="287" spans="1:36" s="1" customFormat="1" x14ac:dyDescent="0.25">
      <c r="A287">
        <v>2174</v>
      </c>
      <c r="B287">
        <v>1</v>
      </c>
      <c r="C287">
        <f t="shared" si="32"/>
        <v>1</v>
      </c>
      <c r="D287" s="1" t="s">
        <v>322</v>
      </c>
      <c r="E287" s="7">
        <v>83574.099999999977</v>
      </c>
      <c r="F287" s="7">
        <v>9445.6300000000047</v>
      </c>
      <c r="G287" s="7">
        <v>4998.6499999999942</v>
      </c>
      <c r="H287" s="7">
        <v>12120.670000000013</v>
      </c>
      <c r="I287" s="7">
        <v>16513.559999999998</v>
      </c>
      <c r="J287" s="7">
        <v>8651.5799999999872</v>
      </c>
      <c r="K287" s="7">
        <v>15012.330000000016</v>
      </c>
      <c r="L287" s="7">
        <v>12393.839999999967</v>
      </c>
      <c r="M287" s="7">
        <v>12009.859999999986</v>
      </c>
      <c r="N287" s="7">
        <v>14692.350000000035</v>
      </c>
      <c r="O287" s="7">
        <v>15066.739999999991</v>
      </c>
      <c r="P287" s="7">
        <v>17897.049999999988</v>
      </c>
      <c r="Q287" s="7">
        <v>12009.860000000044</v>
      </c>
      <c r="R287" s="7">
        <v>21016.140000000014</v>
      </c>
      <c r="S287" s="7">
        <v>15012.330000000016</v>
      </c>
      <c r="T287" s="7">
        <v>15044.179999999993</v>
      </c>
      <c r="U287" s="7">
        <v>15012.330000000016</v>
      </c>
      <c r="V287" s="7">
        <v>14.139999999999986</v>
      </c>
      <c r="W287" s="9">
        <f t="shared" si="33"/>
        <v>300485.34000000008</v>
      </c>
      <c r="X287" s="9">
        <v>338957.88</v>
      </c>
      <c r="Y287" s="9">
        <v>161109.61000000002</v>
      </c>
      <c r="Z287" s="9">
        <v>177848.27</v>
      </c>
      <c r="AA287" s="9">
        <f t="shared" si="34"/>
        <v>478333.6100000001</v>
      </c>
      <c r="AB287" s="7" t="e">
        <f>W287-#REF!</f>
        <v>#REF!</v>
      </c>
      <c r="AC287" s="12">
        <v>2164</v>
      </c>
      <c r="AD287" s="12">
        <v>1</v>
      </c>
      <c r="AE287" s="12">
        <f t="shared" si="35"/>
        <v>0</v>
      </c>
      <c r="AF287" s="12">
        <f t="shared" si="36"/>
        <v>2164</v>
      </c>
      <c r="AG287" s="13" t="s">
        <v>838</v>
      </c>
      <c r="AH287" s="13">
        <v>322633.26</v>
      </c>
      <c r="AI287" s="13">
        <v>124224.58</v>
      </c>
      <c r="AJ287" s="13">
        <f t="shared" si="37"/>
        <v>198408.68</v>
      </c>
    </row>
    <row r="288" spans="1:36" s="1" customFormat="1" x14ac:dyDescent="0.25">
      <c r="A288">
        <v>2176</v>
      </c>
      <c r="B288">
        <v>1</v>
      </c>
      <c r="C288">
        <f t="shared" si="32"/>
        <v>1</v>
      </c>
      <c r="D288" s="1" t="s">
        <v>323</v>
      </c>
      <c r="E288" s="7">
        <v>41980.569999999992</v>
      </c>
      <c r="F288" s="7">
        <v>5129.8100000000013</v>
      </c>
      <c r="G288" s="7">
        <v>3887.0899999999997</v>
      </c>
      <c r="H288" s="7">
        <v>6335.6600000000035</v>
      </c>
      <c r="I288" s="7">
        <v>8551.6000000000058</v>
      </c>
      <c r="J288" s="7">
        <v>4286.7299999999959</v>
      </c>
      <c r="K288" s="7">
        <v>7774.1900000000023</v>
      </c>
      <c r="L288" s="7">
        <v>6627.0200000000186</v>
      </c>
      <c r="M288" s="7">
        <v>6219.3499999999767</v>
      </c>
      <c r="N288" s="7">
        <v>7434.429999999993</v>
      </c>
      <c r="O288" s="7">
        <v>7774.179999999993</v>
      </c>
      <c r="P288" s="7">
        <v>9203.9999999999709</v>
      </c>
      <c r="Q288" s="7">
        <v>6219.3499999999767</v>
      </c>
      <c r="R288" s="7">
        <v>10840.989999999991</v>
      </c>
      <c r="S288" s="7">
        <v>7774.1800000000221</v>
      </c>
      <c r="T288" s="7">
        <v>7849.6500000000015</v>
      </c>
      <c r="U288" s="7">
        <v>7774.18</v>
      </c>
      <c r="V288" s="7">
        <v>16.319999999999993</v>
      </c>
      <c r="W288" s="9">
        <f t="shared" si="33"/>
        <v>155679.29999999993</v>
      </c>
      <c r="X288" s="9">
        <v>115191.07999999999</v>
      </c>
      <c r="Y288" s="9">
        <v>50346.25</v>
      </c>
      <c r="Z288" s="9">
        <v>64844.829999999987</v>
      </c>
      <c r="AA288" s="9">
        <f t="shared" si="34"/>
        <v>220524.12999999992</v>
      </c>
      <c r="AB288" s="7" t="e">
        <f>W288-#REF!</f>
        <v>#REF!</v>
      </c>
      <c r="AC288" s="12">
        <v>2165</v>
      </c>
      <c r="AD288" s="12">
        <v>1</v>
      </c>
      <c r="AE288" s="12">
        <f t="shared" si="35"/>
        <v>0</v>
      </c>
      <c r="AF288" s="12">
        <f t="shared" si="36"/>
        <v>2165</v>
      </c>
      <c r="AG288" s="13" t="s">
        <v>839</v>
      </c>
      <c r="AH288" s="13">
        <v>212738.88999999998</v>
      </c>
      <c r="AI288" s="13">
        <v>89977.180000000008</v>
      </c>
      <c r="AJ288" s="13">
        <f t="shared" si="37"/>
        <v>122761.70999999998</v>
      </c>
    </row>
    <row r="289" spans="1:36" s="1" customFormat="1" x14ac:dyDescent="0.25">
      <c r="A289">
        <v>2180</v>
      </c>
      <c r="B289">
        <v>1</v>
      </c>
      <c r="C289">
        <f t="shared" si="32"/>
        <v>1</v>
      </c>
      <c r="D289" s="1" t="s">
        <v>324</v>
      </c>
      <c r="E289" s="7">
        <v>59870.759999999995</v>
      </c>
      <c r="F289" s="7">
        <v>1589.65</v>
      </c>
      <c r="G289" s="7">
        <v>-3186.6400000000003</v>
      </c>
      <c r="H289" s="7">
        <v>397.40999999999985</v>
      </c>
      <c r="I289" s="7">
        <v>31491.180000000022</v>
      </c>
      <c r="J289" s="7">
        <v>5007.5800000000163</v>
      </c>
      <c r="K289" s="7">
        <v>10497.059999999998</v>
      </c>
      <c r="L289" s="7">
        <v>9790.4500000000407</v>
      </c>
      <c r="M289" s="7">
        <v>8397.6499999999942</v>
      </c>
      <c r="N289" s="7">
        <v>9336.390000000014</v>
      </c>
      <c r="O289" s="7">
        <v>10513.450000000012</v>
      </c>
      <c r="P289" s="7">
        <v>12169.340000000026</v>
      </c>
      <c r="Q289" s="7">
        <v>8397.6499999999942</v>
      </c>
      <c r="R289" s="7">
        <v>14460.950000000012</v>
      </c>
      <c r="S289" s="7">
        <v>31491.179999999993</v>
      </c>
      <c r="T289" s="7">
        <v>346.3599999999999</v>
      </c>
      <c r="U289" s="7">
        <v>0</v>
      </c>
      <c r="V289" s="7">
        <v>-4783.13</v>
      </c>
      <c r="W289" s="9">
        <f t="shared" si="33"/>
        <v>205787.2900000001</v>
      </c>
      <c r="X289" s="9">
        <v>507826.98000000004</v>
      </c>
      <c r="Y289" s="9">
        <v>150279.03</v>
      </c>
      <c r="Z289" s="9">
        <v>357547.95000000007</v>
      </c>
      <c r="AA289" s="9">
        <f t="shared" si="34"/>
        <v>563335.24000000022</v>
      </c>
      <c r="AB289" s="7" t="e">
        <f>W289-#REF!</f>
        <v>#REF!</v>
      </c>
      <c r="AC289" s="12">
        <v>2167</v>
      </c>
      <c r="AD289" s="12">
        <v>1</v>
      </c>
      <c r="AE289" s="12">
        <f t="shared" si="35"/>
        <v>0</v>
      </c>
      <c r="AF289" s="12">
        <f t="shared" si="36"/>
        <v>2167</v>
      </c>
      <c r="AG289" s="13" t="s">
        <v>840</v>
      </c>
      <c r="AH289" s="13">
        <v>222313.15</v>
      </c>
      <c r="AI289" s="13">
        <v>88961.09</v>
      </c>
      <c r="AJ289" s="13">
        <f t="shared" si="37"/>
        <v>133352.06</v>
      </c>
    </row>
    <row r="290" spans="1:36" s="1" customFormat="1" x14ac:dyDescent="0.25">
      <c r="A290">
        <v>2184</v>
      </c>
      <c r="B290">
        <v>1</v>
      </c>
      <c r="C290">
        <f t="shared" si="32"/>
        <v>1</v>
      </c>
      <c r="D290" s="1" t="s">
        <v>325</v>
      </c>
      <c r="E290" s="7">
        <v>94844.680000000022</v>
      </c>
      <c r="F290" s="7">
        <v>12450.810000000005</v>
      </c>
      <c r="G290" s="7">
        <v>0</v>
      </c>
      <c r="H290" s="7">
        <v>23311.109999999986</v>
      </c>
      <c r="I290" s="7">
        <v>19320.219999999972</v>
      </c>
      <c r="J290" s="7">
        <v>8985.4799999999814</v>
      </c>
      <c r="K290" s="7">
        <v>17563.829999999958</v>
      </c>
      <c r="L290" s="7">
        <v>15726.75</v>
      </c>
      <c r="M290" s="7">
        <v>14051.059999999998</v>
      </c>
      <c r="N290" s="7">
        <v>16167.429999999993</v>
      </c>
      <c r="O290" s="7">
        <v>17563.820000000065</v>
      </c>
      <c r="P290" s="7">
        <v>20562.729999999981</v>
      </c>
      <c r="Q290" s="7">
        <v>14051.059999999998</v>
      </c>
      <c r="R290" s="7">
        <v>24568.300000000047</v>
      </c>
      <c r="S290" s="7">
        <v>17563.829999999958</v>
      </c>
      <c r="T290" s="7">
        <v>17718.940000000002</v>
      </c>
      <c r="U290" s="7">
        <v>17563.830000000016</v>
      </c>
      <c r="V290" s="7">
        <v>67.029999999999973</v>
      </c>
      <c r="W290" s="9">
        <f t="shared" si="33"/>
        <v>352080.91000000003</v>
      </c>
      <c r="X290" s="9">
        <v>615816.58000000007</v>
      </c>
      <c r="Y290" s="9">
        <v>269061.11</v>
      </c>
      <c r="Z290" s="9">
        <v>346755.47000000009</v>
      </c>
      <c r="AA290" s="9">
        <f t="shared" si="34"/>
        <v>698836.38000000012</v>
      </c>
      <c r="AB290" s="7" t="e">
        <f>W290-#REF!</f>
        <v>#REF!</v>
      </c>
      <c r="AC290" s="12">
        <v>2168</v>
      </c>
      <c r="AD290" s="12">
        <v>1</v>
      </c>
      <c r="AE290" s="12">
        <f t="shared" si="35"/>
        <v>0</v>
      </c>
      <c r="AF290" s="12">
        <f t="shared" si="36"/>
        <v>2168</v>
      </c>
      <c r="AG290" s="13" t="s">
        <v>841</v>
      </c>
      <c r="AH290" s="13">
        <v>205711.21000000002</v>
      </c>
      <c r="AI290" s="13">
        <v>86492.37</v>
      </c>
      <c r="AJ290" s="13">
        <f t="shared" si="37"/>
        <v>119218.84000000003</v>
      </c>
    </row>
    <row r="291" spans="1:36" s="1" customFormat="1" x14ac:dyDescent="0.25">
      <c r="A291">
        <v>2190</v>
      </c>
      <c r="B291">
        <v>1</v>
      </c>
      <c r="C291">
        <f t="shared" si="32"/>
        <v>1</v>
      </c>
      <c r="D291" s="1" t="s">
        <v>326</v>
      </c>
      <c r="E291" s="7">
        <v>69208.87</v>
      </c>
      <c r="F291" s="7">
        <v>10103.709999999999</v>
      </c>
      <c r="G291" s="7">
        <v>0</v>
      </c>
      <c r="H291" s="7">
        <v>17264.849999999991</v>
      </c>
      <c r="I291" s="7">
        <v>14098.099999999977</v>
      </c>
      <c r="J291" s="7">
        <v>5730.0400000000081</v>
      </c>
      <c r="K291" s="7">
        <v>12816.459999999963</v>
      </c>
      <c r="L291" s="7">
        <v>12368.090000000026</v>
      </c>
      <c r="M291" s="7">
        <v>10253.170000000042</v>
      </c>
      <c r="N291" s="7">
        <v>11054.02999999997</v>
      </c>
      <c r="O291" s="7">
        <v>12824.650000000023</v>
      </c>
      <c r="P291" s="7">
        <v>14731.159999999974</v>
      </c>
      <c r="Q291" s="7">
        <v>10253.160000000033</v>
      </c>
      <c r="R291" s="7">
        <v>17677.799999999988</v>
      </c>
      <c r="S291" s="7">
        <v>12816.440000000002</v>
      </c>
      <c r="T291" s="7">
        <v>13250.910000000003</v>
      </c>
      <c r="U291" s="7">
        <v>12816.460000000006</v>
      </c>
      <c r="V291" s="7">
        <v>-10428.9</v>
      </c>
      <c r="W291" s="9">
        <f t="shared" si="33"/>
        <v>246838.99999999997</v>
      </c>
      <c r="X291" s="9">
        <v>487845.66999999993</v>
      </c>
      <c r="Y291" s="9">
        <v>176193.13999999996</v>
      </c>
      <c r="Z291" s="9">
        <v>311652.52999999997</v>
      </c>
      <c r="AA291" s="9">
        <f t="shared" si="34"/>
        <v>558491.52999999991</v>
      </c>
      <c r="AB291" s="7" t="e">
        <f>W291-#REF!</f>
        <v>#REF!</v>
      </c>
      <c r="AC291" s="12">
        <v>2169</v>
      </c>
      <c r="AD291" s="12">
        <v>1</v>
      </c>
      <c r="AE291" s="12">
        <f t="shared" si="35"/>
        <v>0</v>
      </c>
      <c r="AF291" s="12">
        <f t="shared" si="36"/>
        <v>2169</v>
      </c>
      <c r="AG291" s="13" t="s">
        <v>842</v>
      </c>
      <c r="AH291" s="13">
        <v>529669.24</v>
      </c>
      <c r="AI291" s="13">
        <v>219602.94</v>
      </c>
      <c r="AJ291" s="13">
        <f t="shared" si="37"/>
        <v>310066.3</v>
      </c>
    </row>
    <row r="292" spans="1:36" s="1" customFormat="1" x14ac:dyDescent="0.25">
      <c r="A292">
        <v>2198</v>
      </c>
      <c r="B292">
        <v>1</v>
      </c>
      <c r="C292">
        <f t="shared" si="32"/>
        <v>1</v>
      </c>
      <c r="D292" s="1" t="s">
        <v>327</v>
      </c>
      <c r="E292" s="7">
        <v>43284.409999999989</v>
      </c>
      <c r="F292" s="7">
        <v>4599.24</v>
      </c>
      <c r="G292" s="7">
        <v>-156.72000000000003</v>
      </c>
      <c r="H292" s="7">
        <v>16324.36</v>
      </c>
      <c r="I292" s="7">
        <v>8785.2699999999895</v>
      </c>
      <c r="J292" s="7">
        <v>1057.7699999999895</v>
      </c>
      <c r="K292" s="7">
        <v>7986.609999999986</v>
      </c>
      <c r="L292" s="7">
        <v>10418.970000000001</v>
      </c>
      <c r="M292" s="7">
        <v>6389.289999999979</v>
      </c>
      <c r="N292" s="7">
        <v>4628.5299999999988</v>
      </c>
      <c r="O292" s="7">
        <v>7987.9700000000012</v>
      </c>
      <c r="P292" s="7">
        <v>8348.179999999993</v>
      </c>
      <c r="Q292" s="7">
        <v>6389.2699999999895</v>
      </c>
      <c r="R292" s="7">
        <v>10424.419999999984</v>
      </c>
      <c r="S292" s="7">
        <v>7986.609999999986</v>
      </c>
      <c r="T292" s="7">
        <v>9065.8300000000017</v>
      </c>
      <c r="U292" s="7">
        <v>7986.6100000000006</v>
      </c>
      <c r="V292" s="7">
        <v>161.19000000000005</v>
      </c>
      <c r="W292" s="9">
        <f t="shared" si="33"/>
        <v>161667.80999999988</v>
      </c>
      <c r="X292" s="9">
        <v>302640.77</v>
      </c>
      <c r="Y292" s="9">
        <v>115487.26000000001</v>
      </c>
      <c r="Z292" s="9">
        <v>187153.51</v>
      </c>
      <c r="AA292" s="9">
        <f t="shared" si="34"/>
        <v>348821.31999999989</v>
      </c>
      <c r="AB292" s="7" t="e">
        <f>W292-#REF!</f>
        <v>#REF!</v>
      </c>
      <c r="AC292" s="12">
        <v>2170</v>
      </c>
      <c r="AD292" s="12">
        <v>1</v>
      </c>
      <c r="AE292" s="12">
        <f t="shared" si="35"/>
        <v>0</v>
      </c>
      <c r="AF292" s="12">
        <f t="shared" si="36"/>
        <v>2170</v>
      </c>
      <c r="AG292" s="13" t="s">
        <v>843</v>
      </c>
      <c r="AH292" s="13">
        <v>426397.20999999996</v>
      </c>
      <c r="AI292" s="13">
        <v>161454.01</v>
      </c>
      <c r="AJ292" s="13">
        <f t="shared" si="37"/>
        <v>264943.19999999995</v>
      </c>
    </row>
    <row r="293" spans="1:36" s="1" customFormat="1" x14ac:dyDescent="0.25">
      <c r="A293">
        <v>2215</v>
      </c>
      <c r="B293">
        <v>1</v>
      </c>
      <c r="C293">
        <f t="shared" si="32"/>
        <v>1</v>
      </c>
      <c r="D293" s="1" t="s">
        <v>328</v>
      </c>
      <c r="E293" s="7">
        <v>31586.449999999997</v>
      </c>
      <c r="F293" s="7">
        <v>4936.8500000000022</v>
      </c>
      <c r="G293" s="7">
        <v>1668.9799999999996</v>
      </c>
      <c r="H293" s="7">
        <v>4897.9399999999951</v>
      </c>
      <c r="I293" s="7">
        <v>6200.1700000000128</v>
      </c>
      <c r="J293" s="7">
        <v>2119.4300000000076</v>
      </c>
      <c r="K293" s="7">
        <v>5636.5099999999802</v>
      </c>
      <c r="L293" s="7">
        <v>5871.5999999999913</v>
      </c>
      <c r="M293" s="7">
        <v>4509.2099999999919</v>
      </c>
      <c r="N293" s="7">
        <v>4501.179999999993</v>
      </c>
      <c r="O293" s="7">
        <v>5636.5200000000186</v>
      </c>
      <c r="P293" s="7">
        <v>6346.0299999999988</v>
      </c>
      <c r="Q293" s="7">
        <v>4509.1999999999971</v>
      </c>
      <c r="R293" s="7">
        <v>7776.9700000000012</v>
      </c>
      <c r="S293" s="7">
        <v>5636.5099999999802</v>
      </c>
      <c r="T293" s="7">
        <v>5859.6600000000035</v>
      </c>
      <c r="U293" s="7">
        <v>5636.510000000002</v>
      </c>
      <c r="V293" s="7">
        <v>54.490000000000009</v>
      </c>
      <c r="W293" s="9">
        <f t="shared" si="33"/>
        <v>113384.20999999998</v>
      </c>
      <c r="X293" s="9">
        <v>166107.87</v>
      </c>
      <c r="Y293" s="9">
        <v>64996.649999999994</v>
      </c>
      <c r="Z293" s="9">
        <v>101111.22</v>
      </c>
      <c r="AA293" s="9">
        <f t="shared" si="34"/>
        <v>214495.43</v>
      </c>
      <c r="AB293" s="7" t="e">
        <f>W293-#REF!</f>
        <v>#REF!</v>
      </c>
      <c r="AC293" s="12">
        <v>2171</v>
      </c>
      <c r="AD293" s="12">
        <v>1</v>
      </c>
      <c r="AE293" s="12">
        <f t="shared" si="35"/>
        <v>0</v>
      </c>
      <c r="AF293" s="12">
        <f t="shared" si="36"/>
        <v>2171</v>
      </c>
      <c r="AG293" s="13" t="s">
        <v>844</v>
      </c>
      <c r="AH293" s="13">
        <v>107033.25</v>
      </c>
      <c r="AI293" s="13">
        <v>50873.83</v>
      </c>
      <c r="AJ293" s="13">
        <f t="shared" si="37"/>
        <v>56159.42</v>
      </c>
    </row>
    <row r="294" spans="1:36" s="1" customFormat="1" x14ac:dyDescent="0.25">
      <c r="A294">
        <v>2310</v>
      </c>
      <c r="B294">
        <v>1</v>
      </c>
      <c r="C294">
        <f t="shared" si="32"/>
        <v>1</v>
      </c>
      <c r="D294" s="1" t="s">
        <v>329</v>
      </c>
      <c r="E294" s="7">
        <v>100279.93</v>
      </c>
      <c r="F294" s="7">
        <v>10747.520000000004</v>
      </c>
      <c r="G294" s="7">
        <v>5403.929999999993</v>
      </c>
      <c r="H294" s="7">
        <v>14330.020000000004</v>
      </c>
      <c r="I294" s="7">
        <v>19703.769999999902</v>
      </c>
      <c r="J294" s="7">
        <v>10747.51999999996</v>
      </c>
      <c r="K294" s="7">
        <v>17912.520000000019</v>
      </c>
      <c r="L294" s="7">
        <v>14330.009999999951</v>
      </c>
      <c r="M294" s="7">
        <v>14330.01999999996</v>
      </c>
      <c r="N294" s="7">
        <v>17912.520000000019</v>
      </c>
      <c r="O294" s="7">
        <v>18363.559999999998</v>
      </c>
      <c r="P294" s="7">
        <v>21495.019999999902</v>
      </c>
      <c r="Q294" s="7">
        <v>14330.01999999996</v>
      </c>
      <c r="R294" s="7">
        <v>25077.529999999912</v>
      </c>
      <c r="S294" s="7">
        <v>17912.520000000019</v>
      </c>
      <c r="T294" s="7">
        <v>17912.51999999999</v>
      </c>
      <c r="U294" s="7">
        <v>17912.520000000019</v>
      </c>
      <c r="V294" s="7">
        <v>-14810.36</v>
      </c>
      <c r="W294" s="9">
        <f t="shared" si="33"/>
        <v>343891.08999999962</v>
      </c>
      <c r="X294" s="9">
        <v>470702.34</v>
      </c>
      <c r="Y294" s="9">
        <v>187183.85000000003</v>
      </c>
      <c r="Z294" s="9">
        <v>283518.49</v>
      </c>
      <c r="AA294" s="9">
        <f t="shared" si="34"/>
        <v>627409.57999999961</v>
      </c>
      <c r="AB294" s="7" t="e">
        <f>W294-#REF!</f>
        <v>#REF!</v>
      </c>
      <c r="AC294" s="12">
        <v>2172</v>
      </c>
      <c r="AD294" s="12">
        <v>1</v>
      </c>
      <c r="AE294" s="12">
        <f t="shared" si="35"/>
        <v>0</v>
      </c>
      <c r="AF294" s="12">
        <f t="shared" si="36"/>
        <v>2172</v>
      </c>
      <c r="AG294" s="13" t="s">
        <v>845</v>
      </c>
      <c r="AH294" s="13">
        <v>484124.10000000003</v>
      </c>
      <c r="AI294" s="13">
        <v>192352.01</v>
      </c>
      <c r="AJ294" s="13">
        <f t="shared" si="37"/>
        <v>291772.09000000003</v>
      </c>
    </row>
    <row r="295" spans="1:36" s="1" customFormat="1" x14ac:dyDescent="0.25">
      <c r="A295">
        <v>2311</v>
      </c>
      <c r="B295">
        <v>1</v>
      </c>
      <c r="C295">
        <f t="shared" si="32"/>
        <v>1</v>
      </c>
      <c r="D295" s="1" t="s">
        <v>330</v>
      </c>
      <c r="E295" s="7">
        <v>40132.740000000005</v>
      </c>
      <c r="F295" s="7">
        <v>2034.0900000000001</v>
      </c>
      <c r="G295" s="7">
        <v>0</v>
      </c>
      <c r="H295" s="7">
        <v>14629.289999999994</v>
      </c>
      <c r="I295" s="7">
        <v>8175.1900000000023</v>
      </c>
      <c r="J295" s="7">
        <v>2807.5</v>
      </c>
      <c r="K295" s="7">
        <v>7431.9799999999814</v>
      </c>
      <c r="L295" s="7">
        <v>7727.390000000014</v>
      </c>
      <c r="M295" s="7">
        <v>5945.5899999999965</v>
      </c>
      <c r="N295" s="7">
        <v>5947.1600000000035</v>
      </c>
      <c r="O295" s="7">
        <v>7431.9899999999907</v>
      </c>
      <c r="P295" s="7">
        <v>8371.9800000000105</v>
      </c>
      <c r="Q295" s="7">
        <v>5945.5899999999965</v>
      </c>
      <c r="R295" s="7">
        <v>10258.210000000021</v>
      </c>
      <c r="S295" s="7">
        <v>7431.9799999999814</v>
      </c>
      <c r="T295" s="7">
        <v>7721.1200000000026</v>
      </c>
      <c r="U295" s="7">
        <v>7431.9799999999959</v>
      </c>
      <c r="V295" s="7">
        <v>71.289999999999964</v>
      </c>
      <c r="W295" s="9">
        <f t="shared" si="33"/>
        <v>149495.06999999998</v>
      </c>
      <c r="X295" s="9">
        <v>201790.13</v>
      </c>
      <c r="Y295" s="9">
        <v>65823.31</v>
      </c>
      <c r="Z295" s="9">
        <v>135966.82</v>
      </c>
      <c r="AA295" s="9">
        <f t="shared" si="34"/>
        <v>285461.89</v>
      </c>
      <c r="AB295" s="7" t="e">
        <f>W295-#REF!</f>
        <v>#REF!</v>
      </c>
      <c r="AC295" s="12">
        <v>2174</v>
      </c>
      <c r="AD295" s="12">
        <v>1</v>
      </c>
      <c r="AE295" s="12">
        <f t="shared" si="35"/>
        <v>0</v>
      </c>
      <c r="AF295" s="12">
        <f t="shared" si="36"/>
        <v>2174</v>
      </c>
      <c r="AG295" s="13" t="s">
        <v>846</v>
      </c>
      <c r="AH295" s="13">
        <v>338957.88</v>
      </c>
      <c r="AI295" s="13">
        <v>161109.61000000002</v>
      </c>
      <c r="AJ295" s="13">
        <f t="shared" si="37"/>
        <v>177848.27</v>
      </c>
    </row>
    <row r="296" spans="1:36" s="1" customFormat="1" x14ac:dyDescent="0.25">
      <c r="A296">
        <v>2342</v>
      </c>
      <c r="B296">
        <v>1</v>
      </c>
      <c r="C296">
        <f t="shared" si="32"/>
        <v>1</v>
      </c>
      <c r="D296" s="1" t="s">
        <v>331</v>
      </c>
      <c r="E296" s="7">
        <v>61034.73000000001</v>
      </c>
      <c r="F296" s="7">
        <v>833.83</v>
      </c>
      <c r="G296" s="7">
        <v>-2089.6</v>
      </c>
      <c r="H296" s="7">
        <v>208.45000000000005</v>
      </c>
      <c r="I296" s="7">
        <v>32747.300000000017</v>
      </c>
      <c r="J296" s="7">
        <v>5872.460000000021</v>
      </c>
      <c r="K296" s="7">
        <v>10915.759999999951</v>
      </c>
      <c r="L296" s="7">
        <v>9463.179999999993</v>
      </c>
      <c r="M296" s="7">
        <v>8732.609999999986</v>
      </c>
      <c r="N296" s="7">
        <v>10306.960000000021</v>
      </c>
      <c r="O296" s="7">
        <v>10985.01999999996</v>
      </c>
      <c r="P296" s="7">
        <v>12874.859999999986</v>
      </c>
      <c r="Q296" s="7">
        <v>8732.6199999999953</v>
      </c>
      <c r="R296" s="7">
        <v>15252.040000000037</v>
      </c>
      <c r="S296" s="7">
        <v>32747.290000000008</v>
      </c>
      <c r="T296" s="7">
        <v>88.490000000000009</v>
      </c>
      <c r="U296" s="7">
        <v>0</v>
      </c>
      <c r="V296" s="7">
        <v>29.220000000000027</v>
      </c>
      <c r="W296" s="9">
        <f t="shared" si="33"/>
        <v>218735.21999999997</v>
      </c>
      <c r="X296" s="9">
        <v>653317.90999999992</v>
      </c>
      <c r="Y296" s="9">
        <v>270585.99000000005</v>
      </c>
      <c r="Z296" s="9">
        <v>382731.91999999987</v>
      </c>
      <c r="AA296" s="9">
        <f t="shared" si="34"/>
        <v>601467.1399999999</v>
      </c>
      <c r="AB296" s="7" t="e">
        <f>W296-#REF!</f>
        <v>#REF!</v>
      </c>
      <c r="AC296" s="12">
        <v>2176</v>
      </c>
      <c r="AD296" s="12">
        <v>1</v>
      </c>
      <c r="AE296" s="12">
        <f t="shared" si="35"/>
        <v>0</v>
      </c>
      <c r="AF296" s="12">
        <f t="shared" si="36"/>
        <v>2176</v>
      </c>
      <c r="AG296" s="13" t="s">
        <v>847</v>
      </c>
      <c r="AH296" s="13">
        <v>115191.07999999999</v>
      </c>
      <c r="AI296" s="13">
        <v>50346.25</v>
      </c>
      <c r="AJ296" s="13">
        <f t="shared" si="37"/>
        <v>64844.829999999987</v>
      </c>
    </row>
    <row r="297" spans="1:36" s="1" customFormat="1" x14ac:dyDescent="0.25">
      <c r="A297">
        <v>2358</v>
      </c>
      <c r="B297">
        <v>1</v>
      </c>
      <c r="C297">
        <f t="shared" si="32"/>
        <v>1</v>
      </c>
      <c r="D297" s="1" t="s">
        <v>332</v>
      </c>
      <c r="E297" s="7">
        <v>24580.540000000008</v>
      </c>
      <c r="F297" s="7">
        <v>3629.59</v>
      </c>
      <c r="G297" s="7">
        <v>2275.9700000000003</v>
      </c>
      <c r="H297" s="7">
        <v>3866.1800000000003</v>
      </c>
      <c r="I297" s="7">
        <v>5007.1399999999849</v>
      </c>
      <c r="J297" s="7">
        <v>2001.7300000000105</v>
      </c>
      <c r="K297" s="7">
        <v>4551.9500000000116</v>
      </c>
      <c r="L297" s="7">
        <v>4428.7299999999959</v>
      </c>
      <c r="M297" s="7">
        <v>3641.5599999999977</v>
      </c>
      <c r="N297" s="7">
        <v>3895.9799999999959</v>
      </c>
      <c r="O297" s="7">
        <v>4551.9500000000116</v>
      </c>
      <c r="P297" s="7">
        <v>5220.9400000000023</v>
      </c>
      <c r="Q297" s="7">
        <v>3641.5500000000029</v>
      </c>
      <c r="R297" s="7">
        <v>6338.1600000000035</v>
      </c>
      <c r="S297" s="7">
        <v>4551.9600000000064</v>
      </c>
      <c r="T297" s="7">
        <v>4649.5</v>
      </c>
      <c r="U297" s="7">
        <v>4551.9499999999971</v>
      </c>
      <c r="V297" s="7">
        <v>31.479999999999905</v>
      </c>
      <c r="W297" s="9">
        <f t="shared" si="33"/>
        <v>91416.86000000003</v>
      </c>
      <c r="X297" s="9">
        <v>118884.72</v>
      </c>
      <c r="Y297" s="9">
        <v>37553.300000000003</v>
      </c>
      <c r="Z297" s="9">
        <v>81331.42</v>
      </c>
      <c r="AA297" s="9">
        <f t="shared" si="34"/>
        <v>172748.28000000003</v>
      </c>
      <c r="AB297" s="7" t="e">
        <f>W297-#REF!</f>
        <v>#REF!</v>
      </c>
      <c r="AC297" s="12">
        <v>2180</v>
      </c>
      <c r="AD297" s="12">
        <v>1</v>
      </c>
      <c r="AE297" s="12">
        <f t="shared" si="35"/>
        <v>0</v>
      </c>
      <c r="AF297" s="12">
        <f t="shared" si="36"/>
        <v>2180</v>
      </c>
      <c r="AG297" s="13" t="s">
        <v>848</v>
      </c>
      <c r="AH297" s="13">
        <v>507826.98000000004</v>
      </c>
      <c r="AI297" s="13">
        <v>150279.03</v>
      </c>
      <c r="AJ297" s="13">
        <f t="shared" si="37"/>
        <v>357547.95000000007</v>
      </c>
    </row>
    <row r="298" spans="1:36" s="1" customFormat="1" x14ac:dyDescent="0.25">
      <c r="A298">
        <v>2364</v>
      </c>
      <c r="B298">
        <v>1</v>
      </c>
      <c r="C298">
        <f t="shared" si="32"/>
        <v>1</v>
      </c>
      <c r="D298" s="1" t="s">
        <v>333</v>
      </c>
      <c r="E298" s="7">
        <v>53627.459999999992</v>
      </c>
      <c r="F298" s="7">
        <v>7968.7900000000009</v>
      </c>
      <c r="G298" s="7">
        <v>4965.510000000002</v>
      </c>
      <c r="H298" s="7">
        <v>8447.3499999999913</v>
      </c>
      <c r="I298" s="7">
        <v>10924.110000000044</v>
      </c>
      <c r="J298" s="7">
        <v>4326.5100000000093</v>
      </c>
      <c r="K298" s="7">
        <v>9931.0100000000093</v>
      </c>
      <c r="L298" s="7">
        <v>9706.0699999999779</v>
      </c>
      <c r="M298" s="7">
        <v>7944.7999999999884</v>
      </c>
      <c r="N298" s="7">
        <v>8463.289999999979</v>
      </c>
      <c r="O298" s="7">
        <v>9962.4400000000023</v>
      </c>
      <c r="P298" s="7">
        <v>11377.089999999967</v>
      </c>
      <c r="Q298" s="7">
        <v>7944.7999999999884</v>
      </c>
      <c r="R298" s="7">
        <v>13882.920000000042</v>
      </c>
      <c r="S298" s="7">
        <v>9931.0100000000093</v>
      </c>
      <c r="T298" s="7">
        <v>10092.419999999998</v>
      </c>
      <c r="U298" s="7">
        <v>9931.0099999999948</v>
      </c>
      <c r="V298" s="7">
        <v>70.440000000000055</v>
      </c>
      <c r="W298" s="9">
        <f t="shared" si="33"/>
        <v>199497.03000000003</v>
      </c>
      <c r="X298" s="9">
        <v>304526.09999999998</v>
      </c>
      <c r="Y298" s="9">
        <v>127223.11000000002</v>
      </c>
      <c r="Z298" s="9">
        <v>177302.98999999996</v>
      </c>
      <c r="AA298" s="9">
        <f t="shared" si="34"/>
        <v>376800.02</v>
      </c>
      <c r="AB298" s="7" t="e">
        <f>W298-#REF!</f>
        <v>#REF!</v>
      </c>
      <c r="AC298" s="12">
        <v>2184</v>
      </c>
      <c r="AD298" s="12">
        <v>1</v>
      </c>
      <c r="AE298" s="12">
        <f t="shared" si="35"/>
        <v>0</v>
      </c>
      <c r="AF298" s="12">
        <f t="shared" si="36"/>
        <v>2184</v>
      </c>
      <c r="AG298" s="13" t="s">
        <v>849</v>
      </c>
      <c r="AH298" s="13">
        <v>615816.58000000007</v>
      </c>
      <c r="AI298" s="13">
        <v>269061.11</v>
      </c>
      <c r="AJ298" s="13">
        <f t="shared" si="37"/>
        <v>346755.47000000009</v>
      </c>
    </row>
    <row r="299" spans="1:36" s="1" customFormat="1" x14ac:dyDescent="0.25">
      <c r="A299">
        <v>2365</v>
      </c>
      <c r="B299">
        <v>1</v>
      </c>
      <c r="C299">
        <f t="shared" si="32"/>
        <v>1</v>
      </c>
      <c r="D299" s="1" t="s">
        <v>334</v>
      </c>
      <c r="E299" s="7">
        <v>68874.50999999998</v>
      </c>
      <c r="F299" s="7">
        <v>9911.0400000000009</v>
      </c>
      <c r="G299" s="7">
        <v>5920.6500000000015</v>
      </c>
      <c r="H299" s="7">
        <v>10717.900000000001</v>
      </c>
      <c r="I299" s="7">
        <v>13944.869999999995</v>
      </c>
      <c r="J299" s="7">
        <v>5735.0299999999988</v>
      </c>
      <c r="K299" s="7">
        <v>12677.139999999956</v>
      </c>
      <c r="L299" s="7">
        <v>12161.050000000047</v>
      </c>
      <c r="M299" s="7">
        <v>10141.719999999972</v>
      </c>
      <c r="N299" s="7">
        <v>10994.349999999977</v>
      </c>
      <c r="O299" s="7">
        <v>13250.389999999956</v>
      </c>
      <c r="P299" s="7">
        <v>14593.320000000007</v>
      </c>
      <c r="Q299" s="7">
        <v>10141.72000000003</v>
      </c>
      <c r="R299" s="7">
        <v>17438.640000000072</v>
      </c>
      <c r="S299" s="7">
        <v>12677.139999999956</v>
      </c>
      <c r="T299" s="7">
        <v>13148.079999999994</v>
      </c>
      <c r="U299" s="7">
        <v>12677.140000000014</v>
      </c>
      <c r="V299" s="7">
        <v>-7169.92</v>
      </c>
      <c r="W299" s="9">
        <f t="shared" si="33"/>
        <v>247834.76999999993</v>
      </c>
      <c r="X299" s="9">
        <v>372496.62</v>
      </c>
      <c r="Y299" s="9">
        <v>134220.22999999998</v>
      </c>
      <c r="Z299" s="9">
        <v>238276.39</v>
      </c>
      <c r="AA299" s="9">
        <f t="shared" si="34"/>
        <v>486111.15999999992</v>
      </c>
      <c r="AB299" s="7" t="e">
        <f>W299-#REF!</f>
        <v>#REF!</v>
      </c>
      <c r="AC299" s="12">
        <v>2190</v>
      </c>
      <c r="AD299" s="12">
        <v>1</v>
      </c>
      <c r="AE299" s="12">
        <f t="shared" si="35"/>
        <v>0</v>
      </c>
      <c r="AF299" s="12">
        <f t="shared" si="36"/>
        <v>2190</v>
      </c>
      <c r="AG299" s="13" t="s">
        <v>850</v>
      </c>
      <c r="AH299" s="13">
        <v>487845.66999999993</v>
      </c>
      <c r="AI299" s="13">
        <v>176193.13999999996</v>
      </c>
      <c r="AJ299" s="13">
        <f t="shared" si="37"/>
        <v>311652.52999999997</v>
      </c>
    </row>
    <row r="300" spans="1:36" s="1" customFormat="1" x14ac:dyDescent="0.25">
      <c r="A300">
        <v>2396</v>
      </c>
      <c r="B300">
        <v>1</v>
      </c>
      <c r="C300">
        <f t="shared" si="32"/>
        <v>1</v>
      </c>
      <c r="D300" s="1" t="s">
        <v>335</v>
      </c>
      <c r="E300" s="7">
        <v>60833.549999999988</v>
      </c>
      <c r="F300" s="7">
        <v>2161.48</v>
      </c>
      <c r="G300" s="7">
        <v>0</v>
      </c>
      <c r="H300" s="7">
        <v>540.35000000000014</v>
      </c>
      <c r="I300" s="7">
        <v>33796.419999999984</v>
      </c>
      <c r="J300" s="7">
        <v>5004.3499999999767</v>
      </c>
      <c r="K300" s="7">
        <v>11265.469999999972</v>
      </c>
      <c r="L300" s="7">
        <v>10906.210000000021</v>
      </c>
      <c r="M300" s="7">
        <v>9012.3700000000536</v>
      </c>
      <c r="N300" s="7">
        <v>9687.2900000000373</v>
      </c>
      <c r="O300" s="7">
        <v>11284.600000000035</v>
      </c>
      <c r="P300" s="7">
        <v>12937.809999999998</v>
      </c>
      <c r="Q300" s="7">
        <v>9012.3699999999953</v>
      </c>
      <c r="R300" s="7">
        <v>15455.080000000016</v>
      </c>
      <c r="S300" s="7">
        <v>33796.419999999984</v>
      </c>
      <c r="T300" s="7">
        <v>468.07999999999993</v>
      </c>
      <c r="U300" s="7">
        <v>0</v>
      </c>
      <c r="V300" s="7">
        <v>-4557.8500000000004</v>
      </c>
      <c r="W300" s="9">
        <f t="shared" si="33"/>
        <v>221604.00000000006</v>
      </c>
      <c r="X300" s="9">
        <v>582221.68999999994</v>
      </c>
      <c r="Y300" s="9">
        <v>223038.75999999998</v>
      </c>
      <c r="Z300" s="9">
        <v>359182.92999999993</v>
      </c>
      <c r="AA300" s="9">
        <f t="shared" si="34"/>
        <v>580786.92999999993</v>
      </c>
      <c r="AB300" s="7" t="e">
        <f>W300-#REF!</f>
        <v>#REF!</v>
      </c>
      <c r="AC300" s="12">
        <v>2198</v>
      </c>
      <c r="AD300" s="12">
        <v>1</v>
      </c>
      <c r="AE300" s="12">
        <f t="shared" si="35"/>
        <v>0</v>
      </c>
      <c r="AF300" s="12">
        <f t="shared" si="36"/>
        <v>2198</v>
      </c>
      <c r="AG300" s="13" t="s">
        <v>851</v>
      </c>
      <c r="AH300" s="13">
        <v>302640.77</v>
      </c>
      <c r="AI300" s="13">
        <v>115487.26000000001</v>
      </c>
      <c r="AJ300" s="13">
        <f t="shared" si="37"/>
        <v>187153.51</v>
      </c>
    </row>
    <row r="301" spans="1:36" s="1" customFormat="1" x14ac:dyDescent="0.25">
      <c r="A301">
        <v>2397</v>
      </c>
      <c r="B301">
        <v>1</v>
      </c>
      <c r="C301">
        <f t="shared" si="32"/>
        <v>1</v>
      </c>
      <c r="D301" s="1" t="s">
        <v>336</v>
      </c>
      <c r="E301" s="7">
        <v>87643.110000000015</v>
      </c>
      <c r="F301" s="7">
        <v>2166.33</v>
      </c>
      <c r="G301" s="7">
        <v>-1932.8800000000006</v>
      </c>
      <c r="H301" s="7">
        <v>30698.869999999995</v>
      </c>
      <c r="I301" s="7">
        <v>17459.5</v>
      </c>
      <c r="J301" s="7">
        <v>7764.5</v>
      </c>
      <c r="K301" s="7">
        <v>15872.260000000009</v>
      </c>
      <c r="L301" s="7">
        <v>14595.869999999995</v>
      </c>
      <c r="M301" s="7">
        <v>12697.809999999998</v>
      </c>
      <c r="N301" s="7">
        <v>14290.559999999998</v>
      </c>
      <c r="O301" s="7">
        <v>16178.099999999977</v>
      </c>
      <c r="P301" s="7">
        <v>18464.630000000005</v>
      </c>
      <c r="Q301" s="7">
        <v>12697.809999999998</v>
      </c>
      <c r="R301" s="7">
        <v>21966.540000000037</v>
      </c>
      <c r="S301" s="7">
        <v>15872.270000000019</v>
      </c>
      <c r="T301" s="7">
        <v>16278.720000000001</v>
      </c>
      <c r="U301" s="7">
        <v>15872.270000000004</v>
      </c>
      <c r="V301" s="7">
        <v>75.919999999999845</v>
      </c>
      <c r="W301" s="9">
        <f t="shared" si="33"/>
        <v>318662.19</v>
      </c>
      <c r="X301" s="9">
        <v>559688.11</v>
      </c>
      <c r="Y301" s="9">
        <v>227504.97</v>
      </c>
      <c r="Z301" s="9">
        <v>332183.14</v>
      </c>
      <c r="AA301" s="9">
        <f t="shared" si="34"/>
        <v>650845.33000000007</v>
      </c>
      <c r="AB301" s="7" t="e">
        <f>W301-#REF!</f>
        <v>#REF!</v>
      </c>
      <c r="AC301" s="12">
        <v>2215</v>
      </c>
      <c r="AD301" s="12">
        <v>1</v>
      </c>
      <c r="AE301" s="12">
        <f t="shared" si="35"/>
        <v>0</v>
      </c>
      <c r="AF301" s="12">
        <f t="shared" si="36"/>
        <v>2215</v>
      </c>
      <c r="AG301" s="13" t="s">
        <v>852</v>
      </c>
      <c r="AH301" s="13">
        <v>166107.87</v>
      </c>
      <c r="AI301" s="13">
        <v>64996.649999999994</v>
      </c>
      <c r="AJ301" s="13">
        <f t="shared" si="37"/>
        <v>101111.22</v>
      </c>
    </row>
    <row r="302" spans="1:36" s="1" customFormat="1" x14ac:dyDescent="0.25">
      <c r="A302">
        <v>2448</v>
      </c>
      <c r="B302">
        <v>1</v>
      </c>
      <c r="C302">
        <f t="shared" si="32"/>
        <v>1</v>
      </c>
      <c r="D302" s="1" t="s">
        <v>337</v>
      </c>
      <c r="E302" s="7">
        <v>60528.760000000009</v>
      </c>
      <c r="F302" s="7">
        <v>484.21</v>
      </c>
      <c r="G302" s="7">
        <v>0</v>
      </c>
      <c r="H302" s="7">
        <v>121.06</v>
      </c>
      <c r="I302" s="7">
        <v>33627.079999999987</v>
      </c>
      <c r="J302" s="7">
        <v>6332.2699999999895</v>
      </c>
      <c r="K302" s="7">
        <v>11209.020000000019</v>
      </c>
      <c r="L302" s="7">
        <v>9391.4899999999907</v>
      </c>
      <c r="M302" s="7">
        <v>8967.2200000000303</v>
      </c>
      <c r="N302" s="7">
        <v>10855.489999999991</v>
      </c>
      <c r="O302" s="7">
        <v>11209.030000000028</v>
      </c>
      <c r="P302" s="7">
        <v>13320.719999999972</v>
      </c>
      <c r="Q302" s="7">
        <v>8967.2300000000396</v>
      </c>
      <c r="R302" s="7">
        <v>15602.670000000042</v>
      </c>
      <c r="S302" s="7">
        <v>33627.079999999987</v>
      </c>
      <c r="T302" s="7">
        <v>123.92000000000002</v>
      </c>
      <c r="U302" s="7">
        <v>0</v>
      </c>
      <c r="V302" s="7">
        <v>-2389.04</v>
      </c>
      <c r="W302" s="9">
        <f t="shared" si="33"/>
        <v>221978.21000000008</v>
      </c>
      <c r="X302" s="9">
        <v>556467.34</v>
      </c>
      <c r="Y302" s="9">
        <v>148345.43</v>
      </c>
      <c r="Z302" s="9">
        <v>408121.91</v>
      </c>
      <c r="AA302" s="9">
        <f t="shared" si="34"/>
        <v>630100.12000000011</v>
      </c>
      <c r="AB302" s="7" t="e">
        <f>W302-#REF!</f>
        <v>#REF!</v>
      </c>
      <c r="AC302" s="12">
        <v>2310</v>
      </c>
      <c r="AD302" s="12">
        <v>1</v>
      </c>
      <c r="AE302" s="12">
        <f t="shared" si="35"/>
        <v>0</v>
      </c>
      <c r="AF302" s="12">
        <f t="shared" si="36"/>
        <v>2310</v>
      </c>
      <c r="AG302" s="13" t="s">
        <v>853</v>
      </c>
      <c r="AH302" s="13">
        <v>470702.34</v>
      </c>
      <c r="AI302" s="13">
        <v>187183.85000000003</v>
      </c>
      <c r="AJ302" s="13">
        <f t="shared" si="37"/>
        <v>283518.49</v>
      </c>
    </row>
    <row r="303" spans="1:36" s="1" customFormat="1" x14ac:dyDescent="0.25">
      <c r="A303">
        <v>2527</v>
      </c>
      <c r="B303">
        <v>1</v>
      </c>
      <c r="C303">
        <f t="shared" ref="C303:C367" si="38">B303</f>
        <v>1</v>
      </c>
      <c r="D303" s="1" t="s">
        <v>338</v>
      </c>
      <c r="E303" s="7">
        <v>30209.729999999996</v>
      </c>
      <c r="F303" s="7">
        <v>3356.6300000000047</v>
      </c>
      <c r="G303" s="7">
        <v>2797.2099999999991</v>
      </c>
      <c r="H303" s="7">
        <v>4475.5099999999993</v>
      </c>
      <c r="I303" s="7">
        <v>6153.8300000000163</v>
      </c>
      <c r="J303" s="7">
        <v>3356.6399999999994</v>
      </c>
      <c r="K303" s="7">
        <v>5594.390000000014</v>
      </c>
      <c r="L303" s="7">
        <v>4475.5199999999895</v>
      </c>
      <c r="M303" s="7">
        <v>4475.5200000000041</v>
      </c>
      <c r="N303" s="7">
        <v>5594.390000000014</v>
      </c>
      <c r="O303" s="7">
        <v>5594.390000000014</v>
      </c>
      <c r="P303" s="7">
        <v>6713.2799999999988</v>
      </c>
      <c r="Q303" s="7">
        <v>4475.5200000000041</v>
      </c>
      <c r="R303" s="7">
        <v>7832.1499999999942</v>
      </c>
      <c r="S303" s="7">
        <v>5594.390000000014</v>
      </c>
      <c r="T303" s="7">
        <v>5594.3899999999994</v>
      </c>
      <c r="U303" s="7">
        <v>5594.3999999999942</v>
      </c>
      <c r="V303" s="7">
        <v>0</v>
      </c>
      <c r="W303" s="9">
        <f t="shared" si="33"/>
        <v>111887.89000000006</v>
      </c>
      <c r="X303" s="9">
        <v>201012.47999999998</v>
      </c>
      <c r="Y303" s="9">
        <v>71465.48</v>
      </c>
      <c r="Z303" s="9">
        <v>129546.99999999999</v>
      </c>
      <c r="AA303" s="9">
        <f t="shared" si="34"/>
        <v>241434.89000000004</v>
      </c>
      <c r="AB303" s="7" t="e">
        <f>W303-#REF!</f>
        <v>#REF!</v>
      </c>
      <c r="AC303" s="12">
        <v>2311</v>
      </c>
      <c r="AD303" s="12">
        <v>1</v>
      </c>
      <c r="AE303" s="12">
        <f t="shared" si="35"/>
        <v>0</v>
      </c>
      <c r="AF303" s="12">
        <f t="shared" si="36"/>
        <v>2311</v>
      </c>
      <c r="AG303" s="13" t="s">
        <v>854</v>
      </c>
      <c r="AH303" s="13">
        <v>201790.13</v>
      </c>
      <c r="AI303" s="13">
        <v>65823.31</v>
      </c>
      <c r="AJ303" s="13">
        <f t="shared" si="37"/>
        <v>135966.82</v>
      </c>
    </row>
    <row r="304" spans="1:36" s="1" customFormat="1" x14ac:dyDescent="0.25">
      <c r="A304">
        <v>2534</v>
      </c>
      <c r="B304">
        <v>1</v>
      </c>
      <c r="C304">
        <f t="shared" si="38"/>
        <v>1</v>
      </c>
      <c r="D304" s="1" t="s">
        <v>339</v>
      </c>
      <c r="E304" s="7">
        <v>71667.709999999992</v>
      </c>
      <c r="F304" s="7">
        <v>7949.32</v>
      </c>
      <c r="G304" s="7">
        <v>-9459.82</v>
      </c>
      <c r="H304" s="7">
        <v>8840.75</v>
      </c>
      <c r="I304" s="7">
        <v>11598.080000000016</v>
      </c>
      <c r="J304" s="7">
        <v>5008.4100000000035</v>
      </c>
      <c r="K304" s="7">
        <v>10543.710000000021</v>
      </c>
      <c r="L304" s="7">
        <v>9857.0699999999779</v>
      </c>
      <c r="M304" s="7">
        <v>8434.9700000000012</v>
      </c>
      <c r="N304" s="7">
        <v>9358.6300000000047</v>
      </c>
      <c r="O304" s="7">
        <v>11182.830000000016</v>
      </c>
      <c r="P304" s="7">
        <v>12216.330000000016</v>
      </c>
      <c r="Q304" s="7">
        <v>8434.9599999999919</v>
      </c>
      <c r="R304" s="7">
        <v>14425.950000000012</v>
      </c>
      <c r="S304" s="7">
        <v>10543.710000000021</v>
      </c>
      <c r="T304" s="7">
        <v>10992.710000000006</v>
      </c>
      <c r="U304" s="7">
        <v>10543.710000000006</v>
      </c>
      <c r="V304" s="7">
        <v>-6563.3899999999994</v>
      </c>
      <c r="W304" s="9">
        <f t="shared" si="33"/>
        <v>205575.64000000007</v>
      </c>
      <c r="X304" s="9">
        <v>269801.25</v>
      </c>
      <c r="Y304" s="9">
        <v>103623.05</v>
      </c>
      <c r="Z304" s="9">
        <v>166178.20000000001</v>
      </c>
      <c r="AA304" s="9">
        <f t="shared" si="34"/>
        <v>371753.84000000008</v>
      </c>
      <c r="AB304" s="7" t="e">
        <f>W304-#REF!</f>
        <v>#REF!</v>
      </c>
      <c r="AC304" s="12">
        <v>2342</v>
      </c>
      <c r="AD304" s="12">
        <v>1</v>
      </c>
      <c r="AE304" s="12">
        <f t="shared" si="35"/>
        <v>0</v>
      </c>
      <c r="AF304" s="12">
        <f t="shared" si="36"/>
        <v>2342</v>
      </c>
      <c r="AG304" s="13" t="s">
        <v>855</v>
      </c>
      <c r="AH304" s="13">
        <v>653317.90999999992</v>
      </c>
      <c r="AI304" s="13">
        <v>270585.99000000005</v>
      </c>
      <c r="AJ304" s="13">
        <f t="shared" si="37"/>
        <v>382731.91999999987</v>
      </c>
    </row>
    <row r="305" spans="1:36" s="1" customFormat="1" x14ac:dyDescent="0.25">
      <c r="A305">
        <v>2536</v>
      </c>
      <c r="B305">
        <v>1</v>
      </c>
      <c r="C305">
        <f t="shared" si="38"/>
        <v>1</v>
      </c>
      <c r="D305" s="1" t="s">
        <v>340</v>
      </c>
      <c r="E305" s="7">
        <v>18878.689999999995</v>
      </c>
      <c r="F305" s="7">
        <v>397.62</v>
      </c>
      <c r="G305" s="7">
        <v>0</v>
      </c>
      <c r="H305" s="7">
        <v>99.4</v>
      </c>
      <c r="I305" s="7">
        <v>0</v>
      </c>
      <c r="J305" s="7">
        <v>12262.950000000004</v>
      </c>
      <c r="K305" s="7">
        <v>3496.0500000000029</v>
      </c>
      <c r="L305" s="7">
        <v>3145.2200000000012</v>
      </c>
      <c r="M305" s="7">
        <v>2796.8500000000058</v>
      </c>
      <c r="N305" s="7">
        <v>3205.7400000000052</v>
      </c>
      <c r="O305" s="7">
        <v>3496.0499999999884</v>
      </c>
      <c r="P305" s="7">
        <v>4088.4399999999732</v>
      </c>
      <c r="Q305" s="7">
        <v>2796.8399999999965</v>
      </c>
      <c r="R305" s="7">
        <v>15392.199999999983</v>
      </c>
      <c r="S305" s="7">
        <v>0</v>
      </c>
      <c r="T305" s="7">
        <v>18.300000000000011</v>
      </c>
      <c r="U305" s="7">
        <v>0</v>
      </c>
      <c r="V305" s="7">
        <v>13.939999999999998</v>
      </c>
      <c r="W305" s="9">
        <f t="shared" si="33"/>
        <v>70088.289999999964</v>
      </c>
      <c r="X305" s="9">
        <v>261147.19</v>
      </c>
      <c r="Y305" s="9">
        <v>65077.33</v>
      </c>
      <c r="Z305" s="9">
        <v>196069.86</v>
      </c>
      <c r="AA305" s="9">
        <f t="shared" si="34"/>
        <v>266158.14999999997</v>
      </c>
      <c r="AB305" s="7" t="e">
        <f>W305-#REF!</f>
        <v>#REF!</v>
      </c>
      <c r="AC305" s="12">
        <v>2358</v>
      </c>
      <c r="AD305" s="12">
        <v>1</v>
      </c>
      <c r="AE305" s="12">
        <f t="shared" si="35"/>
        <v>0</v>
      </c>
      <c r="AF305" s="12">
        <f t="shared" si="36"/>
        <v>2358</v>
      </c>
      <c r="AG305" s="13" t="s">
        <v>856</v>
      </c>
      <c r="AH305" s="13">
        <v>118884.72</v>
      </c>
      <c r="AI305" s="13">
        <v>37553.300000000003</v>
      </c>
      <c r="AJ305" s="13">
        <f t="shared" si="37"/>
        <v>81331.42</v>
      </c>
    </row>
    <row r="306" spans="1:36" s="1" customFormat="1" x14ac:dyDescent="0.25">
      <c r="A306">
        <v>2580</v>
      </c>
      <c r="B306">
        <v>1</v>
      </c>
      <c r="C306">
        <f t="shared" si="38"/>
        <v>1</v>
      </c>
      <c r="D306" s="1" t="s">
        <v>341</v>
      </c>
      <c r="E306" s="7">
        <v>67657.95</v>
      </c>
      <c r="F306" s="7">
        <v>13205.160000000003</v>
      </c>
      <c r="G306" s="7">
        <v>6264.6199999999953</v>
      </c>
      <c r="H306" s="7">
        <v>11445.300000000017</v>
      </c>
      <c r="I306" s="7">
        <v>13782.169999999984</v>
      </c>
      <c r="J306" s="7">
        <v>2899.3000000000175</v>
      </c>
      <c r="K306" s="7">
        <v>12529.260000000009</v>
      </c>
      <c r="L306" s="7">
        <v>12237.25999999998</v>
      </c>
      <c r="M306" s="7">
        <v>10023.400000000023</v>
      </c>
      <c r="N306" s="7">
        <v>11145.809999999998</v>
      </c>
      <c r="O306" s="7">
        <v>13039.820000000007</v>
      </c>
      <c r="P306" s="7">
        <v>13507.109999999986</v>
      </c>
      <c r="Q306" s="7">
        <v>10023.399999999994</v>
      </c>
      <c r="R306" s="7">
        <v>17721.430000000051</v>
      </c>
      <c r="S306" s="7">
        <v>12529.239999999991</v>
      </c>
      <c r="T306" s="7">
        <v>12747.380000000005</v>
      </c>
      <c r="U306" s="7">
        <v>12529.25</v>
      </c>
      <c r="V306" s="7">
        <v>-6150.1299999999992</v>
      </c>
      <c r="W306" s="9">
        <f t="shared" si="33"/>
        <v>247137.73000000007</v>
      </c>
      <c r="X306" s="9">
        <v>189303.59999999998</v>
      </c>
      <c r="Y306" s="9">
        <v>89977.64</v>
      </c>
      <c r="Z306" s="9">
        <v>99325.959999999977</v>
      </c>
      <c r="AA306" s="9">
        <f t="shared" si="34"/>
        <v>346463.69000000006</v>
      </c>
      <c r="AB306" s="7" t="e">
        <f>W306-#REF!</f>
        <v>#REF!</v>
      </c>
      <c r="AC306" s="12">
        <v>2364</v>
      </c>
      <c r="AD306" s="12">
        <v>1</v>
      </c>
      <c r="AE306" s="12">
        <f t="shared" si="35"/>
        <v>0</v>
      </c>
      <c r="AF306" s="12">
        <f t="shared" si="36"/>
        <v>2364</v>
      </c>
      <c r="AG306" s="13" t="s">
        <v>857</v>
      </c>
      <c r="AH306" s="13">
        <v>304526.09999999998</v>
      </c>
      <c r="AI306" s="13">
        <v>127223.11000000002</v>
      </c>
      <c r="AJ306" s="13">
        <f t="shared" si="37"/>
        <v>177302.98999999996</v>
      </c>
    </row>
    <row r="307" spans="1:36" s="1" customFormat="1" x14ac:dyDescent="0.25">
      <c r="A307">
        <v>2609</v>
      </c>
      <c r="B307">
        <v>1</v>
      </c>
      <c r="C307">
        <f t="shared" si="38"/>
        <v>1</v>
      </c>
      <c r="D307" s="1" t="s">
        <v>342</v>
      </c>
      <c r="E307" s="7">
        <v>36560.76999999999</v>
      </c>
      <c r="F307" s="7">
        <v>5627.25</v>
      </c>
      <c r="G307" s="7">
        <v>0</v>
      </c>
      <c r="H307" s="7">
        <v>9192.89</v>
      </c>
      <c r="I307" s="7">
        <v>7447.570000000007</v>
      </c>
      <c r="J307" s="7">
        <v>2791.1000000000058</v>
      </c>
      <c r="K307" s="7">
        <v>6770.5</v>
      </c>
      <c r="L307" s="7">
        <v>6786.3399999999965</v>
      </c>
      <c r="M307" s="7">
        <v>5416.3999999999942</v>
      </c>
      <c r="N307" s="7">
        <v>5628.9199999999837</v>
      </c>
      <c r="O307" s="7">
        <v>6770.5100000000093</v>
      </c>
      <c r="P307" s="7">
        <v>7704.5199999999895</v>
      </c>
      <c r="Q307" s="7">
        <v>5416.4099999999744</v>
      </c>
      <c r="R307" s="7">
        <v>9346.6199999999953</v>
      </c>
      <c r="S307" s="7">
        <v>6770.5100000000093</v>
      </c>
      <c r="T307" s="7">
        <v>7012.2099999999991</v>
      </c>
      <c r="U307" s="7">
        <v>6770.510000000002</v>
      </c>
      <c r="V307" s="7">
        <v>54.790000000000191</v>
      </c>
      <c r="W307" s="9">
        <f t="shared" si="33"/>
        <v>136067.81999999998</v>
      </c>
      <c r="X307" s="9">
        <v>267310.39</v>
      </c>
      <c r="Y307" s="9">
        <v>118563.96</v>
      </c>
      <c r="Z307" s="9">
        <v>148746.43</v>
      </c>
      <c r="AA307" s="9">
        <f t="shared" si="34"/>
        <v>284814.25</v>
      </c>
      <c r="AB307" s="7" t="e">
        <f>W307-#REF!</f>
        <v>#REF!</v>
      </c>
      <c r="AC307" s="12">
        <v>2365</v>
      </c>
      <c r="AD307" s="12">
        <v>1</v>
      </c>
      <c r="AE307" s="12">
        <f t="shared" si="35"/>
        <v>0</v>
      </c>
      <c r="AF307" s="12">
        <f t="shared" si="36"/>
        <v>2365</v>
      </c>
      <c r="AG307" s="13" t="s">
        <v>858</v>
      </c>
      <c r="AH307" s="13">
        <v>372496.62</v>
      </c>
      <c r="AI307" s="13">
        <v>134220.22999999998</v>
      </c>
      <c r="AJ307" s="13">
        <f t="shared" si="37"/>
        <v>238276.39</v>
      </c>
    </row>
    <row r="308" spans="1:36" s="1" customFormat="1" x14ac:dyDescent="0.25">
      <c r="A308">
        <v>2683</v>
      </c>
      <c r="B308">
        <v>1</v>
      </c>
      <c r="C308">
        <f t="shared" si="38"/>
        <v>1</v>
      </c>
      <c r="D308" s="1" t="s">
        <v>343</v>
      </c>
      <c r="E308" s="7">
        <v>44099.399999999994</v>
      </c>
      <c r="F308" s="7">
        <v>5196.8699999999953</v>
      </c>
      <c r="G308" s="7">
        <v>4083.2700000000041</v>
      </c>
      <c r="H308" s="7">
        <v>6607.4900000000052</v>
      </c>
      <c r="I308" s="7">
        <v>8983.2099999999919</v>
      </c>
      <c r="J308" s="7">
        <v>4658.8399999999965</v>
      </c>
      <c r="K308" s="7">
        <v>8166.5499999999884</v>
      </c>
      <c r="L308" s="7">
        <v>6793.4199999999837</v>
      </c>
      <c r="M308" s="7">
        <v>6533.2399999999907</v>
      </c>
      <c r="N308" s="7">
        <v>7949.7399999999907</v>
      </c>
      <c r="O308" s="7">
        <v>8166.5599999999977</v>
      </c>
      <c r="P308" s="7">
        <v>9720.070000000007</v>
      </c>
      <c r="Q308" s="7">
        <v>6533.25</v>
      </c>
      <c r="R308" s="7">
        <v>11443.590000000026</v>
      </c>
      <c r="S308" s="7">
        <v>8166.5499999999884</v>
      </c>
      <c r="T308" s="7">
        <v>8176.9700000000012</v>
      </c>
      <c r="U308" s="7">
        <v>8166.5499999999884</v>
      </c>
      <c r="V308" s="7">
        <v>10.400000000000006</v>
      </c>
      <c r="W308" s="9">
        <f t="shared" si="33"/>
        <v>163455.96999999994</v>
      </c>
      <c r="X308" s="9">
        <v>112380.39</v>
      </c>
      <c r="Y308" s="9">
        <v>31315.27</v>
      </c>
      <c r="Z308" s="9">
        <v>81065.119999999995</v>
      </c>
      <c r="AA308" s="9">
        <f t="shared" si="34"/>
        <v>244521.08999999994</v>
      </c>
      <c r="AB308" s="7" t="e">
        <f>W308-#REF!</f>
        <v>#REF!</v>
      </c>
      <c r="AC308" s="12">
        <v>2396</v>
      </c>
      <c r="AD308" s="12">
        <v>1</v>
      </c>
      <c r="AE308" s="12">
        <f t="shared" si="35"/>
        <v>0</v>
      </c>
      <c r="AF308" s="12">
        <f t="shared" si="36"/>
        <v>2396</v>
      </c>
      <c r="AG308" s="13" t="s">
        <v>859</v>
      </c>
      <c r="AH308" s="13">
        <v>582221.68999999994</v>
      </c>
      <c r="AI308" s="13">
        <v>223038.75999999998</v>
      </c>
      <c r="AJ308" s="13">
        <f t="shared" si="37"/>
        <v>359182.92999999993</v>
      </c>
    </row>
    <row r="309" spans="1:36" s="1" customFormat="1" x14ac:dyDescent="0.25">
      <c r="A309">
        <v>2687</v>
      </c>
      <c r="B309">
        <v>1</v>
      </c>
      <c r="C309">
        <f t="shared" si="38"/>
        <v>1</v>
      </c>
      <c r="D309" s="1" t="s">
        <v>344</v>
      </c>
      <c r="E309" s="7">
        <v>90733.440000000031</v>
      </c>
      <c r="F309" s="7">
        <v>3795.2599999999998</v>
      </c>
      <c r="G309" s="7">
        <v>-7000.16</v>
      </c>
      <c r="H309" s="7">
        <v>30410.540000000008</v>
      </c>
      <c r="I309" s="7">
        <v>17056.77999999997</v>
      </c>
      <c r="J309" s="7">
        <v>6222.2599999999511</v>
      </c>
      <c r="K309" s="7">
        <v>15506.159999999974</v>
      </c>
      <c r="L309" s="7">
        <v>14734.030000000028</v>
      </c>
      <c r="M309" s="7">
        <v>12404.930000000051</v>
      </c>
      <c r="N309" s="7">
        <v>13731.270000000019</v>
      </c>
      <c r="O309" s="7">
        <v>17956.200000000012</v>
      </c>
      <c r="P309" s="7">
        <v>17587.630000000005</v>
      </c>
      <c r="Q309" s="7">
        <v>12404.919999999984</v>
      </c>
      <c r="R309" s="7">
        <v>21727.770000000019</v>
      </c>
      <c r="S309" s="7">
        <v>15506.160000000033</v>
      </c>
      <c r="T309" s="7">
        <v>15753.069999999992</v>
      </c>
      <c r="U309" s="7">
        <v>15506.159999999989</v>
      </c>
      <c r="V309" s="7">
        <v>133.00999999999976</v>
      </c>
      <c r="W309" s="9">
        <f t="shared" si="33"/>
        <v>314169.43000000005</v>
      </c>
      <c r="X309" s="9">
        <v>540054.32000000007</v>
      </c>
      <c r="Y309" s="9">
        <v>256692.49</v>
      </c>
      <c r="Z309" s="9">
        <v>283361.83000000007</v>
      </c>
      <c r="AA309" s="9">
        <f t="shared" si="34"/>
        <v>597531.26000000013</v>
      </c>
      <c r="AB309" s="7" t="e">
        <f>W309-#REF!</f>
        <v>#REF!</v>
      </c>
      <c r="AC309" s="12">
        <v>2397</v>
      </c>
      <c r="AD309" s="12">
        <v>1</v>
      </c>
      <c r="AE309" s="12">
        <f t="shared" si="35"/>
        <v>0</v>
      </c>
      <c r="AF309" s="12">
        <f t="shared" si="36"/>
        <v>2397</v>
      </c>
      <c r="AG309" s="13" t="s">
        <v>860</v>
      </c>
      <c r="AH309" s="13">
        <v>559688.11</v>
      </c>
      <c r="AI309" s="13">
        <v>227504.97</v>
      </c>
      <c r="AJ309" s="13">
        <f t="shared" si="37"/>
        <v>332183.14</v>
      </c>
    </row>
    <row r="310" spans="1:36" s="1" customFormat="1" x14ac:dyDescent="0.25">
      <c r="A310">
        <v>2689</v>
      </c>
      <c r="B310">
        <v>1</v>
      </c>
      <c r="C310">
        <f t="shared" si="38"/>
        <v>1</v>
      </c>
      <c r="D310" s="1" t="s">
        <v>345</v>
      </c>
      <c r="E310" s="7">
        <v>93130.59</v>
      </c>
      <c r="F310" s="7">
        <v>16577.68</v>
      </c>
      <c r="G310" s="7">
        <v>8280.7499999999982</v>
      </c>
      <c r="H310" s="7">
        <v>15316.840000000026</v>
      </c>
      <c r="I310" s="7">
        <v>18907.199999999953</v>
      </c>
      <c r="J310" s="7">
        <v>5226.640000000014</v>
      </c>
      <c r="K310" s="7">
        <v>17188.360000000044</v>
      </c>
      <c r="L310" s="7">
        <v>19239.589999999967</v>
      </c>
      <c r="M310" s="7">
        <v>13750.690000000002</v>
      </c>
      <c r="N310" s="7">
        <v>12614.27999999997</v>
      </c>
      <c r="O310" s="7">
        <v>17223.109999999986</v>
      </c>
      <c r="P310" s="7">
        <v>18942.770000000019</v>
      </c>
      <c r="Q310" s="7">
        <v>13750.679999999993</v>
      </c>
      <c r="R310" s="7">
        <v>23027.579999999958</v>
      </c>
      <c r="S310" s="7">
        <v>17188.360000000044</v>
      </c>
      <c r="T310" s="7">
        <v>18663.610000000015</v>
      </c>
      <c r="U310" s="7">
        <v>17188.359999999986</v>
      </c>
      <c r="V310" s="7">
        <v>219.54999999999927</v>
      </c>
      <c r="W310" s="9">
        <f t="shared" si="33"/>
        <v>346436.63999999996</v>
      </c>
      <c r="X310" s="9">
        <v>625217.64</v>
      </c>
      <c r="Y310" s="9">
        <v>275564.42</v>
      </c>
      <c r="Z310" s="9">
        <v>349653.22000000003</v>
      </c>
      <c r="AA310" s="9">
        <f t="shared" si="34"/>
        <v>696089.86</v>
      </c>
      <c r="AB310" s="7" t="e">
        <f>W310-#REF!</f>
        <v>#REF!</v>
      </c>
      <c r="AC310" s="12">
        <v>2448</v>
      </c>
      <c r="AD310" s="12">
        <v>1</v>
      </c>
      <c r="AE310" s="12">
        <f t="shared" si="35"/>
        <v>0</v>
      </c>
      <c r="AF310" s="12">
        <f t="shared" si="36"/>
        <v>2448</v>
      </c>
      <c r="AG310" s="13" t="s">
        <v>861</v>
      </c>
      <c r="AH310" s="13">
        <v>556467.34</v>
      </c>
      <c r="AI310" s="13">
        <v>148345.43</v>
      </c>
      <c r="AJ310" s="13">
        <f t="shared" si="37"/>
        <v>408121.91</v>
      </c>
    </row>
    <row r="311" spans="1:36" s="1" customFormat="1" x14ac:dyDescent="0.25">
      <c r="A311">
        <v>2711</v>
      </c>
      <c r="B311">
        <v>1</v>
      </c>
      <c r="C311">
        <f t="shared" si="38"/>
        <v>1</v>
      </c>
      <c r="D311" s="1" t="s">
        <v>346</v>
      </c>
      <c r="E311" s="7">
        <v>74653.700000000012</v>
      </c>
      <c r="F311" s="7">
        <v>26555.229999999981</v>
      </c>
      <c r="G311" s="7">
        <v>5656.6800000000221</v>
      </c>
      <c r="H311" s="7">
        <v>15486.569999999949</v>
      </c>
      <c r="I311" s="7">
        <v>14973.119999999995</v>
      </c>
      <c r="J311" s="7">
        <v>-6762.4100000000035</v>
      </c>
      <c r="K311" s="7">
        <v>13611.940000000002</v>
      </c>
      <c r="L311" s="7">
        <v>27000.580000000016</v>
      </c>
      <c r="M311" s="7">
        <v>0</v>
      </c>
      <c r="N311" s="7">
        <v>11075.609999999986</v>
      </c>
      <c r="O311" s="7">
        <v>13644.729999999981</v>
      </c>
      <c r="P311" s="7">
        <v>11393.599999999977</v>
      </c>
      <c r="Q311" s="7">
        <v>10889.52999999997</v>
      </c>
      <c r="R311" s="7">
        <v>17332.639999999898</v>
      </c>
      <c r="S311" s="7">
        <v>13611.930000000051</v>
      </c>
      <c r="T311" s="7">
        <v>16624.899999999965</v>
      </c>
      <c r="U311" s="7">
        <v>13611.929999999993</v>
      </c>
      <c r="V311" s="7">
        <v>644.43000000000029</v>
      </c>
      <c r="W311" s="9">
        <f t="shared" si="33"/>
        <v>280004.70999999979</v>
      </c>
      <c r="X311" s="9">
        <v>0</v>
      </c>
      <c r="Y311" s="9">
        <v>0</v>
      </c>
      <c r="Z311" s="9">
        <v>0</v>
      </c>
      <c r="AA311" s="9">
        <f t="shared" si="34"/>
        <v>280004.70999999979</v>
      </c>
      <c r="AB311" s="7" t="e">
        <f>W311-#REF!</f>
        <v>#REF!</v>
      </c>
      <c r="AC311" s="12">
        <v>2527</v>
      </c>
      <c r="AD311" s="12">
        <v>1</v>
      </c>
      <c r="AE311" s="12">
        <f t="shared" si="35"/>
        <v>0</v>
      </c>
      <c r="AF311" s="12">
        <f t="shared" si="36"/>
        <v>2527</v>
      </c>
      <c r="AG311" s="13" t="s">
        <v>862</v>
      </c>
      <c r="AH311" s="13">
        <v>201012.47999999998</v>
      </c>
      <c r="AI311" s="13">
        <v>71465.48</v>
      </c>
      <c r="AJ311" s="13">
        <f t="shared" si="37"/>
        <v>129546.99999999999</v>
      </c>
    </row>
    <row r="312" spans="1:36" s="1" customFormat="1" x14ac:dyDescent="0.25">
      <c r="A312">
        <v>2752</v>
      </c>
      <c r="B312">
        <v>1</v>
      </c>
      <c r="C312">
        <f t="shared" si="38"/>
        <v>1</v>
      </c>
      <c r="D312" s="1" t="s">
        <v>347</v>
      </c>
      <c r="E312" s="7">
        <v>173849.59999999998</v>
      </c>
      <c r="F312" s="7">
        <v>3287.4</v>
      </c>
      <c r="G312" s="7">
        <v>-34060.479999999996</v>
      </c>
      <c r="H312" s="7">
        <v>19550.719999999998</v>
      </c>
      <c r="I312" s="7">
        <v>58931.75</v>
      </c>
      <c r="J312" s="7">
        <v>12863.030000000028</v>
      </c>
      <c r="K312" s="7">
        <v>25886.869999999995</v>
      </c>
      <c r="L312" s="7">
        <v>23589.809999999939</v>
      </c>
      <c r="M312" s="7">
        <v>20709.5</v>
      </c>
      <c r="N312" s="7">
        <v>23486.619999999995</v>
      </c>
      <c r="O312" s="7">
        <v>27829.310000000056</v>
      </c>
      <c r="P312" s="7">
        <v>30180.939999999944</v>
      </c>
      <c r="Q312" s="7">
        <v>20709.510000000009</v>
      </c>
      <c r="R312" s="7">
        <v>35732.840000000084</v>
      </c>
      <c r="S312" s="7">
        <v>25886.869999999995</v>
      </c>
      <c r="T312" s="7">
        <v>26626.079999999998</v>
      </c>
      <c r="U312" s="7">
        <v>25886.880000000005</v>
      </c>
      <c r="V312" s="7">
        <v>115.22000000000025</v>
      </c>
      <c r="W312" s="9">
        <f t="shared" si="33"/>
        <v>521062.47000000003</v>
      </c>
      <c r="X312" s="9">
        <v>1255690.27</v>
      </c>
      <c r="Y312" s="9">
        <v>568273.40999999992</v>
      </c>
      <c r="Z312" s="9">
        <v>687416.8600000001</v>
      </c>
      <c r="AA312" s="9">
        <f t="shared" si="34"/>
        <v>1208479.33</v>
      </c>
      <c r="AB312" s="7" t="e">
        <f>W312-#REF!</f>
        <v>#REF!</v>
      </c>
      <c r="AC312" s="12">
        <v>2534</v>
      </c>
      <c r="AD312" s="12">
        <v>1</v>
      </c>
      <c r="AE312" s="12">
        <f t="shared" si="35"/>
        <v>0</v>
      </c>
      <c r="AF312" s="12">
        <f t="shared" si="36"/>
        <v>2534</v>
      </c>
      <c r="AG312" s="13" t="s">
        <v>863</v>
      </c>
      <c r="AH312" s="13">
        <v>269801.25</v>
      </c>
      <c r="AI312" s="13">
        <v>103623.05</v>
      </c>
      <c r="AJ312" s="13">
        <f t="shared" si="37"/>
        <v>166178.20000000001</v>
      </c>
    </row>
    <row r="313" spans="1:36" s="1" customFormat="1" x14ac:dyDescent="0.25">
      <c r="A313">
        <v>2753</v>
      </c>
      <c r="B313">
        <v>1</v>
      </c>
      <c r="C313">
        <f t="shared" si="38"/>
        <v>1</v>
      </c>
      <c r="D313" s="1" t="s">
        <v>348</v>
      </c>
      <c r="E313" s="7">
        <v>112531.76999999999</v>
      </c>
      <c r="F313" s="7">
        <v>11714.21</v>
      </c>
      <c r="G313" s="7">
        <v>-29860.18</v>
      </c>
      <c r="H313" s="7">
        <v>17910.97</v>
      </c>
      <c r="I313" s="7">
        <v>16399.900000000023</v>
      </c>
      <c r="J313" s="7">
        <v>6697.3699999999953</v>
      </c>
      <c r="K313" s="7">
        <v>14909.010000000009</v>
      </c>
      <c r="L313" s="7">
        <v>14353.140000000014</v>
      </c>
      <c r="M313" s="7">
        <v>11927.209999999963</v>
      </c>
      <c r="N313" s="7">
        <v>12887.390000000014</v>
      </c>
      <c r="O313" s="7">
        <v>15398.549999999988</v>
      </c>
      <c r="P313" s="7">
        <v>17146.879999999946</v>
      </c>
      <c r="Q313" s="7">
        <v>11927.200000000012</v>
      </c>
      <c r="R313" s="7">
        <v>20896.130000000005</v>
      </c>
      <c r="S313" s="7">
        <v>14909.010000000009</v>
      </c>
      <c r="T313" s="7">
        <v>15079.550000000003</v>
      </c>
      <c r="U313" s="7">
        <v>14909.00999999998</v>
      </c>
      <c r="V313" s="7">
        <v>-12741.49</v>
      </c>
      <c r="W313" s="9">
        <f t="shared" si="33"/>
        <v>286995.62999999989</v>
      </c>
      <c r="X313" s="9">
        <v>411963.26</v>
      </c>
      <c r="Y313" s="9">
        <v>163582.84</v>
      </c>
      <c r="Z313" s="9">
        <v>248380.42</v>
      </c>
      <c r="AA313" s="9">
        <f t="shared" si="34"/>
        <v>535376.04999999993</v>
      </c>
      <c r="AB313" s="7" t="e">
        <f>W313-#REF!</f>
        <v>#REF!</v>
      </c>
      <c r="AC313" s="12">
        <v>2536</v>
      </c>
      <c r="AD313" s="12">
        <v>1</v>
      </c>
      <c r="AE313" s="12">
        <f t="shared" si="35"/>
        <v>0</v>
      </c>
      <c r="AF313" s="12">
        <f t="shared" si="36"/>
        <v>2536</v>
      </c>
      <c r="AG313" s="13" t="s">
        <v>864</v>
      </c>
      <c r="AH313" s="13">
        <v>261147.19</v>
      </c>
      <c r="AI313" s="13">
        <v>65077.33</v>
      </c>
      <c r="AJ313" s="13">
        <f t="shared" si="37"/>
        <v>196069.86</v>
      </c>
    </row>
    <row r="314" spans="1:36" s="1" customFormat="1" x14ac:dyDescent="0.25">
      <c r="A314">
        <v>2754</v>
      </c>
      <c r="B314">
        <v>1</v>
      </c>
      <c r="C314">
        <f t="shared" si="38"/>
        <v>1</v>
      </c>
      <c r="D314" s="1" t="s">
        <v>349</v>
      </c>
      <c r="E314" s="7">
        <v>53509.3</v>
      </c>
      <c r="F314" s="7">
        <v>6438.2200000000012</v>
      </c>
      <c r="G314" s="7">
        <v>-810.22000000000116</v>
      </c>
      <c r="H314" s="7">
        <v>7415.4000000000015</v>
      </c>
      <c r="I314" s="7">
        <v>9825.2600000000093</v>
      </c>
      <c r="J314" s="7">
        <v>4483.179999999993</v>
      </c>
      <c r="K314" s="7">
        <v>8932.0400000000081</v>
      </c>
      <c r="L314" s="7">
        <v>8091.0199999999895</v>
      </c>
      <c r="M314" s="7">
        <v>7145.6399999999849</v>
      </c>
      <c r="N314" s="7">
        <v>8144.2299999999814</v>
      </c>
      <c r="O314" s="7">
        <v>9051.7000000000116</v>
      </c>
      <c r="P314" s="7">
        <v>10428.52999999997</v>
      </c>
      <c r="Q314" s="7">
        <v>7145.6300000000047</v>
      </c>
      <c r="R314" s="7">
        <v>12297.619999999995</v>
      </c>
      <c r="S314" s="7">
        <v>8932.0400000000081</v>
      </c>
      <c r="T314" s="7">
        <v>9214.9599999999919</v>
      </c>
      <c r="U314" s="7">
        <v>8932.0400000000081</v>
      </c>
      <c r="V314" s="7">
        <v>-3853.33</v>
      </c>
      <c r="W314" s="9">
        <f t="shared" si="33"/>
        <v>175323.25999999998</v>
      </c>
      <c r="X314" s="9">
        <v>182061.86000000002</v>
      </c>
      <c r="Y314" s="9">
        <v>86535.58</v>
      </c>
      <c r="Z314" s="9">
        <v>95526.280000000013</v>
      </c>
      <c r="AA314" s="9">
        <f t="shared" si="34"/>
        <v>270849.53999999998</v>
      </c>
      <c r="AB314" s="7" t="e">
        <f>W314-#REF!</f>
        <v>#REF!</v>
      </c>
      <c r="AC314" s="12">
        <v>2580</v>
      </c>
      <c r="AD314" s="12">
        <v>1</v>
      </c>
      <c r="AE314" s="12">
        <f t="shared" si="35"/>
        <v>0</v>
      </c>
      <c r="AF314" s="12">
        <f t="shared" si="36"/>
        <v>2580</v>
      </c>
      <c r="AG314" s="13" t="s">
        <v>865</v>
      </c>
      <c r="AH314" s="13">
        <v>189303.59999999998</v>
      </c>
      <c r="AI314" s="13">
        <v>89977.64</v>
      </c>
      <c r="AJ314" s="13">
        <f t="shared" si="37"/>
        <v>99325.959999999977</v>
      </c>
    </row>
    <row r="315" spans="1:36" s="1" customFormat="1" x14ac:dyDescent="0.25">
      <c r="A315">
        <v>2759</v>
      </c>
      <c r="B315">
        <v>1</v>
      </c>
      <c r="C315">
        <f t="shared" si="38"/>
        <v>1</v>
      </c>
      <c r="D315" s="1" t="s">
        <v>350</v>
      </c>
      <c r="E315" s="7">
        <v>24194.000000000007</v>
      </c>
      <c r="F315" s="7">
        <v>3628.7299999999996</v>
      </c>
      <c r="G315" s="7">
        <v>2240.1800000000003</v>
      </c>
      <c r="H315" s="7">
        <v>3819.4200000000055</v>
      </c>
      <c r="I315" s="7">
        <v>4928.4000000000233</v>
      </c>
      <c r="J315" s="7">
        <v>1924.6199999999953</v>
      </c>
      <c r="K315" s="7">
        <v>4480.3600000000006</v>
      </c>
      <c r="L315" s="7">
        <v>4408.3399999999965</v>
      </c>
      <c r="M315" s="7">
        <v>3584.2999999999884</v>
      </c>
      <c r="N315" s="7">
        <v>3793.6600000000035</v>
      </c>
      <c r="O315" s="7">
        <v>4480.3799999999901</v>
      </c>
      <c r="P315" s="7">
        <v>5123.7399999999907</v>
      </c>
      <c r="Q315" s="7">
        <v>3584.2899999999936</v>
      </c>
      <c r="R315" s="7">
        <v>6060.7000000000116</v>
      </c>
      <c r="S315" s="7">
        <v>4480.3699999999953</v>
      </c>
      <c r="T315" s="7">
        <v>4758.1000000000058</v>
      </c>
      <c r="U315" s="7">
        <v>4480.3700000000026</v>
      </c>
      <c r="V315" s="7">
        <v>32.959999999999923</v>
      </c>
      <c r="W315" s="9">
        <f t="shared" si="33"/>
        <v>90002.920000000027</v>
      </c>
      <c r="X315" s="9">
        <v>165479.88</v>
      </c>
      <c r="Y315" s="9">
        <v>71915.02</v>
      </c>
      <c r="Z315" s="9">
        <v>93564.86</v>
      </c>
      <c r="AA315" s="9">
        <f t="shared" si="34"/>
        <v>183567.78000000003</v>
      </c>
      <c r="AB315" s="7" t="e">
        <f>W315-#REF!</f>
        <v>#REF!</v>
      </c>
      <c r="AC315" s="12">
        <v>2609</v>
      </c>
      <c r="AD315" s="12">
        <v>1</v>
      </c>
      <c r="AE315" s="12">
        <f t="shared" si="35"/>
        <v>0</v>
      </c>
      <c r="AF315" s="12">
        <f t="shared" si="36"/>
        <v>2609</v>
      </c>
      <c r="AG315" s="13" t="s">
        <v>866</v>
      </c>
      <c r="AH315" s="13">
        <v>267310.39</v>
      </c>
      <c r="AI315" s="13">
        <v>118563.96</v>
      </c>
      <c r="AJ315" s="13">
        <f t="shared" si="37"/>
        <v>148746.43</v>
      </c>
    </row>
    <row r="316" spans="1:36" s="1" customFormat="1" x14ac:dyDescent="0.25">
      <c r="A316">
        <v>2769</v>
      </c>
      <c r="B316">
        <v>1</v>
      </c>
      <c r="C316">
        <f t="shared" si="38"/>
        <v>1</v>
      </c>
      <c r="D316" s="1" t="s">
        <v>351</v>
      </c>
      <c r="E316" s="7">
        <v>82876.359999999986</v>
      </c>
      <c r="F316" s="7">
        <v>23484.510000000002</v>
      </c>
      <c r="G316" s="7">
        <v>0</v>
      </c>
      <c r="H316" s="7">
        <v>23520.760000000009</v>
      </c>
      <c r="I316" s="7">
        <v>16882.210000000021</v>
      </c>
      <c r="J316" s="7">
        <v>-2382.4500000000116</v>
      </c>
      <c r="K316" s="7">
        <v>15347.47000000003</v>
      </c>
      <c r="L316" s="7">
        <v>17430.880000000005</v>
      </c>
      <c r="M316" s="7">
        <v>12277.979999999981</v>
      </c>
      <c r="N316" s="7">
        <v>12279.26999999996</v>
      </c>
      <c r="O316" s="7">
        <v>15640.539999999979</v>
      </c>
      <c r="P316" s="7">
        <v>14581.089999999967</v>
      </c>
      <c r="Q316" s="7">
        <v>12277.979999999981</v>
      </c>
      <c r="R316" s="7">
        <v>20841.559999999939</v>
      </c>
      <c r="S316" s="7">
        <v>15347.479999999981</v>
      </c>
      <c r="T316" s="7">
        <v>16993.01999999999</v>
      </c>
      <c r="U316" s="7">
        <v>15347.479999999996</v>
      </c>
      <c r="V316" s="7">
        <v>500.34000000000015</v>
      </c>
      <c r="W316" s="9">
        <f t="shared" si="33"/>
        <v>313246.47999999981</v>
      </c>
      <c r="X316" s="9">
        <v>386514.71</v>
      </c>
      <c r="Y316" s="9">
        <v>129427.90000000001</v>
      </c>
      <c r="Z316" s="9">
        <v>257086.81</v>
      </c>
      <c r="AA316" s="9">
        <f t="shared" si="34"/>
        <v>570333.2899999998</v>
      </c>
      <c r="AB316" s="7" t="e">
        <f>W316-#REF!</f>
        <v>#REF!</v>
      </c>
      <c r="AC316" s="12">
        <v>2683</v>
      </c>
      <c r="AD316" s="12">
        <v>1</v>
      </c>
      <c r="AE316" s="12">
        <f t="shared" si="35"/>
        <v>0</v>
      </c>
      <c r="AF316" s="12">
        <f t="shared" si="36"/>
        <v>2683</v>
      </c>
      <c r="AG316" s="13" t="s">
        <v>867</v>
      </c>
      <c r="AH316" s="13">
        <v>112380.39</v>
      </c>
      <c r="AI316" s="13">
        <v>31315.27</v>
      </c>
      <c r="AJ316" s="13">
        <f t="shared" si="37"/>
        <v>81065.119999999995</v>
      </c>
    </row>
    <row r="317" spans="1:36" s="1" customFormat="1" x14ac:dyDescent="0.25">
      <c r="A317">
        <v>2805</v>
      </c>
      <c r="B317">
        <v>1</v>
      </c>
      <c r="C317">
        <f t="shared" si="38"/>
        <v>1</v>
      </c>
      <c r="D317" s="1" t="s">
        <v>352</v>
      </c>
      <c r="E317" s="7">
        <v>85433.53</v>
      </c>
      <c r="F317" s="7">
        <v>1336.9499999999998</v>
      </c>
      <c r="G317" s="7">
        <v>-5380.7199999999993</v>
      </c>
      <c r="H317" s="7">
        <v>334.26</v>
      </c>
      <c r="I317" s="7">
        <v>44473.789999999979</v>
      </c>
      <c r="J317" s="7">
        <v>7809.25</v>
      </c>
      <c r="K317" s="7">
        <v>14824.599999999977</v>
      </c>
      <c r="L317" s="7">
        <v>13031.070000000007</v>
      </c>
      <c r="M317" s="7">
        <v>11859.669999999984</v>
      </c>
      <c r="N317" s="7">
        <v>13848.440000000002</v>
      </c>
      <c r="O317" s="7">
        <v>15093.630000000005</v>
      </c>
      <c r="P317" s="7">
        <v>17430.280000000028</v>
      </c>
      <c r="Q317" s="7">
        <v>11859.679999999993</v>
      </c>
      <c r="R317" s="7">
        <v>20621.609999999986</v>
      </c>
      <c r="S317" s="7">
        <v>14824.599999999977</v>
      </c>
      <c r="T317" s="7">
        <v>9122.7099999999991</v>
      </c>
      <c r="U317" s="7">
        <v>20753.009999999995</v>
      </c>
      <c r="V317" s="7">
        <v>-3417.2599999999993</v>
      </c>
      <c r="W317" s="9">
        <f t="shared" si="33"/>
        <v>293859.09999999992</v>
      </c>
      <c r="X317" s="9">
        <v>710820.19</v>
      </c>
      <c r="Y317" s="9">
        <v>257742.07</v>
      </c>
      <c r="Z317" s="9">
        <v>453078.11999999994</v>
      </c>
      <c r="AA317" s="9">
        <f t="shared" si="34"/>
        <v>746937.21999999986</v>
      </c>
      <c r="AB317" s="7" t="e">
        <f>W317-#REF!</f>
        <v>#REF!</v>
      </c>
      <c r="AC317" s="12">
        <v>2687</v>
      </c>
      <c r="AD317" s="12">
        <v>1</v>
      </c>
      <c r="AE317" s="12">
        <f t="shared" si="35"/>
        <v>0</v>
      </c>
      <c r="AF317" s="12">
        <f t="shared" si="36"/>
        <v>2687</v>
      </c>
      <c r="AG317" s="13" t="s">
        <v>868</v>
      </c>
      <c r="AH317" s="13">
        <v>540054.32000000007</v>
      </c>
      <c r="AI317" s="13">
        <v>256692.49</v>
      </c>
      <c r="AJ317" s="13">
        <f t="shared" si="37"/>
        <v>283361.83000000007</v>
      </c>
    </row>
    <row r="318" spans="1:36" s="1" customFormat="1" x14ac:dyDescent="0.25">
      <c r="A318">
        <v>2835</v>
      </c>
      <c r="B318">
        <v>1</v>
      </c>
      <c r="C318">
        <f t="shared" si="38"/>
        <v>1</v>
      </c>
      <c r="D318" s="1" t="s">
        <v>353</v>
      </c>
      <c r="E318" s="7">
        <v>54390.619999999995</v>
      </c>
      <c r="F318" s="7">
        <v>1796.3799999999999</v>
      </c>
      <c r="G318" s="7">
        <v>-5589.68</v>
      </c>
      <c r="H318" s="7">
        <v>449.10000000000036</v>
      </c>
      <c r="I318" s="7">
        <v>27111.62999999999</v>
      </c>
      <c r="J318" s="7">
        <v>3963.8199999999779</v>
      </c>
      <c r="K318" s="7">
        <v>9037.210000000021</v>
      </c>
      <c r="L318" s="7">
        <v>8803.7000000000116</v>
      </c>
      <c r="M318" s="7">
        <v>7229.7700000000186</v>
      </c>
      <c r="N318" s="7">
        <v>7725.5800000000163</v>
      </c>
      <c r="O318" s="7">
        <v>9747.2600000000093</v>
      </c>
      <c r="P318" s="7">
        <v>10361.98000000004</v>
      </c>
      <c r="Q318" s="7">
        <v>7229.7700000000186</v>
      </c>
      <c r="R318" s="7">
        <v>12597.390000000014</v>
      </c>
      <c r="S318" s="7">
        <v>27111.62999999999</v>
      </c>
      <c r="T318" s="7">
        <v>180.63000000000011</v>
      </c>
      <c r="U318" s="7">
        <v>0</v>
      </c>
      <c r="V318" s="7">
        <v>62.960000000000036</v>
      </c>
      <c r="W318" s="9">
        <f t="shared" si="33"/>
        <v>182209.75000000009</v>
      </c>
      <c r="X318" s="9">
        <v>573238.93999999983</v>
      </c>
      <c r="Y318" s="9">
        <v>187856.11000000002</v>
      </c>
      <c r="Z318" s="9">
        <v>385382.82999999984</v>
      </c>
      <c r="AA318" s="9">
        <f t="shared" si="34"/>
        <v>567592.57999999996</v>
      </c>
      <c r="AB318" s="7" t="e">
        <f>W318-#REF!</f>
        <v>#REF!</v>
      </c>
      <c r="AC318" s="12">
        <v>2689</v>
      </c>
      <c r="AD318" s="12">
        <v>1</v>
      </c>
      <c r="AE318" s="12">
        <f t="shared" si="35"/>
        <v>0</v>
      </c>
      <c r="AF318" s="12">
        <f t="shared" si="36"/>
        <v>2689</v>
      </c>
      <c r="AG318" s="13" t="s">
        <v>869</v>
      </c>
      <c r="AH318" s="13">
        <v>625217.64</v>
      </c>
      <c r="AI318" s="13">
        <v>275564.42</v>
      </c>
      <c r="AJ318" s="13">
        <f t="shared" si="37"/>
        <v>349653.22000000003</v>
      </c>
    </row>
    <row r="319" spans="1:36" s="1" customFormat="1" x14ac:dyDescent="0.25">
      <c r="A319">
        <v>2853</v>
      </c>
      <c r="B319">
        <v>1</v>
      </c>
      <c r="C319">
        <f t="shared" si="38"/>
        <v>1</v>
      </c>
      <c r="D319" s="1" t="s">
        <v>354</v>
      </c>
      <c r="E319" s="7">
        <v>68272.38</v>
      </c>
      <c r="F319" s="7">
        <v>8805.6299999999974</v>
      </c>
      <c r="G319" s="7">
        <v>1619.01</v>
      </c>
      <c r="H319" s="7">
        <v>309.29999999999995</v>
      </c>
      <c r="I319" s="7">
        <v>28497.889999999956</v>
      </c>
      <c r="J319" s="7">
        <v>6563.890000000014</v>
      </c>
      <c r="K319" s="7">
        <v>12614.010000000009</v>
      </c>
      <c r="L319" s="7">
        <v>11175.22000000003</v>
      </c>
      <c r="M319" s="7">
        <v>10091.210000000021</v>
      </c>
      <c r="N319" s="7">
        <v>11710.669999999984</v>
      </c>
      <c r="O319" s="7">
        <v>12614.010000000009</v>
      </c>
      <c r="P319" s="7">
        <v>14804.380000000005</v>
      </c>
      <c r="Q319" s="7">
        <v>10091.22000000003</v>
      </c>
      <c r="R319" s="7">
        <v>17702.98000000004</v>
      </c>
      <c r="S319" s="7">
        <v>12614.010000000009</v>
      </c>
      <c r="T319" s="7">
        <v>12657.36</v>
      </c>
      <c r="U319" s="7">
        <v>12614.009999999998</v>
      </c>
      <c r="V319" s="7">
        <v>43.3599999999999</v>
      </c>
      <c r="W319" s="9">
        <f t="shared" si="33"/>
        <v>252800.5400000001</v>
      </c>
      <c r="X319" s="9">
        <v>555524.39999999991</v>
      </c>
      <c r="Y319" s="9">
        <v>217674.27</v>
      </c>
      <c r="Z319" s="9">
        <v>337850.12999999989</v>
      </c>
      <c r="AA319" s="9">
        <f t="shared" si="34"/>
        <v>590650.66999999993</v>
      </c>
      <c r="AB319" s="7" t="e">
        <f>W319-#REF!</f>
        <v>#REF!</v>
      </c>
      <c r="AC319" s="12">
        <v>2711</v>
      </c>
      <c r="AD319" s="12">
        <v>1</v>
      </c>
      <c r="AE319" s="12">
        <f t="shared" si="35"/>
        <v>0</v>
      </c>
      <c r="AF319" s="12">
        <f t="shared" si="36"/>
        <v>2711</v>
      </c>
      <c r="AG319" s="13" t="s">
        <v>870</v>
      </c>
      <c r="AH319" s="13">
        <v>0</v>
      </c>
      <c r="AI319" s="13">
        <v>0</v>
      </c>
      <c r="AJ319" s="13">
        <f t="shared" si="37"/>
        <v>0</v>
      </c>
    </row>
    <row r="320" spans="1:36" s="1" customFormat="1" x14ac:dyDescent="0.25">
      <c r="A320">
        <v>2854</v>
      </c>
      <c r="B320">
        <v>1</v>
      </c>
      <c r="C320">
        <f t="shared" si="38"/>
        <v>1</v>
      </c>
      <c r="D320" s="1" t="s">
        <v>355</v>
      </c>
      <c r="E320" s="7">
        <v>46593.760000000009</v>
      </c>
      <c r="F320" s="7">
        <v>5177.0699999999924</v>
      </c>
      <c r="G320" s="7">
        <v>4314.25</v>
      </c>
      <c r="H320" s="7">
        <v>6902.7699999999968</v>
      </c>
      <c r="I320" s="7">
        <v>9491.320000000007</v>
      </c>
      <c r="J320" s="7">
        <v>5177.0899999999965</v>
      </c>
      <c r="K320" s="7">
        <v>8628.4700000000012</v>
      </c>
      <c r="L320" s="7">
        <v>6902.7799999999988</v>
      </c>
      <c r="M320" s="7">
        <v>6902.7799999999988</v>
      </c>
      <c r="N320" s="7">
        <v>8628.4700000000012</v>
      </c>
      <c r="O320" s="7">
        <v>8628.4700000000012</v>
      </c>
      <c r="P320" s="7">
        <v>10354.169999999984</v>
      </c>
      <c r="Q320" s="7">
        <v>6902.7799999999988</v>
      </c>
      <c r="R320" s="7">
        <v>12079.859999999986</v>
      </c>
      <c r="S320" s="7">
        <v>8628.4700000000012</v>
      </c>
      <c r="T320" s="7">
        <v>8628.4700000000012</v>
      </c>
      <c r="U320" s="7">
        <v>8628.4799999999959</v>
      </c>
      <c r="V320" s="7">
        <v>0</v>
      </c>
      <c r="W320" s="9">
        <f t="shared" si="33"/>
        <v>172569.45999999996</v>
      </c>
      <c r="X320" s="9">
        <v>167154.6</v>
      </c>
      <c r="Y320" s="9">
        <v>63589.63</v>
      </c>
      <c r="Z320" s="9">
        <v>103564.97</v>
      </c>
      <c r="AA320" s="9">
        <f t="shared" si="34"/>
        <v>276134.42999999993</v>
      </c>
      <c r="AB320" s="7" t="e">
        <f>W320-#REF!</f>
        <v>#REF!</v>
      </c>
      <c r="AC320" s="12">
        <v>2752</v>
      </c>
      <c r="AD320" s="12">
        <v>1</v>
      </c>
      <c r="AE320" s="12">
        <f t="shared" si="35"/>
        <v>0</v>
      </c>
      <c r="AF320" s="12">
        <f t="shared" si="36"/>
        <v>2752</v>
      </c>
      <c r="AG320" s="13" t="s">
        <v>871</v>
      </c>
      <c r="AH320" s="13">
        <v>1255690.27</v>
      </c>
      <c r="AI320" s="13">
        <v>568273.40999999992</v>
      </c>
      <c r="AJ320" s="13">
        <f t="shared" si="37"/>
        <v>687416.8600000001</v>
      </c>
    </row>
    <row r="321" spans="1:36" s="1" customFormat="1" x14ac:dyDescent="0.25">
      <c r="A321">
        <v>2856</v>
      </c>
      <c r="B321">
        <v>1</v>
      </c>
      <c r="C321">
        <f t="shared" si="38"/>
        <v>1</v>
      </c>
      <c r="D321" s="1" t="s">
        <v>356</v>
      </c>
      <c r="E321" s="7">
        <v>31697.820000000007</v>
      </c>
      <c r="F321" s="7">
        <v>3777.76</v>
      </c>
      <c r="G321" s="7">
        <v>1764.77</v>
      </c>
      <c r="H321" s="7">
        <v>63.94</v>
      </c>
      <c r="I321" s="7">
        <v>12323.149999999994</v>
      </c>
      <c r="J321" s="7">
        <v>3314.3000000000029</v>
      </c>
      <c r="K321" s="7">
        <v>5869.9700000000012</v>
      </c>
      <c r="L321" s="7">
        <v>4920.0800000000163</v>
      </c>
      <c r="M321" s="7">
        <v>4695.9599999999919</v>
      </c>
      <c r="N321" s="7">
        <v>5683.2200000000012</v>
      </c>
      <c r="O321" s="7">
        <v>5869.9700000000012</v>
      </c>
      <c r="P321" s="7">
        <v>6975.2300000000105</v>
      </c>
      <c r="Q321" s="7">
        <v>4695.9700000000012</v>
      </c>
      <c r="R321" s="7">
        <v>8219.7799999999988</v>
      </c>
      <c r="S321" s="7">
        <v>5869.9700000000012</v>
      </c>
      <c r="T321" s="7">
        <v>5886.0600000000013</v>
      </c>
      <c r="U321" s="7">
        <v>5869.9699999999993</v>
      </c>
      <c r="V321" s="7">
        <v>8.9700000000000273</v>
      </c>
      <c r="W321" s="9">
        <f t="shared" si="33"/>
        <v>117506.89000000003</v>
      </c>
      <c r="X321" s="9">
        <v>189582.51</v>
      </c>
      <c r="Y321" s="9">
        <v>90110.209999999992</v>
      </c>
      <c r="Z321" s="9">
        <v>99472.300000000017</v>
      </c>
      <c r="AA321" s="9">
        <f t="shared" si="34"/>
        <v>216979.19000000006</v>
      </c>
      <c r="AB321" s="7" t="e">
        <f>W321-#REF!</f>
        <v>#REF!</v>
      </c>
      <c r="AC321" s="12">
        <v>2753</v>
      </c>
      <c r="AD321" s="12">
        <v>1</v>
      </c>
      <c r="AE321" s="12">
        <f t="shared" si="35"/>
        <v>0</v>
      </c>
      <c r="AF321" s="12">
        <f t="shared" si="36"/>
        <v>2753</v>
      </c>
      <c r="AG321" s="13" t="s">
        <v>872</v>
      </c>
      <c r="AH321" s="13">
        <v>411963.26</v>
      </c>
      <c r="AI321" s="13">
        <v>163582.84</v>
      </c>
      <c r="AJ321" s="13">
        <f t="shared" si="37"/>
        <v>248380.42</v>
      </c>
    </row>
    <row r="322" spans="1:36" s="1" customFormat="1" x14ac:dyDescent="0.25">
      <c r="A322">
        <v>2859</v>
      </c>
      <c r="B322">
        <v>1</v>
      </c>
      <c r="C322">
        <f t="shared" si="38"/>
        <v>1</v>
      </c>
      <c r="D322" s="1" t="s">
        <v>357</v>
      </c>
      <c r="E322" s="7">
        <v>136368.52999999997</v>
      </c>
      <c r="F322" s="7">
        <v>14905.67</v>
      </c>
      <c r="G322" s="7">
        <v>-8044.9600000000009</v>
      </c>
      <c r="H322" s="7">
        <v>31054.589999999997</v>
      </c>
      <c r="I322" s="7">
        <v>26139.979999999981</v>
      </c>
      <c r="J322" s="7">
        <v>13732.469999999972</v>
      </c>
      <c r="K322" s="7">
        <v>23763.630000000005</v>
      </c>
      <c r="L322" s="7">
        <v>19578.209999999963</v>
      </c>
      <c r="M322" s="7">
        <v>19010.899999999907</v>
      </c>
      <c r="N322" s="7">
        <v>23290.869999999995</v>
      </c>
      <c r="O322" s="7">
        <v>24817.429999999935</v>
      </c>
      <c r="P322" s="7">
        <v>28342.369999999995</v>
      </c>
      <c r="Q322" s="7">
        <v>19010.890000000014</v>
      </c>
      <c r="R322" s="7">
        <v>33166.869999999995</v>
      </c>
      <c r="S322" s="7">
        <v>23763.630000000005</v>
      </c>
      <c r="T322" s="7">
        <v>23911.22</v>
      </c>
      <c r="U322" s="7">
        <v>23763.630000000005</v>
      </c>
      <c r="V322" s="7">
        <v>22.689999999999941</v>
      </c>
      <c r="W322" s="9">
        <f t="shared" si="33"/>
        <v>476598.6199999997</v>
      </c>
      <c r="X322" s="9">
        <v>725888.5</v>
      </c>
      <c r="Y322" s="9">
        <v>334893.67</v>
      </c>
      <c r="Z322" s="9">
        <v>390994.83</v>
      </c>
      <c r="AA322" s="9">
        <f t="shared" si="34"/>
        <v>867593.44999999972</v>
      </c>
      <c r="AB322" s="7" t="e">
        <f>W322-#REF!</f>
        <v>#REF!</v>
      </c>
      <c r="AC322" s="12">
        <v>2754</v>
      </c>
      <c r="AD322" s="12">
        <v>1</v>
      </c>
      <c r="AE322" s="12">
        <f t="shared" si="35"/>
        <v>0</v>
      </c>
      <c r="AF322" s="12">
        <f t="shared" si="36"/>
        <v>2754</v>
      </c>
      <c r="AG322" s="13" t="s">
        <v>873</v>
      </c>
      <c r="AH322" s="13">
        <v>182061.86000000002</v>
      </c>
      <c r="AI322" s="13">
        <v>86535.58</v>
      </c>
      <c r="AJ322" s="13">
        <f t="shared" si="37"/>
        <v>95526.280000000013</v>
      </c>
    </row>
    <row r="323" spans="1:36" s="1" customFormat="1" x14ac:dyDescent="0.25">
      <c r="A323">
        <v>2860</v>
      </c>
      <c r="B323">
        <v>1</v>
      </c>
      <c r="C323">
        <f t="shared" si="38"/>
        <v>1</v>
      </c>
      <c r="D323" s="1" t="s">
        <v>358</v>
      </c>
      <c r="E323" s="7">
        <v>108843.15999999997</v>
      </c>
      <c r="F323" s="7">
        <v>14640.410000000003</v>
      </c>
      <c r="G323" s="7">
        <v>-424.11000000000058</v>
      </c>
      <c r="H323" s="7">
        <v>15604.559999999998</v>
      </c>
      <c r="I323" s="7">
        <v>20213.729999999981</v>
      </c>
      <c r="J323" s="7">
        <v>8090.7900000000373</v>
      </c>
      <c r="K323" s="7">
        <v>18376.119999999995</v>
      </c>
      <c r="L323" s="7">
        <v>17868</v>
      </c>
      <c r="M323" s="7">
        <v>14700.890000000014</v>
      </c>
      <c r="N323" s="7">
        <v>15736.849999999977</v>
      </c>
      <c r="O323" s="7">
        <v>18395</v>
      </c>
      <c r="P323" s="7">
        <v>21080.080000000075</v>
      </c>
      <c r="Q323" s="7">
        <v>14700.890000000014</v>
      </c>
      <c r="R323" s="7">
        <v>24826.839999999967</v>
      </c>
      <c r="S323" s="7">
        <v>18376.109999999986</v>
      </c>
      <c r="T323" s="7">
        <v>19529.179999999993</v>
      </c>
      <c r="U323" s="7">
        <v>18376.109999999986</v>
      </c>
      <c r="V323" s="7">
        <v>126.69999999999982</v>
      </c>
      <c r="W323" s="9">
        <f t="shared" si="33"/>
        <v>369061.31</v>
      </c>
      <c r="X323" s="9">
        <v>372800.42999999993</v>
      </c>
      <c r="Y323" s="9">
        <v>163803.01999999999</v>
      </c>
      <c r="Z323" s="9">
        <v>208997.40999999995</v>
      </c>
      <c r="AA323" s="9">
        <f t="shared" si="34"/>
        <v>578058.72</v>
      </c>
      <c r="AB323" s="7" t="e">
        <f>W323-#REF!</f>
        <v>#REF!</v>
      </c>
      <c r="AC323" s="12">
        <v>2759</v>
      </c>
      <c r="AD323" s="12">
        <v>1</v>
      </c>
      <c r="AE323" s="12">
        <f t="shared" si="35"/>
        <v>0</v>
      </c>
      <c r="AF323" s="12">
        <f t="shared" si="36"/>
        <v>2759</v>
      </c>
      <c r="AG323" s="13" t="s">
        <v>874</v>
      </c>
      <c r="AH323" s="13">
        <v>165479.88</v>
      </c>
      <c r="AI323" s="13">
        <v>71915.02</v>
      </c>
      <c r="AJ323" s="13">
        <f t="shared" si="37"/>
        <v>93564.86</v>
      </c>
    </row>
    <row r="324" spans="1:36" s="1" customFormat="1" x14ac:dyDescent="0.25">
      <c r="A324">
        <v>2884</v>
      </c>
      <c r="B324">
        <v>1</v>
      </c>
      <c r="C324">
        <f t="shared" si="38"/>
        <v>1</v>
      </c>
      <c r="D324" s="1" t="s">
        <v>359</v>
      </c>
      <c r="E324" s="7">
        <v>32596.78</v>
      </c>
      <c r="F324" s="7">
        <v>0</v>
      </c>
      <c r="G324" s="7">
        <v>0</v>
      </c>
      <c r="H324" s="7">
        <v>0</v>
      </c>
      <c r="I324" s="7">
        <v>18109.320000000007</v>
      </c>
      <c r="J324" s="7">
        <v>3621.8600000000006</v>
      </c>
      <c r="K324" s="7">
        <v>6036.4400000000023</v>
      </c>
      <c r="L324" s="7">
        <v>4829.1499999999942</v>
      </c>
      <c r="M324" s="7">
        <v>4829.1499999999942</v>
      </c>
      <c r="N324" s="7">
        <v>6036.4499999999825</v>
      </c>
      <c r="O324" s="7">
        <v>6036.4400000000023</v>
      </c>
      <c r="P324" s="7">
        <v>7243.7200000000012</v>
      </c>
      <c r="Q324" s="7">
        <v>4829.1499999999942</v>
      </c>
      <c r="R324" s="7">
        <v>8451.0199999999895</v>
      </c>
      <c r="S324" s="7">
        <v>18109.320000000007</v>
      </c>
      <c r="T324" s="7">
        <v>0</v>
      </c>
      <c r="U324" s="7">
        <v>0</v>
      </c>
      <c r="V324" s="7">
        <v>-2764.81</v>
      </c>
      <c r="W324" s="9">
        <f t="shared" si="33"/>
        <v>117963.98999999998</v>
      </c>
      <c r="X324" s="9">
        <v>324472.33999999997</v>
      </c>
      <c r="Y324" s="9">
        <v>124791.97</v>
      </c>
      <c r="Z324" s="9">
        <v>199680.36999999997</v>
      </c>
      <c r="AA324" s="9">
        <f t="shared" si="34"/>
        <v>317644.35999999993</v>
      </c>
      <c r="AB324" s="7" t="e">
        <f>W324-#REF!</f>
        <v>#REF!</v>
      </c>
      <c r="AC324" s="12">
        <v>2805</v>
      </c>
      <c r="AD324" s="12">
        <v>1</v>
      </c>
      <c r="AE324" s="12">
        <f t="shared" si="35"/>
        <v>0</v>
      </c>
      <c r="AF324" s="12">
        <f t="shared" si="36"/>
        <v>2805</v>
      </c>
      <c r="AG324" s="13" t="s">
        <v>875</v>
      </c>
      <c r="AH324" s="13">
        <v>710820.19</v>
      </c>
      <c r="AI324" s="13">
        <v>257742.07</v>
      </c>
      <c r="AJ324" s="13">
        <f t="shared" si="37"/>
        <v>453078.11999999994</v>
      </c>
    </row>
    <row r="325" spans="1:36" s="1" customFormat="1" x14ac:dyDescent="0.25">
      <c r="A325">
        <v>2886</v>
      </c>
      <c r="B325">
        <v>1</v>
      </c>
      <c r="C325">
        <f t="shared" si="38"/>
        <v>1</v>
      </c>
      <c r="D325" s="1" t="s">
        <v>360</v>
      </c>
      <c r="E325" s="7">
        <v>31804.829999999994</v>
      </c>
      <c r="F325" s="7">
        <v>3168.1900000000023</v>
      </c>
      <c r="G325" s="7">
        <v>-650.96</v>
      </c>
      <c r="H325" s="7">
        <v>4224.25</v>
      </c>
      <c r="I325" s="7">
        <v>5808.3399999999965</v>
      </c>
      <c r="J325" s="7">
        <v>3168.1900000000023</v>
      </c>
      <c r="K325" s="7">
        <v>5280.3199999999779</v>
      </c>
      <c r="L325" s="7">
        <v>4224.25</v>
      </c>
      <c r="M325" s="7">
        <v>4224.2600000000093</v>
      </c>
      <c r="N325" s="7">
        <v>5280.3099999999977</v>
      </c>
      <c r="O325" s="7">
        <v>5280.3199999999779</v>
      </c>
      <c r="P325" s="7">
        <v>6336.3800000000047</v>
      </c>
      <c r="Q325" s="7">
        <v>4224.25</v>
      </c>
      <c r="R325" s="7">
        <v>7392.4400000000023</v>
      </c>
      <c r="S325" s="7">
        <v>5280.3199999999779</v>
      </c>
      <c r="T325" s="7">
        <v>5280.3100000000013</v>
      </c>
      <c r="U325" s="7">
        <v>5280.32</v>
      </c>
      <c r="V325" s="7">
        <v>0</v>
      </c>
      <c r="W325" s="9">
        <f t="shared" si="33"/>
        <v>105606.31999999995</v>
      </c>
      <c r="X325" s="9">
        <v>74139.61</v>
      </c>
      <c r="Y325" s="9">
        <v>35239.199999999997</v>
      </c>
      <c r="Z325" s="9">
        <v>38900.410000000003</v>
      </c>
      <c r="AA325" s="9">
        <f t="shared" si="34"/>
        <v>144506.72999999995</v>
      </c>
      <c r="AB325" s="7" t="e">
        <f>W325-#REF!</f>
        <v>#REF!</v>
      </c>
      <c r="AC325" s="12">
        <v>2835</v>
      </c>
      <c r="AD325" s="12">
        <v>1</v>
      </c>
      <c r="AE325" s="12">
        <f t="shared" si="35"/>
        <v>0</v>
      </c>
      <c r="AF325" s="12">
        <f t="shared" si="36"/>
        <v>2835</v>
      </c>
      <c r="AG325" s="13" t="s">
        <v>876</v>
      </c>
      <c r="AH325" s="13">
        <v>573238.93999999983</v>
      </c>
      <c r="AI325" s="13">
        <v>187856.11000000002</v>
      </c>
      <c r="AJ325" s="13">
        <f t="shared" si="37"/>
        <v>385382.82999999984</v>
      </c>
    </row>
    <row r="326" spans="1:36" s="1" customFormat="1" x14ac:dyDescent="0.25">
      <c r="A326">
        <v>2888</v>
      </c>
      <c r="B326">
        <v>1</v>
      </c>
      <c r="C326">
        <f t="shared" si="38"/>
        <v>1</v>
      </c>
      <c r="D326" s="1" t="s">
        <v>361</v>
      </c>
      <c r="E326" s="7">
        <v>34126.050000000003</v>
      </c>
      <c r="F326" s="7">
        <v>4667.6599999999962</v>
      </c>
      <c r="G326" s="7">
        <v>3159.8100000000013</v>
      </c>
      <c r="H326" s="7">
        <v>5274.7000000000044</v>
      </c>
      <c r="I326" s="7">
        <v>6951.6000000000058</v>
      </c>
      <c r="J326" s="7">
        <v>3080.6300000000047</v>
      </c>
      <c r="K326" s="7">
        <v>6319.6399999999849</v>
      </c>
      <c r="L326" s="7">
        <v>5823.1199999999953</v>
      </c>
      <c r="M326" s="7">
        <v>5055.7099999999919</v>
      </c>
      <c r="N326" s="7">
        <v>5680.140000000014</v>
      </c>
      <c r="O326" s="7">
        <v>6319.640000000014</v>
      </c>
      <c r="P326" s="7">
        <v>7348.2200000000012</v>
      </c>
      <c r="Q326" s="7">
        <v>5055.7099999999919</v>
      </c>
      <c r="R326" s="7">
        <v>8682.8699999999953</v>
      </c>
      <c r="S326" s="7">
        <v>6319.6399999999849</v>
      </c>
      <c r="T326" s="7">
        <v>6545.6599999999962</v>
      </c>
      <c r="U326" s="7">
        <v>6319.640000000014</v>
      </c>
      <c r="V326" s="7">
        <v>30.689999999999941</v>
      </c>
      <c r="W326" s="9">
        <f t="shared" si="33"/>
        <v>126761.13</v>
      </c>
      <c r="X326" s="9">
        <v>139829.88</v>
      </c>
      <c r="Y326" s="9">
        <v>46227.9</v>
      </c>
      <c r="Z326" s="9">
        <v>93601.98000000001</v>
      </c>
      <c r="AA326" s="9">
        <f t="shared" si="34"/>
        <v>220363.11000000002</v>
      </c>
      <c r="AB326" s="7" t="e">
        <f>W326-#REF!</f>
        <v>#REF!</v>
      </c>
      <c r="AC326" s="12">
        <v>2853</v>
      </c>
      <c r="AD326" s="12">
        <v>1</v>
      </c>
      <c r="AE326" s="12">
        <f t="shared" si="35"/>
        <v>0</v>
      </c>
      <c r="AF326" s="12">
        <f t="shared" si="36"/>
        <v>2853</v>
      </c>
      <c r="AG326" s="13" t="s">
        <v>877</v>
      </c>
      <c r="AH326" s="13">
        <v>555524.39999999991</v>
      </c>
      <c r="AI326" s="13">
        <v>217674.27</v>
      </c>
      <c r="AJ326" s="13">
        <f t="shared" si="37"/>
        <v>337850.12999999989</v>
      </c>
    </row>
    <row r="327" spans="1:36" s="1" customFormat="1" x14ac:dyDescent="0.25">
      <c r="A327">
        <v>2889</v>
      </c>
      <c r="B327">
        <v>1</v>
      </c>
      <c r="C327">
        <f t="shared" si="38"/>
        <v>1</v>
      </c>
      <c r="D327" s="1" t="s">
        <v>362</v>
      </c>
      <c r="E327" s="7">
        <v>46383.650000000009</v>
      </c>
      <c r="F327" s="7">
        <v>1188.81</v>
      </c>
      <c r="G327" s="7">
        <v>-1462.72</v>
      </c>
      <c r="H327" s="7">
        <v>297.18999999999994</v>
      </c>
      <c r="I327" s="7">
        <v>24956.080000000016</v>
      </c>
      <c r="J327" s="7">
        <v>4025.1499999999942</v>
      </c>
      <c r="K327" s="7">
        <v>8318.6900000000314</v>
      </c>
      <c r="L327" s="7">
        <v>7694.7999999999884</v>
      </c>
      <c r="M327" s="7">
        <v>6654.9500000000116</v>
      </c>
      <c r="N327" s="7">
        <v>7452.1499999999942</v>
      </c>
      <c r="O327" s="7">
        <v>8318.6900000000023</v>
      </c>
      <c r="P327" s="7">
        <v>9663.5299999999697</v>
      </c>
      <c r="Q327" s="7">
        <v>6654.9599999999919</v>
      </c>
      <c r="R327" s="7">
        <v>11668.580000000016</v>
      </c>
      <c r="S327" s="7">
        <v>24956.080000000016</v>
      </c>
      <c r="T327" s="7">
        <v>60.769999999999868</v>
      </c>
      <c r="U327" s="7">
        <v>0</v>
      </c>
      <c r="V327" s="7">
        <v>-4010.2299999999996</v>
      </c>
      <c r="W327" s="9">
        <f t="shared" si="33"/>
        <v>162821.13</v>
      </c>
      <c r="X327" s="9">
        <v>456346.67</v>
      </c>
      <c r="Y327" s="9">
        <v>179932.90999999997</v>
      </c>
      <c r="Z327" s="9">
        <v>276413.76</v>
      </c>
      <c r="AA327" s="9">
        <f t="shared" si="34"/>
        <v>439234.89</v>
      </c>
      <c r="AB327" s="7" t="e">
        <f>W327-#REF!</f>
        <v>#REF!</v>
      </c>
      <c r="AC327" s="12">
        <v>2854</v>
      </c>
      <c r="AD327" s="12">
        <v>1</v>
      </c>
      <c r="AE327" s="12">
        <f t="shared" si="35"/>
        <v>0</v>
      </c>
      <c r="AF327" s="12">
        <f t="shared" si="36"/>
        <v>2854</v>
      </c>
      <c r="AG327" s="13" t="s">
        <v>878</v>
      </c>
      <c r="AH327" s="13">
        <v>167154.6</v>
      </c>
      <c r="AI327" s="13">
        <v>63589.63</v>
      </c>
      <c r="AJ327" s="13">
        <f t="shared" si="37"/>
        <v>103564.97</v>
      </c>
    </row>
    <row r="328" spans="1:36" s="1" customFormat="1" x14ac:dyDescent="0.25">
      <c r="A328">
        <v>2890</v>
      </c>
      <c r="B328">
        <v>1</v>
      </c>
      <c r="C328">
        <f t="shared" si="38"/>
        <v>1</v>
      </c>
      <c r="D328" s="1" t="s">
        <v>363</v>
      </c>
      <c r="E328" s="7">
        <v>47680.99000000002</v>
      </c>
      <c r="F328" s="7">
        <v>1413.04</v>
      </c>
      <c r="G328" s="7">
        <v>-1306</v>
      </c>
      <c r="H328" s="7">
        <v>353.25</v>
      </c>
      <c r="I328" s="7">
        <v>25763.870000000003</v>
      </c>
      <c r="J328" s="7">
        <v>4005.5299999999988</v>
      </c>
      <c r="K328" s="7">
        <v>8587.9699999999721</v>
      </c>
      <c r="L328" s="7">
        <v>8108.4100000000035</v>
      </c>
      <c r="M328" s="7">
        <v>6870.3800000000047</v>
      </c>
      <c r="N328" s="7">
        <v>7556.2200000000303</v>
      </c>
      <c r="O328" s="7">
        <v>8601.6300000000047</v>
      </c>
      <c r="P328" s="7">
        <v>9925.890000000014</v>
      </c>
      <c r="Q328" s="7">
        <v>6870.3600000000151</v>
      </c>
      <c r="R328" s="7">
        <v>11777</v>
      </c>
      <c r="S328" s="7">
        <v>25763.879999999997</v>
      </c>
      <c r="T328" s="7">
        <v>345.19999999999993</v>
      </c>
      <c r="U328" s="7">
        <v>0</v>
      </c>
      <c r="V328" s="7">
        <v>-5001.25</v>
      </c>
      <c r="W328" s="9">
        <f t="shared" ref="W328:W339" si="39">SUM(E328:V328)</f>
        <v>167316.37000000008</v>
      </c>
      <c r="X328" s="9">
        <v>544048.41999999993</v>
      </c>
      <c r="Y328" s="9">
        <v>152416.97000000003</v>
      </c>
      <c r="Z328" s="9">
        <v>391631.4499999999</v>
      </c>
      <c r="AA328" s="9">
        <f t="shared" si="34"/>
        <v>558947.81999999995</v>
      </c>
      <c r="AB328" s="7" t="e">
        <f>W328-#REF!</f>
        <v>#REF!</v>
      </c>
      <c r="AC328" s="12">
        <v>2856</v>
      </c>
      <c r="AD328" s="12">
        <v>1</v>
      </c>
      <c r="AE328" s="12">
        <f t="shared" si="35"/>
        <v>0</v>
      </c>
      <c r="AF328" s="12">
        <f t="shared" si="36"/>
        <v>2856</v>
      </c>
      <c r="AG328" s="13" t="s">
        <v>879</v>
      </c>
      <c r="AH328" s="13">
        <v>189582.51</v>
      </c>
      <c r="AI328" s="13">
        <v>90110.209999999992</v>
      </c>
      <c r="AJ328" s="13">
        <f t="shared" si="37"/>
        <v>99472.300000000017</v>
      </c>
    </row>
    <row r="329" spans="1:36" s="1" customFormat="1" x14ac:dyDescent="0.25">
      <c r="A329">
        <v>2895</v>
      </c>
      <c r="B329">
        <v>1</v>
      </c>
      <c r="C329">
        <f t="shared" si="38"/>
        <v>1</v>
      </c>
      <c r="D329" s="1" t="s">
        <v>364</v>
      </c>
      <c r="E329" s="7">
        <v>102312.40000000002</v>
      </c>
      <c r="F329" s="7">
        <v>16345.29</v>
      </c>
      <c r="G329" s="7">
        <v>-3002.16</v>
      </c>
      <c r="H329" s="7">
        <v>22604.089999999997</v>
      </c>
      <c r="I329" s="7">
        <v>19787.900000000023</v>
      </c>
      <c r="J329" s="7">
        <v>6285.7399999999907</v>
      </c>
      <c r="K329" s="7">
        <v>17989.009999999951</v>
      </c>
      <c r="L329" s="7">
        <v>19255.589999999967</v>
      </c>
      <c r="M329" s="7">
        <v>14391.210000000021</v>
      </c>
      <c r="N329" s="7">
        <v>13935.339999999967</v>
      </c>
      <c r="O329" s="7">
        <v>18328.650000000023</v>
      </c>
      <c r="P329" s="7">
        <v>20095.059999999939</v>
      </c>
      <c r="Q329" s="7">
        <v>14391.200000000012</v>
      </c>
      <c r="R329" s="7">
        <v>24188.949999999953</v>
      </c>
      <c r="S329" s="7">
        <v>17989.009999999951</v>
      </c>
      <c r="T329" s="7">
        <v>19373.819999999992</v>
      </c>
      <c r="U329" s="7">
        <v>17989.009999999995</v>
      </c>
      <c r="V329" s="7">
        <v>-7357.8700000000008</v>
      </c>
      <c r="W329" s="9">
        <f t="shared" si="39"/>
        <v>354902.23999999982</v>
      </c>
      <c r="X329" s="9">
        <v>720817.12</v>
      </c>
      <c r="Y329" s="9">
        <v>321188.75</v>
      </c>
      <c r="Z329" s="9">
        <v>399628.37</v>
      </c>
      <c r="AA329" s="9">
        <f t="shared" ref="AA329:AA392" si="40">W329+Z329</f>
        <v>754530.60999999987</v>
      </c>
      <c r="AB329" s="7" t="e">
        <f>W329-#REF!</f>
        <v>#REF!</v>
      </c>
      <c r="AC329" s="12">
        <v>2859</v>
      </c>
      <c r="AD329" s="12">
        <v>1</v>
      </c>
      <c r="AE329" s="12">
        <f t="shared" ref="AE329:AE343" si="41">SUMIF($AM$8:$AM$15,AC329,$AL$8:$AL$15)</f>
        <v>0</v>
      </c>
      <c r="AF329" s="12">
        <f t="shared" ref="AF329:AF343" si="42">IF(AE329=0,AC329,AE329)</f>
        <v>2859</v>
      </c>
      <c r="AG329" s="13" t="s">
        <v>880</v>
      </c>
      <c r="AH329" s="13">
        <v>725888.5</v>
      </c>
      <c r="AI329" s="13">
        <v>334893.67</v>
      </c>
      <c r="AJ329" s="13">
        <f t="shared" ref="AJ329:AJ339" si="43">AH329-AI329</f>
        <v>390994.83</v>
      </c>
    </row>
    <row r="330" spans="1:36" s="1" customFormat="1" x14ac:dyDescent="0.25">
      <c r="A330">
        <v>2897</v>
      </c>
      <c r="B330">
        <v>1</v>
      </c>
      <c r="C330">
        <f t="shared" si="38"/>
        <v>1</v>
      </c>
      <c r="D330" s="1" t="s">
        <v>365</v>
      </c>
      <c r="E330" s="7">
        <v>97729</v>
      </c>
      <c r="F330" s="7">
        <v>12515.809999999998</v>
      </c>
      <c r="G330" s="7">
        <v>4539.8999999999996</v>
      </c>
      <c r="H330" s="7">
        <v>14395.860000000015</v>
      </c>
      <c r="I330" s="7">
        <v>19067.079999999958</v>
      </c>
      <c r="J330" s="7">
        <v>8682.5499999999884</v>
      </c>
      <c r="K330" s="7">
        <v>17333.710000000021</v>
      </c>
      <c r="L330" s="7">
        <v>15720.580000000016</v>
      </c>
      <c r="M330" s="7">
        <v>13866.97000000003</v>
      </c>
      <c r="N330" s="7">
        <v>15789.039999999979</v>
      </c>
      <c r="O330" s="7">
        <v>17739.570000000007</v>
      </c>
      <c r="P330" s="7">
        <v>20232</v>
      </c>
      <c r="Q330" s="7">
        <v>13866.979999999981</v>
      </c>
      <c r="R330" s="7">
        <v>23983.239999999991</v>
      </c>
      <c r="S330" s="7">
        <v>17333.72000000003</v>
      </c>
      <c r="T330" s="7">
        <v>17765.940000000002</v>
      </c>
      <c r="U330" s="7">
        <v>17333.709999999992</v>
      </c>
      <c r="V330" s="7">
        <v>-11906.51</v>
      </c>
      <c r="W330" s="9">
        <f t="shared" si="39"/>
        <v>335989.15</v>
      </c>
      <c r="X330" s="9">
        <v>595788.99</v>
      </c>
      <c r="Y330" s="9">
        <v>283183.65000000002</v>
      </c>
      <c r="Z330" s="9">
        <v>312605.33999999997</v>
      </c>
      <c r="AA330" s="9">
        <f t="shared" si="40"/>
        <v>648594.49</v>
      </c>
      <c r="AB330" s="7" t="e">
        <f>W330-#REF!</f>
        <v>#REF!</v>
      </c>
      <c r="AC330" s="12">
        <v>2860</v>
      </c>
      <c r="AD330" s="12">
        <v>1</v>
      </c>
      <c r="AE330" s="12">
        <f t="shared" si="41"/>
        <v>0</v>
      </c>
      <c r="AF330" s="12">
        <f t="shared" si="42"/>
        <v>2860</v>
      </c>
      <c r="AG330" s="13" t="s">
        <v>881</v>
      </c>
      <c r="AH330" s="13">
        <v>372800.42999999993</v>
      </c>
      <c r="AI330" s="13">
        <v>163803.01999999999</v>
      </c>
      <c r="AJ330" s="13">
        <f t="shared" si="43"/>
        <v>208997.40999999995</v>
      </c>
    </row>
    <row r="331" spans="1:36" s="1" customFormat="1" x14ac:dyDescent="0.25">
      <c r="A331">
        <v>2898</v>
      </c>
      <c r="B331">
        <v>1</v>
      </c>
      <c r="C331">
        <f t="shared" si="38"/>
        <v>1</v>
      </c>
      <c r="D331" s="1" t="s">
        <v>366</v>
      </c>
      <c r="E331" s="7">
        <v>40346.210000000006</v>
      </c>
      <c r="F331" s="7">
        <v>4482.9099999999889</v>
      </c>
      <c r="G331" s="7">
        <v>3735.760000000002</v>
      </c>
      <c r="H331" s="7">
        <v>5977.2099999999991</v>
      </c>
      <c r="I331" s="7">
        <v>8218.6699999999837</v>
      </c>
      <c r="J331" s="7">
        <v>4482.9200000000128</v>
      </c>
      <c r="K331" s="7">
        <v>7471.5199999999895</v>
      </c>
      <c r="L331" s="7">
        <v>5977.2099999999919</v>
      </c>
      <c r="M331" s="7">
        <v>5977.2299999999814</v>
      </c>
      <c r="N331" s="7">
        <v>7471.5100000000093</v>
      </c>
      <c r="O331" s="7">
        <v>7471.5199999999895</v>
      </c>
      <c r="P331" s="7">
        <v>8965.8300000000163</v>
      </c>
      <c r="Q331" s="7">
        <v>5977.2099999999919</v>
      </c>
      <c r="R331" s="7">
        <v>10460.130000000005</v>
      </c>
      <c r="S331" s="7">
        <v>7471.5199999999895</v>
      </c>
      <c r="T331" s="7">
        <v>7471.5200000000041</v>
      </c>
      <c r="U331" s="7">
        <v>7471.5199999999895</v>
      </c>
      <c r="V331" s="7">
        <v>-4760</v>
      </c>
      <c r="W331" s="9">
        <f t="shared" si="39"/>
        <v>144670.39999999994</v>
      </c>
      <c r="X331" s="9">
        <v>135980.81</v>
      </c>
      <c r="Y331" s="9">
        <v>64632.86</v>
      </c>
      <c r="Z331" s="9">
        <v>71347.95</v>
      </c>
      <c r="AA331" s="9">
        <f t="shared" si="40"/>
        <v>216018.34999999992</v>
      </c>
      <c r="AB331" s="7" t="e">
        <f>W331-#REF!</f>
        <v>#REF!</v>
      </c>
      <c r="AC331" s="12">
        <v>2884</v>
      </c>
      <c r="AD331" s="12">
        <v>1</v>
      </c>
      <c r="AE331" s="12">
        <f t="shared" si="41"/>
        <v>0</v>
      </c>
      <c r="AF331" s="12">
        <f t="shared" si="42"/>
        <v>2884</v>
      </c>
      <c r="AG331" s="13" t="s">
        <v>882</v>
      </c>
      <c r="AH331" s="13">
        <v>324472.33999999997</v>
      </c>
      <c r="AI331" s="13">
        <v>124791.97</v>
      </c>
      <c r="AJ331" s="13">
        <f t="shared" si="43"/>
        <v>199680.36999999997</v>
      </c>
    </row>
    <row r="332" spans="1:36" s="1" customFormat="1" x14ac:dyDescent="0.25">
      <c r="A332">
        <v>2899</v>
      </c>
      <c r="B332">
        <v>1</v>
      </c>
      <c r="C332">
        <f t="shared" si="38"/>
        <v>1</v>
      </c>
      <c r="D332" s="1" t="s">
        <v>367</v>
      </c>
      <c r="E332" s="7">
        <v>109033.82000000004</v>
      </c>
      <c r="F332" s="7">
        <v>13279.619999999995</v>
      </c>
      <c r="G332" s="7">
        <v>4445.1000000000058</v>
      </c>
      <c r="H332" s="7">
        <v>15821.819999999978</v>
      </c>
      <c r="I332" s="7">
        <v>21157.080000000075</v>
      </c>
      <c r="J332" s="7">
        <v>10127.989999999991</v>
      </c>
      <c r="K332" s="7">
        <v>19233.72000000003</v>
      </c>
      <c r="L332" s="7">
        <v>16910.979999999981</v>
      </c>
      <c r="M332" s="7">
        <v>15386.97000000003</v>
      </c>
      <c r="N332" s="7">
        <v>17963.690000000002</v>
      </c>
      <c r="O332" s="7">
        <v>19512.029999999912</v>
      </c>
      <c r="P332" s="7">
        <v>22613.109999999986</v>
      </c>
      <c r="Q332" s="7">
        <v>15386.979999999981</v>
      </c>
      <c r="R332" s="7">
        <v>26868.650000000023</v>
      </c>
      <c r="S332" s="7">
        <v>19233.710000000021</v>
      </c>
      <c r="T332" s="7">
        <v>19414.190000000002</v>
      </c>
      <c r="U332" s="7">
        <v>19233.709999999992</v>
      </c>
      <c r="V332" s="7">
        <v>-5612.52</v>
      </c>
      <c r="W332" s="9">
        <f t="shared" si="39"/>
        <v>380010.65</v>
      </c>
      <c r="X332" s="9">
        <v>451425.8</v>
      </c>
      <c r="Y332" s="9">
        <v>201856.02999999997</v>
      </c>
      <c r="Z332" s="9">
        <v>249569.77000000002</v>
      </c>
      <c r="AA332" s="9">
        <f t="shared" si="40"/>
        <v>629580.42000000004</v>
      </c>
      <c r="AB332" s="7" t="e">
        <f>W332-#REF!</f>
        <v>#REF!</v>
      </c>
      <c r="AC332" s="12">
        <v>2886</v>
      </c>
      <c r="AD332" s="12">
        <v>1</v>
      </c>
      <c r="AE332" s="12">
        <f t="shared" si="41"/>
        <v>0</v>
      </c>
      <c r="AF332" s="12">
        <f t="shared" si="42"/>
        <v>2886</v>
      </c>
      <c r="AG332" s="13" t="s">
        <v>883</v>
      </c>
      <c r="AH332" s="13">
        <v>74139.61</v>
      </c>
      <c r="AI332" s="13">
        <v>35239.199999999997</v>
      </c>
      <c r="AJ332" s="13">
        <f t="shared" si="43"/>
        <v>38900.410000000003</v>
      </c>
    </row>
    <row r="333" spans="1:36" s="1" customFormat="1" x14ac:dyDescent="0.25">
      <c r="A333">
        <v>2902</v>
      </c>
      <c r="B333">
        <v>1</v>
      </c>
      <c r="C333">
        <f t="shared" si="38"/>
        <v>1</v>
      </c>
      <c r="D333" s="1" t="s">
        <v>368</v>
      </c>
      <c r="E333" s="7">
        <v>47534.45</v>
      </c>
      <c r="F333" s="7">
        <v>5658.2899999999936</v>
      </c>
      <c r="G333" s="7">
        <v>4173.0200000000041</v>
      </c>
      <c r="H333" s="7">
        <v>7111.1600000000008</v>
      </c>
      <c r="I333" s="7">
        <v>9640.3699999999953</v>
      </c>
      <c r="J333" s="7">
        <v>4933.6999999999825</v>
      </c>
      <c r="K333" s="7">
        <v>8763.9900000000198</v>
      </c>
      <c r="L333" s="7">
        <v>7361.5599999999977</v>
      </c>
      <c r="M333" s="7">
        <v>7011.179999999993</v>
      </c>
      <c r="N333" s="7">
        <v>8472</v>
      </c>
      <c r="O333" s="7">
        <v>8763.9800000000105</v>
      </c>
      <c r="P333" s="7">
        <v>10409.309999999998</v>
      </c>
      <c r="Q333" s="7">
        <v>7011.1900000000023</v>
      </c>
      <c r="R333" s="7">
        <v>12190.869999999995</v>
      </c>
      <c r="S333" s="7">
        <v>8763.9900000000198</v>
      </c>
      <c r="T333" s="7">
        <v>8870.6900000000023</v>
      </c>
      <c r="U333" s="7">
        <v>8763.9799999999959</v>
      </c>
      <c r="V333" s="7">
        <v>-3303.61</v>
      </c>
      <c r="W333" s="9">
        <f t="shared" si="39"/>
        <v>172130.12000000005</v>
      </c>
      <c r="X333" s="9">
        <v>257092.38</v>
      </c>
      <c r="Y333" s="9">
        <v>104172.01</v>
      </c>
      <c r="Z333" s="9">
        <v>152920.37</v>
      </c>
      <c r="AA333" s="9">
        <f t="shared" si="40"/>
        <v>325050.49000000005</v>
      </c>
      <c r="AB333" s="7" t="e">
        <f>W333-#REF!</f>
        <v>#REF!</v>
      </c>
      <c r="AC333" s="12">
        <v>2888</v>
      </c>
      <c r="AD333" s="12">
        <v>1</v>
      </c>
      <c r="AE333" s="12">
        <f t="shared" si="41"/>
        <v>0</v>
      </c>
      <c r="AF333" s="12">
        <f t="shared" si="42"/>
        <v>2888</v>
      </c>
      <c r="AG333" s="13" t="s">
        <v>884</v>
      </c>
      <c r="AH333" s="13">
        <v>139829.88</v>
      </c>
      <c r="AI333" s="13">
        <v>46227.9</v>
      </c>
      <c r="AJ333" s="13">
        <f t="shared" si="43"/>
        <v>93601.98000000001</v>
      </c>
    </row>
    <row r="334" spans="1:36" s="1" customFormat="1" x14ac:dyDescent="0.25">
      <c r="A334">
        <v>2903</v>
      </c>
      <c r="B334">
        <v>1</v>
      </c>
      <c r="C334">
        <f t="shared" si="38"/>
        <v>1</v>
      </c>
      <c r="D334" s="1" t="s">
        <v>369</v>
      </c>
      <c r="E334" s="7">
        <v>45762.460000000006</v>
      </c>
      <c r="F334" s="7">
        <v>10989.470000000001</v>
      </c>
      <c r="G334" s="7">
        <v>4237.2699999999995</v>
      </c>
      <c r="H334" s="7">
        <v>8255.7999999999956</v>
      </c>
      <c r="I334" s="7">
        <v>9321.9799999999814</v>
      </c>
      <c r="J334" s="7">
        <v>290.56999999997788</v>
      </c>
      <c r="K334" s="7">
        <v>8474.5299999999988</v>
      </c>
      <c r="L334" s="7">
        <v>11953.179999999993</v>
      </c>
      <c r="M334" s="7">
        <v>6779.6199999999953</v>
      </c>
      <c r="N334" s="7">
        <v>4163.2300000000105</v>
      </c>
      <c r="O334" s="7">
        <v>8493.7399999999907</v>
      </c>
      <c r="P334" s="7">
        <v>8582.8899999999558</v>
      </c>
      <c r="Q334" s="7">
        <v>6779.6199999999953</v>
      </c>
      <c r="R334" s="7">
        <v>10348.729999999981</v>
      </c>
      <c r="S334" s="7">
        <v>8474.5299999999988</v>
      </c>
      <c r="T334" s="7">
        <v>10404.010000000002</v>
      </c>
      <c r="U334" s="7">
        <v>8474.5299999999988</v>
      </c>
      <c r="V334" s="7">
        <v>206.95000000000073</v>
      </c>
      <c r="W334" s="9">
        <f t="shared" si="39"/>
        <v>171993.1099999999</v>
      </c>
      <c r="X334" s="9">
        <v>278503.19000000006</v>
      </c>
      <c r="Y334" s="9">
        <v>90974.760000000009</v>
      </c>
      <c r="Z334" s="9">
        <v>187528.43000000005</v>
      </c>
      <c r="AA334" s="9">
        <f t="shared" si="40"/>
        <v>359521.53999999992</v>
      </c>
      <c r="AB334" s="7" t="e">
        <f>W334-#REF!</f>
        <v>#REF!</v>
      </c>
      <c r="AC334" s="12">
        <v>2889</v>
      </c>
      <c r="AD334" s="12">
        <v>1</v>
      </c>
      <c r="AE334" s="12">
        <f t="shared" si="41"/>
        <v>0</v>
      </c>
      <c r="AF334" s="12">
        <f t="shared" si="42"/>
        <v>2889</v>
      </c>
      <c r="AG334" s="13" t="s">
        <v>885</v>
      </c>
      <c r="AH334" s="13">
        <v>456346.67</v>
      </c>
      <c r="AI334" s="13">
        <v>179932.90999999997</v>
      </c>
      <c r="AJ334" s="13">
        <f t="shared" si="43"/>
        <v>276413.76</v>
      </c>
    </row>
    <row r="335" spans="1:36" s="1" customFormat="1" x14ac:dyDescent="0.25">
      <c r="A335">
        <v>2904</v>
      </c>
      <c r="B335">
        <v>1</v>
      </c>
      <c r="C335">
        <f t="shared" si="38"/>
        <v>1</v>
      </c>
      <c r="D335" s="1" t="s">
        <v>370</v>
      </c>
      <c r="E335" s="7">
        <v>66084.079999999987</v>
      </c>
      <c r="F335" s="7">
        <v>6953.7800000000025</v>
      </c>
      <c r="G335" s="7">
        <v>-3500.08</v>
      </c>
      <c r="H335" s="7">
        <v>15066.509999999995</v>
      </c>
      <c r="I335" s="7">
        <v>12748.599999999977</v>
      </c>
      <c r="J335" s="7">
        <v>6953.7799999999988</v>
      </c>
      <c r="K335" s="7">
        <v>11589.630000000005</v>
      </c>
      <c r="L335" s="7">
        <v>9271.7000000000116</v>
      </c>
      <c r="M335" s="7">
        <v>9271.7000000000116</v>
      </c>
      <c r="N335" s="7">
        <v>11589.630000000005</v>
      </c>
      <c r="O335" s="7">
        <v>11744.02999999997</v>
      </c>
      <c r="P335" s="7">
        <v>13907.559999999998</v>
      </c>
      <c r="Q335" s="7">
        <v>9271.7000000000116</v>
      </c>
      <c r="R335" s="7">
        <v>16225.479999999981</v>
      </c>
      <c r="S335" s="7">
        <v>11589.630000000005</v>
      </c>
      <c r="T335" s="7">
        <v>11589.629999999997</v>
      </c>
      <c r="U335" s="7">
        <v>11589.630000000005</v>
      </c>
      <c r="V335" s="7">
        <v>-6895.67</v>
      </c>
      <c r="W335" s="9">
        <f t="shared" si="39"/>
        <v>225051.31999999995</v>
      </c>
      <c r="X335" s="9">
        <v>390066.88</v>
      </c>
      <c r="Y335" s="9">
        <v>133355.30000000002</v>
      </c>
      <c r="Z335" s="9">
        <v>256711.58</v>
      </c>
      <c r="AA335" s="9">
        <f t="shared" si="40"/>
        <v>481762.89999999991</v>
      </c>
      <c r="AB335" s="7" t="e">
        <f>W335-#REF!</f>
        <v>#REF!</v>
      </c>
      <c r="AC335" s="12">
        <v>2890</v>
      </c>
      <c r="AD335" s="12">
        <v>1</v>
      </c>
      <c r="AE335" s="12">
        <f t="shared" si="41"/>
        <v>0</v>
      </c>
      <c r="AF335" s="12">
        <f t="shared" si="42"/>
        <v>2890</v>
      </c>
      <c r="AG335" s="13" t="s">
        <v>886</v>
      </c>
      <c r="AH335" s="13">
        <v>544048.41999999993</v>
      </c>
      <c r="AI335" s="13">
        <v>152416.97000000003</v>
      </c>
      <c r="AJ335" s="13">
        <f t="shared" si="43"/>
        <v>391631.4499999999</v>
      </c>
    </row>
    <row r="336" spans="1:36" s="1" customFormat="1" x14ac:dyDescent="0.25">
      <c r="A336">
        <v>2905</v>
      </c>
      <c r="B336">
        <v>1</v>
      </c>
      <c r="C336">
        <f t="shared" si="38"/>
        <v>1</v>
      </c>
      <c r="D336" s="1" t="s">
        <v>371</v>
      </c>
      <c r="E336" s="7">
        <v>164529.22000000003</v>
      </c>
      <c r="F336" s="7">
        <v>32797.39</v>
      </c>
      <c r="G336" s="7">
        <v>-39180</v>
      </c>
      <c r="H336" s="7">
        <v>37155.379999999976</v>
      </c>
      <c r="I336" s="7">
        <v>25534.089999999967</v>
      </c>
      <c r="J336" s="7">
        <v>-2861.7000000000116</v>
      </c>
      <c r="K336" s="7">
        <v>23212.819999999949</v>
      </c>
      <c r="L336" s="7">
        <v>24942.780000000028</v>
      </c>
      <c r="M336" s="7">
        <v>18570.260000000009</v>
      </c>
      <c r="N336" s="7">
        <v>19859.969999999972</v>
      </c>
      <c r="O336" s="7">
        <v>23720.890000000014</v>
      </c>
      <c r="P336" s="7">
        <v>22299.169999999925</v>
      </c>
      <c r="Q336" s="7">
        <v>18570.260000000009</v>
      </c>
      <c r="R336" s="7">
        <v>32349.349999999977</v>
      </c>
      <c r="S336" s="7">
        <v>23212.829999999958</v>
      </c>
      <c r="T336" s="7">
        <v>24810.86</v>
      </c>
      <c r="U336" s="7">
        <v>23212.820000000007</v>
      </c>
      <c r="V336" s="7">
        <v>724.70999999999913</v>
      </c>
      <c r="W336" s="9">
        <f t="shared" si="39"/>
        <v>473461.09999999986</v>
      </c>
      <c r="X336" s="9">
        <v>881420.97000000009</v>
      </c>
      <c r="Y336" s="9">
        <v>405950.2</v>
      </c>
      <c r="Z336" s="9">
        <v>475470.77000000008</v>
      </c>
      <c r="AA336" s="9">
        <f t="shared" si="40"/>
        <v>948931.86999999988</v>
      </c>
      <c r="AB336" s="7" t="e">
        <f>W336-#REF!</f>
        <v>#REF!</v>
      </c>
      <c r="AC336" s="12">
        <v>2895</v>
      </c>
      <c r="AD336" s="12">
        <v>1</v>
      </c>
      <c r="AE336" s="12">
        <f t="shared" si="41"/>
        <v>0</v>
      </c>
      <c r="AF336" s="12">
        <f t="shared" si="42"/>
        <v>2895</v>
      </c>
      <c r="AG336" s="13" t="s">
        <v>887</v>
      </c>
      <c r="AH336" s="13">
        <v>720817.12</v>
      </c>
      <c r="AI336" s="13">
        <v>321188.75</v>
      </c>
      <c r="AJ336" s="13">
        <f t="shared" si="43"/>
        <v>399628.37</v>
      </c>
    </row>
    <row r="337" spans="1:36" s="1" customFormat="1" x14ac:dyDescent="0.25">
      <c r="A337">
        <v>2906</v>
      </c>
      <c r="B337">
        <v>1</v>
      </c>
      <c r="C337">
        <f t="shared" si="38"/>
        <v>1</v>
      </c>
      <c r="D337" s="1" t="s">
        <v>372</v>
      </c>
      <c r="E337" s="7">
        <v>39638.22</v>
      </c>
      <c r="F337" s="7">
        <v>5648.4</v>
      </c>
      <c r="G337" s="7">
        <v>0</v>
      </c>
      <c r="H337" s="7">
        <v>9853.5599999999977</v>
      </c>
      <c r="I337" s="7">
        <v>8074.4500000000116</v>
      </c>
      <c r="J337" s="7">
        <v>3394.1000000000058</v>
      </c>
      <c r="K337" s="7">
        <v>7340.4100000000035</v>
      </c>
      <c r="L337" s="7">
        <v>6962.4100000000035</v>
      </c>
      <c r="M337" s="7">
        <v>5872.3300000000163</v>
      </c>
      <c r="N337" s="7">
        <v>6432.0199999999895</v>
      </c>
      <c r="O337" s="7">
        <v>7348.609999999986</v>
      </c>
      <c r="P337" s="7">
        <v>8474.1999999999825</v>
      </c>
      <c r="Q337" s="7">
        <v>5872.3299999999872</v>
      </c>
      <c r="R337" s="7">
        <v>10095.890000000014</v>
      </c>
      <c r="S337" s="7">
        <v>7340.4100000000035</v>
      </c>
      <c r="T337" s="7">
        <v>7608.2900000000009</v>
      </c>
      <c r="U337" s="7">
        <v>7340.4100000000035</v>
      </c>
      <c r="V337" s="7">
        <v>43.619999999999891</v>
      </c>
      <c r="W337" s="9">
        <f t="shared" si="39"/>
        <v>147339.66</v>
      </c>
      <c r="X337" s="9">
        <v>176688.22999999998</v>
      </c>
      <c r="Y337" s="9">
        <v>69155.48000000001</v>
      </c>
      <c r="Z337" s="9">
        <v>107532.74999999999</v>
      </c>
      <c r="AA337" s="9">
        <f t="shared" si="40"/>
        <v>254872.40999999997</v>
      </c>
      <c r="AB337" s="7" t="e">
        <f>W337-#REF!</f>
        <v>#REF!</v>
      </c>
      <c r="AC337" s="12">
        <v>2897</v>
      </c>
      <c r="AD337" s="12">
        <v>1</v>
      </c>
      <c r="AE337" s="12">
        <f t="shared" si="41"/>
        <v>0</v>
      </c>
      <c r="AF337" s="12">
        <f t="shared" si="42"/>
        <v>2897</v>
      </c>
      <c r="AG337" s="13" t="s">
        <v>888</v>
      </c>
      <c r="AH337" s="13">
        <v>595788.99</v>
      </c>
      <c r="AI337" s="13">
        <v>283183.65000000002</v>
      </c>
      <c r="AJ337" s="13">
        <f t="shared" si="43"/>
        <v>312605.33999999997</v>
      </c>
    </row>
    <row r="338" spans="1:36" s="1" customFormat="1" x14ac:dyDescent="0.25">
      <c r="A338">
        <v>2907</v>
      </c>
      <c r="B338">
        <v>1</v>
      </c>
      <c r="C338">
        <f t="shared" si="38"/>
        <v>1</v>
      </c>
      <c r="D338" s="1" t="s">
        <v>373</v>
      </c>
      <c r="E338" s="7">
        <v>19951.130000000005</v>
      </c>
      <c r="F338" s="7">
        <v>0</v>
      </c>
      <c r="G338" s="7">
        <v>0</v>
      </c>
      <c r="H338" s="7">
        <v>0</v>
      </c>
      <c r="I338" s="7">
        <v>11083.960000000001</v>
      </c>
      <c r="J338" s="7">
        <v>2216.8000000000029</v>
      </c>
      <c r="K338" s="7">
        <v>3694.6499999999942</v>
      </c>
      <c r="L338" s="7">
        <v>2955.7200000000012</v>
      </c>
      <c r="M338" s="7">
        <v>2955.7299999999959</v>
      </c>
      <c r="N338" s="7">
        <v>3694.6500000000087</v>
      </c>
      <c r="O338" s="7">
        <v>3694.6600000000035</v>
      </c>
      <c r="P338" s="7">
        <v>4433.5799999999872</v>
      </c>
      <c r="Q338" s="7">
        <v>2955.7299999999959</v>
      </c>
      <c r="R338" s="7">
        <v>5172.5199999999895</v>
      </c>
      <c r="S338" s="7">
        <v>11083.96</v>
      </c>
      <c r="T338" s="7">
        <v>0</v>
      </c>
      <c r="U338" s="7">
        <v>0</v>
      </c>
      <c r="V338" s="7">
        <v>-2696.88</v>
      </c>
      <c r="W338" s="9">
        <f t="shared" si="39"/>
        <v>71196.209999999977</v>
      </c>
      <c r="X338" s="9">
        <v>233178.12999999995</v>
      </c>
      <c r="Y338" s="9">
        <v>87663.12</v>
      </c>
      <c r="Z338" s="9">
        <v>145515.00999999995</v>
      </c>
      <c r="AA338" s="9">
        <f t="shared" si="40"/>
        <v>216711.21999999991</v>
      </c>
      <c r="AB338" s="7" t="e">
        <f>W338-#REF!</f>
        <v>#REF!</v>
      </c>
      <c r="AC338" s="12">
        <v>2898</v>
      </c>
      <c r="AD338" s="12">
        <v>1</v>
      </c>
      <c r="AE338" s="12">
        <f t="shared" si="41"/>
        <v>0</v>
      </c>
      <c r="AF338" s="12">
        <f t="shared" si="42"/>
        <v>2898</v>
      </c>
      <c r="AG338" s="13" t="s">
        <v>889</v>
      </c>
      <c r="AH338" s="13">
        <v>135980.81</v>
      </c>
      <c r="AI338" s="13">
        <v>64632.86</v>
      </c>
      <c r="AJ338" s="13">
        <f t="shared" si="43"/>
        <v>71347.95</v>
      </c>
    </row>
    <row r="339" spans="1:36" s="1" customFormat="1" x14ac:dyDescent="0.25">
      <c r="A339">
        <v>2908</v>
      </c>
      <c r="B339">
        <v>1</v>
      </c>
      <c r="C339">
        <f t="shared" si="38"/>
        <v>1</v>
      </c>
      <c r="D339" s="1" t="s">
        <v>374</v>
      </c>
      <c r="E339" s="7">
        <v>34938.979999999996</v>
      </c>
      <c r="F339" s="7">
        <v>0</v>
      </c>
      <c r="G339" s="7">
        <v>0</v>
      </c>
      <c r="H339" s="7">
        <v>0</v>
      </c>
      <c r="I339" s="7">
        <v>19410.540000000008</v>
      </c>
      <c r="J339" s="7">
        <v>3882.1100000000006</v>
      </c>
      <c r="K339" s="7">
        <v>6470.1900000000023</v>
      </c>
      <c r="L339" s="7">
        <v>5176.1399999999849</v>
      </c>
      <c r="M339" s="7">
        <v>5176.1499999999942</v>
      </c>
      <c r="N339" s="7">
        <v>6470.1800000000221</v>
      </c>
      <c r="O339" s="7">
        <v>6470.179999999993</v>
      </c>
      <c r="P339" s="7">
        <v>7764.2200000000012</v>
      </c>
      <c r="Q339" s="7">
        <v>5176.1399999999849</v>
      </c>
      <c r="R339" s="7">
        <v>9058.2600000000093</v>
      </c>
      <c r="S339" s="7">
        <v>19410.540000000008</v>
      </c>
      <c r="T339" s="7">
        <v>0</v>
      </c>
      <c r="U339" s="7">
        <v>0</v>
      </c>
      <c r="V339" s="7">
        <v>0</v>
      </c>
      <c r="W339" s="9">
        <f t="shared" si="39"/>
        <v>129403.63</v>
      </c>
      <c r="X339" s="9">
        <v>386623.33</v>
      </c>
      <c r="Y339" s="9">
        <v>183765.42</v>
      </c>
      <c r="Z339" s="9">
        <v>202857.91</v>
      </c>
      <c r="AA339" s="9">
        <f t="shared" si="40"/>
        <v>332261.54000000004</v>
      </c>
      <c r="AB339" s="7" t="e">
        <f>W339-#REF!</f>
        <v>#REF!</v>
      </c>
      <c r="AC339" s="12">
        <v>2899</v>
      </c>
      <c r="AD339" s="12">
        <v>1</v>
      </c>
      <c r="AE339" s="12">
        <f t="shared" si="41"/>
        <v>0</v>
      </c>
      <c r="AF339" s="12">
        <f t="shared" si="42"/>
        <v>2899</v>
      </c>
      <c r="AG339" s="13" t="s">
        <v>890</v>
      </c>
      <c r="AH339" s="13">
        <v>451425.8</v>
      </c>
      <c r="AI339" s="13">
        <v>201856.02999999997</v>
      </c>
      <c r="AJ339" s="13">
        <f t="shared" si="43"/>
        <v>249569.77000000002</v>
      </c>
    </row>
    <row r="340" spans="1:36" s="1" customFormat="1" x14ac:dyDescent="0.25">
      <c r="A340"/>
      <c r="B340"/>
      <c r="C340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9"/>
      <c r="X340" s="9"/>
      <c r="Y340" s="9"/>
      <c r="Z340" s="9"/>
      <c r="AA340" s="9">
        <f t="shared" si="40"/>
        <v>0</v>
      </c>
      <c r="AB340" s="7"/>
      <c r="AC340" s="12">
        <v>2902</v>
      </c>
      <c r="AD340" s="12">
        <v>1</v>
      </c>
      <c r="AE340" s="12">
        <f t="shared" si="41"/>
        <v>0</v>
      </c>
      <c r="AF340" s="12">
        <f t="shared" si="42"/>
        <v>2902</v>
      </c>
      <c r="AG340" s="13" t="s">
        <v>891</v>
      </c>
      <c r="AH340" s="13">
        <v>257092.38</v>
      </c>
      <c r="AI340" s="13">
        <v>104172.01</v>
      </c>
      <c r="AJ340" s="13">
        <f>AH340-AI340</f>
        <v>152920.37</v>
      </c>
    </row>
    <row r="341" spans="1:36" s="1" customFormat="1" x14ac:dyDescent="0.25">
      <c r="A341">
        <v>287</v>
      </c>
      <c r="B341">
        <v>6</v>
      </c>
      <c r="C341">
        <f t="shared" si="38"/>
        <v>6</v>
      </c>
      <c r="D341" s="1" t="s">
        <v>121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1754949.1400000025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9">
        <f t="shared" ref="W341:W372" si="44">SUM(E341:V341)</f>
        <v>1754949.1400000025</v>
      </c>
      <c r="X341" s="9"/>
      <c r="Y341" s="9"/>
      <c r="Z341" s="9"/>
      <c r="AA341" s="9">
        <f t="shared" si="40"/>
        <v>1754949.1400000025</v>
      </c>
      <c r="AB341" s="7" t="e">
        <f>W341-#REF!</f>
        <v>#REF!</v>
      </c>
      <c r="AC341" s="12">
        <v>2903</v>
      </c>
      <c r="AD341" s="12">
        <v>1</v>
      </c>
      <c r="AE341" s="12">
        <f t="shared" si="41"/>
        <v>0</v>
      </c>
      <c r="AF341" s="12">
        <f t="shared" si="42"/>
        <v>2903</v>
      </c>
      <c r="AG341" s="13" t="s">
        <v>892</v>
      </c>
      <c r="AH341" s="13">
        <v>278503.19000000006</v>
      </c>
      <c r="AI341" s="13">
        <v>90974.760000000009</v>
      </c>
      <c r="AJ341" s="13">
        <f>AH341-AI341</f>
        <v>187528.43000000005</v>
      </c>
    </row>
    <row r="342" spans="1:36" s="1" customFormat="1" x14ac:dyDescent="0.25">
      <c r="A342">
        <v>916</v>
      </c>
      <c r="B342">
        <v>6</v>
      </c>
      <c r="C342">
        <f t="shared" si="38"/>
        <v>6</v>
      </c>
      <c r="D342" s="1" t="s">
        <v>291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760023.91000000015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9">
        <f t="shared" si="44"/>
        <v>760023.91000000015</v>
      </c>
      <c r="X342" s="9"/>
      <c r="Y342" s="9"/>
      <c r="Z342" s="9"/>
      <c r="AA342" s="9">
        <f t="shared" si="40"/>
        <v>760023.91000000015</v>
      </c>
      <c r="AB342" s="7" t="e">
        <f>W342-#REF!</f>
        <v>#REF!</v>
      </c>
      <c r="AC342" s="12">
        <v>2904</v>
      </c>
      <c r="AD342" s="12">
        <v>1</v>
      </c>
      <c r="AE342" s="12">
        <f t="shared" si="41"/>
        <v>0</v>
      </c>
      <c r="AF342" s="12">
        <f t="shared" si="42"/>
        <v>2904</v>
      </c>
      <c r="AG342" s="13" t="s">
        <v>893</v>
      </c>
      <c r="AH342" s="13">
        <v>390066.88</v>
      </c>
      <c r="AI342" s="13">
        <v>133355.30000000002</v>
      </c>
      <c r="AJ342" s="13">
        <f>AH342-AI342</f>
        <v>256711.58</v>
      </c>
    </row>
    <row r="343" spans="1:36" s="1" customFormat="1" x14ac:dyDescent="0.25">
      <c r="A343">
        <v>917</v>
      </c>
      <c r="B343">
        <v>6</v>
      </c>
      <c r="C343">
        <f t="shared" si="38"/>
        <v>6</v>
      </c>
      <c r="D343" s="1" t="s">
        <v>292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545970.8200000003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9">
        <f t="shared" si="44"/>
        <v>545970.8200000003</v>
      </c>
      <c r="X343" s="9"/>
      <c r="Y343" s="9"/>
      <c r="Z343" s="9"/>
      <c r="AA343" s="9">
        <f t="shared" si="40"/>
        <v>545970.8200000003</v>
      </c>
      <c r="AB343" s="7" t="e">
        <f>W343-#REF!</f>
        <v>#REF!</v>
      </c>
      <c r="AC343" s="12">
        <v>2905</v>
      </c>
      <c r="AD343" s="12">
        <v>1</v>
      </c>
      <c r="AE343" s="12">
        <f t="shared" si="41"/>
        <v>0</v>
      </c>
      <c r="AF343" s="12">
        <f t="shared" si="42"/>
        <v>2905</v>
      </c>
      <c r="AG343" s="24" t="s">
        <v>894</v>
      </c>
      <c r="AH343" s="13">
        <v>881420.97000000009</v>
      </c>
      <c r="AI343" s="13">
        <v>405950.2</v>
      </c>
      <c r="AJ343" s="13">
        <f>AH343-AI343</f>
        <v>475470.77000000008</v>
      </c>
    </row>
    <row r="344" spans="1:36" s="1" customFormat="1" x14ac:dyDescent="0.25">
      <c r="A344">
        <v>4000</v>
      </c>
      <c r="B344">
        <v>7</v>
      </c>
      <c r="C344">
        <f t="shared" si="38"/>
        <v>7</v>
      </c>
      <c r="D344" s="1" t="s">
        <v>375</v>
      </c>
      <c r="E344" s="7">
        <v>-60597.71</v>
      </c>
      <c r="F344" s="7">
        <v>-60597.7</v>
      </c>
      <c r="G344" s="7">
        <v>-45375.97</v>
      </c>
      <c r="H344" s="7">
        <v>-18474.260000000002</v>
      </c>
      <c r="I344" s="7">
        <v>-18575.269999999997</v>
      </c>
      <c r="J344" s="7">
        <v>-18474.269999999997</v>
      </c>
      <c r="K344" s="7">
        <v>-18474.259999999995</v>
      </c>
      <c r="L344" s="7">
        <v>-18575.269999999997</v>
      </c>
      <c r="M344" s="7">
        <v>-18474.260000000002</v>
      </c>
      <c r="N344" s="7">
        <v>-18474.259999999995</v>
      </c>
      <c r="O344" s="7">
        <v>42022.43</v>
      </c>
      <c r="P344" s="7">
        <v>42123.45</v>
      </c>
      <c r="Q344" s="7">
        <v>42123.44</v>
      </c>
      <c r="R344" s="7">
        <v>42022.43</v>
      </c>
      <c r="S344" s="7">
        <v>42123.44</v>
      </c>
      <c r="T344" s="7">
        <v>42123.45</v>
      </c>
      <c r="U344" s="7">
        <v>42022.43</v>
      </c>
      <c r="V344" s="7">
        <v>42123.44</v>
      </c>
      <c r="W344" s="9">
        <f t="shared" si="44"/>
        <v>40591.280000000021</v>
      </c>
      <c r="X344" s="9"/>
      <c r="Y344" s="9"/>
      <c r="Z344" s="9"/>
      <c r="AA344" s="9">
        <f t="shared" si="40"/>
        <v>40591.280000000021</v>
      </c>
      <c r="AB344" s="7" t="e">
        <f>W344-#REF!</f>
        <v>#REF!</v>
      </c>
      <c r="AE344" s="12"/>
      <c r="AF344" s="12"/>
    </row>
    <row r="345" spans="1:36" s="1" customFormat="1" x14ac:dyDescent="0.25">
      <c r="A345">
        <v>4001</v>
      </c>
      <c r="B345">
        <v>7</v>
      </c>
      <c r="C345">
        <f t="shared" si="38"/>
        <v>7</v>
      </c>
      <c r="D345" s="1" t="s">
        <v>376</v>
      </c>
      <c r="E345" s="7">
        <v>-79575.759999999995</v>
      </c>
      <c r="F345" s="7">
        <v>-79575.759999999995</v>
      </c>
      <c r="G345" s="7">
        <v>-59532.51999999999</v>
      </c>
      <c r="H345" s="7">
        <v>-24253.999999999993</v>
      </c>
      <c r="I345" s="7">
        <v>-24386.67</v>
      </c>
      <c r="J345" s="7">
        <v>-24253.999999999993</v>
      </c>
      <c r="K345" s="7">
        <v>-24254.009999999995</v>
      </c>
      <c r="L345" s="7">
        <v>-24386.67</v>
      </c>
      <c r="M345" s="7">
        <v>-24253.999999999993</v>
      </c>
      <c r="N345" s="7">
        <v>-24254.009999999995</v>
      </c>
      <c r="O345" s="7">
        <v>55189.090000000004</v>
      </c>
      <c r="P345" s="7">
        <v>55321.760000000002</v>
      </c>
      <c r="Q345" s="7">
        <v>55321.75</v>
      </c>
      <c r="R345" s="7">
        <v>55189.09</v>
      </c>
      <c r="S345" s="7">
        <v>55321.760000000002</v>
      </c>
      <c r="T345" s="7">
        <v>55321.75</v>
      </c>
      <c r="U345" s="7">
        <v>55189.09</v>
      </c>
      <c r="V345" s="7">
        <v>55321.760000000002</v>
      </c>
      <c r="W345" s="9">
        <f t="shared" si="44"/>
        <v>53448.650000000074</v>
      </c>
      <c r="X345" s="9"/>
      <c r="Y345" s="9"/>
      <c r="Z345" s="9"/>
      <c r="AA345" s="9">
        <f t="shared" si="40"/>
        <v>53448.650000000074</v>
      </c>
      <c r="AB345" s="7" t="e">
        <f>W345-#REF!</f>
        <v>#REF!</v>
      </c>
      <c r="AC345" s="12"/>
      <c r="AD345" s="12"/>
      <c r="AE345" s="12"/>
      <c r="AF345" s="12"/>
      <c r="AG345" s="13"/>
      <c r="AH345" s="13"/>
      <c r="AI345" s="13"/>
      <c r="AJ345" s="13"/>
    </row>
    <row r="346" spans="1:36" s="1" customFormat="1" x14ac:dyDescent="0.25">
      <c r="A346">
        <v>4003</v>
      </c>
      <c r="B346">
        <v>7</v>
      </c>
      <c r="C346">
        <f t="shared" si="38"/>
        <v>7</v>
      </c>
      <c r="D346" s="1" t="s">
        <v>377</v>
      </c>
      <c r="E346" s="7">
        <v>-57853.18</v>
      </c>
      <c r="F346" s="7">
        <v>-57853.18</v>
      </c>
      <c r="G346" s="7">
        <v>-43275.119999999995</v>
      </c>
      <c r="H346" s="7">
        <v>-17632.46</v>
      </c>
      <c r="I346" s="7">
        <v>-17728.900000000001</v>
      </c>
      <c r="J346" s="7">
        <v>-17632.46</v>
      </c>
      <c r="K346" s="7">
        <v>-17632.46</v>
      </c>
      <c r="L346" s="7">
        <v>-17728.910000000003</v>
      </c>
      <c r="M346" s="7">
        <v>-17632.449999999997</v>
      </c>
      <c r="N346" s="7">
        <v>-17632.47</v>
      </c>
      <c r="O346" s="7">
        <v>40124.270000000004</v>
      </c>
      <c r="P346" s="7">
        <v>40220.720000000001</v>
      </c>
      <c r="Q346" s="7">
        <v>40220.720000000001</v>
      </c>
      <c r="R346" s="7">
        <v>40124.26</v>
      </c>
      <c r="S346" s="7">
        <v>40220.720000000001</v>
      </c>
      <c r="T346" s="7">
        <v>40220.720000000001</v>
      </c>
      <c r="U346" s="7">
        <v>40124.26</v>
      </c>
      <c r="V346" s="7">
        <v>40220.720000000001</v>
      </c>
      <c r="W346" s="9">
        <f t="shared" si="44"/>
        <v>38874.800000000068</v>
      </c>
      <c r="X346" s="9"/>
      <c r="Y346" s="9"/>
      <c r="Z346" s="9"/>
      <c r="AA346" s="9">
        <f t="shared" si="40"/>
        <v>38874.800000000068</v>
      </c>
      <c r="AB346" s="7" t="e">
        <f>W346-#REF!</f>
        <v>#REF!</v>
      </c>
      <c r="AC346" s="12"/>
      <c r="AD346" s="12"/>
      <c r="AE346" s="12"/>
      <c r="AF346" s="12"/>
      <c r="AG346" s="13"/>
      <c r="AH346" s="13"/>
      <c r="AI346" s="13"/>
      <c r="AJ346" s="13"/>
    </row>
    <row r="347" spans="1:36" s="1" customFormat="1" x14ac:dyDescent="0.25">
      <c r="A347">
        <v>4004</v>
      </c>
      <c r="B347">
        <v>7</v>
      </c>
      <c r="C347">
        <f t="shared" si="38"/>
        <v>7</v>
      </c>
      <c r="D347" s="1" t="s">
        <v>378</v>
      </c>
      <c r="E347" s="7">
        <v>-123151.49</v>
      </c>
      <c r="F347" s="7">
        <v>-123151.5</v>
      </c>
      <c r="G347" s="7">
        <v>-92159.84</v>
      </c>
      <c r="H347" s="7">
        <v>-37538.540000000008</v>
      </c>
      <c r="I347" s="7">
        <v>-37743.850000000006</v>
      </c>
      <c r="J347" s="7">
        <v>-37538.540000000008</v>
      </c>
      <c r="K347" s="7">
        <v>-37538.550000000003</v>
      </c>
      <c r="L347" s="7">
        <v>-37743.850000000006</v>
      </c>
      <c r="M347" s="7">
        <v>-37538.540000000008</v>
      </c>
      <c r="N347" s="7">
        <v>-37538.550000000003</v>
      </c>
      <c r="O347" s="7">
        <v>85407.64</v>
      </c>
      <c r="P347" s="7">
        <v>85612.95</v>
      </c>
      <c r="Q347" s="7">
        <v>85612.94</v>
      </c>
      <c r="R347" s="7">
        <v>85407.64</v>
      </c>
      <c r="S347" s="7">
        <v>85612.95</v>
      </c>
      <c r="T347" s="7">
        <v>85612.94</v>
      </c>
      <c r="U347" s="7">
        <v>85407.64</v>
      </c>
      <c r="V347" s="7">
        <v>85612.95</v>
      </c>
      <c r="W347" s="9">
        <f t="shared" si="44"/>
        <v>82644.399999999936</v>
      </c>
      <c r="X347" s="9"/>
      <c r="Y347" s="9"/>
      <c r="Z347" s="9"/>
      <c r="AA347" s="9">
        <f t="shared" si="40"/>
        <v>82644.399999999936</v>
      </c>
      <c r="AB347" s="7" t="e">
        <f>W347-#REF!</f>
        <v>#REF!</v>
      </c>
      <c r="AC347" s="12"/>
      <c r="AD347" s="12"/>
      <c r="AE347" s="12"/>
      <c r="AF347" s="12"/>
      <c r="AG347" s="13"/>
      <c r="AH347" s="13"/>
      <c r="AI347" s="13"/>
      <c r="AJ347" s="13"/>
    </row>
    <row r="348" spans="1:36" s="1" customFormat="1" x14ac:dyDescent="0.25">
      <c r="A348">
        <v>4005</v>
      </c>
      <c r="B348">
        <v>7</v>
      </c>
      <c r="C348">
        <f t="shared" si="38"/>
        <v>7</v>
      </c>
      <c r="D348" s="1" t="s">
        <v>379</v>
      </c>
      <c r="E348" s="7">
        <v>-313723.09999999998</v>
      </c>
      <c r="F348" s="7">
        <v>-313723.09000000003</v>
      </c>
      <c r="G348" s="7">
        <v>-311408.75999999995</v>
      </c>
      <c r="H348" s="7">
        <v>-104149.69000000003</v>
      </c>
      <c r="I348" s="7">
        <v>-104652.26999999999</v>
      </c>
      <c r="J348" s="7">
        <v>-104149.68000000002</v>
      </c>
      <c r="K348" s="7">
        <v>-104149.69999999998</v>
      </c>
      <c r="L348" s="7">
        <v>-104652.26000000004</v>
      </c>
      <c r="M348" s="7">
        <v>-104149.69999999998</v>
      </c>
      <c r="N348" s="7">
        <v>-104149.69000000003</v>
      </c>
      <c r="O348" s="7">
        <v>209070.83</v>
      </c>
      <c r="P348" s="7">
        <v>209573.41</v>
      </c>
      <c r="Q348" s="7">
        <v>209573.4</v>
      </c>
      <c r="R348" s="7">
        <v>209070.83</v>
      </c>
      <c r="S348" s="7">
        <v>209573.4</v>
      </c>
      <c r="T348" s="7">
        <v>209573.41</v>
      </c>
      <c r="U348" s="7">
        <v>209070.83</v>
      </c>
      <c r="V348" s="7">
        <v>209573.4</v>
      </c>
      <c r="W348" s="9">
        <f t="shared" si="44"/>
        <v>6171.570000000298</v>
      </c>
      <c r="X348" s="9"/>
      <c r="Y348" s="9"/>
      <c r="Z348" s="9"/>
      <c r="AA348" s="9">
        <f t="shared" si="40"/>
        <v>6171.570000000298</v>
      </c>
      <c r="AB348" s="7" t="e">
        <f>W348-#REF!</f>
        <v>#REF!</v>
      </c>
      <c r="AC348" s="12"/>
      <c r="AD348" s="12"/>
      <c r="AE348" s="12"/>
      <c r="AF348" s="12"/>
      <c r="AG348" s="13"/>
      <c r="AH348" s="13"/>
      <c r="AI348" s="13"/>
      <c r="AJ348" s="13"/>
    </row>
    <row r="349" spans="1:36" s="1" customFormat="1" x14ac:dyDescent="0.25">
      <c r="A349">
        <v>4007</v>
      </c>
      <c r="B349">
        <v>7</v>
      </c>
      <c r="C349">
        <f t="shared" si="38"/>
        <v>7</v>
      </c>
      <c r="D349" s="1" t="s">
        <v>380</v>
      </c>
      <c r="E349" s="7">
        <v>-83405.64</v>
      </c>
      <c r="F349" s="7">
        <v>-83405.64</v>
      </c>
      <c r="G349" s="7">
        <v>-62402.920000000006</v>
      </c>
      <c r="H349" s="7">
        <v>-25421.89</v>
      </c>
      <c r="I349" s="7">
        <v>-25560.949999999997</v>
      </c>
      <c r="J349" s="7">
        <v>-25421.89</v>
      </c>
      <c r="K349" s="7">
        <v>-25421.9</v>
      </c>
      <c r="L349" s="7">
        <v>-25560.949999999997</v>
      </c>
      <c r="M349" s="7">
        <v>-25421.89</v>
      </c>
      <c r="N349" s="7">
        <v>-25421.9</v>
      </c>
      <c r="O349" s="7">
        <v>57844.7</v>
      </c>
      <c r="P349" s="7">
        <v>57983.74</v>
      </c>
      <c r="Q349" s="7">
        <v>57983.75</v>
      </c>
      <c r="R349" s="7">
        <v>57844.69</v>
      </c>
      <c r="S349" s="7">
        <v>57983.75</v>
      </c>
      <c r="T349" s="7">
        <v>57983.74</v>
      </c>
      <c r="U349" s="7">
        <v>57844.7</v>
      </c>
      <c r="V349" s="7">
        <v>57983.74</v>
      </c>
      <c r="W349" s="9">
        <f t="shared" si="44"/>
        <v>56007.239999999874</v>
      </c>
      <c r="X349" s="9"/>
      <c r="Y349" s="9"/>
      <c r="Z349" s="9"/>
      <c r="AA349" s="9">
        <f t="shared" si="40"/>
        <v>56007.239999999874</v>
      </c>
      <c r="AB349" s="7" t="e">
        <f>W349-#REF!</f>
        <v>#REF!</v>
      </c>
      <c r="AC349" s="12"/>
      <c r="AD349" s="12"/>
      <c r="AE349" s="12"/>
      <c r="AF349" s="12"/>
      <c r="AG349" s="13"/>
      <c r="AH349" s="13"/>
      <c r="AI349" s="13"/>
      <c r="AJ349" s="13"/>
    </row>
    <row r="350" spans="1:36" s="1" customFormat="1" x14ac:dyDescent="0.25">
      <c r="A350">
        <v>4008</v>
      </c>
      <c r="B350">
        <v>7</v>
      </c>
      <c r="C350">
        <f t="shared" si="38"/>
        <v>7</v>
      </c>
      <c r="D350" s="1" t="s">
        <v>381</v>
      </c>
      <c r="E350" s="7">
        <v>-317459.78000000003</v>
      </c>
      <c r="F350" s="7">
        <v>-317459.78000000003</v>
      </c>
      <c r="G350" s="7">
        <v>-237564.78000000003</v>
      </c>
      <c r="H350" s="7">
        <v>-96766.290000000037</v>
      </c>
      <c r="I350" s="7">
        <v>-97295.540000000037</v>
      </c>
      <c r="J350" s="7">
        <v>-96766.290000000037</v>
      </c>
      <c r="K350" s="7">
        <v>-96766.280000000028</v>
      </c>
      <c r="L350" s="7">
        <v>-97295.540000000037</v>
      </c>
      <c r="M350" s="7">
        <v>-96766.290000000037</v>
      </c>
      <c r="N350" s="7">
        <v>-96766.290000000037</v>
      </c>
      <c r="O350" s="7">
        <v>220164.25</v>
      </c>
      <c r="P350" s="7">
        <v>220693.49</v>
      </c>
      <c r="Q350" s="7">
        <v>220693.48</v>
      </c>
      <c r="R350" s="7">
        <v>220164.25</v>
      </c>
      <c r="S350" s="7">
        <v>220693.49</v>
      </c>
      <c r="T350" s="7">
        <v>220693.49</v>
      </c>
      <c r="U350" s="7">
        <v>220164.24</v>
      </c>
      <c r="V350" s="7">
        <v>220693.49</v>
      </c>
      <c r="W350" s="9">
        <f t="shared" si="44"/>
        <v>213053.3199999996</v>
      </c>
      <c r="X350" s="9"/>
      <c r="Y350" s="9"/>
      <c r="Z350" s="9"/>
      <c r="AA350" s="9">
        <f t="shared" si="40"/>
        <v>213053.3199999996</v>
      </c>
      <c r="AB350" s="7" t="e">
        <f>W350-#REF!</f>
        <v>#REF!</v>
      </c>
      <c r="AC350" s="12"/>
      <c r="AD350" s="12"/>
      <c r="AE350" s="12"/>
      <c r="AF350" s="12"/>
      <c r="AG350" s="13"/>
      <c r="AH350" s="13"/>
      <c r="AI350" s="13"/>
      <c r="AJ350" s="13"/>
    </row>
    <row r="351" spans="1:36" s="1" customFormat="1" x14ac:dyDescent="0.25">
      <c r="A351">
        <v>4011</v>
      </c>
      <c r="B351">
        <v>7</v>
      </c>
      <c r="C351">
        <f t="shared" si="38"/>
        <v>7</v>
      </c>
      <c r="D351" s="1" t="s">
        <v>382</v>
      </c>
      <c r="E351" s="7">
        <v>-166082.32</v>
      </c>
      <c r="F351" s="7">
        <v>-166082.32</v>
      </c>
      <c r="G351" s="7">
        <v>-124250.88</v>
      </c>
      <c r="H351" s="7">
        <v>-50620.55</v>
      </c>
      <c r="I351" s="7">
        <v>-50897.430000000008</v>
      </c>
      <c r="J351" s="7">
        <v>-50620.53</v>
      </c>
      <c r="K351" s="7">
        <v>-50620.540000000008</v>
      </c>
      <c r="L351" s="7">
        <v>-50897.430000000008</v>
      </c>
      <c r="M351" s="7">
        <v>-50620.539999999994</v>
      </c>
      <c r="N351" s="7">
        <v>-50620.540000000008</v>
      </c>
      <c r="O351" s="7">
        <v>115184.89</v>
      </c>
      <c r="P351" s="7">
        <v>115461.78</v>
      </c>
      <c r="Q351" s="7">
        <v>115461.77</v>
      </c>
      <c r="R351" s="7">
        <v>115184.89</v>
      </c>
      <c r="S351" s="7">
        <v>115461.78</v>
      </c>
      <c r="T351" s="7">
        <v>115461.77</v>
      </c>
      <c r="U351" s="7">
        <v>115184.89</v>
      </c>
      <c r="V351" s="7">
        <v>115461.78</v>
      </c>
      <c r="W351" s="9">
        <f t="shared" si="44"/>
        <v>111550.46999999988</v>
      </c>
      <c r="X351" s="9"/>
      <c r="Y351" s="9"/>
      <c r="Z351" s="9"/>
      <c r="AA351" s="9">
        <f t="shared" si="40"/>
        <v>111550.46999999988</v>
      </c>
      <c r="AB351" s="7" t="e">
        <f>W351-#REF!</f>
        <v>#REF!</v>
      </c>
      <c r="AC351" s="12"/>
      <c r="AD351" s="12"/>
      <c r="AE351" s="12"/>
      <c r="AF351" s="12"/>
      <c r="AG351" s="13"/>
      <c r="AH351" s="13"/>
      <c r="AI351" s="13"/>
      <c r="AJ351" s="13"/>
    </row>
    <row r="352" spans="1:36" s="1" customFormat="1" x14ac:dyDescent="0.25">
      <c r="A352">
        <v>4015</v>
      </c>
      <c r="B352">
        <v>7</v>
      </c>
      <c r="C352">
        <f t="shared" si="38"/>
        <v>7</v>
      </c>
      <c r="D352" s="1" t="s">
        <v>383</v>
      </c>
      <c r="E352" s="7">
        <v>-420045.79</v>
      </c>
      <c r="F352" s="7">
        <v>-420045.79</v>
      </c>
      <c r="G352" s="7">
        <v>-314363.71000000002</v>
      </c>
      <c r="H352" s="7">
        <v>-128039.39999999997</v>
      </c>
      <c r="I352" s="7">
        <v>-128739.64999999997</v>
      </c>
      <c r="J352" s="7">
        <v>-128039.38</v>
      </c>
      <c r="K352" s="7">
        <v>-128039.39999999997</v>
      </c>
      <c r="L352" s="7">
        <v>-128739.64999999997</v>
      </c>
      <c r="M352" s="7">
        <v>-128039.39000000001</v>
      </c>
      <c r="N352" s="7">
        <v>-128039.38999999996</v>
      </c>
      <c r="O352" s="7">
        <v>291306.14</v>
      </c>
      <c r="P352" s="7">
        <v>292006.39</v>
      </c>
      <c r="Q352" s="7">
        <v>292006.40000000002</v>
      </c>
      <c r="R352" s="7">
        <v>291306.14</v>
      </c>
      <c r="S352" s="7">
        <v>292006.39</v>
      </c>
      <c r="T352" s="7">
        <v>292006.40000000002</v>
      </c>
      <c r="U352" s="7">
        <v>291306.14</v>
      </c>
      <c r="V352" s="7">
        <v>292006.39</v>
      </c>
      <c r="W352" s="9">
        <f t="shared" si="44"/>
        <v>281818.84000000043</v>
      </c>
      <c r="X352" s="9"/>
      <c r="Y352" s="9"/>
      <c r="Z352" s="9"/>
      <c r="AA352" s="9">
        <f t="shared" si="40"/>
        <v>281818.84000000043</v>
      </c>
      <c r="AB352" s="7" t="e">
        <f>W352-#REF!</f>
        <v>#REF!</v>
      </c>
      <c r="AC352" s="12"/>
      <c r="AD352" s="12"/>
      <c r="AE352" s="12"/>
      <c r="AF352" s="12"/>
      <c r="AG352" s="13"/>
      <c r="AH352" s="13"/>
      <c r="AI352" s="13"/>
      <c r="AJ352" s="13"/>
    </row>
    <row r="353" spans="1:36" s="1" customFormat="1" x14ac:dyDescent="0.25">
      <c r="A353">
        <v>4016</v>
      </c>
      <c r="B353">
        <v>7</v>
      </c>
      <c r="C353">
        <f t="shared" si="38"/>
        <v>7</v>
      </c>
      <c r="D353" s="1" t="s">
        <v>384</v>
      </c>
      <c r="E353" s="7">
        <v>-97160.25</v>
      </c>
      <c r="F353" s="7">
        <v>-97160.25</v>
      </c>
      <c r="G353" s="7">
        <v>-72706.97</v>
      </c>
      <c r="H353" s="7">
        <v>-29615.729999999996</v>
      </c>
      <c r="I353" s="7">
        <v>-29777.699999999997</v>
      </c>
      <c r="J353" s="7">
        <v>-29615.729999999996</v>
      </c>
      <c r="K353" s="7">
        <v>-29615.729999999996</v>
      </c>
      <c r="L353" s="7">
        <v>-29777.699999999997</v>
      </c>
      <c r="M353" s="7">
        <v>-29615.729999999996</v>
      </c>
      <c r="N353" s="7">
        <v>-29615.72</v>
      </c>
      <c r="O353" s="7">
        <v>67382.540000000008</v>
      </c>
      <c r="P353" s="7">
        <v>67544.53</v>
      </c>
      <c r="Q353" s="7">
        <v>67544.52</v>
      </c>
      <c r="R353" s="7">
        <v>67382.539999999994</v>
      </c>
      <c r="S353" s="7">
        <v>67544.53</v>
      </c>
      <c r="T353" s="7">
        <v>67544.52</v>
      </c>
      <c r="U353" s="7">
        <v>67382.55</v>
      </c>
      <c r="V353" s="7">
        <v>67544.52</v>
      </c>
      <c r="W353" s="9">
        <f t="shared" si="44"/>
        <v>65208.74000000018</v>
      </c>
      <c r="X353" s="9"/>
      <c r="Y353" s="9"/>
      <c r="Z353" s="9"/>
      <c r="AA353" s="9">
        <f t="shared" si="40"/>
        <v>65208.74000000018</v>
      </c>
      <c r="AB353" s="7" t="e">
        <f>W353-#REF!</f>
        <v>#REF!</v>
      </c>
      <c r="AC353" s="12"/>
      <c r="AD353" s="12"/>
      <c r="AE353" s="12"/>
      <c r="AF353" s="12"/>
      <c r="AG353" s="13"/>
      <c r="AH353" s="13"/>
      <c r="AI353" s="13"/>
      <c r="AJ353" s="13"/>
    </row>
    <row r="354" spans="1:36" s="1" customFormat="1" x14ac:dyDescent="0.25">
      <c r="A354">
        <v>4017</v>
      </c>
      <c r="B354">
        <v>7</v>
      </c>
      <c r="C354">
        <f t="shared" si="38"/>
        <v>7</v>
      </c>
      <c r="D354" s="1" t="s">
        <v>385</v>
      </c>
      <c r="E354" s="7">
        <v>-1565474.3</v>
      </c>
      <c r="F354" s="7">
        <v>-1565474.3</v>
      </c>
      <c r="G354" s="7">
        <v>-1171718.42</v>
      </c>
      <c r="H354" s="7">
        <v>-477204.20999999996</v>
      </c>
      <c r="I354" s="7">
        <v>-479813.94999999995</v>
      </c>
      <c r="J354" s="7">
        <v>-477204.18999999994</v>
      </c>
      <c r="K354" s="7">
        <v>-477204.18999999994</v>
      </c>
      <c r="L354" s="7">
        <v>-479813.95999999996</v>
      </c>
      <c r="M354" s="7">
        <v>-477204.18999999994</v>
      </c>
      <c r="N354" s="7">
        <v>-477204.19999999995</v>
      </c>
      <c r="O354" s="7">
        <v>1085660.3500000001</v>
      </c>
      <c r="P354" s="7">
        <v>1088270.1100000001</v>
      </c>
      <c r="Q354" s="7">
        <v>1088270.1100000001</v>
      </c>
      <c r="R354" s="7">
        <v>1085660.3500000001</v>
      </c>
      <c r="S354" s="7">
        <v>1088270.1100000001</v>
      </c>
      <c r="T354" s="7">
        <v>1088270.1000000001</v>
      </c>
      <c r="U354" s="7">
        <v>1085660.3500000001</v>
      </c>
      <c r="V354" s="7">
        <v>1088270.1100000001</v>
      </c>
      <c r="W354" s="9">
        <f t="shared" si="44"/>
        <v>1050015.6800000023</v>
      </c>
      <c r="X354" s="9"/>
      <c r="Y354" s="9"/>
      <c r="Z354" s="9"/>
      <c r="AA354" s="9">
        <f t="shared" si="40"/>
        <v>1050015.6800000023</v>
      </c>
      <c r="AB354" s="7" t="e">
        <f>W354-#REF!</f>
        <v>#REF!</v>
      </c>
      <c r="AC354" s="12"/>
      <c r="AD354" s="12"/>
      <c r="AE354" s="12"/>
      <c r="AF354" s="12"/>
      <c r="AG354" s="13"/>
      <c r="AH354" s="13"/>
      <c r="AI354" s="13"/>
      <c r="AJ354" s="13"/>
    </row>
    <row r="355" spans="1:36" s="1" customFormat="1" x14ac:dyDescent="0.25">
      <c r="A355">
        <v>4018</v>
      </c>
      <c r="B355">
        <v>7</v>
      </c>
      <c r="C355">
        <f t="shared" si="38"/>
        <v>7</v>
      </c>
      <c r="D355" s="1" t="s">
        <v>386</v>
      </c>
      <c r="E355" s="7">
        <v>-256620.1</v>
      </c>
      <c r="F355" s="7">
        <v>-256620.1</v>
      </c>
      <c r="G355" s="7">
        <v>-192168.29</v>
      </c>
      <c r="H355" s="7">
        <v>-78236.13</v>
      </c>
      <c r="I355" s="7">
        <v>-78663.899999999994</v>
      </c>
      <c r="J355" s="7">
        <v>-78236.139999999985</v>
      </c>
      <c r="K355" s="7">
        <v>-78236.13</v>
      </c>
      <c r="L355" s="7">
        <v>-78663.899999999994</v>
      </c>
      <c r="M355" s="7">
        <v>-78236.13</v>
      </c>
      <c r="N355" s="7">
        <v>-78236.13</v>
      </c>
      <c r="O355" s="7">
        <v>177956.19999999998</v>
      </c>
      <c r="P355" s="7">
        <v>178383.97</v>
      </c>
      <c r="Q355" s="7">
        <v>178383.97</v>
      </c>
      <c r="R355" s="7">
        <v>177956.2</v>
      </c>
      <c r="S355" s="7">
        <v>178383.97</v>
      </c>
      <c r="T355" s="7">
        <v>178383.97</v>
      </c>
      <c r="U355" s="7">
        <v>177956.2</v>
      </c>
      <c r="V355" s="7">
        <v>178383.97</v>
      </c>
      <c r="W355" s="9">
        <f t="shared" si="44"/>
        <v>171871.50000000012</v>
      </c>
      <c r="X355" s="9"/>
      <c r="Y355" s="9"/>
      <c r="Z355" s="9"/>
      <c r="AA355" s="9">
        <f t="shared" si="40"/>
        <v>171871.50000000012</v>
      </c>
      <c r="AB355" s="7" t="e">
        <f>W355-#REF!</f>
        <v>#REF!</v>
      </c>
      <c r="AC355" s="12"/>
      <c r="AD355" s="12"/>
      <c r="AE355" s="12"/>
      <c r="AF355" s="12"/>
      <c r="AG355" s="13"/>
      <c r="AH355" s="13"/>
      <c r="AI355" s="13"/>
      <c r="AJ355" s="13"/>
    </row>
    <row r="356" spans="1:36" s="1" customFormat="1" x14ac:dyDescent="0.25">
      <c r="A356">
        <v>4020</v>
      </c>
      <c r="B356">
        <v>7</v>
      </c>
      <c r="C356">
        <f t="shared" si="38"/>
        <v>7</v>
      </c>
      <c r="D356" s="1" t="s">
        <v>387</v>
      </c>
      <c r="E356" s="7">
        <v>-783350.44</v>
      </c>
      <c r="F356" s="7">
        <v>-783350.45</v>
      </c>
      <c r="G356" s="7">
        <v>-586021.80999999994</v>
      </c>
      <c r="H356" s="7">
        <v>-238756.07999999996</v>
      </c>
      <c r="I356" s="7">
        <v>-240062.06999999995</v>
      </c>
      <c r="J356" s="7">
        <v>-238756.07999999996</v>
      </c>
      <c r="K356" s="7">
        <v>-238756.07999999996</v>
      </c>
      <c r="L356" s="7">
        <v>-240062.06999999995</v>
      </c>
      <c r="M356" s="7">
        <v>-238756.07999999996</v>
      </c>
      <c r="N356" s="7">
        <v>-238756.08999999997</v>
      </c>
      <c r="O356" s="7">
        <v>543288.38</v>
      </c>
      <c r="P356" s="7">
        <v>544594.37</v>
      </c>
      <c r="Q356" s="7">
        <v>544594.36</v>
      </c>
      <c r="R356" s="7">
        <v>543288.38</v>
      </c>
      <c r="S356" s="7">
        <v>544594.36</v>
      </c>
      <c r="T356" s="7">
        <v>544594.37</v>
      </c>
      <c r="U356" s="7">
        <v>543288.38</v>
      </c>
      <c r="V356" s="7">
        <v>544594.36</v>
      </c>
      <c r="W356" s="9">
        <f t="shared" si="44"/>
        <v>526209.71000000008</v>
      </c>
      <c r="X356" s="9"/>
      <c r="Y356" s="9"/>
      <c r="Z356" s="9"/>
      <c r="AA356" s="9">
        <f t="shared" si="40"/>
        <v>526209.71000000008</v>
      </c>
      <c r="AB356" s="7" t="e">
        <f>W356-#REF!</f>
        <v>#REF!</v>
      </c>
      <c r="AC356" s="12"/>
      <c r="AD356" s="12"/>
      <c r="AE356" s="12"/>
      <c r="AF356" s="12"/>
      <c r="AG356" s="13"/>
      <c r="AH356" s="13"/>
      <c r="AI356" s="13"/>
      <c r="AJ356" s="13"/>
    </row>
    <row r="357" spans="1:36" s="1" customFormat="1" x14ac:dyDescent="0.25">
      <c r="A357">
        <v>4025</v>
      </c>
      <c r="B357">
        <v>7</v>
      </c>
      <c r="C357">
        <f t="shared" si="38"/>
        <v>7</v>
      </c>
      <c r="D357" s="1" t="s">
        <v>388</v>
      </c>
      <c r="E357" s="7">
        <v>-91618.48</v>
      </c>
      <c r="F357" s="7">
        <v>-91618.49</v>
      </c>
      <c r="G357" s="7">
        <v>-68559.05</v>
      </c>
      <c r="H357" s="7">
        <v>-27926.430000000008</v>
      </c>
      <c r="I357" s="7">
        <v>-28079.149999999994</v>
      </c>
      <c r="J357" s="7">
        <v>-27926.430000000008</v>
      </c>
      <c r="K357" s="7">
        <v>-27926.430000000008</v>
      </c>
      <c r="L357" s="7">
        <v>-28079.160000000003</v>
      </c>
      <c r="M357" s="7">
        <v>-27926.409999999996</v>
      </c>
      <c r="N357" s="7">
        <v>-27926.430000000008</v>
      </c>
      <c r="O357" s="7">
        <v>63539.330000000009</v>
      </c>
      <c r="P357" s="7">
        <v>63692.06</v>
      </c>
      <c r="Q357" s="7">
        <v>63692.06</v>
      </c>
      <c r="R357" s="7">
        <v>63539.33</v>
      </c>
      <c r="S357" s="7">
        <v>63692.07</v>
      </c>
      <c r="T357" s="7">
        <v>63692.06</v>
      </c>
      <c r="U357" s="7">
        <v>63539.33</v>
      </c>
      <c r="V357" s="7">
        <v>63692.06</v>
      </c>
      <c r="W357" s="9">
        <f t="shared" si="44"/>
        <v>61491.840000000069</v>
      </c>
      <c r="X357" s="9"/>
      <c r="Y357" s="9"/>
      <c r="Z357" s="9"/>
      <c r="AA357" s="9">
        <f t="shared" si="40"/>
        <v>61491.840000000069</v>
      </c>
      <c r="AB357" s="7" t="e">
        <f>W357-#REF!</f>
        <v>#REF!</v>
      </c>
      <c r="AC357" s="12"/>
      <c r="AD357" s="12"/>
      <c r="AE357" s="12"/>
      <c r="AF357" s="12"/>
      <c r="AG357" s="13"/>
      <c r="AH357" s="13"/>
      <c r="AI357" s="13"/>
      <c r="AJ357" s="13"/>
    </row>
    <row r="358" spans="1:36" s="1" customFormat="1" x14ac:dyDescent="0.25">
      <c r="A358">
        <v>4026</v>
      </c>
      <c r="B358">
        <v>7</v>
      </c>
      <c r="C358">
        <f t="shared" si="38"/>
        <v>7</v>
      </c>
      <c r="D358" s="1" t="s">
        <v>389</v>
      </c>
      <c r="E358" s="7">
        <v>-70021.64</v>
      </c>
      <c r="F358" s="7">
        <v>-70021.63</v>
      </c>
      <c r="G358" s="7">
        <v>-52390.520000000004</v>
      </c>
      <c r="H358" s="7">
        <v>-21342.629999999997</v>
      </c>
      <c r="I358" s="7">
        <v>-21459.350000000006</v>
      </c>
      <c r="J358" s="7">
        <v>-21342.629999999997</v>
      </c>
      <c r="K358" s="7">
        <v>-21342.620000000003</v>
      </c>
      <c r="L358" s="7">
        <v>-21459.350000000006</v>
      </c>
      <c r="M358" s="7">
        <v>-21342.629999999997</v>
      </c>
      <c r="N358" s="7">
        <v>-21342.610000000008</v>
      </c>
      <c r="O358" s="7">
        <v>48562.270000000004</v>
      </c>
      <c r="P358" s="7">
        <v>48679.02</v>
      </c>
      <c r="Q358" s="7">
        <v>48679.01</v>
      </c>
      <c r="R358" s="7">
        <v>48562.27</v>
      </c>
      <c r="S358" s="7">
        <v>48679.02</v>
      </c>
      <c r="T358" s="7">
        <v>48679.01</v>
      </c>
      <c r="U358" s="7">
        <v>48562.28</v>
      </c>
      <c r="V358" s="7">
        <v>48679.01</v>
      </c>
      <c r="W358" s="9">
        <f t="shared" si="44"/>
        <v>47016.279999999897</v>
      </c>
      <c r="X358" s="9"/>
      <c r="Y358" s="9"/>
      <c r="Z358" s="9"/>
      <c r="AA358" s="9">
        <f t="shared" si="40"/>
        <v>47016.279999999897</v>
      </c>
      <c r="AB358" s="7" t="e">
        <f>W358-#REF!</f>
        <v>#REF!</v>
      </c>
      <c r="AC358" s="12"/>
      <c r="AD358" s="12"/>
      <c r="AE358" s="12"/>
      <c r="AF358" s="12"/>
      <c r="AG358" s="13"/>
      <c r="AH358" s="13"/>
      <c r="AI358" s="13"/>
      <c r="AJ358" s="13"/>
    </row>
    <row r="359" spans="1:36" s="1" customFormat="1" x14ac:dyDescent="0.25">
      <c r="A359">
        <v>4027</v>
      </c>
      <c r="B359">
        <v>7</v>
      </c>
      <c r="C359">
        <f t="shared" si="38"/>
        <v>7</v>
      </c>
      <c r="D359" s="1" t="s">
        <v>390</v>
      </c>
      <c r="E359" s="7">
        <v>-483715.12</v>
      </c>
      <c r="F359" s="7">
        <v>-483715.11</v>
      </c>
      <c r="G359" s="7">
        <v>-362184.20999999996</v>
      </c>
      <c r="H359" s="7">
        <v>-147466.15999999997</v>
      </c>
      <c r="I359" s="7">
        <v>-148272.5</v>
      </c>
      <c r="J359" s="7">
        <v>-147466.15999999997</v>
      </c>
      <c r="K359" s="7">
        <v>-147466.15999999997</v>
      </c>
      <c r="L359" s="7">
        <v>-148272.5</v>
      </c>
      <c r="M359" s="7">
        <v>-147466.15999999997</v>
      </c>
      <c r="N359" s="7">
        <v>-147466.14999999997</v>
      </c>
      <c r="O359" s="7">
        <v>335442.61</v>
      </c>
      <c r="P359" s="7">
        <v>336248.96</v>
      </c>
      <c r="Q359" s="7">
        <v>336248.96</v>
      </c>
      <c r="R359" s="7">
        <v>335442.59999999998</v>
      </c>
      <c r="S359" s="7">
        <v>336248.96</v>
      </c>
      <c r="T359" s="7">
        <v>336248.96</v>
      </c>
      <c r="U359" s="7">
        <v>335442.61</v>
      </c>
      <c r="V359" s="7">
        <v>336248.96</v>
      </c>
      <c r="W359" s="9">
        <f t="shared" si="44"/>
        <v>324082.39000000036</v>
      </c>
      <c r="X359" s="9"/>
      <c r="Y359" s="9"/>
      <c r="Z359" s="9"/>
      <c r="AA359" s="9">
        <f t="shared" si="40"/>
        <v>324082.39000000036</v>
      </c>
      <c r="AB359" s="7" t="e">
        <f>W359-#REF!</f>
        <v>#REF!</v>
      </c>
      <c r="AC359" s="12"/>
      <c r="AD359" s="12"/>
      <c r="AE359" s="12"/>
      <c r="AF359" s="12"/>
      <c r="AG359" s="13"/>
      <c r="AH359" s="13"/>
      <c r="AI359" s="13"/>
      <c r="AJ359" s="13"/>
    </row>
    <row r="360" spans="1:36" s="1" customFormat="1" x14ac:dyDescent="0.25">
      <c r="A360">
        <v>4029</v>
      </c>
      <c r="B360">
        <v>7</v>
      </c>
      <c r="C360">
        <f t="shared" si="38"/>
        <v>7</v>
      </c>
      <c r="D360" s="1" t="s">
        <v>391</v>
      </c>
      <c r="E360" s="7">
        <v>-249927.98</v>
      </c>
      <c r="F360" s="7">
        <v>-249927.98</v>
      </c>
      <c r="G360" s="7">
        <v>-187150.42</v>
      </c>
      <c r="H360" s="7">
        <v>-76195.16</v>
      </c>
      <c r="I360" s="7">
        <v>-76611.800000000017</v>
      </c>
      <c r="J360" s="7">
        <v>-76195.16</v>
      </c>
      <c r="K360" s="7">
        <v>-76195.16</v>
      </c>
      <c r="L360" s="7">
        <v>-76611.800000000017</v>
      </c>
      <c r="M360" s="7">
        <v>-76195.16</v>
      </c>
      <c r="N360" s="7">
        <v>-76195.170000000013</v>
      </c>
      <c r="O360" s="7">
        <v>173316.19</v>
      </c>
      <c r="P360" s="7">
        <v>173732.81</v>
      </c>
      <c r="Q360" s="7">
        <v>173732.81</v>
      </c>
      <c r="R360" s="7">
        <v>173316.19</v>
      </c>
      <c r="S360" s="7">
        <v>173732.81</v>
      </c>
      <c r="T360" s="7">
        <v>173732.81</v>
      </c>
      <c r="U360" s="7">
        <v>173316.19</v>
      </c>
      <c r="V360" s="7">
        <v>173732.81</v>
      </c>
      <c r="W360" s="9">
        <f t="shared" si="44"/>
        <v>167406.82999999996</v>
      </c>
      <c r="X360" s="9"/>
      <c r="Y360" s="9"/>
      <c r="Z360" s="9"/>
      <c r="AA360" s="9">
        <f t="shared" si="40"/>
        <v>167406.82999999996</v>
      </c>
      <c r="AB360" s="7" t="e">
        <f>W360-#REF!</f>
        <v>#REF!</v>
      </c>
      <c r="AC360" s="12"/>
      <c r="AD360" s="12"/>
      <c r="AE360" s="12"/>
      <c r="AF360" s="12"/>
      <c r="AG360" s="13"/>
      <c r="AH360" s="13"/>
      <c r="AI360" s="13"/>
      <c r="AJ360" s="13"/>
    </row>
    <row r="361" spans="1:36" s="1" customFormat="1" x14ac:dyDescent="0.25">
      <c r="A361">
        <v>4030</v>
      </c>
      <c r="B361">
        <v>7</v>
      </c>
      <c r="C361">
        <f t="shared" si="38"/>
        <v>7</v>
      </c>
      <c r="D361" s="1" t="s">
        <v>392</v>
      </c>
      <c r="E361" s="7">
        <v>-176532.31</v>
      </c>
      <c r="F361" s="7">
        <v>-176532.3</v>
      </c>
      <c r="G361" s="7">
        <v>-132101.46999999997</v>
      </c>
      <c r="H361" s="7">
        <v>-53809.25</v>
      </c>
      <c r="I361" s="7">
        <v>-54103.539999999994</v>
      </c>
      <c r="J361" s="7">
        <v>-53809.239999999991</v>
      </c>
      <c r="K361" s="7">
        <v>-53809.239999999991</v>
      </c>
      <c r="L361" s="7">
        <v>-54103.539999999994</v>
      </c>
      <c r="M361" s="7">
        <v>-53809.25</v>
      </c>
      <c r="N361" s="7">
        <v>-53809.239999999991</v>
      </c>
      <c r="O361" s="7">
        <v>122428.76</v>
      </c>
      <c r="P361" s="7">
        <v>122723.06</v>
      </c>
      <c r="Q361" s="7">
        <v>122723.06</v>
      </c>
      <c r="R361" s="7">
        <v>122428.77</v>
      </c>
      <c r="S361" s="7">
        <v>122723.06</v>
      </c>
      <c r="T361" s="7">
        <v>122723.06</v>
      </c>
      <c r="U361" s="7">
        <v>122428.76</v>
      </c>
      <c r="V361" s="7">
        <v>122723.06</v>
      </c>
      <c r="W361" s="9">
        <f t="shared" si="44"/>
        <v>118482.20999999995</v>
      </c>
      <c r="X361" s="9"/>
      <c r="Y361" s="9"/>
      <c r="Z361" s="9"/>
      <c r="AA361" s="9">
        <f t="shared" si="40"/>
        <v>118482.20999999995</v>
      </c>
      <c r="AB361" s="7" t="e">
        <f>W361-#REF!</f>
        <v>#REF!</v>
      </c>
      <c r="AC361" s="12"/>
      <c r="AD361" s="12"/>
      <c r="AE361" s="12"/>
      <c r="AF361" s="12"/>
      <c r="AG361" s="13"/>
      <c r="AH361" s="13"/>
      <c r="AI361" s="13"/>
      <c r="AJ361" s="13"/>
    </row>
    <row r="362" spans="1:36" s="1" customFormat="1" x14ac:dyDescent="0.25">
      <c r="A362">
        <v>4031</v>
      </c>
      <c r="B362">
        <v>7</v>
      </c>
      <c r="C362">
        <f t="shared" si="38"/>
        <v>7</v>
      </c>
      <c r="D362" s="1" t="s">
        <v>393</v>
      </c>
      <c r="E362" s="7">
        <v>-44769.52</v>
      </c>
      <c r="F362" s="7">
        <v>-44769.52</v>
      </c>
      <c r="G362" s="7">
        <v>-33519.910000000003</v>
      </c>
      <c r="H362" s="7">
        <v>-13648.339999999997</v>
      </c>
      <c r="I362" s="7">
        <v>-13722.969999999998</v>
      </c>
      <c r="J362" s="7">
        <v>-13648.330000000002</v>
      </c>
      <c r="K362" s="7">
        <v>-13648.349999999999</v>
      </c>
      <c r="L362" s="7">
        <v>-13722.969999999998</v>
      </c>
      <c r="M362" s="7">
        <v>-13648.330000000002</v>
      </c>
      <c r="N362" s="7">
        <v>-13648.349999999999</v>
      </c>
      <c r="O362" s="7">
        <v>31046.55</v>
      </c>
      <c r="P362" s="7">
        <v>31121.18</v>
      </c>
      <c r="Q362" s="7">
        <v>31121.17</v>
      </c>
      <c r="R362" s="7">
        <v>31046.55</v>
      </c>
      <c r="S362" s="7">
        <v>31121.18</v>
      </c>
      <c r="T362" s="7">
        <v>31121.18</v>
      </c>
      <c r="U362" s="7">
        <v>31046.54</v>
      </c>
      <c r="V362" s="7">
        <v>31121.18</v>
      </c>
      <c r="W362" s="9">
        <f t="shared" si="44"/>
        <v>29998.939999999988</v>
      </c>
      <c r="X362" s="9"/>
      <c r="Y362" s="9"/>
      <c r="Z362" s="9"/>
      <c r="AA362" s="9">
        <f t="shared" si="40"/>
        <v>29998.939999999988</v>
      </c>
      <c r="AB362" s="7" t="e">
        <f>W362-#REF!</f>
        <v>#REF!</v>
      </c>
      <c r="AC362" s="12"/>
      <c r="AD362" s="12"/>
      <c r="AE362" s="12"/>
      <c r="AF362" s="12"/>
      <c r="AG362" s="13"/>
      <c r="AH362" s="13"/>
      <c r="AI362" s="13"/>
      <c r="AJ362" s="13"/>
    </row>
    <row r="363" spans="1:36" s="1" customFormat="1" x14ac:dyDescent="0.25">
      <c r="A363">
        <v>4032</v>
      </c>
      <c r="B363">
        <v>7</v>
      </c>
      <c r="C363">
        <f t="shared" si="38"/>
        <v>7</v>
      </c>
      <c r="D363" s="1" t="s">
        <v>394</v>
      </c>
      <c r="E363" s="7">
        <v>-211680.11</v>
      </c>
      <c r="F363" s="7">
        <v>-211680.12</v>
      </c>
      <c r="G363" s="7">
        <v>-158496.24</v>
      </c>
      <c r="H363" s="7">
        <v>-64533.09</v>
      </c>
      <c r="I363" s="7">
        <v>-64885.969999999972</v>
      </c>
      <c r="J363" s="7">
        <v>-64533.09</v>
      </c>
      <c r="K363" s="7">
        <v>-64533.09</v>
      </c>
      <c r="L363" s="7">
        <v>-64885.979999999981</v>
      </c>
      <c r="M363" s="7">
        <v>-64533.09</v>
      </c>
      <c r="N363" s="7">
        <v>-64533.09</v>
      </c>
      <c r="O363" s="7">
        <v>146794.14000000001</v>
      </c>
      <c r="P363" s="7">
        <v>147147.01999999999</v>
      </c>
      <c r="Q363" s="7">
        <v>147147.01999999999</v>
      </c>
      <c r="R363" s="7">
        <v>146794.14000000001</v>
      </c>
      <c r="S363" s="7">
        <v>147147.01999999999</v>
      </c>
      <c r="T363" s="7">
        <v>147147.01999999999</v>
      </c>
      <c r="U363" s="7">
        <v>146794.14000000001</v>
      </c>
      <c r="V363" s="7">
        <v>147147.01999999999</v>
      </c>
      <c r="W363" s="9">
        <f t="shared" si="44"/>
        <v>141823.65000000031</v>
      </c>
      <c r="X363" s="9"/>
      <c r="Y363" s="9"/>
      <c r="Z363" s="9"/>
      <c r="AA363" s="9">
        <f t="shared" si="40"/>
        <v>141823.65000000031</v>
      </c>
      <c r="AB363" s="7" t="e">
        <f>W363-#REF!</f>
        <v>#REF!</v>
      </c>
      <c r="AC363" s="12"/>
      <c r="AD363" s="12"/>
      <c r="AE363" s="12"/>
      <c r="AF363" s="12"/>
      <c r="AG363" s="13"/>
      <c r="AH363" s="13"/>
      <c r="AI363" s="13"/>
      <c r="AJ363" s="13"/>
    </row>
    <row r="364" spans="1:36" s="1" customFormat="1" x14ac:dyDescent="0.25">
      <c r="A364">
        <v>4035</v>
      </c>
      <c r="B364">
        <v>7</v>
      </c>
      <c r="C364">
        <f t="shared" si="38"/>
        <v>7</v>
      </c>
      <c r="D364" s="1" t="s">
        <v>395</v>
      </c>
      <c r="E364" s="7">
        <v>-295977.78000000003</v>
      </c>
      <c r="F364" s="7">
        <v>-295977.78999999998</v>
      </c>
      <c r="G364" s="7">
        <v>-221428.51</v>
      </c>
      <c r="H364" s="7">
        <v>-90211.530000000028</v>
      </c>
      <c r="I364" s="7">
        <v>-90704.97000000003</v>
      </c>
      <c r="J364" s="7">
        <v>-90211.52999999997</v>
      </c>
      <c r="K364" s="7">
        <v>-90211.520000000019</v>
      </c>
      <c r="L364" s="7">
        <v>-90704.97000000003</v>
      </c>
      <c r="M364" s="7">
        <v>-90211.539999999979</v>
      </c>
      <c r="N364" s="7">
        <v>-90211.520000000019</v>
      </c>
      <c r="O364" s="7">
        <v>205272.81000000003</v>
      </c>
      <c r="P364" s="7">
        <v>205766.26</v>
      </c>
      <c r="Q364" s="7">
        <v>205766.25</v>
      </c>
      <c r="R364" s="7">
        <v>205272.81</v>
      </c>
      <c r="S364" s="7">
        <v>205766.26</v>
      </c>
      <c r="T364" s="7">
        <v>205766.25</v>
      </c>
      <c r="U364" s="7">
        <v>205272.81</v>
      </c>
      <c r="V364" s="7">
        <v>205766.26</v>
      </c>
      <c r="W364" s="9">
        <f t="shared" si="44"/>
        <v>198798.05</v>
      </c>
      <c r="X364" s="9"/>
      <c r="Y364" s="9"/>
      <c r="Z364" s="9"/>
      <c r="AA364" s="9">
        <f t="shared" si="40"/>
        <v>198798.05</v>
      </c>
      <c r="AB364" s="7" t="e">
        <f>W364-#REF!</f>
        <v>#REF!</v>
      </c>
      <c r="AC364" s="12"/>
      <c r="AD364" s="12"/>
      <c r="AE364" s="12"/>
      <c r="AF364" s="12"/>
      <c r="AG364" s="13"/>
      <c r="AH364" s="13"/>
      <c r="AI364" s="13"/>
      <c r="AJ364" s="13"/>
    </row>
    <row r="365" spans="1:36" s="1" customFormat="1" x14ac:dyDescent="0.25">
      <c r="A365">
        <v>4036</v>
      </c>
      <c r="B365">
        <v>7</v>
      </c>
      <c r="C365">
        <f t="shared" si="38"/>
        <v>7</v>
      </c>
      <c r="D365" s="1" t="s">
        <v>396</v>
      </c>
      <c r="E365" s="7">
        <v>-48106.400000000001</v>
      </c>
      <c r="F365" s="7">
        <v>-48106.400000000001</v>
      </c>
      <c r="G365" s="7">
        <v>-36002.089999999997</v>
      </c>
      <c r="H365" s="7">
        <v>-14663.810000000005</v>
      </c>
      <c r="I365" s="7">
        <v>-14744.010000000002</v>
      </c>
      <c r="J365" s="7">
        <v>-14663.810000000005</v>
      </c>
      <c r="K365" s="7">
        <v>-14663.82</v>
      </c>
      <c r="L365" s="7">
        <v>-14744</v>
      </c>
      <c r="M365" s="7">
        <v>-14663.810000000005</v>
      </c>
      <c r="N365" s="7">
        <v>-14663.810000000005</v>
      </c>
      <c r="O365" s="7">
        <v>33362.39</v>
      </c>
      <c r="P365" s="7">
        <v>33442.58</v>
      </c>
      <c r="Q365" s="7">
        <v>33442.589999999997</v>
      </c>
      <c r="R365" s="7">
        <v>33362.39</v>
      </c>
      <c r="S365" s="7">
        <v>33442.589999999997</v>
      </c>
      <c r="T365" s="7">
        <v>33442.58</v>
      </c>
      <c r="U365" s="7">
        <v>33362.39</v>
      </c>
      <c r="V365" s="7">
        <v>33442.589999999997</v>
      </c>
      <c r="W365" s="9">
        <f t="shared" si="44"/>
        <v>32278.14</v>
      </c>
      <c r="X365" s="9"/>
      <c r="Y365" s="9"/>
      <c r="Z365" s="9"/>
      <c r="AA365" s="9">
        <f t="shared" si="40"/>
        <v>32278.14</v>
      </c>
      <c r="AB365" s="7" t="e">
        <f>W365-#REF!</f>
        <v>#REF!</v>
      </c>
      <c r="AC365" s="12"/>
      <c r="AD365" s="12"/>
      <c r="AE365" s="12"/>
      <c r="AF365" s="12"/>
      <c r="AG365" s="13"/>
      <c r="AH365" s="13"/>
      <c r="AI365" s="13"/>
      <c r="AJ365" s="13"/>
    </row>
    <row r="366" spans="1:36" s="1" customFormat="1" x14ac:dyDescent="0.25">
      <c r="A366">
        <v>4038</v>
      </c>
      <c r="B366">
        <v>7</v>
      </c>
      <c r="C366">
        <f t="shared" si="38"/>
        <v>7</v>
      </c>
      <c r="D366" s="1" t="s">
        <v>397</v>
      </c>
      <c r="E366" s="7">
        <v>-289117.05</v>
      </c>
      <c r="F366" s="7">
        <v>-289117.05</v>
      </c>
      <c r="G366" s="7">
        <v>-216369.53999999998</v>
      </c>
      <c r="H366" s="7">
        <v>-88128.639999999985</v>
      </c>
      <c r="I366" s="7">
        <v>-88610.62</v>
      </c>
      <c r="J366" s="7">
        <v>-88128.62</v>
      </c>
      <c r="K366" s="7">
        <v>-88128.629999999976</v>
      </c>
      <c r="L366" s="7">
        <v>-88610.63</v>
      </c>
      <c r="M366" s="7">
        <v>-88128.629999999976</v>
      </c>
      <c r="N366" s="7">
        <v>-88128.629999999976</v>
      </c>
      <c r="O366" s="7">
        <v>200506.44</v>
      </c>
      <c r="P366" s="7">
        <v>200988.42</v>
      </c>
      <c r="Q366" s="7">
        <v>200988.42</v>
      </c>
      <c r="R366" s="7">
        <v>200506.43</v>
      </c>
      <c r="S366" s="7">
        <v>200988.42</v>
      </c>
      <c r="T366" s="7">
        <v>200988.42</v>
      </c>
      <c r="U366" s="7">
        <v>200506.44</v>
      </c>
      <c r="V366" s="7">
        <v>200988.42</v>
      </c>
      <c r="W366" s="9">
        <f t="shared" si="44"/>
        <v>193993.37000000046</v>
      </c>
      <c r="X366" s="9"/>
      <c r="Y366" s="9"/>
      <c r="Z366" s="9"/>
      <c r="AA366" s="9">
        <f t="shared" si="40"/>
        <v>193993.37000000046</v>
      </c>
      <c r="AB366" s="7" t="e">
        <f>W366-#REF!</f>
        <v>#REF!</v>
      </c>
      <c r="AC366" s="12"/>
      <c r="AD366" s="12"/>
      <c r="AE366" s="12"/>
      <c r="AF366" s="12"/>
      <c r="AG366" s="13"/>
      <c r="AH366" s="13"/>
      <c r="AI366" s="13"/>
      <c r="AJ366" s="13"/>
    </row>
    <row r="367" spans="1:36" s="1" customFormat="1" x14ac:dyDescent="0.25">
      <c r="A367">
        <v>4039</v>
      </c>
      <c r="B367">
        <v>7</v>
      </c>
      <c r="C367">
        <f t="shared" si="38"/>
        <v>7</v>
      </c>
      <c r="D367" s="1" t="s">
        <v>398</v>
      </c>
      <c r="E367" s="7">
        <v>-149150.79</v>
      </c>
      <c r="F367" s="7">
        <v>-149150.79</v>
      </c>
      <c r="G367" s="7">
        <v>-111622.47</v>
      </c>
      <c r="H367" s="7">
        <v>-45464.23000000001</v>
      </c>
      <c r="I367" s="7">
        <v>-45712.880000000005</v>
      </c>
      <c r="J367" s="7">
        <v>-45464.239999999991</v>
      </c>
      <c r="K367" s="7">
        <v>-45464.240000000005</v>
      </c>
      <c r="L367" s="7">
        <v>-45712.880000000005</v>
      </c>
      <c r="M367" s="7">
        <v>-45464.23000000001</v>
      </c>
      <c r="N367" s="7">
        <v>-45464.23000000001</v>
      </c>
      <c r="O367" s="7">
        <v>103437.9</v>
      </c>
      <c r="P367" s="7">
        <v>103686.56</v>
      </c>
      <c r="Q367" s="7">
        <v>103686.56</v>
      </c>
      <c r="R367" s="7">
        <v>103437.91</v>
      </c>
      <c r="S367" s="7">
        <v>103686.56</v>
      </c>
      <c r="T367" s="7">
        <v>103686.55</v>
      </c>
      <c r="U367" s="7">
        <v>103437.91</v>
      </c>
      <c r="V367" s="7">
        <v>103686.56</v>
      </c>
      <c r="W367" s="9">
        <f t="shared" si="44"/>
        <v>100075.53000000007</v>
      </c>
      <c r="X367" s="9"/>
      <c r="Y367" s="9"/>
      <c r="Z367" s="9"/>
      <c r="AA367" s="9">
        <f t="shared" si="40"/>
        <v>100075.53000000007</v>
      </c>
      <c r="AB367" s="7" t="e">
        <f>W367-#REF!</f>
        <v>#REF!</v>
      </c>
      <c r="AC367" s="12"/>
      <c r="AD367" s="12"/>
      <c r="AE367" s="12"/>
      <c r="AF367" s="12"/>
      <c r="AG367" s="13"/>
      <c r="AH367" s="13"/>
      <c r="AI367" s="13"/>
      <c r="AJ367" s="13"/>
    </row>
    <row r="368" spans="1:36" s="1" customFormat="1" x14ac:dyDescent="0.25">
      <c r="A368">
        <v>4042</v>
      </c>
      <c r="B368">
        <v>7</v>
      </c>
      <c r="C368">
        <f t="shared" ref="C368:C431" si="45">B368</f>
        <v>7</v>
      </c>
      <c r="D368" s="1" t="s">
        <v>399</v>
      </c>
      <c r="E368" s="7">
        <v>-103705.98</v>
      </c>
      <c r="F368" s="7">
        <v>-103705.97</v>
      </c>
      <c r="G368" s="7">
        <v>-77631.760000000009</v>
      </c>
      <c r="H368" s="7">
        <v>-31613.909999999989</v>
      </c>
      <c r="I368" s="7">
        <v>-31786.770000000004</v>
      </c>
      <c r="J368" s="7">
        <v>-31613.899999999994</v>
      </c>
      <c r="K368" s="7">
        <v>-31613.899999999994</v>
      </c>
      <c r="L368" s="7">
        <v>-31786.770000000004</v>
      </c>
      <c r="M368" s="7">
        <v>-31613.909999999989</v>
      </c>
      <c r="N368" s="7">
        <v>-31613.89</v>
      </c>
      <c r="O368" s="7">
        <v>71919.199999999997</v>
      </c>
      <c r="P368" s="7">
        <v>72092.070000000007</v>
      </c>
      <c r="Q368" s="7">
        <v>72092.08</v>
      </c>
      <c r="R368" s="7">
        <v>71919.19</v>
      </c>
      <c r="S368" s="7">
        <v>72092.08</v>
      </c>
      <c r="T368" s="7">
        <v>72092.08</v>
      </c>
      <c r="U368" s="7">
        <v>71919.19</v>
      </c>
      <c r="V368" s="7">
        <v>72092.08</v>
      </c>
      <c r="W368" s="9">
        <f t="shared" si="44"/>
        <v>69531.209999999992</v>
      </c>
      <c r="X368" s="9"/>
      <c r="Y368" s="9"/>
      <c r="Z368" s="9"/>
      <c r="AA368" s="9">
        <f t="shared" si="40"/>
        <v>69531.209999999992</v>
      </c>
      <c r="AB368" s="7" t="e">
        <f>W368-#REF!</f>
        <v>#REF!</v>
      </c>
      <c r="AC368" s="12"/>
      <c r="AD368" s="12"/>
      <c r="AE368" s="12"/>
      <c r="AF368" s="12"/>
      <c r="AG368" s="13"/>
      <c r="AH368" s="13"/>
      <c r="AI368" s="13"/>
      <c r="AJ368" s="13"/>
    </row>
    <row r="369" spans="1:36" s="1" customFormat="1" x14ac:dyDescent="0.25">
      <c r="A369">
        <v>4043</v>
      </c>
      <c r="B369">
        <v>7</v>
      </c>
      <c r="C369">
        <f t="shared" si="45"/>
        <v>7</v>
      </c>
      <c r="D369" s="1" t="s">
        <v>400</v>
      </c>
      <c r="E369" s="7">
        <v>-175611.49</v>
      </c>
      <c r="F369" s="7">
        <v>-175611.5</v>
      </c>
      <c r="G369" s="7">
        <v>-131374</v>
      </c>
      <c r="H369" s="7">
        <v>-53524.289999999994</v>
      </c>
      <c r="I369" s="7">
        <v>-53817.08</v>
      </c>
      <c r="J369" s="7">
        <v>-53524.289999999994</v>
      </c>
      <c r="K369" s="7">
        <v>-53524.289999999994</v>
      </c>
      <c r="L369" s="7">
        <v>-53817.08</v>
      </c>
      <c r="M369" s="7">
        <v>-53524.289999999994</v>
      </c>
      <c r="N369" s="7">
        <v>-53524.3</v>
      </c>
      <c r="O369" s="7">
        <v>121794.43000000001</v>
      </c>
      <c r="P369" s="7">
        <v>122087.2</v>
      </c>
      <c r="Q369" s="7">
        <v>122087.2</v>
      </c>
      <c r="R369" s="7">
        <v>121794.42</v>
      </c>
      <c r="S369" s="7">
        <v>122087.2</v>
      </c>
      <c r="T369" s="7">
        <v>122087.2</v>
      </c>
      <c r="U369" s="7">
        <v>121794.43</v>
      </c>
      <c r="V369" s="7">
        <v>122087.2</v>
      </c>
      <c r="W369" s="9">
        <f t="shared" si="44"/>
        <v>117966.6699999999</v>
      </c>
      <c r="X369" s="9"/>
      <c r="Y369" s="9"/>
      <c r="Z369" s="9"/>
      <c r="AA369" s="9">
        <f t="shared" si="40"/>
        <v>117966.6699999999</v>
      </c>
      <c r="AB369" s="7" t="e">
        <f>W369-#REF!</f>
        <v>#REF!</v>
      </c>
      <c r="AC369" s="12"/>
      <c r="AD369" s="12"/>
      <c r="AE369" s="12"/>
      <c r="AF369" s="12"/>
      <c r="AG369" s="13"/>
      <c r="AH369" s="13"/>
      <c r="AI369" s="13"/>
      <c r="AJ369" s="13"/>
    </row>
    <row r="370" spans="1:36" s="1" customFormat="1" x14ac:dyDescent="0.25">
      <c r="A370">
        <v>4049</v>
      </c>
      <c r="B370">
        <v>7</v>
      </c>
      <c r="C370">
        <f t="shared" si="45"/>
        <v>7</v>
      </c>
      <c r="D370" s="1" t="s">
        <v>401</v>
      </c>
      <c r="E370" s="7">
        <v>-95746.54</v>
      </c>
      <c r="F370" s="7">
        <v>-95746.53</v>
      </c>
      <c r="G370" s="7">
        <v>-71632.149999999994</v>
      </c>
      <c r="H370" s="7">
        <v>-29182.92</v>
      </c>
      <c r="I370" s="7">
        <v>-29342.559999999998</v>
      </c>
      <c r="J370" s="7">
        <v>-29182.92</v>
      </c>
      <c r="K370" s="7">
        <v>-29182.929999999993</v>
      </c>
      <c r="L370" s="7">
        <v>-29342.550000000003</v>
      </c>
      <c r="M370" s="7">
        <v>-29182.929999999993</v>
      </c>
      <c r="N370" s="7">
        <v>-29182.92</v>
      </c>
      <c r="O370" s="7">
        <v>66403.98000000001</v>
      </c>
      <c r="P370" s="7">
        <v>66563.61</v>
      </c>
      <c r="Q370" s="7">
        <v>66563.61</v>
      </c>
      <c r="R370" s="7">
        <v>66403.98</v>
      </c>
      <c r="S370" s="7">
        <v>66563.61</v>
      </c>
      <c r="T370" s="7">
        <v>66563.61</v>
      </c>
      <c r="U370" s="7">
        <v>66403.98</v>
      </c>
      <c r="V370" s="7">
        <v>66563.61</v>
      </c>
      <c r="W370" s="9">
        <f t="shared" si="44"/>
        <v>64305.040000000081</v>
      </c>
      <c r="X370" s="9"/>
      <c r="Y370" s="9"/>
      <c r="Z370" s="9"/>
      <c r="AA370" s="9">
        <f t="shared" si="40"/>
        <v>64305.040000000081</v>
      </c>
      <c r="AB370" s="7" t="e">
        <f>W370-#REF!</f>
        <v>#REF!</v>
      </c>
      <c r="AC370" s="12"/>
      <c r="AD370" s="12"/>
      <c r="AE370" s="12"/>
      <c r="AF370" s="12"/>
      <c r="AG370" s="13"/>
      <c r="AH370" s="13"/>
      <c r="AI370" s="13"/>
      <c r="AJ370" s="13"/>
    </row>
    <row r="371" spans="1:36" s="1" customFormat="1" x14ac:dyDescent="0.25">
      <c r="A371">
        <v>4050</v>
      </c>
      <c r="B371">
        <v>7</v>
      </c>
      <c r="C371">
        <f t="shared" si="45"/>
        <v>7</v>
      </c>
      <c r="D371" s="1" t="s">
        <v>402</v>
      </c>
      <c r="E371" s="7">
        <v>-46336.92</v>
      </c>
      <c r="F371" s="7">
        <v>-46336.93</v>
      </c>
      <c r="G371" s="7">
        <v>-34672.089999999997</v>
      </c>
      <c r="H371" s="7">
        <v>-14123.8</v>
      </c>
      <c r="I371" s="7">
        <v>-14201.039999999997</v>
      </c>
      <c r="J371" s="7">
        <v>-14123.8</v>
      </c>
      <c r="K371" s="7">
        <v>-14123.8</v>
      </c>
      <c r="L371" s="7">
        <v>-14201.05</v>
      </c>
      <c r="M371" s="7">
        <v>-14123.8</v>
      </c>
      <c r="N371" s="7">
        <v>-14123.8</v>
      </c>
      <c r="O371" s="7">
        <v>32135.879999999997</v>
      </c>
      <c r="P371" s="7">
        <v>32213.119999999999</v>
      </c>
      <c r="Q371" s="7">
        <v>32213.119999999999</v>
      </c>
      <c r="R371" s="7">
        <v>32135.88</v>
      </c>
      <c r="S371" s="7">
        <v>32213.119999999999</v>
      </c>
      <c r="T371" s="7">
        <v>32213.119999999999</v>
      </c>
      <c r="U371" s="7">
        <v>32135.88</v>
      </c>
      <c r="V371" s="7">
        <v>32213.119999999999</v>
      </c>
      <c r="W371" s="9">
        <f t="shared" si="44"/>
        <v>31106.21000000005</v>
      </c>
      <c r="X371" s="9"/>
      <c r="Y371" s="9"/>
      <c r="Z371" s="9"/>
      <c r="AA371" s="9">
        <f t="shared" si="40"/>
        <v>31106.21000000005</v>
      </c>
      <c r="AB371" s="7" t="e">
        <f>W371-#REF!</f>
        <v>#REF!</v>
      </c>
      <c r="AC371" s="12"/>
      <c r="AD371" s="12"/>
      <c r="AE371" s="12"/>
      <c r="AF371" s="12"/>
      <c r="AG371" s="13"/>
      <c r="AH371" s="13"/>
      <c r="AI371" s="13"/>
      <c r="AJ371" s="13"/>
    </row>
    <row r="372" spans="1:36" s="1" customFormat="1" x14ac:dyDescent="0.25">
      <c r="A372">
        <v>4053</v>
      </c>
      <c r="B372">
        <v>7</v>
      </c>
      <c r="C372">
        <f t="shared" si="45"/>
        <v>7</v>
      </c>
      <c r="D372" s="1" t="s">
        <v>403</v>
      </c>
      <c r="E372" s="7">
        <v>-192875.31</v>
      </c>
      <c r="F372" s="7">
        <v>-192875.32</v>
      </c>
      <c r="G372" s="7">
        <v>-144327.10999999999</v>
      </c>
      <c r="H372" s="7">
        <v>-58790.34</v>
      </c>
      <c r="I372" s="7">
        <v>-59111.889999999985</v>
      </c>
      <c r="J372" s="7">
        <v>-58790.34</v>
      </c>
      <c r="K372" s="7">
        <v>-58790.350000000006</v>
      </c>
      <c r="L372" s="7">
        <v>-59111.889999999985</v>
      </c>
      <c r="M372" s="7">
        <v>-58790.34</v>
      </c>
      <c r="N372" s="7">
        <v>-58790.34</v>
      </c>
      <c r="O372" s="7">
        <v>133763.42000000001</v>
      </c>
      <c r="P372" s="7">
        <v>134084.96</v>
      </c>
      <c r="Q372" s="7">
        <v>134084.97</v>
      </c>
      <c r="R372" s="7">
        <v>133763.42000000001</v>
      </c>
      <c r="S372" s="7">
        <v>134084.97</v>
      </c>
      <c r="T372" s="7">
        <v>134084.96</v>
      </c>
      <c r="U372" s="7">
        <v>133763.42000000001</v>
      </c>
      <c r="V372" s="7">
        <v>134084.97</v>
      </c>
      <c r="W372" s="9">
        <f t="shared" si="44"/>
        <v>129461.86000000013</v>
      </c>
      <c r="X372" s="9"/>
      <c r="Y372" s="9"/>
      <c r="Z372" s="9"/>
      <c r="AA372" s="9">
        <f t="shared" si="40"/>
        <v>129461.86000000013</v>
      </c>
      <c r="AB372" s="7" t="e">
        <f>W372-#REF!</f>
        <v>#REF!</v>
      </c>
      <c r="AC372" s="12"/>
      <c r="AD372" s="12"/>
      <c r="AE372" s="12"/>
      <c r="AF372" s="12"/>
      <c r="AG372" s="13"/>
      <c r="AH372" s="13"/>
      <c r="AI372" s="13"/>
      <c r="AJ372" s="13"/>
    </row>
    <row r="373" spans="1:36" s="1" customFormat="1" x14ac:dyDescent="0.25">
      <c r="A373">
        <v>4054</v>
      </c>
      <c r="B373">
        <v>7</v>
      </c>
      <c r="C373">
        <f t="shared" si="45"/>
        <v>7</v>
      </c>
      <c r="D373" s="1" t="s">
        <v>404</v>
      </c>
      <c r="E373" s="7">
        <v>-21275.43</v>
      </c>
      <c r="F373" s="7">
        <v>-21275.439999999999</v>
      </c>
      <c r="G373" s="7">
        <v>-15930.25</v>
      </c>
      <c r="H373" s="7">
        <v>-6486.08</v>
      </c>
      <c r="I373" s="7">
        <v>-6521.5400000000009</v>
      </c>
      <c r="J373" s="7">
        <v>-6486.0799999999981</v>
      </c>
      <c r="K373" s="7">
        <v>-6486.08</v>
      </c>
      <c r="L373" s="7">
        <v>-6521.5400000000009</v>
      </c>
      <c r="M373" s="7">
        <v>-6486.0899999999983</v>
      </c>
      <c r="N373" s="7">
        <v>-6486.08</v>
      </c>
      <c r="O373" s="7">
        <v>14753.89</v>
      </c>
      <c r="P373" s="7">
        <v>14789.35</v>
      </c>
      <c r="Q373" s="7">
        <v>14789.36</v>
      </c>
      <c r="R373" s="7">
        <v>14753.88</v>
      </c>
      <c r="S373" s="7">
        <v>14789.36</v>
      </c>
      <c r="T373" s="7">
        <v>14789.35</v>
      </c>
      <c r="U373" s="7">
        <v>14753.89</v>
      </c>
      <c r="V373" s="7">
        <v>14789.35</v>
      </c>
      <c r="W373" s="9">
        <f t="shared" ref="W373:W404" si="46">SUM(E373:V373)</f>
        <v>14253.820000000003</v>
      </c>
      <c r="X373" s="9"/>
      <c r="Y373" s="9"/>
      <c r="Z373" s="9"/>
      <c r="AA373" s="9">
        <f t="shared" si="40"/>
        <v>14253.820000000003</v>
      </c>
      <c r="AB373" s="7" t="e">
        <f>W373-#REF!</f>
        <v>#REF!</v>
      </c>
      <c r="AC373" s="12"/>
      <c r="AD373" s="12"/>
      <c r="AE373" s="12"/>
      <c r="AF373" s="12"/>
      <c r="AG373" s="13"/>
      <c r="AH373" s="13"/>
      <c r="AI373" s="13"/>
      <c r="AJ373" s="13"/>
    </row>
    <row r="374" spans="1:36" s="1" customFormat="1" x14ac:dyDescent="0.25">
      <c r="A374">
        <v>4055</v>
      </c>
      <c r="B374">
        <v>7</v>
      </c>
      <c r="C374">
        <f t="shared" si="45"/>
        <v>7</v>
      </c>
      <c r="D374" s="1" t="s">
        <v>405</v>
      </c>
      <c r="E374" s="7">
        <v>-66027.48</v>
      </c>
      <c r="F374" s="7">
        <v>-66027.48</v>
      </c>
      <c r="G374" s="7">
        <v>-49408.459999999992</v>
      </c>
      <c r="H374" s="7">
        <v>-20125.910000000003</v>
      </c>
      <c r="I374" s="7">
        <v>-20235.989999999998</v>
      </c>
      <c r="J374" s="7">
        <v>-20125.899999999994</v>
      </c>
      <c r="K374" s="7">
        <v>-20125.909999999996</v>
      </c>
      <c r="L374" s="7">
        <v>-20236.000000000007</v>
      </c>
      <c r="M374" s="7">
        <v>-20125.899999999994</v>
      </c>
      <c r="N374" s="7">
        <v>-20125.909999999996</v>
      </c>
      <c r="O374" s="7">
        <v>45791.5</v>
      </c>
      <c r="P374" s="7">
        <v>45901.57</v>
      </c>
      <c r="Q374" s="7">
        <v>45901.57</v>
      </c>
      <c r="R374" s="7">
        <v>45791.5</v>
      </c>
      <c r="S374" s="7">
        <v>45901.57</v>
      </c>
      <c r="T374" s="7">
        <v>45901.57</v>
      </c>
      <c r="U374" s="7">
        <v>45791.5</v>
      </c>
      <c r="V374" s="7">
        <v>45901.57</v>
      </c>
      <c r="W374" s="9">
        <f t="shared" si="46"/>
        <v>44317.410000000018</v>
      </c>
      <c r="X374" s="9"/>
      <c r="Y374" s="9"/>
      <c r="Z374" s="9"/>
      <c r="AA374" s="9">
        <f t="shared" si="40"/>
        <v>44317.410000000018</v>
      </c>
      <c r="AB374" s="7" t="e">
        <f>W374-#REF!</f>
        <v>#REF!</v>
      </c>
      <c r="AC374" s="12"/>
      <c r="AD374" s="12"/>
      <c r="AE374" s="12"/>
      <c r="AF374" s="12"/>
      <c r="AG374" s="13"/>
      <c r="AH374" s="13"/>
      <c r="AI374" s="13"/>
      <c r="AJ374" s="13"/>
    </row>
    <row r="375" spans="1:36" s="1" customFormat="1" x14ac:dyDescent="0.25">
      <c r="A375">
        <v>4056</v>
      </c>
      <c r="B375">
        <v>7</v>
      </c>
      <c r="C375">
        <f t="shared" si="45"/>
        <v>7</v>
      </c>
      <c r="D375" s="1" t="s">
        <v>406</v>
      </c>
      <c r="E375" s="7">
        <v>-57068.91</v>
      </c>
      <c r="F375" s="7">
        <v>-57068.92</v>
      </c>
      <c r="G375" s="7">
        <v>-42697.57</v>
      </c>
      <c r="H375" s="7">
        <v>-17394.449999999997</v>
      </c>
      <c r="I375" s="7">
        <v>-17489.580000000002</v>
      </c>
      <c r="J375" s="7">
        <v>-17394.439999999995</v>
      </c>
      <c r="K375" s="7">
        <v>-17394.439999999995</v>
      </c>
      <c r="L375" s="7">
        <v>-17489.589999999997</v>
      </c>
      <c r="M375" s="7">
        <v>-17394.43</v>
      </c>
      <c r="N375" s="7">
        <v>-17394.449999999997</v>
      </c>
      <c r="O375" s="7">
        <v>39579.33</v>
      </c>
      <c r="P375" s="7">
        <v>39674.480000000003</v>
      </c>
      <c r="Q375" s="7">
        <v>39674.480000000003</v>
      </c>
      <c r="R375" s="7">
        <v>39579.33</v>
      </c>
      <c r="S375" s="7">
        <v>39674.480000000003</v>
      </c>
      <c r="T375" s="7">
        <v>39674.47</v>
      </c>
      <c r="U375" s="7">
        <v>39579.33</v>
      </c>
      <c r="V375" s="7">
        <v>39674.480000000003</v>
      </c>
      <c r="W375" s="9">
        <f t="shared" si="46"/>
        <v>38323.600000000071</v>
      </c>
      <c r="X375" s="9"/>
      <c r="Y375" s="9"/>
      <c r="Z375" s="9"/>
      <c r="AA375" s="9">
        <f t="shared" si="40"/>
        <v>38323.600000000071</v>
      </c>
      <c r="AB375" s="7" t="e">
        <f>W375-#REF!</f>
        <v>#REF!</v>
      </c>
      <c r="AC375" s="12"/>
      <c r="AD375" s="12"/>
      <c r="AE375" s="12"/>
      <c r="AF375" s="12"/>
      <c r="AG375" s="13"/>
      <c r="AH375" s="13"/>
      <c r="AI375" s="13"/>
      <c r="AJ375" s="13"/>
    </row>
    <row r="376" spans="1:36" s="1" customFormat="1" x14ac:dyDescent="0.25">
      <c r="A376">
        <v>4057</v>
      </c>
      <c r="B376">
        <v>7</v>
      </c>
      <c r="C376">
        <f t="shared" si="45"/>
        <v>7</v>
      </c>
      <c r="D376" s="1" t="s">
        <v>407</v>
      </c>
      <c r="E376" s="7">
        <v>-54046.32</v>
      </c>
      <c r="F376" s="7">
        <v>-54046.33</v>
      </c>
      <c r="G376" s="7">
        <v>-40450.020000000004</v>
      </c>
      <c r="H376" s="7">
        <v>-16474.699999999997</v>
      </c>
      <c r="I376" s="7">
        <v>-16564.809999999998</v>
      </c>
      <c r="J376" s="7">
        <v>-16474.699999999997</v>
      </c>
      <c r="K376" s="7">
        <v>-16474.71</v>
      </c>
      <c r="L376" s="7">
        <v>-16564.82</v>
      </c>
      <c r="M376" s="7">
        <v>-16474.699999999997</v>
      </c>
      <c r="N376" s="7">
        <v>-16474.71</v>
      </c>
      <c r="O376" s="7">
        <v>37481.520000000004</v>
      </c>
      <c r="P376" s="7">
        <v>37571.61</v>
      </c>
      <c r="Q376" s="7">
        <v>37571.620000000003</v>
      </c>
      <c r="R376" s="7">
        <v>37481.51</v>
      </c>
      <c r="S376" s="7">
        <v>37571.620000000003</v>
      </c>
      <c r="T376" s="7">
        <v>37571.61</v>
      </c>
      <c r="U376" s="7">
        <v>37481.519999999997</v>
      </c>
      <c r="V376" s="7">
        <v>37571.61</v>
      </c>
      <c r="W376" s="9">
        <f t="shared" si="46"/>
        <v>36256.799999999996</v>
      </c>
      <c r="X376" s="9"/>
      <c r="Y376" s="9"/>
      <c r="Z376" s="9"/>
      <c r="AA376" s="9">
        <f t="shared" si="40"/>
        <v>36256.799999999996</v>
      </c>
      <c r="AB376" s="7" t="e">
        <f>W376-#REF!</f>
        <v>#REF!</v>
      </c>
      <c r="AC376" s="12"/>
      <c r="AD376" s="12"/>
      <c r="AE376" s="12"/>
      <c r="AF376" s="12"/>
      <c r="AG376" s="13"/>
      <c r="AH376" s="13"/>
      <c r="AI376" s="13"/>
      <c r="AJ376" s="13"/>
    </row>
    <row r="377" spans="1:36" s="1" customFormat="1" x14ac:dyDescent="0.25">
      <c r="A377">
        <v>4058</v>
      </c>
      <c r="B377">
        <v>7</v>
      </c>
      <c r="C377">
        <f t="shared" si="45"/>
        <v>7</v>
      </c>
      <c r="D377" s="1" t="s">
        <v>408</v>
      </c>
      <c r="E377" s="7">
        <v>-95866.03</v>
      </c>
      <c r="F377" s="7">
        <v>-95866.03</v>
      </c>
      <c r="G377" s="7">
        <v>-71697</v>
      </c>
      <c r="H377" s="7">
        <v>-29216.619999999995</v>
      </c>
      <c r="I377" s="7">
        <v>-29376.449999999997</v>
      </c>
      <c r="J377" s="7">
        <v>-29216.61</v>
      </c>
      <c r="K377" s="7">
        <v>-29216.630000000005</v>
      </c>
      <c r="L377" s="7">
        <v>-29376.449999999997</v>
      </c>
      <c r="M377" s="7">
        <v>-29216.61</v>
      </c>
      <c r="N377" s="7">
        <v>-29216.619999999995</v>
      </c>
      <c r="O377" s="7">
        <v>66489.570000000007</v>
      </c>
      <c r="P377" s="7">
        <v>66649.41</v>
      </c>
      <c r="Q377" s="7">
        <v>66649.41</v>
      </c>
      <c r="R377" s="7">
        <v>66489.58</v>
      </c>
      <c r="S377" s="7">
        <v>66649.41</v>
      </c>
      <c r="T377" s="7">
        <v>66649.399999999994</v>
      </c>
      <c r="U377" s="7">
        <v>66489.58</v>
      </c>
      <c r="V377" s="7">
        <v>66649.41</v>
      </c>
      <c r="W377" s="9">
        <f t="shared" si="46"/>
        <v>64450.720000000103</v>
      </c>
      <c r="X377" s="9"/>
      <c r="Y377" s="9"/>
      <c r="Z377" s="9"/>
      <c r="AA377" s="9">
        <f t="shared" si="40"/>
        <v>64450.720000000103</v>
      </c>
      <c r="AB377" s="7" t="e">
        <f>W377-#REF!</f>
        <v>#REF!</v>
      </c>
      <c r="AC377" s="12"/>
      <c r="AD377" s="12"/>
      <c r="AE377" s="12"/>
      <c r="AF377" s="12"/>
      <c r="AG377" s="13"/>
      <c r="AH377" s="13"/>
      <c r="AI377" s="13"/>
      <c r="AJ377" s="13"/>
    </row>
    <row r="378" spans="1:36" s="1" customFormat="1" x14ac:dyDescent="0.25">
      <c r="A378">
        <v>4059</v>
      </c>
      <c r="B378">
        <v>7</v>
      </c>
      <c r="C378">
        <f t="shared" si="45"/>
        <v>7</v>
      </c>
      <c r="D378" s="1" t="s">
        <v>409</v>
      </c>
      <c r="E378" s="7">
        <v>-71422.97</v>
      </c>
      <c r="F378" s="7">
        <v>-71422.98</v>
      </c>
      <c r="G378" s="7">
        <v>-53456.07</v>
      </c>
      <c r="H378" s="7">
        <v>-21771.64</v>
      </c>
      <c r="I378" s="7">
        <v>-21890.71</v>
      </c>
      <c r="J378" s="7">
        <v>-21771.649999999994</v>
      </c>
      <c r="K378" s="7">
        <v>-21771.65</v>
      </c>
      <c r="L378" s="7">
        <v>-21890.71</v>
      </c>
      <c r="M378" s="7">
        <v>-21771.649999999994</v>
      </c>
      <c r="N378" s="7">
        <v>-21771.64</v>
      </c>
      <c r="O378" s="7">
        <v>49532.26</v>
      </c>
      <c r="P378" s="7">
        <v>49651.32</v>
      </c>
      <c r="Q378" s="7">
        <v>49651.33</v>
      </c>
      <c r="R378" s="7">
        <v>49532.26</v>
      </c>
      <c r="S378" s="7">
        <v>49651.33</v>
      </c>
      <c r="T378" s="7">
        <v>49651.32</v>
      </c>
      <c r="U378" s="7">
        <v>49532.26</v>
      </c>
      <c r="V378" s="7">
        <v>49651.33</v>
      </c>
      <c r="W378" s="9">
        <f t="shared" si="46"/>
        <v>47911.740000000005</v>
      </c>
      <c r="X378" s="9"/>
      <c r="Y378" s="9"/>
      <c r="Z378" s="9"/>
      <c r="AA378" s="9">
        <f t="shared" si="40"/>
        <v>47911.740000000005</v>
      </c>
      <c r="AB378" s="7" t="e">
        <f>W378-#REF!</f>
        <v>#REF!</v>
      </c>
      <c r="AC378" s="12"/>
      <c r="AD378" s="12"/>
      <c r="AE378" s="12"/>
      <c r="AF378" s="12"/>
      <c r="AG378" s="13"/>
      <c r="AH378" s="13"/>
      <c r="AI378" s="13"/>
      <c r="AJ378" s="13"/>
    </row>
    <row r="379" spans="1:36" s="1" customFormat="1" x14ac:dyDescent="0.25">
      <c r="A379">
        <v>4064</v>
      </c>
      <c r="B379">
        <v>7</v>
      </c>
      <c r="C379">
        <f t="shared" si="45"/>
        <v>7</v>
      </c>
      <c r="D379" s="1" t="s">
        <v>410</v>
      </c>
      <c r="E379" s="7">
        <v>-65846.59</v>
      </c>
      <c r="F379" s="7">
        <v>-65846.58</v>
      </c>
      <c r="G379" s="7">
        <v>-49257.65</v>
      </c>
      <c r="H379" s="7">
        <v>-20069.059999999998</v>
      </c>
      <c r="I379" s="7">
        <v>-20178.82</v>
      </c>
      <c r="J379" s="7">
        <v>-20069.059999999998</v>
      </c>
      <c r="K379" s="7">
        <v>-20069.060000000005</v>
      </c>
      <c r="L379" s="7">
        <v>-20178.82</v>
      </c>
      <c r="M379" s="7">
        <v>-20069.059999999998</v>
      </c>
      <c r="N379" s="7">
        <v>-20069.050000000003</v>
      </c>
      <c r="O379" s="7">
        <v>45667.75</v>
      </c>
      <c r="P379" s="7">
        <v>45777.53</v>
      </c>
      <c r="Q379" s="7">
        <v>45777.53</v>
      </c>
      <c r="R379" s="7">
        <v>45667.75</v>
      </c>
      <c r="S379" s="7">
        <v>45777.53</v>
      </c>
      <c r="T379" s="7">
        <v>45777.53</v>
      </c>
      <c r="U379" s="7">
        <v>45667.75</v>
      </c>
      <c r="V379" s="7">
        <v>45777.53</v>
      </c>
      <c r="W379" s="9">
        <f t="shared" si="46"/>
        <v>44237.150000000052</v>
      </c>
      <c r="X379" s="9"/>
      <c r="Y379" s="9"/>
      <c r="Z379" s="9"/>
      <c r="AA379" s="9">
        <f t="shared" si="40"/>
        <v>44237.150000000052</v>
      </c>
      <c r="AB379" s="7" t="e">
        <f>W379-#REF!</f>
        <v>#REF!</v>
      </c>
      <c r="AC379" s="12"/>
      <c r="AD379" s="12"/>
      <c r="AE379" s="12"/>
      <c r="AF379" s="12"/>
      <c r="AG379" s="13"/>
      <c r="AH379" s="13"/>
      <c r="AI379" s="13"/>
      <c r="AJ379" s="13"/>
    </row>
    <row r="380" spans="1:36" s="1" customFormat="1" x14ac:dyDescent="0.25">
      <c r="A380">
        <v>4066</v>
      </c>
      <c r="B380">
        <v>7</v>
      </c>
      <c r="C380">
        <f t="shared" si="45"/>
        <v>7</v>
      </c>
      <c r="D380" s="1" t="s">
        <v>411</v>
      </c>
      <c r="E380" s="7">
        <v>-55157.94</v>
      </c>
      <c r="F380" s="7">
        <v>-55157.95</v>
      </c>
      <c r="G380" s="7">
        <v>-41272.36</v>
      </c>
      <c r="H380" s="7">
        <v>-16812.480000000003</v>
      </c>
      <c r="I380" s="7">
        <v>-16904.450000000004</v>
      </c>
      <c r="J380" s="7">
        <v>-16812.480000000003</v>
      </c>
      <c r="K380" s="7">
        <v>-16812.480000000003</v>
      </c>
      <c r="L380" s="7">
        <v>-16904.46</v>
      </c>
      <c r="M380" s="7">
        <v>-16812.480000000003</v>
      </c>
      <c r="N380" s="7">
        <v>-16812.480000000003</v>
      </c>
      <c r="O380" s="7">
        <v>38253.49</v>
      </c>
      <c r="P380" s="7">
        <v>38345.46</v>
      </c>
      <c r="Q380" s="7">
        <v>38345.46</v>
      </c>
      <c r="R380" s="7">
        <v>38253.49</v>
      </c>
      <c r="S380" s="7">
        <v>38345.46</v>
      </c>
      <c r="T380" s="7">
        <v>38345.46</v>
      </c>
      <c r="U380" s="7">
        <v>38253.49</v>
      </c>
      <c r="V380" s="7">
        <v>38345.46</v>
      </c>
      <c r="W380" s="9">
        <f t="shared" si="46"/>
        <v>37028.209999999897</v>
      </c>
      <c r="X380" s="9"/>
      <c r="Y380" s="9"/>
      <c r="Z380" s="9"/>
      <c r="AA380" s="9">
        <f t="shared" si="40"/>
        <v>37028.209999999897</v>
      </c>
      <c r="AB380" s="7" t="e">
        <f>W380-#REF!</f>
        <v>#REF!</v>
      </c>
      <c r="AC380" s="12"/>
      <c r="AD380" s="12"/>
      <c r="AE380" s="12"/>
      <c r="AF380" s="12"/>
      <c r="AG380" s="13"/>
      <c r="AH380" s="13"/>
      <c r="AI380" s="13"/>
      <c r="AJ380" s="13"/>
    </row>
    <row r="381" spans="1:36" s="1" customFormat="1" x14ac:dyDescent="0.25">
      <c r="A381">
        <v>4067</v>
      </c>
      <c r="B381">
        <v>7</v>
      </c>
      <c r="C381">
        <f t="shared" si="45"/>
        <v>7</v>
      </c>
      <c r="D381" s="1" t="s">
        <v>412</v>
      </c>
      <c r="E381" s="7">
        <v>-164048.76</v>
      </c>
      <c r="F381" s="7">
        <v>-164048.76999999999</v>
      </c>
      <c r="G381" s="7">
        <v>-122834.94999999998</v>
      </c>
      <c r="H381" s="7">
        <v>-50012.44</v>
      </c>
      <c r="I381" s="7">
        <v>-50285.929999999993</v>
      </c>
      <c r="J381" s="7">
        <v>-50012.449999999983</v>
      </c>
      <c r="K381" s="7">
        <v>-50012.450000000012</v>
      </c>
      <c r="L381" s="7">
        <v>-50285.929999999993</v>
      </c>
      <c r="M381" s="7">
        <v>-50012.44</v>
      </c>
      <c r="N381" s="7">
        <v>-50012.459999999992</v>
      </c>
      <c r="O381" s="7">
        <v>113762.85</v>
      </c>
      <c r="P381" s="7">
        <v>114036.31</v>
      </c>
      <c r="Q381" s="7">
        <v>114036.32</v>
      </c>
      <c r="R381" s="7">
        <v>113762.84</v>
      </c>
      <c r="S381" s="7">
        <v>114036.32</v>
      </c>
      <c r="T381" s="7">
        <v>114036.31</v>
      </c>
      <c r="U381" s="7">
        <v>113762.85</v>
      </c>
      <c r="V381" s="7">
        <v>114036.31</v>
      </c>
      <c r="W381" s="9">
        <f t="shared" si="46"/>
        <v>109903.53000000012</v>
      </c>
      <c r="X381" s="9"/>
      <c r="Y381" s="9"/>
      <c r="Z381" s="9"/>
      <c r="AA381" s="9">
        <f t="shared" si="40"/>
        <v>109903.53000000012</v>
      </c>
      <c r="AB381" s="7" t="e">
        <f>W381-#REF!</f>
        <v>#REF!</v>
      </c>
      <c r="AC381" s="12"/>
      <c r="AD381" s="12"/>
      <c r="AE381" s="12"/>
      <c r="AF381" s="12"/>
      <c r="AG381" s="13"/>
      <c r="AH381" s="13"/>
      <c r="AI381" s="13"/>
      <c r="AJ381" s="13"/>
    </row>
    <row r="382" spans="1:36" s="1" customFormat="1" x14ac:dyDescent="0.25">
      <c r="A382">
        <v>4068</v>
      </c>
      <c r="B382">
        <v>7</v>
      </c>
      <c r="C382">
        <f t="shared" si="45"/>
        <v>7</v>
      </c>
      <c r="D382" s="1" t="s">
        <v>413</v>
      </c>
      <c r="E382" s="7">
        <v>-214087.24</v>
      </c>
      <c r="F382" s="7">
        <v>-214087.25</v>
      </c>
      <c r="G382" s="7">
        <v>-160274.78</v>
      </c>
      <c r="H382" s="7">
        <v>-65264.28</v>
      </c>
      <c r="I382" s="7">
        <v>-65621.179999999993</v>
      </c>
      <c r="J382" s="7">
        <v>-65264.28</v>
      </c>
      <c r="K382" s="7">
        <v>-65264.289999999979</v>
      </c>
      <c r="L382" s="7">
        <v>-65621.19</v>
      </c>
      <c r="M382" s="7">
        <v>-65264.28</v>
      </c>
      <c r="N382" s="7">
        <v>-65264.289999999979</v>
      </c>
      <c r="O382" s="7">
        <v>148466.06</v>
      </c>
      <c r="P382" s="7">
        <v>148822.96</v>
      </c>
      <c r="Q382" s="7">
        <v>148822.95000000001</v>
      </c>
      <c r="R382" s="7">
        <v>148466.07</v>
      </c>
      <c r="S382" s="7">
        <v>148822.95000000001</v>
      </c>
      <c r="T382" s="7">
        <v>148822.95000000001</v>
      </c>
      <c r="U382" s="7">
        <v>148466.07</v>
      </c>
      <c r="V382" s="7">
        <v>148822.95000000001</v>
      </c>
      <c r="W382" s="9">
        <f t="shared" si="46"/>
        <v>143499.89999999997</v>
      </c>
      <c r="X382" s="9"/>
      <c r="Y382" s="9"/>
      <c r="Z382" s="9"/>
      <c r="AA382" s="9">
        <f t="shared" si="40"/>
        <v>143499.89999999997</v>
      </c>
      <c r="AB382" s="7" t="e">
        <f>W382-#REF!</f>
        <v>#REF!</v>
      </c>
      <c r="AC382" s="12"/>
      <c r="AD382" s="12"/>
      <c r="AE382" s="12"/>
      <c r="AF382" s="12"/>
      <c r="AG382" s="13"/>
      <c r="AH382" s="13"/>
      <c r="AI382" s="13"/>
      <c r="AJ382" s="13"/>
    </row>
    <row r="383" spans="1:36" s="1" customFormat="1" x14ac:dyDescent="0.25">
      <c r="A383">
        <v>4070</v>
      </c>
      <c r="B383">
        <v>7</v>
      </c>
      <c r="C383">
        <f t="shared" si="45"/>
        <v>7</v>
      </c>
      <c r="D383" s="1" t="s">
        <v>414</v>
      </c>
      <c r="E383" s="7">
        <v>-261793.3</v>
      </c>
      <c r="F383" s="7">
        <v>-261793.31</v>
      </c>
      <c r="G383" s="7">
        <v>-196016.07</v>
      </c>
      <c r="H383" s="7">
        <v>-79810.379999999976</v>
      </c>
      <c r="I383" s="7">
        <v>-80246.790000000008</v>
      </c>
      <c r="J383" s="7">
        <v>-79810.389999999985</v>
      </c>
      <c r="K383" s="7">
        <v>-79810.379999999976</v>
      </c>
      <c r="L383" s="7">
        <v>-80246.790000000008</v>
      </c>
      <c r="M383" s="7">
        <v>-79810.379999999976</v>
      </c>
      <c r="N383" s="7">
        <v>-79810.389999999985</v>
      </c>
      <c r="O383" s="7">
        <v>181546.52</v>
      </c>
      <c r="P383" s="7">
        <v>181982.92</v>
      </c>
      <c r="Q383" s="7">
        <v>181982.92</v>
      </c>
      <c r="R383" s="7">
        <v>181546.52</v>
      </c>
      <c r="S383" s="7">
        <v>181982.92</v>
      </c>
      <c r="T383" s="7">
        <v>181982.92</v>
      </c>
      <c r="U383" s="7">
        <v>181546.52</v>
      </c>
      <c r="V383" s="7">
        <v>181982.92</v>
      </c>
      <c r="W383" s="9">
        <f t="shared" si="46"/>
        <v>175405.98000000048</v>
      </c>
      <c r="X383" s="9"/>
      <c r="Y383" s="9"/>
      <c r="Z383" s="9"/>
      <c r="AA383" s="9">
        <f t="shared" si="40"/>
        <v>175405.98000000048</v>
      </c>
      <c r="AB383" s="7" t="e">
        <f>W383-#REF!</f>
        <v>#REF!</v>
      </c>
      <c r="AC383" s="12"/>
      <c r="AD383" s="12"/>
      <c r="AE383" s="12"/>
      <c r="AF383" s="12"/>
      <c r="AG383" s="13"/>
      <c r="AH383" s="13"/>
      <c r="AI383" s="13"/>
      <c r="AJ383" s="13"/>
    </row>
    <row r="384" spans="1:36" s="1" customFormat="1" x14ac:dyDescent="0.25">
      <c r="A384">
        <v>4073</v>
      </c>
      <c r="B384">
        <v>7</v>
      </c>
      <c r="C384">
        <f t="shared" si="45"/>
        <v>7</v>
      </c>
      <c r="D384" s="1" t="s">
        <v>415</v>
      </c>
      <c r="E384" s="7">
        <v>-246453.63</v>
      </c>
      <c r="F384" s="7">
        <v>-246453.63</v>
      </c>
      <c r="G384" s="7">
        <v>-184550.94</v>
      </c>
      <c r="H384" s="7">
        <v>-75136.200000000012</v>
      </c>
      <c r="I384" s="7">
        <v>-75547.020000000019</v>
      </c>
      <c r="J384" s="7">
        <v>-75136.19</v>
      </c>
      <c r="K384" s="7">
        <v>-75136.19</v>
      </c>
      <c r="L384" s="7">
        <v>-75547.020000000019</v>
      </c>
      <c r="M384" s="7">
        <v>-75136.19</v>
      </c>
      <c r="N384" s="7">
        <v>-75136.200000000012</v>
      </c>
      <c r="O384" s="7">
        <v>170906.61</v>
      </c>
      <c r="P384" s="7">
        <v>171317.44</v>
      </c>
      <c r="Q384" s="7">
        <v>171317.44</v>
      </c>
      <c r="R384" s="7">
        <v>170906.61</v>
      </c>
      <c r="S384" s="7">
        <v>171317.44</v>
      </c>
      <c r="T384" s="7">
        <v>171317.43</v>
      </c>
      <c r="U384" s="7">
        <v>170906.61</v>
      </c>
      <c r="V384" s="7">
        <v>171317.44</v>
      </c>
      <c r="W384" s="9">
        <f t="shared" si="46"/>
        <v>165073.81000000023</v>
      </c>
      <c r="X384" s="9"/>
      <c r="Y384" s="9"/>
      <c r="Z384" s="9"/>
      <c r="AA384" s="9">
        <f t="shared" si="40"/>
        <v>165073.81000000023</v>
      </c>
      <c r="AB384" s="7" t="e">
        <f>W384-#REF!</f>
        <v>#REF!</v>
      </c>
      <c r="AC384" s="12"/>
      <c r="AD384" s="12"/>
      <c r="AE384" s="12"/>
      <c r="AF384" s="12"/>
      <c r="AG384" s="13"/>
      <c r="AH384" s="13"/>
      <c r="AI384" s="13"/>
      <c r="AJ384" s="13"/>
    </row>
    <row r="385" spans="1:36" s="1" customFormat="1" x14ac:dyDescent="0.25">
      <c r="A385">
        <v>4074</v>
      </c>
      <c r="B385">
        <v>7</v>
      </c>
      <c r="C385">
        <f t="shared" si="45"/>
        <v>7</v>
      </c>
      <c r="D385" s="1" t="s">
        <v>416</v>
      </c>
      <c r="E385" s="7">
        <v>-218686.71</v>
      </c>
      <c r="F385" s="7">
        <v>-218686.72</v>
      </c>
      <c r="G385" s="7">
        <v>-163584.34</v>
      </c>
      <c r="H385" s="7">
        <v>-66651.549999999988</v>
      </c>
      <c r="I385" s="7">
        <v>-67016.139999999985</v>
      </c>
      <c r="J385" s="7">
        <v>-66651.56</v>
      </c>
      <c r="K385" s="7">
        <v>-66651.56</v>
      </c>
      <c r="L385" s="7">
        <v>-67016.149999999994</v>
      </c>
      <c r="M385" s="7">
        <v>-66651.539999999979</v>
      </c>
      <c r="N385" s="7">
        <v>-66651.56</v>
      </c>
      <c r="O385" s="7">
        <v>151670.57</v>
      </c>
      <c r="P385" s="7">
        <v>152035.17000000001</v>
      </c>
      <c r="Q385" s="7">
        <v>152035.16</v>
      </c>
      <c r="R385" s="7">
        <v>151670.57</v>
      </c>
      <c r="S385" s="7">
        <v>152035.16</v>
      </c>
      <c r="T385" s="7">
        <v>152035.17000000001</v>
      </c>
      <c r="U385" s="7">
        <v>151670.57</v>
      </c>
      <c r="V385" s="7">
        <v>152035.16</v>
      </c>
      <c r="W385" s="9">
        <f t="shared" si="46"/>
        <v>146939.70000000007</v>
      </c>
      <c r="X385" s="9"/>
      <c r="Y385" s="9"/>
      <c r="Z385" s="9"/>
      <c r="AA385" s="9">
        <f t="shared" si="40"/>
        <v>146939.70000000007</v>
      </c>
      <c r="AB385" s="7" t="e">
        <f>W385-#REF!</f>
        <v>#REF!</v>
      </c>
      <c r="AC385" s="12"/>
      <c r="AD385" s="12"/>
      <c r="AE385" s="12"/>
      <c r="AF385" s="12"/>
      <c r="AG385" s="13"/>
      <c r="AH385" s="13"/>
      <c r="AI385" s="13"/>
      <c r="AJ385" s="13"/>
    </row>
    <row r="386" spans="1:36" s="1" customFormat="1" x14ac:dyDescent="0.25">
      <c r="A386">
        <v>4075</v>
      </c>
      <c r="B386">
        <v>7</v>
      </c>
      <c r="C386">
        <f t="shared" si="45"/>
        <v>7</v>
      </c>
      <c r="D386" s="1" t="s">
        <v>417</v>
      </c>
      <c r="E386" s="7">
        <v>-102149.77</v>
      </c>
      <c r="F386" s="7">
        <v>-102149.77</v>
      </c>
      <c r="G386" s="7">
        <v>-76416.06</v>
      </c>
      <c r="H386" s="7">
        <v>-31133.86</v>
      </c>
      <c r="I386" s="7">
        <v>-31304.150000000009</v>
      </c>
      <c r="J386" s="7">
        <v>-31133.86</v>
      </c>
      <c r="K386" s="7">
        <v>-31133.86</v>
      </c>
      <c r="L386" s="7">
        <v>-31304.150000000009</v>
      </c>
      <c r="M386" s="7">
        <v>-31133.86</v>
      </c>
      <c r="N386" s="7">
        <v>-31133.86</v>
      </c>
      <c r="O386" s="7">
        <v>70845.62</v>
      </c>
      <c r="P386" s="7">
        <v>71015.91</v>
      </c>
      <c r="Q386" s="7">
        <v>71015.91</v>
      </c>
      <c r="R386" s="7">
        <v>70845.62</v>
      </c>
      <c r="S386" s="7">
        <v>71015.91</v>
      </c>
      <c r="T386" s="7">
        <v>71015.91</v>
      </c>
      <c r="U386" s="7">
        <v>70845.62</v>
      </c>
      <c r="V386" s="7">
        <v>71015.91</v>
      </c>
      <c r="W386" s="9">
        <f t="shared" si="46"/>
        <v>68623.210000000108</v>
      </c>
      <c r="X386" s="9"/>
      <c r="Y386" s="9"/>
      <c r="Z386" s="9"/>
      <c r="AA386" s="9">
        <f t="shared" si="40"/>
        <v>68623.210000000108</v>
      </c>
      <c r="AB386" s="7" t="e">
        <f>W386-#REF!</f>
        <v>#REF!</v>
      </c>
      <c r="AC386" s="12"/>
      <c r="AD386" s="12"/>
      <c r="AE386" s="12"/>
      <c r="AF386" s="12"/>
      <c r="AG386" s="13"/>
      <c r="AH386" s="13"/>
      <c r="AI386" s="13"/>
      <c r="AJ386" s="13"/>
    </row>
    <row r="387" spans="1:36" s="1" customFormat="1" x14ac:dyDescent="0.25">
      <c r="A387">
        <v>4077</v>
      </c>
      <c r="B387">
        <v>7</v>
      </c>
      <c r="C387">
        <f t="shared" si="45"/>
        <v>7</v>
      </c>
      <c r="D387" s="1" t="s">
        <v>418</v>
      </c>
      <c r="E387" s="7">
        <v>-320560.73</v>
      </c>
      <c r="F387" s="7">
        <v>-320560.73</v>
      </c>
      <c r="G387" s="7">
        <v>-240048.07999999996</v>
      </c>
      <c r="H387" s="7">
        <v>-97729.609999999986</v>
      </c>
      <c r="I387" s="7">
        <v>-98263.969999999972</v>
      </c>
      <c r="J387" s="7">
        <v>-97729.599999999977</v>
      </c>
      <c r="K387" s="7">
        <v>-97729.599999999977</v>
      </c>
      <c r="L387" s="7">
        <v>-98263.979999999981</v>
      </c>
      <c r="M387" s="7">
        <v>-97729.599999999977</v>
      </c>
      <c r="N387" s="7">
        <v>-97729.609999999986</v>
      </c>
      <c r="O387" s="7">
        <v>222296.75999999998</v>
      </c>
      <c r="P387" s="7">
        <v>222831.12</v>
      </c>
      <c r="Q387" s="7">
        <v>222831.12</v>
      </c>
      <c r="R387" s="7">
        <v>222296.75</v>
      </c>
      <c r="S387" s="7">
        <v>222831.12</v>
      </c>
      <c r="T387" s="7">
        <v>222831.12</v>
      </c>
      <c r="U387" s="7">
        <v>222296.76</v>
      </c>
      <c r="V387" s="7">
        <v>222831.12</v>
      </c>
      <c r="W387" s="9">
        <f t="shared" si="46"/>
        <v>214700.3600000001</v>
      </c>
      <c r="X387" s="9"/>
      <c r="Y387" s="9"/>
      <c r="Z387" s="9"/>
      <c r="AA387" s="9">
        <f t="shared" si="40"/>
        <v>214700.3600000001</v>
      </c>
      <c r="AB387" s="7" t="e">
        <f>W387-#REF!</f>
        <v>#REF!</v>
      </c>
      <c r="AC387" s="12"/>
      <c r="AD387" s="12"/>
      <c r="AE387" s="12"/>
      <c r="AF387" s="12"/>
      <c r="AG387" s="13"/>
      <c r="AH387" s="13"/>
      <c r="AI387" s="13"/>
      <c r="AJ387" s="13"/>
    </row>
    <row r="388" spans="1:36" s="1" customFormat="1" x14ac:dyDescent="0.25">
      <c r="A388">
        <v>4078</v>
      </c>
      <c r="B388">
        <v>7</v>
      </c>
      <c r="C388">
        <f t="shared" si="45"/>
        <v>7</v>
      </c>
      <c r="D388" s="1" t="s">
        <v>419</v>
      </c>
      <c r="E388" s="7">
        <v>-216689.69</v>
      </c>
      <c r="F388" s="7">
        <v>-216689.69</v>
      </c>
      <c r="G388" s="7">
        <v>-162286.39999999999</v>
      </c>
      <c r="H388" s="7">
        <v>-66064.679999999993</v>
      </c>
      <c r="I388" s="7">
        <v>-66425.899999999994</v>
      </c>
      <c r="J388" s="7">
        <v>-66064.679999999993</v>
      </c>
      <c r="K388" s="7">
        <v>-66064.679999999993</v>
      </c>
      <c r="L388" s="7">
        <v>-66425.899999999994</v>
      </c>
      <c r="M388" s="7">
        <v>-66064.679999999993</v>
      </c>
      <c r="N388" s="7">
        <v>-66064.679999999993</v>
      </c>
      <c r="O388" s="7">
        <v>150263.78999999998</v>
      </c>
      <c r="P388" s="7">
        <v>150625.01</v>
      </c>
      <c r="Q388" s="7">
        <v>150625.01</v>
      </c>
      <c r="R388" s="7">
        <v>150263.79</v>
      </c>
      <c r="S388" s="7">
        <v>150625.01</v>
      </c>
      <c r="T388" s="7">
        <v>150625.01</v>
      </c>
      <c r="U388" s="7">
        <v>150263.79</v>
      </c>
      <c r="V388" s="7">
        <v>150625.01</v>
      </c>
      <c r="W388" s="9">
        <f t="shared" si="46"/>
        <v>145075.44000000015</v>
      </c>
      <c r="X388" s="9"/>
      <c r="Y388" s="9"/>
      <c r="Z388" s="9"/>
      <c r="AA388" s="9">
        <f t="shared" si="40"/>
        <v>145075.44000000015</v>
      </c>
      <c r="AB388" s="7" t="e">
        <f>W388-#REF!</f>
        <v>#REF!</v>
      </c>
      <c r="AC388" s="12"/>
      <c r="AD388" s="12"/>
      <c r="AE388" s="12"/>
      <c r="AF388" s="12"/>
      <c r="AG388" s="13"/>
      <c r="AH388" s="13"/>
      <c r="AI388" s="13"/>
      <c r="AJ388" s="13"/>
    </row>
    <row r="389" spans="1:36" s="1" customFormat="1" x14ac:dyDescent="0.25">
      <c r="A389">
        <v>4079</v>
      </c>
      <c r="B389">
        <v>7</v>
      </c>
      <c r="C389">
        <f t="shared" si="45"/>
        <v>7</v>
      </c>
      <c r="D389" s="1" t="s">
        <v>420</v>
      </c>
      <c r="E389" s="7">
        <v>-61900.01</v>
      </c>
      <c r="F389" s="7">
        <v>-61900.01</v>
      </c>
      <c r="G389" s="7">
        <v>-46340.41</v>
      </c>
      <c r="H389" s="7">
        <v>-18870.099999999999</v>
      </c>
      <c r="I389" s="7">
        <v>-18973.28</v>
      </c>
      <c r="J389" s="7">
        <v>-18870.109999999993</v>
      </c>
      <c r="K389" s="7">
        <v>-18870.099999999999</v>
      </c>
      <c r="L389" s="7">
        <v>-18973.28</v>
      </c>
      <c r="M389" s="7">
        <v>-18870.090000000004</v>
      </c>
      <c r="N389" s="7">
        <v>-18870.099999999999</v>
      </c>
      <c r="O389" s="7">
        <v>42926.729999999996</v>
      </c>
      <c r="P389" s="7">
        <v>43029.91</v>
      </c>
      <c r="Q389" s="7">
        <v>43029.91</v>
      </c>
      <c r="R389" s="7">
        <v>42926.73</v>
      </c>
      <c r="S389" s="7">
        <v>43029.919999999998</v>
      </c>
      <c r="T389" s="7">
        <v>43029.91</v>
      </c>
      <c r="U389" s="7">
        <v>42926.73</v>
      </c>
      <c r="V389" s="7">
        <v>43029.91</v>
      </c>
      <c r="W389" s="9">
        <f t="shared" si="46"/>
        <v>41492.260000000017</v>
      </c>
      <c r="X389" s="9"/>
      <c r="Y389" s="9"/>
      <c r="Z389" s="9"/>
      <c r="AA389" s="9">
        <f t="shared" si="40"/>
        <v>41492.260000000017</v>
      </c>
      <c r="AB389" s="7" t="e">
        <f>W389-#REF!</f>
        <v>#REF!</v>
      </c>
      <c r="AC389" s="12"/>
      <c r="AD389" s="12"/>
      <c r="AE389" s="12"/>
      <c r="AF389" s="12"/>
      <c r="AG389" s="13"/>
      <c r="AH389" s="13"/>
      <c r="AI389" s="13"/>
      <c r="AJ389" s="13"/>
    </row>
    <row r="390" spans="1:36" s="1" customFormat="1" x14ac:dyDescent="0.25">
      <c r="A390">
        <v>4080</v>
      </c>
      <c r="B390">
        <v>7</v>
      </c>
      <c r="C390">
        <f t="shared" si="45"/>
        <v>7</v>
      </c>
      <c r="D390" s="1" t="s">
        <v>421</v>
      </c>
      <c r="E390" s="7">
        <v>-30920.69</v>
      </c>
      <c r="F390" s="7">
        <v>-30920.7</v>
      </c>
      <c r="G390" s="7">
        <v>-23139.87</v>
      </c>
      <c r="H390" s="7">
        <v>-9425.18</v>
      </c>
      <c r="I390" s="7">
        <v>-9476.7199999999975</v>
      </c>
      <c r="J390" s="7">
        <v>-9425.18</v>
      </c>
      <c r="K390" s="7">
        <v>-9425.18</v>
      </c>
      <c r="L390" s="7">
        <v>-9476.7199999999975</v>
      </c>
      <c r="M390" s="7">
        <v>-9425.18</v>
      </c>
      <c r="N390" s="7">
        <v>-9425.18</v>
      </c>
      <c r="O390" s="7">
        <v>21443.96</v>
      </c>
      <c r="P390" s="7">
        <v>21495.52</v>
      </c>
      <c r="Q390" s="7">
        <v>21495.51</v>
      </c>
      <c r="R390" s="7">
        <v>21443.96</v>
      </c>
      <c r="S390" s="7">
        <v>21495.51</v>
      </c>
      <c r="T390" s="7">
        <v>21495.51</v>
      </c>
      <c r="U390" s="7">
        <v>21443.97</v>
      </c>
      <c r="V390" s="7">
        <v>21495.51</v>
      </c>
      <c r="W390" s="9">
        <f t="shared" si="46"/>
        <v>20748.850000000013</v>
      </c>
      <c r="X390" s="9"/>
      <c r="Y390" s="9"/>
      <c r="Z390" s="9"/>
      <c r="AA390" s="9">
        <f t="shared" si="40"/>
        <v>20748.850000000013</v>
      </c>
      <c r="AB390" s="7" t="e">
        <f>W390-#REF!</f>
        <v>#REF!</v>
      </c>
      <c r="AC390" s="12"/>
      <c r="AD390" s="12"/>
      <c r="AE390" s="12"/>
      <c r="AF390" s="12"/>
      <c r="AG390" s="13"/>
      <c r="AH390" s="13"/>
      <c r="AI390" s="13"/>
      <c r="AJ390" s="13"/>
    </row>
    <row r="391" spans="1:36" s="1" customFormat="1" x14ac:dyDescent="0.25">
      <c r="A391">
        <v>4081</v>
      </c>
      <c r="B391">
        <v>7</v>
      </c>
      <c r="C391">
        <f t="shared" si="45"/>
        <v>7</v>
      </c>
      <c r="D391" s="1" t="s">
        <v>422</v>
      </c>
      <c r="E391" s="7">
        <v>-37214.949999999997</v>
      </c>
      <c r="F391" s="7">
        <v>-37214.959999999999</v>
      </c>
      <c r="G391" s="7">
        <v>-27845.14</v>
      </c>
      <c r="H391" s="7">
        <v>-11343.209999999995</v>
      </c>
      <c r="I391" s="7">
        <v>-11405.27</v>
      </c>
      <c r="J391" s="7">
        <v>-11343.199999999997</v>
      </c>
      <c r="K391" s="7">
        <v>-11343.219999999998</v>
      </c>
      <c r="L391" s="7">
        <v>-11405.259999999998</v>
      </c>
      <c r="M391" s="7">
        <v>-11343.219999999998</v>
      </c>
      <c r="N391" s="7">
        <v>-11343.209999999995</v>
      </c>
      <c r="O391" s="7">
        <v>25809.699999999997</v>
      </c>
      <c r="P391" s="7">
        <v>25871.74</v>
      </c>
      <c r="Q391" s="7">
        <v>25871.74</v>
      </c>
      <c r="R391" s="7">
        <v>25809.7</v>
      </c>
      <c r="S391" s="7">
        <v>25871.74</v>
      </c>
      <c r="T391" s="7">
        <v>25871.74</v>
      </c>
      <c r="U391" s="7">
        <v>25809.7</v>
      </c>
      <c r="V391" s="7">
        <v>25871.74</v>
      </c>
      <c r="W391" s="9">
        <f t="shared" si="46"/>
        <v>24986.160000000014</v>
      </c>
      <c r="X391" s="9"/>
      <c r="Y391" s="9"/>
      <c r="Z391" s="9"/>
      <c r="AA391" s="9">
        <f t="shared" si="40"/>
        <v>24986.160000000014</v>
      </c>
      <c r="AB391" s="7" t="e">
        <f>W391-#REF!</f>
        <v>#REF!</v>
      </c>
      <c r="AC391" s="12"/>
      <c r="AD391" s="12"/>
      <c r="AE391" s="12"/>
      <c r="AF391" s="12"/>
      <c r="AG391" s="13"/>
      <c r="AH391" s="13"/>
      <c r="AI391" s="13"/>
      <c r="AJ391" s="13"/>
    </row>
    <row r="392" spans="1:36" s="1" customFormat="1" x14ac:dyDescent="0.25">
      <c r="A392">
        <v>4082</v>
      </c>
      <c r="B392">
        <v>7</v>
      </c>
      <c r="C392">
        <f t="shared" si="45"/>
        <v>7</v>
      </c>
      <c r="D392" s="1" t="s">
        <v>423</v>
      </c>
      <c r="E392" s="7">
        <v>-242426.81</v>
      </c>
      <c r="F392" s="7">
        <v>-242426.81</v>
      </c>
      <c r="G392" s="7">
        <v>-181374.11</v>
      </c>
      <c r="H392" s="7">
        <v>-73890.579999999987</v>
      </c>
      <c r="I392" s="7">
        <v>-74294.739999999991</v>
      </c>
      <c r="J392" s="7">
        <v>-73890.59</v>
      </c>
      <c r="K392" s="7">
        <v>-73890.59</v>
      </c>
      <c r="L392" s="7">
        <v>-74294.739999999991</v>
      </c>
      <c r="M392" s="7">
        <v>-73890.579999999987</v>
      </c>
      <c r="N392" s="7">
        <v>-73890.579999999987</v>
      </c>
      <c r="O392" s="7">
        <v>168132.06</v>
      </c>
      <c r="P392" s="7">
        <v>168536.23</v>
      </c>
      <c r="Q392" s="7">
        <v>168536.23</v>
      </c>
      <c r="R392" s="7">
        <v>168132.07</v>
      </c>
      <c r="S392" s="7">
        <v>168536.23</v>
      </c>
      <c r="T392" s="7">
        <v>168536.23</v>
      </c>
      <c r="U392" s="7">
        <v>168132.06</v>
      </c>
      <c r="V392" s="7">
        <v>168536.23</v>
      </c>
      <c r="W392" s="9">
        <f t="shared" si="46"/>
        <v>162807.2100000002</v>
      </c>
      <c r="X392" s="9"/>
      <c r="Y392" s="9"/>
      <c r="Z392" s="9"/>
      <c r="AA392" s="9">
        <f t="shared" si="40"/>
        <v>162807.2100000002</v>
      </c>
      <c r="AB392" s="7" t="e">
        <f>W392-#REF!</f>
        <v>#REF!</v>
      </c>
      <c r="AC392" s="12"/>
      <c r="AD392" s="12"/>
      <c r="AE392" s="12"/>
      <c r="AF392" s="12"/>
      <c r="AG392" s="13"/>
      <c r="AH392" s="13"/>
      <c r="AI392" s="13"/>
      <c r="AJ392" s="13"/>
    </row>
    <row r="393" spans="1:36" s="1" customFormat="1" x14ac:dyDescent="0.25">
      <c r="A393">
        <v>4083</v>
      </c>
      <c r="B393">
        <v>7</v>
      </c>
      <c r="C393">
        <f t="shared" si="45"/>
        <v>7</v>
      </c>
      <c r="D393" s="1" t="s">
        <v>424</v>
      </c>
      <c r="E393" s="7">
        <v>-44433.64</v>
      </c>
      <c r="F393" s="7">
        <v>-44433.64</v>
      </c>
      <c r="G393" s="7">
        <v>-33251.69</v>
      </c>
      <c r="H393" s="7">
        <v>-13544.09</v>
      </c>
      <c r="I393" s="7">
        <v>-13618.149999999998</v>
      </c>
      <c r="J393" s="7">
        <v>-13544.079999999998</v>
      </c>
      <c r="K393" s="7">
        <v>-13544.09</v>
      </c>
      <c r="L393" s="7">
        <v>-13618.16</v>
      </c>
      <c r="M393" s="7">
        <v>-13544.079999999998</v>
      </c>
      <c r="N393" s="7">
        <v>-13544.079999999998</v>
      </c>
      <c r="O393" s="7">
        <v>30815.48</v>
      </c>
      <c r="P393" s="7">
        <v>30889.56</v>
      </c>
      <c r="Q393" s="7">
        <v>30889.56</v>
      </c>
      <c r="R393" s="7">
        <v>30815.49</v>
      </c>
      <c r="S393" s="7">
        <v>30889.56</v>
      </c>
      <c r="T393" s="7">
        <v>30889.56</v>
      </c>
      <c r="U393" s="7">
        <v>30815.48</v>
      </c>
      <c r="V393" s="7">
        <v>30889.56</v>
      </c>
      <c r="W393" s="9">
        <f t="shared" si="46"/>
        <v>29818.550000000057</v>
      </c>
      <c r="X393" s="9"/>
      <c r="Y393" s="9"/>
      <c r="Z393" s="9"/>
      <c r="AA393" s="9">
        <f t="shared" ref="AA393:AA456" si="47">W393+Z393</f>
        <v>29818.550000000057</v>
      </c>
      <c r="AB393" s="7" t="e">
        <f>W393-#REF!</f>
        <v>#REF!</v>
      </c>
      <c r="AC393" s="12"/>
      <c r="AD393" s="12"/>
      <c r="AE393" s="12"/>
      <c r="AF393" s="12"/>
      <c r="AG393" s="13"/>
      <c r="AH393" s="13"/>
      <c r="AI393" s="13"/>
      <c r="AJ393" s="13"/>
    </row>
    <row r="394" spans="1:36" s="1" customFormat="1" x14ac:dyDescent="0.25">
      <c r="A394">
        <v>4084</v>
      </c>
      <c r="B394">
        <v>7</v>
      </c>
      <c r="C394">
        <f t="shared" si="45"/>
        <v>7</v>
      </c>
      <c r="D394" s="1" t="s">
        <v>425</v>
      </c>
      <c r="E394" s="7">
        <v>-146014.59</v>
      </c>
      <c r="F394" s="7">
        <v>-146014.59</v>
      </c>
      <c r="G394" s="7">
        <v>-109243.97999999998</v>
      </c>
      <c r="H394" s="7">
        <v>-44504.759999999995</v>
      </c>
      <c r="I394" s="7">
        <v>-44748.2</v>
      </c>
      <c r="J394" s="7">
        <v>-44504.759999999995</v>
      </c>
      <c r="K394" s="7">
        <v>-44504.76999999999</v>
      </c>
      <c r="L394" s="7">
        <v>-44748.189999999988</v>
      </c>
      <c r="M394" s="7">
        <v>-44504.759999999995</v>
      </c>
      <c r="N394" s="7">
        <v>-44504.76999999999</v>
      </c>
      <c r="O394" s="7">
        <v>101266.40000000001</v>
      </c>
      <c r="P394" s="7">
        <v>101509.82</v>
      </c>
      <c r="Q394" s="7">
        <v>101509.83</v>
      </c>
      <c r="R394" s="7">
        <v>101266.39</v>
      </c>
      <c r="S394" s="7">
        <v>101509.83</v>
      </c>
      <c r="T394" s="7">
        <v>101509.82</v>
      </c>
      <c r="U394" s="7">
        <v>101266.4</v>
      </c>
      <c r="V394" s="7">
        <v>101509.82</v>
      </c>
      <c r="W394" s="9">
        <f t="shared" si="46"/>
        <v>98054.94000000009</v>
      </c>
      <c r="X394" s="9"/>
      <c r="Y394" s="9"/>
      <c r="Z394" s="9"/>
      <c r="AA394" s="9">
        <f t="shared" si="47"/>
        <v>98054.94000000009</v>
      </c>
      <c r="AB394" s="7" t="e">
        <f>W394-#REF!</f>
        <v>#REF!</v>
      </c>
      <c r="AC394" s="12"/>
      <c r="AD394" s="12"/>
      <c r="AE394" s="12"/>
      <c r="AF394" s="12"/>
      <c r="AG394" s="13"/>
      <c r="AH394" s="13"/>
      <c r="AI394" s="13"/>
      <c r="AJ394" s="13"/>
    </row>
    <row r="395" spans="1:36" s="1" customFormat="1" x14ac:dyDescent="0.25">
      <c r="A395">
        <v>4085</v>
      </c>
      <c r="B395">
        <v>7</v>
      </c>
      <c r="C395">
        <f t="shared" si="45"/>
        <v>7</v>
      </c>
      <c r="D395" s="1" t="s">
        <v>426</v>
      </c>
      <c r="E395" s="7">
        <v>-98898.8</v>
      </c>
      <c r="F395" s="7">
        <v>-98898.8</v>
      </c>
      <c r="G395" s="7">
        <v>-73974.389999999985</v>
      </c>
      <c r="H395" s="7">
        <v>-30141.940000000002</v>
      </c>
      <c r="I395" s="7">
        <v>-30306.809999999998</v>
      </c>
      <c r="J395" s="7">
        <v>-30141.919999999998</v>
      </c>
      <c r="K395" s="7">
        <v>-30141.930000000008</v>
      </c>
      <c r="L395" s="7">
        <v>-30306.809999999998</v>
      </c>
      <c r="M395" s="7">
        <v>-30141.919999999998</v>
      </c>
      <c r="N395" s="7">
        <v>-30141.940000000002</v>
      </c>
      <c r="O395" s="7">
        <v>68591.989999999991</v>
      </c>
      <c r="P395" s="7">
        <v>68756.87</v>
      </c>
      <c r="Q395" s="7">
        <v>68756.87</v>
      </c>
      <c r="R395" s="7">
        <v>68591.990000000005</v>
      </c>
      <c r="S395" s="7">
        <v>68756.87</v>
      </c>
      <c r="T395" s="7">
        <v>68756.86</v>
      </c>
      <c r="U395" s="7">
        <v>68591.990000000005</v>
      </c>
      <c r="V395" s="7">
        <v>68756.87</v>
      </c>
      <c r="W395" s="9">
        <f t="shared" si="46"/>
        <v>66465.050000000017</v>
      </c>
      <c r="X395" s="9"/>
      <c r="Y395" s="9"/>
      <c r="Z395" s="9"/>
      <c r="AA395" s="9">
        <f t="shared" si="47"/>
        <v>66465.050000000017</v>
      </c>
      <c r="AB395" s="7" t="e">
        <f>W395-#REF!</f>
        <v>#REF!</v>
      </c>
      <c r="AC395" s="12"/>
      <c r="AD395" s="12"/>
      <c r="AE395" s="12"/>
      <c r="AF395" s="12"/>
      <c r="AG395" s="13"/>
      <c r="AH395" s="13"/>
      <c r="AI395" s="13"/>
      <c r="AJ395" s="13"/>
    </row>
    <row r="396" spans="1:36" s="1" customFormat="1" x14ac:dyDescent="0.25">
      <c r="A396">
        <v>4086</v>
      </c>
      <c r="B396">
        <v>7</v>
      </c>
      <c r="C396">
        <f t="shared" si="45"/>
        <v>7</v>
      </c>
      <c r="D396" s="1" t="s">
        <v>427</v>
      </c>
      <c r="E396" s="7">
        <v>-217137.63</v>
      </c>
      <c r="F396" s="7">
        <v>-217137.63</v>
      </c>
      <c r="G396" s="7">
        <v>-162448.54</v>
      </c>
      <c r="H396" s="7">
        <v>-66181.99000000002</v>
      </c>
      <c r="I396" s="7">
        <v>-66543.98000000001</v>
      </c>
      <c r="J396" s="7">
        <v>-66181.97</v>
      </c>
      <c r="K396" s="7">
        <v>-66181.97</v>
      </c>
      <c r="L396" s="7">
        <v>-66543.99000000002</v>
      </c>
      <c r="M396" s="7">
        <v>-66181.98000000001</v>
      </c>
      <c r="N396" s="7">
        <v>-66181.97</v>
      </c>
      <c r="O396" s="7">
        <v>150593.65</v>
      </c>
      <c r="P396" s="7">
        <v>150955.66</v>
      </c>
      <c r="Q396" s="7">
        <v>150955.65</v>
      </c>
      <c r="R396" s="7">
        <v>150593.65</v>
      </c>
      <c r="S396" s="7">
        <v>150955.66</v>
      </c>
      <c r="T396" s="7">
        <v>150955.65</v>
      </c>
      <c r="U396" s="7">
        <v>150593.65</v>
      </c>
      <c r="V396" s="7">
        <v>150955.66</v>
      </c>
      <c r="W396" s="9">
        <f t="shared" si="46"/>
        <v>145837.58000000022</v>
      </c>
      <c r="X396" s="9"/>
      <c r="Y396" s="9"/>
      <c r="Z396" s="9"/>
      <c r="AA396" s="9">
        <f t="shared" si="47"/>
        <v>145837.58000000022</v>
      </c>
      <c r="AB396" s="7" t="e">
        <f>W396-#REF!</f>
        <v>#REF!</v>
      </c>
      <c r="AC396" s="12"/>
      <c r="AD396" s="12"/>
      <c r="AE396" s="12"/>
      <c r="AF396" s="12"/>
      <c r="AG396" s="13"/>
      <c r="AH396" s="13"/>
      <c r="AI396" s="13"/>
      <c r="AJ396" s="13"/>
    </row>
    <row r="397" spans="1:36" s="1" customFormat="1" x14ac:dyDescent="0.25">
      <c r="A397">
        <v>4087</v>
      </c>
      <c r="B397">
        <v>7</v>
      </c>
      <c r="C397">
        <f t="shared" si="45"/>
        <v>7</v>
      </c>
      <c r="D397" s="1" t="s">
        <v>428</v>
      </c>
      <c r="E397" s="7">
        <v>-60748.79</v>
      </c>
      <c r="F397" s="7">
        <v>-60748.79</v>
      </c>
      <c r="G397" s="7">
        <v>-45450.33</v>
      </c>
      <c r="H397" s="7">
        <v>-18516.010000000002</v>
      </c>
      <c r="I397" s="7">
        <v>-18617.29</v>
      </c>
      <c r="J397" s="7">
        <v>-18516</v>
      </c>
      <c r="K397" s="7">
        <v>-18516</v>
      </c>
      <c r="L397" s="7">
        <v>-18617.29</v>
      </c>
      <c r="M397" s="7">
        <v>-18516.010000000002</v>
      </c>
      <c r="N397" s="7">
        <v>-18516.010000000002</v>
      </c>
      <c r="O397" s="7">
        <v>42131.5</v>
      </c>
      <c r="P397" s="7">
        <v>42232.78</v>
      </c>
      <c r="Q397" s="7">
        <v>42232.78</v>
      </c>
      <c r="R397" s="7">
        <v>42131.51</v>
      </c>
      <c r="S397" s="7">
        <v>42232.78</v>
      </c>
      <c r="T397" s="7">
        <v>42232.78</v>
      </c>
      <c r="U397" s="7">
        <v>42131.5</v>
      </c>
      <c r="V397" s="7">
        <v>42232.78</v>
      </c>
      <c r="W397" s="9">
        <f t="shared" si="46"/>
        <v>40795.889999999985</v>
      </c>
      <c r="X397" s="9"/>
      <c r="Y397" s="9"/>
      <c r="Z397" s="9"/>
      <c r="AA397" s="9">
        <f t="shared" si="47"/>
        <v>40795.889999999985</v>
      </c>
      <c r="AB397" s="7" t="e">
        <f>W397-#REF!</f>
        <v>#REF!</v>
      </c>
      <c r="AC397" s="12"/>
      <c r="AD397" s="12"/>
      <c r="AE397" s="12"/>
      <c r="AF397" s="12"/>
      <c r="AG397" s="13"/>
      <c r="AH397" s="13"/>
      <c r="AI397" s="13"/>
      <c r="AJ397" s="13"/>
    </row>
    <row r="398" spans="1:36" s="1" customFormat="1" x14ac:dyDescent="0.25">
      <c r="A398">
        <v>4088</v>
      </c>
      <c r="B398">
        <v>7</v>
      </c>
      <c r="C398">
        <f t="shared" si="45"/>
        <v>7</v>
      </c>
      <c r="D398" s="1" t="s">
        <v>429</v>
      </c>
      <c r="E398" s="7">
        <v>-170772.04</v>
      </c>
      <c r="F398" s="7">
        <v>-170772.04</v>
      </c>
      <c r="G398" s="7">
        <v>-127861.78</v>
      </c>
      <c r="H398" s="7">
        <v>-52061.320000000007</v>
      </c>
      <c r="I398" s="7">
        <v>-52345.990000000005</v>
      </c>
      <c r="J398" s="7">
        <v>-52061.320000000007</v>
      </c>
      <c r="K398" s="7">
        <v>-52061.31</v>
      </c>
      <c r="L398" s="7">
        <v>-52346.000000000015</v>
      </c>
      <c r="M398" s="7">
        <v>-52061.3</v>
      </c>
      <c r="N398" s="7">
        <v>-52061.320000000007</v>
      </c>
      <c r="O398" s="7">
        <v>118426.04</v>
      </c>
      <c r="P398" s="7">
        <v>118710.72</v>
      </c>
      <c r="Q398" s="7">
        <v>118710.72</v>
      </c>
      <c r="R398" s="7">
        <v>118426.04</v>
      </c>
      <c r="S398" s="7">
        <v>118710.73</v>
      </c>
      <c r="T398" s="7">
        <v>118710.72</v>
      </c>
      <c r="U398" s="7">
        <v>118426.04</v>
      </c>
      <c r="V398" s="7">
        <v>118710.72</v>
      </c>
      <c r="W398" s="9">
        <f t="shared" si="46"/>
        <v>114427.30999999978</v>
      </c>
      <c r="X398" s="9"/>
      <c r="Y398" s="9"/>
      <c r="Z398" s="9"/>
      <c r="AA398" s="9">
        <f t="shared" si="47"/>
        <v>114427.30999999978</v>
      </c>
      <c r="AB398" s="7" t="e">
        <f>W398-#REF!</f>
        <v>#REF!</v>
      </c>
      <c r="AC398" s="12"/>
      <c r="AD398" s="12"/>
      <c r="AE398" s="12"/>
      <c r="AF398" s="12"/>
      <c r="AG398" s="13"/>
      <c r="AH398" s="13"/>
      <c r="AI398" s="13"/>
      <c r="AJ398" s="13"/>
    </row>
    <row r="399" spans="1:36" s="1" customFormat="1" x14ac:dyDescent="0.25">
      <c r="A399">
        <v>4089</v>
      </c>
      <c r="B399">
        <v>7</v>
      </c>
      <c r="C399">
        <f t="shared" si="45"/>
        <v>7</v>
      </c>
      <c r="D399" s="1" t="s">
        <v>430</v>
      </c>
      <c r="E399" s="7">
        <v>-57646.37</v>
      </c>
      <c r="F399" s="7">
        <v>-57646.37</v>
      </c>
      <c r="G399" s="7">
        <v>-43122.600000000006</v>
      </c>
      <c r="H399" s="7">
        <v>-17569.670000000006</v>
      </c>
      <c r="I399" s="7">
        <v>-17665.780000000006</v>
      </c>
      <c r="J399" s="7">
        <v>-17569.660000000003</v>
      </c>
      <c r="K399" s="7">
        <v>-17569.670000000006</v>
      </c>
      <c r="L399" s="7">
        <v>-17665.780000000006</v>
      </c>
      <c r="M399" s="7">
        <v>-17569.670000000006</v>
      </c>
      <c r="N399" s="7">
        <v>-17569.670000000006</v>
      </c>
      <c r="O399" s="7">
        <v>39980.6</v>
      </c>
      <c r="P399" s="7">
        <v>40076.699999999997</v>
      </c>
      <c r="Q399" s="7">
        <v>40076.699999999997</v>
      </c>
      <c r="R399" s="7">
        <v>39980.589999999997</v>
      </c>
      <c r="S399" s="7">
        <v>40076.699999999997</v>
      </c>
      <c r="T399" s="7">
        <v>40076.699999999997</v>
      </c>
      <c r="U399" s="7">
        <v>39980.6</v>
      </c>
      <c r="V399" s="7">
        <v>40076.699999999997</v>
      </c>
      <c r="W399" s="9">
        <f t="shared" si="46"/>
        <v>38730.049999999937</v>
      </c>
      <c r="X399" s="9"/>
      <c r="Y399" s="9"/>
      <c r="Z399" s="9"/>
      <c r="AA399" s="9">
        <f t="shared" si="47"/>
        <v>38730.049999999937</v>
      </c>
      <c r="AB399" s="7" t="e">
        <f>W399-#REF!</f>
        <v>#REF!</v>
      </c>
      <c r="AC399" s="12"/>
      <c r="AD399" s="12"/>
      <c r="AE399" s="12"/>
      <c r="AF399" s="12"/>
      <c r="AG399" s="13"/>
      <c r="AH399" s="13"/>
      <c r="AI399" s="13"/>
      <c r="AJ399" s="13"/>
    </row>
    <row r="400" spans="1:36" s="1" customFormat="1" x14ac:dyDescent="0.25">
      <c r="A400">
        <v>4090</v>
      </c>
      <c r="B400">
        <v>7</v>
      </c>
      <c r="C400">
        <f t="shared" si="45"/>
        <v>7</v>
      </c>
      <c r="D400" s="1" t="s">
        <v>431</v>
      </c>
      <c r="E400" s="7">
        <v>-79451.649999999994</v>
      </c>
      <c r="F400" s="7">
        <v>-79451.64</v>
      </c>
      <c r="G400" s="7">
        <v>-59444.84</v>
      </c>
      <c r="H400" s="7">
        <v>-24216.75</v>
      </c>
      <c r="I400" s="7">
        <v>-24349.209999999992</v>
      </c>
      <c r="J400" s="7">
        <v>-24216.739999999998</v>
      </c>
      <c r="K400" s="7">
        <v>-24216.759999999995</v>
      </c>
      <c r="L400" s="7">
        <v>-24349.199999999997</v>
      </c>
      <c r="M400" s="7">
        <v>-24216.759999999995</v>
      </c>
      <c r="N400" s="7">
        <v>-24216.739999999998</v>
      </c>
      <c r="O400" s="7">
        <v>55102.43</v>
      </c>
      <c r="P400" s="7">
        <v>55234.9</v>
      </c>
      <c r="Q400" s="7">
        <v>55234.89</v>
      </c>
      <c r="R400" s="7">
        <v>55102.44</v>
      </c>
      <c r="S400" s="7">
        <v>55234.89</v>
      </c>
      <c r="T400" s="7">
        <v>55234.9</v>
      </c>
      <c r="U400" s="7">
        <v>55102.44</v>
      </c>
      <c r="V400" s="7">
        <v>55234.89</v>
      </c>
      <c r="W400" s="9">
        <f t="shared" si="46"/>
        <v>53351.490000000056</v>
      </c>
      <c r="X400" s="9"/>
      <c r="Y400" s="9"/>
      <c r="Z400" s="9"/>
      <c r="AA400" s="9">
        <f t="shared" si="47"/>
        <v>53351.490000000056</v>
      </c>
      <c r="AB400" s="7" t="e">
        <f>W400-#REF!</f>
        <v>#REF!</v>
      </c>
      <c r="AC400" s="12"/>
      <c r="AD400" s="12"/>
      <c r="AE400" s="12"/>
      <c r="AF400" s="12"/>
      <c r="AG400" s="13"/>
      <c r="AH400" s="13"/>
      <c r="AI400" s="13"/>
      <c r="AJ400" s="13"/>
    </row>
    <row r="401" spans="1:36" s="1" customFormat="1" x14ac:dyDescent="0.25">
      <c r="A401">
        <v>4091</v>
      </c>
      <c r="B401">
        <v>7</v>
      </c>
      <c r="C401">
        <f t="shared" si="45"/>
        <v>7</v>
      </c>
      <c r="D401" s="1" t="s">
        <v>432</v>
      </c>
      <c r="E401" s="7">
        <v>-74400.69</v>
      </c>
      <c r="F401" s="7">
        <v>-74400.69</v>
      </c>
      <c r="G401" s="7">
        <v>-55660.56</v>
      </c>
      <c r="H401" s="7">
        <v>-22676.65</v>
      </c>
      <c r="I401" s="7">
        <v>-22800.68</v>
      </c>
      <c r="J401" s="7">
        <v>-22676.639999999992</v>
      </c>
      <c r="K401" s="7">
        <v>-22676.660000000003</v>
      </c>
      <c r="L401" s="7">
        <v>-22800.68</v>
      </c>
      <c r="M401" s="7">
        <v>-22676.639999999992</v>
      </c>
      <c r="N401" s="7">
        <v>-22676.65</v>
      </c>
      <c r="O401" s="7">
        <v>51600</v>
      </c>
      <c r="P401" s="7">
        <v>51724.04</v>
      </c>
      <c r="Q401" s="7">
        <v>51724.04</v>
      </c>
      <c r="R401" s="7">
        <v>51600</v>
      </c>
      <c r="S401" s="7">
        <v>51724.04</v>
      </c>
      <c r="T401" s="7">
        <v>51724.04</v>
      </c>
      <c r="U401" s="7">
        <v>51600</v>
      </c>
      <c r="V401" s="7">
        <v>51724.04</v>
      </c>
      <c r="W401" s="9">
        <f t="shared" si="46"/>
        <v>49973.660000000047</v>
      </c>
      <c r="X401" s="9"/>
      <c r="Y401" s="9"/>
      <c r="Z401" s="9"/>
      <c r="AA401" s="9">
        <f t="shared" si="47"/>
        <v>49973.660000000047</v>
      </c>
      <c r="AB401" s="7" t="e">
        <f>W401-#REF!</f>
        <v>#REF!</v>
      </c>
      <c r="AC401" s="12"/>
      <c r="AD401" s="12"/>
      <c r="AE401" s="12"/>
      <c r="AF401" s="12"/>
      <c r="AG401" s="13"/>
      <c r="AH401" s="13"/>
      <c r="AI401" s="13"/>
      <c r="AJ401" s="13"/>
    </row>
    <row r="402" spans="1:36" s="1" customFormat="1" x14ac:dyDescent="0.25">
      <c r="A402">
        <v>4092</v>
      </c>
      <c r="B402">
        <v>7</v>
      </c>
      <c r="C402">
        <f t="shared" si="45"/>
        <v>7</v>
      </c>
      <c r="D402" s="1" t="s">
        <v>433</v>
      </c>
      <c r="E402" s="7">
        <v>-42383.69</v>
      </c>
      <c r="F402" s="7">
        <v>-42383.68</v>
      </c>
      <c r="G402" s="7">
        <v>-31713.370000000003</v>
      </c>
      <c r="H402" s="7">
        <v>-12918.760000000002</v>
      </c>
      <c r="I402" s="7">
        <v>-12989.41</v>
      </c>
      <c r="J402" s="7">
        <v>-12918.750000000004</v>
      </c>
      <c r="K402" s="7">
        <v>-12918.75</v>
      </c>
      <c r="L402" s="7">
        <v>-12989.41</v>
      </c>
      <c r="M402" s="7">
        <v>-12918.760000000002</v>
      </c>
      <c r="N402" s="7">
        <v>-12918.75</v>
      </c>
      <c r="O402" s="7">
        <v>29394.28</v>
      </c>
      <c r="P402" s="7">
        <v>29464.93</v>
      </c>
      <c r="Q402" s="7">
        <v>29464.93</v>
      </c>
      <c r="R402" s="7">
        <v>29394.27</v>
      </c>
      <c r="S402" s="7">
        <v>29464.93</v>
      </c>
      <c r="T402" s="7">
        <v>29464.94</v>
      </c>
      <c r="U402" s="7">
        <v>29394.27</v>
      </c>
      <c r="V402" s="7">
        <v>29464.93</v>
      </c>
      <c r="W402" s="9">
        <f t="shared" si="46"/>
        <v>28454.149999999972</v>
      </c>
      <c r="X402" s="9"/>
      <c r="Y402" s="9"/>
      <c r="Z402" s="9"/>
      <c r="AA402" s="9">
        <f t="shared" si="47"/>
        <v>28454.149999999972</v>
      </c>
      <c r="AB402" s="7" t="e">
        <f>W402-#REF!</f>
        <v>#REF!</v>
      </c>
      <c r="AC402" s="12"/>
      <c r="AD402" s="12"/>
      <c r="AE402" s="12"/>
      <c r="AF402" s="12"/>
      <c r="AG402" s="13"/>
      <c r="AH402" s="13"/>
      <c r="AI402" s="13"/>
      <c r="AJ402" s="13"/>
    </row>
    <row r="403" spans="1:36" s="1" customFormat="1" x14ac:dyDescent="0.25">
      <c r="A403">
        <v>4093</v>
      </c>
      <c r="B403">
        <v>7</v>
      </c>
      <c r="C403">
        <f t="shared" si="45"/>
        <v>7</v>
      </c>
      <c r="D403" s="1" t="s">
        <v>434</v>
      </c>
      <c r="E403" s="7">
        <v>-94972.64</v>
      </c>
      <c r="F403" s="7">
        <v>-94972.65</v>
      </c>
      <c r="G403" s="7">
        <v>-71071.89</v>
      </c>
      <c r="H403" s="7">
        <v>-28949.130000000005</v>
      </c>
      <c r="I403" s="7">
        <v>-29107.47</v>
      </c>
      <c r="J403" s="7">
        <v>-28949.119999999995</v>
      </c>
      <c r="K403" s="7">
        <v>-28949.14</v>
      </c>
      <c r="L403" s="7">
        <v>-29107.460000000006</v>
      </c>
      <c r="M403" s="7">
        <v>-28949.14</v>
      </c>
      <c r="N403" s="7">
        <v>-28949.130000000005</v>
      </c>
      <c r="O403" s="7">
        <v>65865.19</v>
      </c>
      <c r="P403" s="7">
        <v>66023.509999999995</v>
      </c>
      <c r="Q403" s="7">
        <v>66023.509999999995</v>
      </c>
      <c r="R403" s="7">
        <v>65865.179999999993</v>
      </c>
      <c r="S403" s="7">
        <v>66023.509999999995</v>
      </c>
      <c r="T403" s="7">
        <v>66023.520000000004</v>
      </c>
      <c r="U403" s="7">
        <v>65865.179999999993</v>
      </c>
      <c r="V403" s="7">
        <v>66023.509999999995</v>
      </c>
      <c r="W403" s="9">
        <f t="shared" si="46"/>
        <v>63735.339999999938</v>
      </c>
      <c r="X403" s="9"/>
      <c r="Y403" s="9"/>
      <c r="Z403" s="9"/>
      <c r="AA403" s="9">
        <f t="shared" si="47"/>
        <v>63735.339999999938</v>
      </c>
      <c r="AB403" s="7" t="e">
        <f>W403-#REF!</f>
        <v>#REF!</v>
      </c>
      <c r="AC403" s="12"/>
      <c r="AD403" s="12"/>
      <c r="AE403" s="12"/>
      <c r="AF403" s="12"/>
      <c r="AG403" s="13"/>
      <c r="AH403" s="13"/>
      <c r="AI403" s="13"/>
      <c r="AJ403" s="13"/>
    </row>
    <row r="404" spans="1:36" s="1" customFormat="1" x14ac:dyDescent="0.25">
      <c r="A404">
        <v>4095</v>
      </c>
      <c r="B404">
        <v>7</v>
      </c>
      <c r="C404">
        <f t="shared" si="45"/>
        <v>7</v>
      </c>
      <c r="D404" s="1" t="s">
        <v>435</v>
      </c>
      <c r="E404" s="7">
        <v>-71401.070000000007</v>
      </c>
      <c r="F404" s="7">
        <v>-71401.070000000007</v>
      </c>
      <c r="G404" s="7">
        <v>-53440.399999999994</v>
      </c>
      <c r="H404" s="7">
        <v>-21765.05000000001</v>
      </c>
      <c r="I404" s="7">
        <v>-21884.090000000004</v>
      </c>
      <c r="J404" s="7">
        <v>-21765.05000000001</v>
      </c>
      <c r="K404" s="7">
        <v>-21765.05000000001</v>
      </c>
      <c r="L404" s="7">
        <v>-21884.079999999994</v>
      </c>
      <c r="M404" s="7">
        <v>-21765.05000000001</v>
      </c>
      <c r="N404" s="7">
        <v>-21765.05000000001</v>
      </c>
      <c r="O404" s="7">
        <v>49516.99</v>
      </c>
      <c r="P404" s="7">
        <v>49636.02</v>
      </c>
      <c r="Q404" s="7">
        <v>49636.01</v>
      </c>
      <c r="R404" s="7">
        <v>49516.99</v>
      </c>
      <c r="S404" s="7">
        <v>49636.02</v>
      </c>
      <c r="T404" s="7">
        <v>49636.02</v>
      </c>
      <c r="U404" s="7">
        <v>49516.98</v>
      </c>
      <c r="V404" s="7">
        <v>49636.02</v>
      </c>
      <c r="W404" s="9">
        <f t="shared" si="46"/>
        <v>47895.089999999946</v>
      </c>
      <c r="X404" s="9"/>
      <c r="Y404" s="9"/>
      <c r="Z404" s="9"/>
      <c r="AA404" s="9">
        <f t="shared" si="47"/>
        <v>47895.089999999946</v>
      </c>
      <c r="AB404" s="7" t="e">
        <f>W404-#REF!</f>
        <v>#REF!</v>
      </c>
      <c r="AC404" s="12"/>
      <c r="AD404" s="12"/>
      <c r="AE404" s="12"/>
      <c r="AF404" s="12"/>
      <c r="AG404" s="13"/>
      <c r="AH404" s="13"/>
      <c r="AI404" s="13"/>
      <c r="AJ404" s="13"/>
    </row>
    <row r="405" spans="1:36" s="1" customFormat="1" x14ac:dyDescent="0.25">
      <c r="A405">
        <v>4097</v>
      </c>
      <c r="B405">
        <v>7</v>
      </c>
      <c r="C405">
        <f t="shared" si="45"/>
        <v>7</v>
      </c>
      <c r="D405" s="1" t="s">
        <v>436</v>
      </c>
      <c r="E405" s="7">
        <v>-159088.92000000001</v>
      </c>
      <c r="F405" s="7">
        <v>-159088.92000000001</v>
      </c>
      <c r="G405" s="7">
        <v>-119120.53</v>
      </c>
      <c r="H405" s="7">
        <v>-48500.310000000012</v>
      </c>
      <c r="I405" s="7">
        <v>-48765.510000000009</v>
      </c>
      <c r="J405" s="7">
        <v>-48500.300000000017</v>
      </c>
      <c r="K405" s="7">
        <v>-48500.310000000012</v>
      </c>
      <c r="L405" s="7">
        <v>-48765.5</v>
      </c>
      <c r="M405" s="7">
        <v>-48500.310000000012</v>
      </c>
      <c r="N405" s="7">
        <v>-48500.310000000012</v>
      </c>
      <c r="O405" s="7">
        <v>110323.40999999999</v>
      </c>
      <c r="P405" s="7">
        <v>110588.61</v>
      </c>
      <c r="Q405" s="7">
        <v>110588.61</v>
      </c>
      <c r="R405" s="7">
        <v>110323.41</v>
      </c>
      <c r="S405" s="7">
        <v>110588.61</v>
      </c>
      <c r="T405" s="7">
        <v>110588.61</v>
      </c>
      <c r="U405" s="7">
        <v>110323.41</v>
      </c>
      <c r="V405" s="7">
        <v>110588.61</v>
      </c>
      <c r="W405" s="9">
        <f t="shared" ref="W405:W436" si="48">SUM(E405:V405)</f>
        <v>106582.35999999987</v>
      </c>
      <c r="X405" s="9"/>
      <c r="Y405" s="9"/>
      <c r="Z405" s="9"/>
      <c r="AA405" s="9">
        <f t="shared" si="47"/>
        <v>106582.35999999987</v>
      </c>
      <c r="AB405" s="7" t="e">
        <f>W405-#REF!</f>
        <v>#REF!</v>
      </c>
      <c r="AC405" s="12"/>
      <c r="AD405" s="12"/>
      <c r="AE405" s="12"/>
      <c r="AF405" s="12"/>
      <c r="AG405" s="13"/>
      <c r="AH405" s="13"/>
      <c r="AI405" s="13"/>
      <c r="AJ405" s="13"/>
    </row>
    <row r="406" spans="1:36" s="1" customFormat="1" x14ac:dyDescent="0.25">
      <c r="A406">
        <v>4098</v>
      </c>
      <c r="B406">
        <v>7</v>
      </c>
      <c r="C406">
        <f t="shared" si="45"/>
        <v>7</v>
      </c>
      <c r="D406" s="1" t="s">
        <v>437</v>
      </c>
      <c r="E406" s="7">
        <v>-406571.89</v>
      </c>
      <c r="F406" s="7">
        <v>-406571.9</v>
      </c>
      <c r="G406" s="7">
        <v>-304316.82</v>
      </c>
      <c r="H406" s="7">
        <v>-123936.35999999999</v>
      </c>
      <c r="I406" s="7">
        <v>-124614.15000000002</v>
      </c>
      <c r="J406" s="7">
        <v>-123936.35999999999</v>
      </c>
      <c r="K406" s="7">
        <v>-123936.35999999999</v>
      </c>
      <c r="L406" s="7">
        <v>-124614.15000000002</v>
      </c>
      <c r="M406" s="7">
        <v>-123936.35999999999</v>
      </c>
      <c r="N406" s="7">
        <v>-123936.35999999999</v>
      </c>
      <c r="O406" s="7">
        <v>281957.75</v>
      </c>
      <c r="P406" s="7">
        <v>282635.53000000003</v>
      </c>
      <c r="Q406" s="7">
        <v>282635.52000000002</v>
      </c>
      <c r="R406" s="7">
        <v>281957.75</v>
      </c>
      <c r="S406" s="7">
        <v>282635.53000000003</v>
      </c>
      <c r="T406" s="7">
        <v>282635.53000000003</v>
      </c>
      <c r="U406" s="7">
        <v>281957.74</v>
      </c>
      <c r="V406" s="7">
        <v>282635.53000000003</v>
      </c>
      <c r="W406" s="9">
        <f t="shared" si="48"/>
        <v>272680.17000000062</v>
      </c>
      <c r="X406" s="9"/>
      <c r="Y406" s="9"/>
      <c r="Z406" s="9"/>
      <c r="AA406" s="9">
        <f t="shared" si="47"/>
        <v>272680.17000000062</v>
      </c>
      <c r="AB406" s="7" t="e">
        <f>W406-#REF!</f>
        <v>#REF!</v>
      </c>
      <c r="AC406" s="12"/>
      <c r="AD406" s="12"/>
      <c r="AE406" s="12"/>
      <c r="AF406" s="12"/>
      <c r="AG406" s="13"/>
      <c r="AH406" s="13"/>
      <c r="AI406" s="13"/>
      <c r="AJ406" s="13"/>
    </row>
    <row r="407" spans="1:36" s="1" customFormat="1" x14ac:dyDescent="0.25">
      <c r="A407">
        <v>4100</v>
      </c>
      <c r="B407">
        <v>7</v>
      </c>
      <c r="C407">
        <f t="shared" si="45"/>
        <v>7</v>
      </c>
      <c r="D407" s="1" t="s">
        <v>438</v>
      </c>
      <c r="E407" s="7">
        <v>-53825.75</v>
      </c>
      <c r="F407" s="7">
        <v>-53825.75</v>
      </c>
      <c r="G407" s="7">
        <v>-40252.94</v>
      </c>
      <c r="H407" s="7">
        <v>-16403.919999999998</v>
      </c>
      <c r="I407" s="7">
        <v>-16493.650000000001</v>
      </c>
      <c r="J407" s="7">
        <v>-16403.919999999998</v>
      </c>
      <c r="K407" s="7">
        <v>-16403.919999999998</v>
      </c>
      <c r="L407" s="7">
        <v>-16493.64</v>
      </c>
      <c r="M407" s="7">
        <v>-16403.919999999998</v>
      </c>
      <c r="N407" s="7">
        <v>-16403.910000000003</v>
      </c>
      <c r="O407" s="7">
        <v>37332.090000000004</v>
      </c>
      <c r="P407" s="7">
        <v>37421.839999999997</v>
      </c>
      <c r="Q407" s="7">
        <v>37421.83</v>
      </c>
      <c r="R407" s="7">
        <v>37332.089999999997</v>
      </c>
      <c r="S407" s="7">
        <v>37421.839999999997</v>
      </c>
      <c r="T407" s="7">
        <v>37421.83</v>
      </c>
      <c r="U407" s="7">
        <v>37332.1</v>
      </c>
      <c r="V407" s="7">
        <v>37421.83</v>
      </c>
      <c r="W407" s="9">
        <f t="shared" si="48"/>
        <v>36194.130000000056</v>
      </c>
      <c r="X407" s="9"/>
      <c r="Y407" s="9"/>
      <c r="Z407" s="9"/>
      <c r="AA407" s="9">
        <f t="shared" si="47"/>
        <v>36194.130000000056</v>
      </c>
      <c r="AB407" s="7" t="e">
        <f>W407-#REF!</f>
        <v>#REF!</v>
      </c>
      <c r="AC407" s="12"/>
      <c r="AD407" s="12"/>
      <c r="AE407" s="12"/>
      <c r="AF407" s="12"/>
      <c r="AG407" s="13"/>
      <c r="AH407" s="13"/>
      <c r="AI407" s="13"/>
      <c r="AJ407" s="13"/>
    </row>
    <row r="408" spans="1:36" s="1" customFormat="1" x14ac:dyDescent="0.25">
      <c r="A408">
        <v>4102</v>
      </c>
      <c r="B408">
        <v>7</v>
      </c>
      <c r="C408">
        <f t="shared" si="45"/>
        <v>7</v>
      </c>
      <c r="D408" s="1" t="s">
        <v>439</v>
      </c>
      <c r="E408" s="7">
        <v>-151214.44</v>
      </c>
      <c r="F408" s="7">
        <v>-151214.45000000001</v>
      </c>
      <c r="G408" s="7">
        <v>-113189.55</v>
      </c>
      <c r="H408" s="7">
        <v>-46095.790000000008</v>
      </c>
      <c r="I408" s="7">
        <v>-46347.880000000005</v>
      </c>
      <c r="J408" s="7">
        <v>-46095.800000000017</v>
      </c>
      <c r="K408" s="7">
        <v>-46095.8</v>
      </c>
      <c r="L408" s="7">
        <v>-46347.880000000005</v>
      </c>
      <c r="M408" s="7">
        <v>-46095.800000000017</v>
      </c>
      <c r="N408" s="7">
        <v>-46095.8</v>
      </c>
      <c r="O408" s="7">
        <v>104866.56000000001</v>
      </c>
      <c r="P408" s="7">
        <v>105118.65</v>
      </c>
      <c r="Q408" s="7">
        <v>105118.64</v>
      </c>
      <c r="R408" s="7">
        <v>104866.56</v>
      </c>
      <c r="S408" s="7">
        <v>105118.65</v>
      </c>
      <c r="T408" s="7">
        <v>105118.64</v>
      </c>
      <c r="U408" s="7">
        <v>104866.57</v>
      </c>
      <c r="V408" s="7">
        <v>105118.64</v>
      </c>
      <c r="W408" s="9">
        <f t="shared" si="48"/>
        <v>101399.71999999991</v>
      </c>
      <c r="X408" s="9"/>
      <c r="Y408" s="9"/>
      <c r="Z408" s="9"/>
      <c r="AA408" s="9">
        <f t="shared" si="47"/>
        <v>101399.71999999991</v>
      </c>
      <c r="AB408" s="7" t="e">
        <f>W408-#REF!</f>
        <v>#REF!</v>
      </c>
      <c r="AC408" s="12"/>
      <c r="AD408" s="12"/>
      <c r="AE408" s="12"/>
      <c r="AF408" s="12"/>
      <c r="AG408" s="13"/>
      <c r="AH408" s="13"/>
      <c r="AI408" s="13"/>
      <c r="AJ408" s="13"/>
    </row>
    <row r="409" spans="1:36" s="1" customFormat="1" x14ac:dyDescent="0.25">
      <c r="A409">
        <v>4103</v>
      </c>
      <c r="B409">
        <v>7</v>
      </c>
      <c r="C409">
        <f t="shared" si="45"/>
        <v>7</v>
      </c>
      <c r="D409" s="1" t="s">
        <v>440</v>
      </c>
      <c r="E409" s="7">
        <v>-568050.55000000005</v>
      </c>
      <c r="F409" s="7">
        <v>-568050.54</v>
      </c>
      <c r="G409" s="7">
        <v>-425288.78</v>
      </c>
      <c r="H409" s="7">
        <v>-173172.10000000003</v>
      </c>
      <c r="I409" s="7">
        <v>-174119.07000000007</v>
      </c>
      <c r="J409" s="7">
        <v>-173172.11000000004</v>
      </c>
      <c r="K409" s="7">
        <v>-173172.12000000005</v>
      </c>
      <c r="L409" s="7">
        <v>-174119.06000000006</v>
      </c>
      <c r="M409" s="7">
        <v>-173172.11000000004</v>
      </c>
      <c r="N409" s="7">
        <v>-173172.11000000004</v>
      </c>
      <c r="O409" s="7">
        <v>393931.48</v>
      </c>
      <c r="P409" s="7">
        <v>394878.44</v>
      </c>
      <c r="Q409" s="7">
        <v>394878.43</v>
      </c>
      <c r="R409" s="7">
        <v>393931.48</v>
      </c>
      <c r="S409" s="7">
        <v>394878.43</v>
      </c>
      <c r="T409" s="7">
        <v>394878.44</v>
      </c>
      <c r="U409" s="7">
        <v>393931.48</v>
      </c>
      <c r="V409" s="7">
        <v>394878.43</v>
      </c>
      <c r="W409" s="9">
        <f t="shared" si="48"/>
        <v>380698.05999999947</v>
      </c>
      <c r="X409" s="9"/>
      <c r="Y409" s="9"/>
      <c r="Z409" s="9"/>
      <c r="AA409" s="9">
        <f t="shared" si="47"/>
        <v>380698.05999999947</v>
      </c>
      <c r="AB409" s="7" t="e">
        <f>W409-#REF!</f>
        <v>#REF!</v>
      </c>
      <c r="AC409" s="12"/>
      <c r="AD409" s="12"/>
      <c r="AE409" s="12"/>
      <c r="AF409" s="12"/>
      <c r="AG409" s="13"/>
      <c r="AH409" s="13"/>
      <c r="AI409" s="13"/>
      <c r="AJ409" s="13"/>
    </row>
    <row r="410" spans="1:36" s="1" customFormat="1" x14ac:dyDescent="0.25">
      <c r="A410">
        <v>4104</v>
      </c>
      <c r="B410">
        <v>7</v>
      </c>
      <c r="C410">
        <f t="shared" si="45"/>
        <v>7</v>
      </c>
      <c r="D410" s="1" t="s">
        <v>441</v>
      </c>
      <c r="E410" s="7">
        <v>-154491.73000000001</v>
      </c>
      <c r="F410" s="7">
        <v>-154491.72</v>
      </c>
      <c r="G410" s="7">
        <v>-115558.89</v>
      </c>
      <c r="H410" s="7">
        <v>-47085.520000000004</v>
      </c>
      <c r="I410" s="7">
        <v>-47343.08</v>
      </c>
      <c r="J410" s="7">
        <v>-47085.520000000004</v>
      </c>
      <c r="K410" s="7">
        <v>-47085.509999999995</v>
      </c>
      <c r="L410" s="7">
        <v>-47343.08</v>
      </c>
      <c r="M410" s="7">
        <v>-47085.520000000004</v>
      </c>
      <c r="N410" s="7">
        <v>-47085.509999999995</v>
      </c>
      <c r="O410" s="7">
        <v>107148.64</v>
      </c>
      <c r="P410" s="7">
        <v>107406.21</v>
      </c>
      <c r="Q410" s="7">
        <v>107406.2</v>
      </c>
      <c r="R410" s="7">
        <v>107148.64</v>
      </c>
      <c r="S410" s="7">
        <v>107406.21</v>
      </c>
      <c r="T410" s="7">
        <v>107406.21</v>
      </c>
      <c r="U410" s="7">
        <v>107148.64</v>
      </c>
      <c r="V410" s="7">
        <v>107406.21</v>
      </c>
      <c r="W410" s="9">
        <f t="shared" si="48"/>
        <v>103820.87999999996</v>
      </c>
      <c r="X410" s="9"/>
      <c r="Y410" s="9"/>
      <c r="Z410" s="9"/>
      <c r="AA410" s="9">
        <f t="shared" si="47"/>
        <v>103820.87999999996</v>
      </c>
      <c r="AB410" s="7" t="e">
        <f>W410-#REF!</f>
        <v>#REF!</v>
      </c>
      <c r="AC410" s="12"/>
      <c r="AD410" s="12"/>
      <c r="AE410" s="12"/>
      <c r="AF410" s="12"/>
      <c r="AG410" s="13"/>
      <c r="AH410" s="13"/>
      <c r="AI410" s="13"/>
      <c r="AJ410" s="13"/>
    </row>
    <row r="411" spans="1:36" s="1" customFormat="1" x14ac:dyDescent="0.25">
      <c r="A411">
        <v>4105</v>
      </c>
      <c r="B411">
        <v>7</v>
      </c>
      <c r="C411">
        <f t="shared" si="45"/>
        <v>7</v>
      </c>
      <c r="D411" s="1" t="s">
        <v>442</v>
      </c>
      <c r="E411" s="7">
        <v>-174310.34</v>
      </c>
      <c r="F411" s="7">
        <v>-174310.33</v>
      </c>
      <c r="G411" s="7">
        <v>-130418.31999999998</v>
      </c>
      <c r="H411" s="7">
        <v>-53129.7</v>
      </c>
      <c r="I411" s="7">
        <v>-53420.289999999994</v>
      </c>
      <c r="J411" s="7">
        <v>-53129.69</v>
      </c>
      <c r="K411" s="7">
        <v>-53129.679999999993</v>
      </c>
      <c r="L411" s="7">
        <v>-53420.289999999994</v>
      </c>
      <c r="M411" s="7">
        <v>-53129.69</v>
      </c>
      <c r="N411" s="7">
        <v>-53129.689999999988</v>
      </c>
      <c r="O411" s="7">
        <v>120890.04000000001</v>
      </c>
      <c r="P411" s="7">
        <v>121180.65</v>
      </c>
      <c r="Q411" s="7">
        <v>121180.65</v>
      </c>
      <c r="R411" s="7">
        <v>120890.04</v>
      </c>
      <c r="S411" s="7">
        <v>121180.65</v>
      </c>
      <c r="T411" s="7">
        <v>121180.64</v>
      </c>
      <c r="U411" s="7">
        <v>120890.04</v>
      </c>
      <c r="V411" s="7">
        <v>121180.65</v>
      </c>
      <c r="W411" s="9">
        <f t="shared" si="48"/>
        <v>117045.34000000026</v>
      </c>
      <c r="X411" s="9"/>
      <c r="Y411" s="9"/>
      <c r="Z411" s="9"/>
      <c r="AA411" s="9">
        <f t="shared" si="47"/>
        <v>117045.34000000026</v>
      </c>
      <c r="AB411" s="7" t="e">
        <f>W411-#REF!</f>
        <v>#REF!</v>
      </c>
      <c r="AC411" s="12"/>
      <c r="AD411" s="12"/>
      <c r="AE411" s="12"/>
      <c r="AF411" s="12"/>
      <c r="AG411" s="13"/>
      <c r="AH411" s="13"/>
      <c r="AI411" s="13"/>
      <c r="AJ411" s="13"/>
    </row>
    <row r="412" spans="1:36" s="1" customFormat="1" x14ac:dyDescent="0.25">
      <c r="A412">
        <v>4106</v>
      </c>
      <c r="B412">
        <v>7</v>
      </c>
      <c r="C412">
        <f t="shared" si="45"/>
        <v>7</v>
      </c>
      <c r="D412" s="1" t="s">
        <v>443</v>
      </c>
      <c r="E412" s="7">
        <v>-126915.57</v>
      </c>
      <c r="F412" s="7">
        <v>-126915.57</v>
      </c>
      <c r="G412" s="7">
        <v>-94978.32</v>
      </c>
      <c r="H412" s="7">
        <v>-38686.080000000002</v>
      </c>
      <c r="I412" s="7">
        <v>-38897.660000000003</v>
      </c>
      <c r="J412" s="7">
        <v>-38686.080000000002</v>
      </c>
      <c r="K412" s="7">
        <v>-38686.080000000002</v>
      </c>
      <c r="L412" s="7">
        <v>-38897.660000000003</v>
      </c>
      <c r="M412" s="7">
        <v>-38686.080000000002</v>
      </c>
      <c r="N412" s="7">
        <v>-38686.080000000002</v>
      </c>
      <c r="O412" s="7">
        <v>88017.91</v>
      </c>
      <c r="P412" s="7">
        <v>88229.49</v>
      </c>
      <c r="Q412" s="7">
        <v>88229.49</v>
      </c>
      <c r="R412" s="7">
        <v>88017.91</v>
      </c>
      <c r="S412" s="7">
        <v>88229.49</v>
      </c>
      <c r="T412" s="7">
        <v>88229.49</v>
      </c>
      <c r="U412" s="7">
        <v>88017.91</v>
      </c>
      <c r="V412" s="7">
        <v>88229.49</v>
      </c>
      <c r="W412" s="9">
        <f t="shared" si="48"/>
        <v>85166</v>
      </c>
      <c r="X412" s="9"/>
      <c r="Y412" s="9"/>
      <c r="Z412" s="9"/>
      <c r="AA412" s="9">
        <f t="shared" si="47"/>
        <v>85166</v>
      </c>
      <c r="AB412" s="7" t="e">
        <f>W412-#REF!</f>
        <v>#REF!</v>
      </c>
      <c r="AC412" s="12"/>
      <c r="AD412" s="12"/>
      <c r="AE412" s="12"/>
      <c r="AF412" s="12"/>
      <c r="AG412" s="13"/>
      <c r="AH412" s="13"/>
      <c r="AI412" s="13"/>
      <c r="AJ412" s="13"/>
    </row>
    <row r="413" spans="1:36" s="1" customFormat="1" x14ac:dyDescent="0.25">
      <c r="A413">
        <v>4107</v>
      </c>
      <c r="B413">
        <v>7</v>
      </c>
      <c r="C413">
        <f t="shared" si="45"/>
        <v>7</v>
      </c>
      <c r="D413" s="1" t="s">
        <v>444</v>
      </c>
      <c r="E413" s="7">
        <v>-59054.17</v>
      </c>
      <c r="F413" s="7">
        <v>-59054.18</v>
      </c>
      <c r="G413" s="7">
        <v>-44201.81</v>
      </c>
      <c r="H413" s="7">
        <v>-18001.64</v>
      </c>
      <c r="I413" s="7">
        <v>-18100.099999999999</v>
      </c>
      <c r="J413" s="7">
        <v>-18001.64</v>
      </c>
      <c r="K413" s="7">
        <v>-18001.660000000003</v>
      </c>
      <c r="L413" s="7">
        <v>-18100.089999999997</v>
      </c>
      <c r="M413" s="7">
        <v>-18001.650000000001</v>
      </c>
      <c r="N413" s="7">
        <v>-18001.64</v>
      </c>
      <c r="O413" s="7">
        <v>40954.079999999994</v>
      </c>
      <c r="P413" s="7">
        <v>41052.53</v>
      </c>
      <c r="Q413" s="7">
        <v>41052.53</v>
      </c>
      <c r="R413" s="7">
        <v>40954.080000000002</v>
      </c>
      <c r="S413" s="7">
        <v>41052.519999999997</v>
      </c>
      <c r="T413" s="7">
        <v>41052.53</v>
      </c>
      <c r="U413" s="7">
        <v>40954.080000000002</v>
      </c>
      <c r="V413" s="7">
        <v>41052.53</v>
      </c>
      <c r="W413" s="9">
        <f t="shared" si="48"/>
        <v>39606.299999999974</v>
      </c>
      <c r="X413" s="9"/>
      <c r="Y413" s="9"/>
      <c r="Z413" s="9"/>
      <c r="AA413" s="9">
        <f t="shared" si="47"/>
        <v>39606.299999999974</v>
      </c>
      <c r="AB413" s="7" t="e">
        <f>W413-#REF!</f>
        <v>#REF!</v>
      </c>
      <c r="AC413" s="12"/>
      <c r="AD413" s="12"/>
      <c r="AE413" s="12"/>
      <c r="AF413" s="12"/>
      <c r="AG413" s="13"/>
      <c r="AH413" s="13"/>
      <c r="AI413" s="13"/>
      <c r="AJ413" s="13"/>
    </row>
    <row r="414" spans="1:36" s="1" customFormat="1" x14ac:dyDescent="0.25">
      <c r="A414">
        <v>4110</v>
      </c>
      <c r="B414">
        <v>7</v>
      </c>
      <c r="C414">
        <f t="shared" si="45"/>
        <v>7</v>
      </c>
      <c r="D414" s="1" t="s">
        <v>445</v>
      </c>
      <c r="E414" s="7">
        <v>-152612.68</v>
      </c>
      <c r="F414" s="7">
        <v>-152612.69</v>
      </c>
      <c r="G414" s="7">
        <v>-114220.16999999998</v>
      </c>
      <c r="H414" s="7">
        <v>-46520.25</v>
      </c>
      <c r="I414" s="7">
        <v>-46774.659999999989</v>
      </c>
      <c r="J414" s="7">
        <v>-46520.260000000009</v>
      </c>
      <c r="K414" s="7">
        <v>-46520.259999999995</v>
      </c>
      <c r="L414" s="7">
        <v>-46774.659999999989</v>
      </c>
      <c r="M414" s="7">
        <v>-46520.260000000009</v>
      </c>
      <c r="N414" s="7">
        <v>-46520.25</v>
      </c>
      <c r="O414" s="7">
        <v>105838.01</v>
      </c>
      <c r="P414" s="7">
        <v>106092.43</v>
      </c>
      <c r="Q414" s="7">
        <v>106092.43</v>
      </c>
      <c r="R414" s="7">
        <v>105838.01</v>
      </c>
      <c r="S414" s="7">
        <v>106092.43</v>
      </c>
      <c r="T414" s="7">
        <v>106092.43</v>
      </c>
      <c r="U414" s="7">
        <v>105838.01</v>
      </c>
      <c r="V414" s="7">
        <v>106092.43</v>
      </c>
      <c r="W414" s="9">
        <f t="shared" si="48"/>
        <v>102380.04000000002</v>
      </c>
      <c r="X414" s="9"/>
      <c r="Y414" s="9"/>
      <c r="Z414" s="9"/>
      <c r="AA414" s="9">
        <f t="shared" si="47"/>
        <v>102380.04000000002</v>
      </c>
      <c r="AB414" s="7" t="e">
        <f>W414-#REF!</f>
        <v>#REF!</v>
      </c>
      <c r="AC414" s="12"/>
      <c r="AD414" s="12"/>
      <c r="AE414" s="12"/>
      <c r="AF414" s="12"/>
      <c r="AG414" s="13"/>
      <c r="AH414" s="13"/>
      <c r="AI414" s="13"/>
      <c r="AJ414" s="13"/>
    </row>
    <row r="415" spans="1:36" s="1" customFormat="1" x14ac:dyDescent="0.25">
      <c r="A415">
        <v>4111</v>
      </c>
      <c r="B415">
        <v>7</v>
      </c>
      <c r="C415">
        <f t="shared" si="45"/>
        <v>7</v>
      </c>
      <c r="D415" s="1" t="s">
        <v>446</v>
      </c>
      <c r="E415" s="7">
        <v>-102359.18</v>
      </c>
      <c r="F415" s="7">
        <v>-102359.17</v>
      </c>
      <c r="G415" s="7">
        <v>-76647.31</v>
      </c>
      <c r="H415" s="7">
        <v>-31205.979999999996</v>
      </c>
      <c r="I415" s="7">
        <v>-31376.599999999991</v>
      </c>
      <c r="J415" s="7">
        <v>-31205.979999999996</v>
      </c>
      <c r="K415" s="7">
        <v>-31205.97</v>
      </c>
      <c r="L415" s="7">
        <v>-31376.599999999991</v>
      </c>
      <c r="M415" s="7">
        <v>-31205.979999999996</v>
      </c>
      <c r="N415" s="7">
        <v>-31205.97</v>
      </c>
      <c r="O415" s="7">
        <v>70982.570000000007</v>
      </c>
      <c r="P415" s="7">
        <v>71153.2</v>
      </c>
      <c r="Q415" s="7">
        <v>71153.19</v>
      </c>
      <c r="R415" s="7">
        <v>70982.570000000007</v>
      </c>
      <c r="S415" s="7">
        <v>71153.2</v>
      </c>
      <c r="T415" s="7">
        <v>71153.2</v>
      </c>
      <c r="U415" s="7">
        <v>70982.570000000007</v>
      </c>
      <c r="V415" s="7">
        <v>71153.2</v>
      </c>
      <c r="W415" s="9">
        <f t="shared" si="48"/>
        <v>68564.960000000166</v>
      </c>
      <c r="X415" s="9"/>
      <c r="Y415" s="9"/>
      <c r="Z415" s="9"/>
      <c r="AA415" s="9">
        <f t="shared" si="47"/>
        <v>68564.960000000166</v>
      </c>
      <c r="AB415" s="7" t="e">
        <f>W415-#REF!</f>
        <v>#REF!</v>
      </c>
      <c r="AC415" s="12"/>
      <c r="AD415" s="12"/>
      <c r="AE415" s="12"/>
      <c r="AF415" s="12"/>
      <c r="AG415" s="13"/>
      <c r="AH415" s="13"/>
      <c r="AI415" s="13"/>
      <c r="AJ415" s="13"/>
    </row>
    <row r="416" spans="1:36" s="1" customFormat="1" x14ac:dyDescent="0.25">
      <c r="A416">
        <v>4112</v>
      </c>
      <c r="B416">
        <v>7</v>
      </c>
      <c r="C416">
        <f t="shared" si="45"/>
        <v>7</v>
      </c>
      <c r="D416" s="1" t="s">
        <v>447</v>
      </c>
      <c r="E416" s="7">
        <v>-233525.4</v>
      </c>
      <c r="F416" s="7">
        <v>-233525.39</v>
      </c>
      <c r="G416" s="7">
        <v>-174758.25</v>
      </c>
      <c r="H416" s="7">
        <v>-71182.340000000026</v>
      </c>
      <c r="I416" s="7">
        <v>-71571.66</v>
      </c>
      <c r="J416" s="7">
        <v>-71182.340000000026</v>
      </c>
      <c r="K416" s="7">
        <v>-71182.350000000006</v>
      </c>
      <c r="L416" s="7">
        <v>-71571.650000000023</v>
      </c>
      <c r="M416" s="7">
        <v>-71182.350000000006</v>
      </c>
      <c r="N416" s="7">
        <v>-71182.340000000026</v>
      </c>
      <c r="O416" s="7">
        <v>161953.74</v>
      </c>
      <c r="P416" s="7">
        <v>162343.04999999999</v>
      </c>
      <c r="Q416" s="7">
        <v>162343.04999999999</v>
      </c>
      <c r="R416" s="7">
        <v>161953.74</v>
      </c>
      <c r="S416" s="7">
        <v>162343.04999999999</v>
      </c>
      <c r="T416" s="7">
        <v>162343.04999999999</v>
      </c>
      <c r="U416" s="7">
        <v>161953.74</v>
      </c>
      <c r="V416" s="7">
        <v>162343.04999999999</v>
      </c>
      <c r="W416" s="9">
        <f t="shared" si="48"/>
        <v>156712.39999999973</v>
      </c>
      <c r="X416" s="9"/>
      <c r="Y416" s="9"/>
      <c r="Z416" s="9"/>
      <c r="AA416" s="9">
        <f t="shared" si="47"/>
        <v>156712.39999999973</v>
      </c>
      <c r="AB416" s="7" t="e">
        <f>W416-#REF!</f>
        <v>#REF!</v>
      </c>
      <c r="AC416" s="12"/>
      <c r="AD416" s="12"/>
      <c r="AE416" s="12"/>
      <c r="AF416" s="12"/>
      <c r="AG416" s="13"/>
      <c r="AH416" s="13"/>
      <c r="AI416" s="13"/>
      <c r="AJ416" s="13"/>
    </row>
    <row r="417" spans="1:36" s="1" customFormat="1" x14ac:dyDescent="0.25">
      <c r="A417">
        <v>4113</v>
      </c>
      <c r="B417">
        <v>7</v>
      </c>
      <c r="C417">
        <f t="shared" si="45"/>
        <v>7</v>
      </c>
      <c r="D417" s="1" t="s">
        <v>448</v>
      </c>
      <c r="E417" s="7">
        <v>-217413.76000000001</v>
      </c>
      <c r="F417" s="7">
        <v>-217413.76000000001</v>
      </c>
      <c r="G417" s="7">
        <v>-207945.98</v>
      </c>
      <c r="H417" s="7">
        <v>-71302.49000000002</v>
      </c>
      <c r="I417" s="7">
        <v>-71652.87</v>
      </c>
      <c r="J417" s="7">
        <v>-71302.48000000001</v>
      </c>
      <c r="K417" s="7">
        <v>-71302.48000000001</v>
      </c>
      <c r="L417" s="7">
        <v>-71652.87</v>
      </c>
      <c r="M417" s="7">
        <v>-71302.49000000002</v>
      </c>
      <c r="N417" s="7">
        <v>-71302.48000000001</v>
      </c>
      <c r="O417" s="7">
        <v>145760.88999999998</v>
      </c>
      <c r="P417" s="7">
        <v>146111.28</v>
      </c>
      <c r="Q417" s="7">
        <v>146111.26999999999</v>
      </c>
      <c r="R417" s="7">
        <v>145760.89000000001</v>
      </c>
      <c r="S417" s="7">
        <v>146111.28</v>
      </c>
      <c r="T417" s="7">
        <v>146111.26999999999</v>
      </c>
      <c r="U417" s="7">
        <v>145760.89000000001</v>
      </c>
      <c r="V417" s="7">
        <v>146111.28</v>
      </c>
      <c r="W417" s="9">
        <f t="shared" si="48"/>
        <v>25247.390000000218</v>
      </c>
      <c r="X417" s="9"/>
      <c r="Y417" s="9"/>
      <c r="Z417" s="9"/>
      <c r="AA417" s="9">
        <f t="shared" si="47"/>
        <v>25247.390000000218</v>
      </c>
      <c r="AB417" s="7" t="e">
        <f>W417-#REF!</f>
        <v>#REF!</v>
      </c>
      <c r="AC417" s="12"/>
      <c r="AD417" s="12"/>
      <c r="AE417" s="12"/>
      <c r="AF417" s="12"/>
      <c r="AG417" s="13"/>
      <c r="AH417" s="13"/>
      <c r="AI417" s="13"/>
      <c r="AJ417" s="13"/>
    </row>
    <row r="418" spans="1:36" s="1" customFormat="1" x14ac:dyDescent="0.25">
      <c r="A418">
        <v>4115</v>
      </c>
      <c r="B418">
        <v>7</v>
      </c>
      <c r="C418">
        <f t="shared" si="45"/>
        <v>7</v>
      </c>
      <c r="D418" s="1" t="s">
        <v>449</v>
      </c>
      <c r="E418" s="7">
        <v>-90689.31</v>
      </c>
      <c r="F418" s="7">
        <v>-90689.31</v>
      </c>
      <c r="G418" s="7">
        <v>-67892.66</v>
      </c>
      <c r="H418" s="7">
        <v>-27646.42</v>
      </c>
      <c r="I418" s="7">
        <v>-27797.599999999999</v>
      </c>
      <c r="J418" s="7">
        <v>-27646.42</v>
      </c>
      <c r="K418" s="7">
        <v>-27646.42</v>
      </c>
      <c r="L418" s="7">
        <v>-27797.590000000004</v>
      </c>
      <c r="M418" s="7">
        <v>-27646.409999999996</v>
      </c>
      <c r="N418" s="7">
        <v>-27646.42</v>
      </c>
      <c r="O418" s="7">
        <v>62891.71</v>
      </c>
      <c r="P418" s="7">
        <v>63042.89</v>
      </c>
      <c r="Q418" s="7">
        <v>63042.89</v>
      </c>
      <c r="R418" s="7">
        <v>62891.71</v>
      </c>
      <c r="S418" s="7">
        <v>63042.9</v>
      </c>
      <c r="T418" s="7">
        <v>63042.89</v>
      </c>
      <c r="U418" s="7">
        <v>62891.71</v>
      </c>
      <c r="V418" s="7">
        <v>63042.89</v>
      </c>
      <c r="W418" s="9">
        <f t="shared" si="48"/>
        <v>60791.030000000093</v>
      </c>
      <c r="X418" s="9"/>
      <c r="Y418" s="9"/>
      <c r="Z418" s="9"/>
      <c r="AA418" s="9">
        <f t="shared" si="47"/>
        <v>60791.030000000093</v>
      </c>
      <c r="AB418" s="7" t="e">
        <f>W418-#REF!</f>
        <v>#REF!</v>
      </c>
      <c r="AC418" s="12"/>
      <c r="AD418" s="12"/>
      <c r="AE418" s="12"/>
      <c r="AF418" s="12"/>
      <c r="AG418" s="13"/>
      <c r="AH418" s="13"/>
      <c r="AI418" s="13"/>
      <c r="AJ418" s="13"/>
    </row>
    <row r="419" spans="1:36" s="1" customFormat="1" x14ac:dyDescent="0.25">
      <c r="A419">
        <v>4116</v>
      </c>
      <c r="B419">
        <v>7</v>
      </c>
      <c r="C419">
        <f t="shared" si="45"/>
        <v>7</v>
      </c>
      <c r="D419" s="1" t="s">
        <v>450</v>
      </c>
      <c r="E419" s="7">
        <v>-285726.18</v>
      </c>
      <c r="F419" s="7">
        <v>-285726.18</v>
      </c>
      <c r="G419" s="7">
        <v>-213831.83</v>
      </c>
      <c r="H419" s="7">
        <v>-87095.01999999999</v>
      </c>
      <c r="I419" s="7">
        <v>-87571.35</v>
      </c>
      <c r="J419" s="7">
        <v>-87095.01999999999</v>
      </c>
      <c r="K419" s="7">
        <v>-87095.03</v>
      </c>
      <c r="L419" s="7">
        <v>-87571.35</v>
      </c>
      <c r="M419" s="7">
        <v>-87095.01999999999</v>
      </c>
      <c r="N419" s="7">
        <v>-87095.01999999999</v>
      </c>
      <c r="O419" s="7">
        <v>198154.82</v>
      </c>
      <c r="P419" s="7">
        <v>198631.16</v>
      </c>
      <c r="Q419" s="7">
        <v>198631.16</v>
      </c>
      <c r="R419" s="7">
        <v>198154.83</v>
      </c>
      <c r="S419" s="7">
        <v>198631.16</v>
      </c>
      <c r="T419" s="7">
        <v>198631.16</v>
      </c>
      <c r="U419" s="7">
        <v>198154.82</v>
      </c>
      <c r="V419" s="7">
        <v>198631.16</v>
      </c>
      <c r="W419" s="9">
        <f t="shared" si="48"/>
        <v>191718.27000000014</v>
      </c>
      <c r="X419" s="9"/>
      <c r="Y419" s="9"/>
      <c r="Z419" s="9"/>
      <c r="AA419" s="9">
        <f t="shared" si="47"/>
        <v>191718.27000000014</v>
      </c>
      <c r="AB419" s="7" t="e">
        <f>W419-#REF!</f>
        <v>#REF!</v>
      </c>
      <c r="AC419" s="12"/>
      <c r="AD419" s="12"/>
      <c r="AE419" s="12"/>
      <c r="AF419" s="12"/>
      <c r="AG419" s="13"/>
      <c r="AH419" s="13"/>
      <c r="AI419" s="13"/>
      <c r="AJ419" s="13"/>
    </row>
    <row r="420" spans="1:36" s="1" customFormat="1" x14ac:dyDescent="0.25">
      <c r="A420">
        <v>4118</v>
      </c>
      <c r="B420">
        <v>7</v>
      </c>
      <c r="C420">
        <f t="shared" si="45"/>
        <v>7</v>
      </c>
      <c r="D420" s="1" t="s">
        <v>451</v>
      </c>
      <c r="E420" s="7">
        <v>-205825.73</v>
      </c>
      <c r="F420" s="7">
        <v>-205825.72</v>
      </c>
      <c r="G420" s="7">
        <v>-154007.64000000001</v>
      </c>
      <c r="H420" s="7">
        <v>-62736.630000000005</v>
      </c>
      <c r="I420" s="7">
        <v>-63079.770000000019</v>
      </c>
      <c r="J420" s="7">
        <v>-62736.619999999995</v>
      </c>
      <c r="K420" s="7">
        <v>-62736.640000000014</v>
      </c>
      <c r="L420" s="7">
        <v>-63079.760000000009</v>
      </c>
      <c r="M420" s="7">
        <v>-62736.640000000014</v>
      </c>
      <c r="N420" s="7">
        <v>-62736.619999999995</v>
      </c>
      <c r="O420" s="7">
        <v>142745.95000000001</v>
      </c>
      <c r="P420" s="7">
        <v>143089.1</v>
      </c>
      <c r="Q420" s="7">
        <v>143089.09</v>
      </c>
      <c r="R420" s="7">
        <v>142745.96</v>
      </c>
      <c r="S420" s="7">
        <v>143089.09</v>
      </c>
      <c r="T420" s="7">
        <v>143089.1</v>
      </c>
      <c r="U420" s="7">
        <v>142745.95000000001</v>
      </c>
      <c r="V420" s="7">
        <v>143089.1</v>
      </c>
      <c r="W420" s="9">
        <f t="shared" si="48"/>
        <v>138181.56999999983</v>
      </c>
      <c r="X420" s="9"/>
      <c r="Y420" s="9"/>
      <c r="Z420" s="9"/>
      <c r="AA420" s="9">
        <f t="shared" si="47"/>
        <v>138181.56999999983</v>
      </c>
      <c r="AB420" s="7" t="e">
        <f>W420-#REF!</f>
        <v>#REF!</v>
      </c>
      <c r="AC420" s="12"/>
      <c r="AD420" s="12"/>
      <c r="AE420" s="12"/>
      <c r="AF420" s="12"/>
      <c r="AG420" s="13"/>
      <c r="AH420" s="13"/>
      <c r="AI420" s="13"/>
      <c r="AJ420" s="13"/>
    </row>
    <row r="421" spans="1:36" s="1" customFormat="1" x14ac:dyDescent="0.25">
      <c r="A421">
        <v>4119</v>
      </c>
      <c r="B421">
        <v>7</v>
      </c>
      <c r="C421">
        <f t="shared" si="45"/>
        <v>7</v>
      </c>
      <c r="D421" s="1" t="s">
        <v>452</v>
      </c>
      <c r="E421" s="7">
        <v>-44962.11</v>
      </c>
      <c r="F421" s="7">
        <v>-44962.12</v>
      </c>
      <c r="G421" s="7">
        <v>-33657.270000000004</v>
      </c>
      <c r="H421" s="7">
        <v>-13706.29</v>
      </c>
      <c r="I421" s="7">
        <v>-13781.240000000002</v>
      </c>
      <c r="J421" s="7">
        <v>-13706.29</v>
      </c>
      <c r="K421" s="7">
        <v>-13706.300000000003</v>
      </c>
      <c r="L421" s="7">
        <v>-13781.250000000004</v>
      </c>
      <c r="M421" s="7">
        <v>-13706.279999999999</v>
      </c>
      <c r="N421" s="7">
        <v>-13706.300000000003</v>
      </c>
      <c r="O421" s="7">
        <v>31180.87</v>
      </c>
      <c r="P421" s="7">
        <v>31255.83</v>
      </c>
      <c r="Q421" s="7">
        <v>31255.82</v>
      </c>
      <c r="R421" s="7">
        <v>31180.87</v>
      </c>
      <c r="S421" s="7">
        <v>31255.83</v>
      </c>
      <c r="T421" s="7">
        <v>31255.82</v>
      </c>
      <c r="U421" s="7">
        <v>31180.87</v>
      </c>
      <c r="V421" s="7">
        <v>31255.83</v>
      </c>
      <c r="W421" s="9">
        <f t="shared" si="48"/>
        <v>30146.290000000005</v>
      </c>
      <c r="X421" s="9"/>
      <c r="Y421" s="9"/>
      <c r="Z421" s="9"/>
      <c r="AA421" s="9">
        <f t="shared" si="47"/>
        <v>30146.290000000005</v>
      </c>
      <c r="AB421" s="7" t="e">
        <f>W421-#REF!</f>
        <v>#REF!</v>
      </c>
      <c r="AC421" s="12"/>
      <c r="AD421" s="12"/>
      <c r="AE421" s="12"/>
      <c r="AF421" s="12"/>
      <c r="AG421" s="13"/>
      <c r="AH421" s="13"/>
      <c r="AI421" s="13"/>
      <c r="AJ421" s="13"/>
    </row>
    <row r="422" spans="1:36" s="1" customFormat="1" x14ac:dyDescent="0.25">
      <c r="A422">
        <v>4120</v>
      </c>
      <c r="B422">
        <v>7</v>
      </c>
      <c r="C422">
        <f t="shared" si="45"/>
        <v>7</v>
      </c>
      <c r="D422" s="1" t="s">
        <v>453</v>
      </c>
      <c r="E422" s="7">
        <v>-513354.86</v>
      </c>
      <c r="F422" s="7">
        <v>-513354.87</v>
      </c>
      <c r="G422" s="7">
        <v>-384214.02999999997</v>
      </c>
      <c r="H422" s="7">
        <v>-156484.03999999998</v>
      </c>
      <c r="I422" s="7">
        <v>-157339.84999999998</v>
      </c>
      <c r="J422" s="7">
        <v>-156484.02999999997</v>
      </c>
      <c r="K422" s="7">
        <v>-156484.03999999998</v>
      </c>
      <c r="L422" s="7">
        <v>-157339.83999999997</v>
      </c>
      <c r="M422" s="7">
        <v>-156484.04999999999</v>
      </c>
      <c r="N422" s="7">
        <v>-156484.02999999997</v>
      </c>
      <c r="O422" s="7">
        <v>356015.01999999996</v>
      </c>
      <c r="P422" s="7">
        <v>356870.83</v>
      </c>
      <c r="Q422" s="7">
        <v>356870.82</v>
      </c>
      <c r="R422" s="7">
        <v>356015.02</v>
      </c>
      <c r="S422" s="7">
        <v>356870.83</v>
      </c>
      <c r="T422" s="7">
        <v>356870.82</v>
      </c>
      <c r="U422" s="7">
        <v>356015.02</v>
      </c>
      <c r="V422" s="7">
        <v>356870.83</v>
      </c>
      <c r="W422" s="9">
        <f t="shared" si="48"/>
        <v>344375.55000000063</v>
      </c>
      <c r="X422" s="9"/>
      <c r="Y422" s="9"/>
      <c r="Z422" s="9"/>
      <c r="AA422" s="9">
        <f t="shared" si="47"/>
        <v>344375.55000000063</v>
      </c>
      <c r="AB422" s="7" t="e">
        <f>W422-#REF!</f>
        <v>#REF!</v>
      </c>
      <c r="AC422" s="12"/>
      <c r="AD422" s="12"/>
      <c r="AE422" s="12"/>
      <c r="AF422" s="12"/>
      <c r="AG422" s="13"/>
      <c r="AH422" s="13"/>
      <c r="AI422" s="13"/>
      <c r="AJ422" s="13"/>
    </row>
    <row r="423" spans="1:36" s="1" customFormat="1" x14ac:dyDescent="0.25">
      <c r="A423">
        <v>4121</v>
      </c>
      <c r="B423">
        <v>7</v>
      </c>
      <c r="C423">
        <f t="shared" si="45"/>
        <v>7</v>
      </c>
      <c r="D423" s="1" t="s">
        <v>454</v>
      </c>
      <c r="E423" s="7">
        <v>-200052.88</v>
      </c>
      <c r="F423" s="7">
        <v>-200052.89</v>
      </c>
      <c r="G423" s="7">
        <v>-149769.71000000002</v>
      </c>
      <c r="H423" s="7">
        <v>-60986.110000000015</v>
      </c>
      <c r="I423" s="7">
        <v>-61319.610000000015</v>
      </c>
      <c r="J423" s="7">
        <v>-60986.100000000006</v>
      </c>
      <c r="K423" s="7">
        <v>-60986.120000000024</v>
      </c>
      <c r="L423" s="7">
        <v>-61319.600000000006</v>
      </c>
      <c r="M423" s="7">
        <v>-60986.120000000024</v>
      </c>
      <c r="N423" s="7">
        <v>-60986.110000000015</v>
      </c>
      <c r="O423" s="7">
        <v>138733.28</v>
      </c>
      <c r="P423" s="7">
        <v>139066.78</v>
      </c>
      <c r="Q423" s="7">
        <v>139066.76999999999</v>
      </c>
      <c r="R423" s="7">
        <v>138733.28</v>
      </c>
      <c r="S423" s="7">
        <v>139066.76999999999</v>
      </c>
      <c r="T423" s="7">
        <v>139066.78</v>
      </c>
      <c r="U423" s="7">
        <v>138733.28</v>
      </c>
      <c r="V423" s="7">
        <v>139066.76999999999</v>
      </c>
      <c r="W423" s="9">
        <f t="shared" si="48"/>
        <v>134088.46000000022</v>
      </c>
      <c r="X423" s="9"/>
      <c r="Y423" s="9"/>
      <c r="Z423" s="9"/>
      <c r="AA423" s="9">
        <f t="shared" si="47"/>
        <v>134088.46000000022</v>
      </c>
      <c r="AB423" s="7" t="e">
        <f>W423-#REF!</f>
        <v>#REF!</v>
      </c>
      <c r="AC423" s="12"/>
      <c r="AD423" s="12"/>
      <c r="AE423" s="12"/>
      <c r="AF423" s="12"/>
      <c r="AG423" s="13"/>
      <c r="AH423" s="13"/>
      <c r="AI423" s="13"/>
      <c r="AJ423" s="13"/>
    </row>
    <row r="424" spans="1:36" s="1" customFormat="1" x14ac:dyDescent="0.25">
      <c r="A424">
        <v>4122</v>
      </c>
      <c r="B424">
        <v>7</v>
      </c>
      <c r="C424">
        <f t="shared" si="45"/>
        <v>7</v>
      </c>
      <c r="D424" s="1" t="s">
        <v>455</v>
      </c>
      <c r="E424" s="7">
        <v>-325862.17</v>
      </c>
      <c r="F424" s="7">
        <v>-325862.17</v>
      </c>
      <c r="G424" s="7">
        <v>-243816.36</v>
      </c>
      <c r="H424" s="7">
        <v>-99323.43</v>
      </c>
      <c r="I424" s="7">
        <v>-99866.699999999983</v>
      </c>
      <c r="J424" s="7">
        <v>-99323.43</v>
      </c>
      <c r="K424" s="7">
        <v>-99323.439999999973</v>
      </c>
      <c r="L424" s="7">
        <v>-99866.699999999983</v>
      </c>
      <c r="M424" s="7">
        <v>-99323.43</v>
      </c>
      <c r="N424" s="7">
        <v>-99323.439999999973</v>
      </c>
      <c r="O424" s="7">
        <v>225995.48</v>
      </c>
      <c r="P424" s="7">
        <v>226538.73</v>
      </c>
      <c r="Q424" s="7">
        <v>226538.74</v>
      </c>
      <c r="R424" s="7">
        <v>225995.47</v>
      </c>
      <c r="S424" s="7">
        <v>226538.74</v>
      </c>
      <c r="T424" s="7">
        <v>226538.73</v>
      </c>
      <c r="U424" s="7">
        <v>225995.48</v>
      </c>
      <c r="V424" s="7">
        <v>226538.73</v>
      </c>
      <c r="W424" s="9">
        <f t="shared" si="48"/>
        <v>218788.83000000039</v>
      </c>
      <c r="X424" s="9"/>
      <c r="Y424" s="9"/>
      <c r="Z424" s="9"/>
      <c r="AA424" s="9">
        <f t="shared" si="47"/>
        <v>218788.83000000039</v>
      </c>
      <c r="AB424" s="7" t="e">
        <f>W424-#REF!</f>
        <v>#REF!</v>
      </c>
      <c r="AC424" s="12"/>
      <c r="AD424" s="12"/>
      <c r="AE424" s="12"/>
      <c r="AF424" s="12"/>
      <c r="AG424" s="13"/>
      <c r="AH424" s="13"/>
      <c r="AI424" s="13"/>
      <c r="AJ424" s="13"/>
    </row>
    <row r="425" spans="1:36" s="1" customFormat="1" x14ac:dyDescent="0.25">
      <c r="A425">
        <v>4123</v>
      </c>
      <c r="B425">
        <v>7</v>
      </c>
      <c r="C425">
        <f t="shared" si="45"/>
        <v>7</v>
      </c>
      <c r="D425" s="1" t="s">
        <v>456</v>
      </c>
      <c r="E425" s="7">
        <v>-14692.46</v>
      </c>
      <c r="F425" s="7">
        <v>-14692.47</v>
      </c>
      <c r="G425" s="7">
        <v>-10995.429999999998</v>
      </c>
      <c r="H425" s="7">
        <v>-4478.5299999999988</v>
      </c>
      <c r="I425" s="7">
        <v>-4503.0399999999991</v>
      </c>
      <c r="J425" s="7">
        <v>-4478.5399999999991</v>
      </c>
      <c r="K425" s="7">
        <v>-4478.5399999999991</v>
      </c>
      <c r="L425" s="7">
        <v>-4503.0399999999991</v>
      </c>
      <c r="M425" s="7">
        <v>-4478.5399999999991</v>
      </c>
      <c r="N425" s="7">
        <v>-4478.5399999999991</v>
      </c>
      <c r="O425" s="7">
        <v>10189.43</v>
      </c>
      <c r="P425" s="7">
        <v>10213.92</v>
      </c>
      <c r="Q425" s="7">
        <v>10213.92</v>
      </c>
      <c r="R425" s="7">
        <v>10189.43</v>
      </c>
      <c r="S425" s="7">
        <v>10213.92</v>
      </c>
      <c r="T425" s="7">
        <v>10213.92</v>
      </c>
      <c r="U425" s="7">
        <v>10189.43</v>
      </c>
      <c r="V425" s="7">
        <v>10213.92</v>
      </c>
      <c r="W425" s="9">
        <f t="shared" si="48"/>
        <v>9858.7600000000057</v>
      </c>
      <c r="X425" s="9"/>
      <c r="Y425" s="9"/>
      <c r="Z425" s="9"/>
      <c r="AA425" s="9">
        <f t="shared" si="47"/>
        <v>9858.7600000000057</v>
      </c>
      <c r="AB425" s="7" t="e">
        <f>W425-#REF!</f>
        <v>#REF!</v>
      </c>
      <c r="AC425" s="12"/>
      <c r="AD425" s="12"/>
      <c r="AE425" s="12"/>
      <c r="AF425" s="12"/>
      <c r="AG425" s="13"/>
      <c r="AH425" s="13"/>
      <c r="AI425" s="13"/>
      <c r="AJ425" s="13"/>
    </row>
    <row r="426" spans="1:36" s="1" customFormat="1" x14ac:dyDescent="0.25">
      <c r="A426">
        <v>4124</v>
      </c>
      <c r="B426">
        <v>7</v>
      </c>
      <c r="C426">
        <f t="shared" si="45"/>
        <v>7</v>
      </c>
      <c r="D426" s="1" t="s">
        <v>457</v>
      </c>
      <c r="E426" s="7">
        <v>-221251.4</v>
      </c>
      <c r="F426" s="7">
        <v>-221251.39</v>
      </c>
      <c r="G426" s="7">
        <v>-165538.32</v>
      </c>
      <c r="H426" s="7">
        <v>-67437.179999999993</v>
      </c>
      <c r="I426" s="7">
        <v>-67806.020000000019</v>
      </c>
      <c r="J426" s="7">
        <v>-67437.179999999993</v>
      </c>
      <c r="K426" s="7">
        <v>-67437.170000000013</v>
      </c>
      <c r="L426" s="7">
        <v>-67806.020000000019</v>
      </c>
      <c r="M426" s="7">
        <v>-67437.179999999993</v>
      </c>
      <c r="N426" s="7">
        <v>-67437.170000000013</v>
      </c>
      <c r="O426" s="7">
        <v>153445.37</v>
      </c>
      <c r="P426" s="7">
        <v>153814.22</v>
      </c>
      <c r="Q426" s="7">
        <v>153814.22</v>
      </c>
      <c r="R426" s="7">
        <v>153445.37</v>
      </c>
      <c r="S426" s="7">
        <v>153814.22</v>
      </c>
      <c r="T426" s="7">
        <v>153814.22</v>
      </c>
      <c r="U426" s="7">
        <v>153445.37</v>
      </c>
      <c r="V426" s="7">
        <v>153814.22</v>
      </c>
      <c r="W426" s="9">
        <f t="shared" si="48"/>
        <v>148568.17999999988</v>
      </c>
      <c r="X426" s="9"/>
      <c r="Y426" s="9"/>
      <c r="Z426" s="9"/>
      <c r="AA426" s="9">
        <f t="shared" si="47"/>
        <v>148568.17999999988</v>
      </c>
      <c r="AB426" s="7" t="e">
        <f>W426-#REF!</f>
        <v>#REF!</v>
      </c>
      <c r="AC426" s="12"/>
      <c r="AD426" s="12"/>
      <c r="AE426" s="12"/>
      <c r="AF426" s="12"/>
      <c r="AG426" s="13"/>
      <c r="AH426" s="13"/>
      <c r="AI426" s="13"/>
      <c r="AJ426" s="13"/>
    </row>
    <row r="427" spans="1:36" s="1" customFormat="1" x14ac:dyDescent="0.25">
      <c r="A427">
        <v>4126</v>
      </c>
      <c r="B427">
        <v>7</v>
      </c>
      <c r="C427">
        <f t="shared" si="45"/>
        <v>7</v>
      </c>
      <c r="D427" s="1" t="s">
        <v>458</v>
      </c>
      <c r="E427" s="7">
        <v>-380180.15</v>
      </c>
      <c r="F427" s="7">
        <v>-380180.15</v>
      </c>
      <c r="G427" s="7">
        <v>-284653.27</v>
      </c>
      <c r="H427" s="7">
        <v>-115901.37</v>
      </c>
      <c r="I427" s="7">
        <v>-116535.12</v>
      </c>
      <c r="J427" s="7">
        <v>-115901.36000000004</v>
      </c>
      <c r="K427" s="7">
        <v>-115901.37</v>
      </c>
      <c r="L427" s="7">
        <v>-116535.12999999995</v>
      </c>
      <c r="M427" s="7">
        <v>-115901.36000000004</v>
      </c>
      <c r="N427" s="7">
        <v>-115901.37</v>
      </c>
      <c r="O427" s="7">
        <v>263645.03000000003</v>
      </c>
      <c r="P427" s="7">
        <v>264278.78999999998</v>
      </c>
      <c r="Q427" s="7">
        <v>264278.78999999998</v>
      </c>
      <c r="R427" s="7">
        <v>263645.02</v>
      </c>
      <c r="S427" s="7">
        <v>264278.78999999998</v>
      </c>
      <c r="T427" s="7">
        <v>264278.78999999998</v>
      </c>
      <c r="U427" s="7">
        <v>263645.02</v>
      </c>
      <c r="V427" s="7">
        <v>264278.78999999998</v>
      </c>
      <c r="W427" s="9">
        <f t="shared" si="48"/>
        <v>254738.37000000023</v>
      </c>
      <c r="X427" s="9"/>
      <c r="Y427" s="9"/>
      <c r="Z427" s="9"/>
      <c r="AA427" s="9">
        <f t="shared" si="47"/>
        <v>254738.37000000023</v>
      </c>
      <c r="AB427" s="7" t="e">
        <f>W427-#REF!</f>
        <v>#REF!</v>
      </c>
      <c r="AC427" s="12"/>
      <c r="AD427" s="12"/>
      <c r="AE427" s="12"/>
      <c r="AF427" s="12"/>
      <c r="AG427" s="13"/>
      <c r="AH427" s="13"/>
      <c r="AI427" s="13"/>
      <c r="AJ427" s="13"/>
    </row>
    <row r="428" spans="1:36" s="1" customFormat="1" x14ac:dyDescent="0.25">
      <c r="A428">
        <v>4127</v>
      </c>
      <c r="B428">
        <v>7</v>
      </c>
      <c r="C428">
        <f t="shared" si="45"/>
        <v>7</v>
      </c>
      <c r="D428" s="1" t="s">
        <v>459</v>
      </c>
      <c r="E428" s="7">
        <v>-78400.429999999993</v>
      </c>
      <c r="F428" s="7">
        <v>-78400.44</v>
      </c>
      <c r="G428" s="7">
        <v>-58672.31</v>
      </c>
      <c r="H428" s="7">
        <v>-23897.889999999992</v>
      </c>
      <c r="I428" s="7">
        <v>-24028.61</v>
      </c>
      <c r="J428" s="7">
        <v>-23897.889999999992</v>
      </c>
      <c r="K428" s="7">
        <v>-23897.9</v>
      </c>
      <c r="L428" s="7">
        <v>-24028.599999999991</v>
      </c>
      <c r="M428" s="7">
        <v>-23897.9</v>
      </c>
      <c r="N428" s="7">
        <v>-23897.889999999992</v>
      </c>
      <c r="O428" s="7">
        <v>54371.83</v>
      </c>
      <c r="P428" s="7">
        <v>54502.54</v>
      </c>
      <c r="Q428" s="7">
        <v>54502.54</v>
      </c>
      <c r="R428" s="7">
        <v>54371.83</v>
      </c>
      <c r="S428" s="7">
        <v>54502.54</v>
      </c>
      <c r="T428" s="7">
        <v>54502.54</v>
      </c>
      <c r="U428" s="7">
        <v>54371.83</v>
      </c>
      <c r="V428" s="7">
        <v>54502.54</v>
      </c>
      <c r="W428" s="9">
        <f t="shared" si="48"/>
        <v>52608.329999999958</v>
      </c>
      <c r="X428" s="9"/>
      <c r="Y428" s="9"/>
      <c r="Z428" s="9"/>
      <c r="AA428" s="9">
        <f t="shared" si="47"/>
        <v>52608.329999999958</v>
      </c>
      <c r="AB428" s="7" t="e">
        <f>W428-#REF!</f>
        <v>#REF!</v>
      </c>
      <c r="AC428" s="12"/>
      <c r="AD428" s="12"/>
      <c r="AE428" s="12"/>
      <c r="AF428" s="12"/>
      <c r="AG428" s="13"/>
      <c r="AH428" s="13"/>
      <c r="AI428" s="13"/>
      <c r="AJ428" s="13"/>
    </row>
    <row r="429" spans="1:36" s="1" customFormat="1" x14ac:dyDescent="0.25">
      <c r="A429">
        <v>4131</v>
      </c>
      <c r="B429">
        <v>7</v>
      </c>
      <c r="C429">
        <f t="shared" si="45"/>
        <v>7</v>
      </c>
      <c r="D429" s="1" t="s">
        <v>460</v>
      </c>
      <c r="E429" s="7">
        <v>-174400.23</v>
      </c>
      <c r="F429" s="7">
        <v>-174400.22</v>
      </c>
      <c r="G429" s="7">
        <v>-130551.11</v>
      </c>
      <c r="H429" s="7">
        <v>-53164.390000000014</v>
      </c>
      <c r="I429" s="7">
        <v>-53455.100000000006</v>
      </c>
      <c r="J429" s="7">
        <v>-53164.380000000005</v>
      </c>
      <c r="K429" s="7">
        <v>-53164.369999999995</v>
      </c>
      <c r="L429" s="7">
        <v>-53455.100000000006</v>
      </c>
      <c r="M429" s="7">
        <v>-53164.380000000005</v>
      </c>
      <c r="N429" s="7">
        <v>-53164.380000000005</v>
      </c>
      <c r="O429" s="7">
        <v>120945.12</v>
      </c>
      <c r="P429" s="7">
        <v>121235.85</v>
      </c>
      <c r="Q429" s="7">
        <v>121235.85</v>
      </c>
      <c r="R429" s="7">
        <v>120945.12</v>
      </c>
      <c r="S429" s="7">
        <v>121235.85</v>
      </c>
      <c r="T429" s="7">
        <v>121235.84</v>
      </c>
      <c r="U429" s="7">
        <v>120945.12</v>
      </c>
      <c r="V429" s="7">
        <v>121235.85</v>
      </c>
      <c r="W429" s="9">
        <f t="shared" si="48"/>
        <v>116930.94000000003</v>
      </c>
      <c r="X429" s="9"/>
      <c r="Y429" s="9"/>
      <c r="Z429" s="9"/>
      <c r="AA429" s="9">
        <f t="shared" si="47"/>
        <v>116930.94000000003</v>
      </c>
      <c r="AB429" s="7" t="e">
        <f>W429-#REF!</f>
        <v>#REF!</v>
      </c>
      <c r="AC429" s="12"/>
      <c r="AD429" s="12"/>
      <c r="AE429" s="12"/>
      <c r="AF429" s="12"/>
      <c r="AG429" s="13"/>
      <c r="AH429" s="13"/>
      <c r="AI429" s="13"/>
      <c r="AJ429" s="13"/>
    </row>
    <row r="430" spans="1:36" s="1" customFormat="1" x14ac:dyDescent="0.25">
      <c r="A430">
        <v>4132</v>
      </c>
      <c r="B430">
        <v>7</v>
      </c>
      <c r="C430">
        <f t="shared" si="45"/>
        <v>7</v>
      </c>
      <c r="D430" s="1" t="s">
        <v>461</v>
      </c>
      <c r="E430" s="7">
        <v>-115749.47</v>
      </c>
      <c r="F430" s="7">
        <v>-115749.48</v>
      </c>
      <c r="G430" s="7">
        <v>-86635.549999999988</v>
      </c>
      <c r="H430" s="7">
        <v>-35283.959999999992</v>
      </c>
      <c r="I430" s="7">
        <v>-35476.910000000003</v>
      </c>
      <c r="J430" s="7">
        <v>-35283.959999999992</v>
      </c>
      <c r="K430" s="7">
        <v>-35283.959999999992</v>
      </c>
      <c r="L430" s="7">
        <v>-35476.92</v>
      </c>
      <c r="M430" s="7">
        <v>-35283.949999999997</v>
      </c>
      <c r="N430" s="7">
        <v>-35283.959999999992</v>
      </c>
      <c r="O430" s="7">
        <v>80272.56</v>
      </c>
      <c r="P430" s="7">
        <v>80465.52</v>
      </c>
      <c r="Q430" s="7">
        <v>80465.52</v>
      </c>
      <c r="R430" s="7">
        <v>80272.56</v>
      </c>
      <c r="S430" s="7">
        <v>80465.52</v>
      </c>
      <c r="T430" s="7">
        <v>80465.52</v>
      </c>
      <c r="U430" s="7">
        <v>80272.56</v>
      </c>
      <c r="V430" s="7">
        <v>80465.52</v>
      </c>
      <c r="W430" s="9">
        <f t="shared" si="48"/>
        <v>77637.160000000178</v>
      </c>
      <c r="X430" s="9"/>
      <c r="Y430" s="9"/>
      <c r="Z430" s="9"/>
      <c r="AA430" s="9">
        <f t="shared" si="47"/>
        <v>77637.160000000178</v>
      </c>
      <c r="AB430" s="7" t="e">
        <f>W430-#REF!</f>
        <v>#REF!</v>
      </c>
      <c r="AC430" s="12"/>
      <c r="AD430" s="12"/>
      <c r="AE430" s="12"/>
      <c r="AF430" s="12"/>
      <c r="AG430" s="13"/>
      <c r="AH430" s="13"/>
      <c r="AI430" s="13"/>
      <c r="AJ430" s="13"/>
    </row>
    <row r="431" spans="1:36" s="1" customFormat="1" x14ac:dyDescent="0.25">
      <c r="A431">
        <v>4133</v>
      </c>
      <c r="B431">
        <v>7</v>
      </c>
      <c r="C431">
        <f t="shared" si="45"/>
        <v>7</v>
      </c>
      <c r="D431" s="1" t="s">
        <v>462</v>
      </c>
      <c r="E431" s="7">
        <v>-96872.92</v>
      </c>
      <c r="F431" s="7">
        <v>-96872.91</v>
      </c>
      <c r="G431" s="7">
        <v>-72439.100000000006</v>
      </c>
      <c r="H431" s="7">
        <v>-29522.260000000009</v>
      </c>
      <c r="I431" s="7">
        <v>-29683.78</v>
      </c>
      <c r="J431" s="7">
        <v>-29522.260000000009</v>
      </c>
      <c r="K431" s="7">
        <v>-29522.28</v>
      </c>
      <c r="L431" s="7">
        <v>-29683.770000000004</v>
      </c>
      <c r="M431" s="7">
        <v>-29522.270000000004</v>
      </c>
      <c r="N431" s="7">
        <v>-29522.260000000009</v>
      </c>
      <c r="O431" s="7">
        <v>67189.14</v>
      </c>
      <c r="P431" s="7">
        <v>67350.649999999994</v>
      </c>
      <c r="Q431" s="7">
        <v>67350.649999999994</v>
      </c>
      <c r="R431" s="7">
        <v>67189.13</v>
      </c>
      <c r="S431" s="7">
        <v>67350.649999999994</v>
      </c>
      <c r="T431" s="7">
        <v>67350.649999999994</v>
      </c>
      <c r="U431" s="7">
        <v>67189.14</v>
      </c>
      <c r="V431" s="7">
        <v>67350.649999999994</v>
      </c>
      <c r="W431" s="9">
        <f t="shared" si="48"/>
        <v>65156.849999999875</v>
      </c>
      <c r="X431" s="9"/>
      <c r="Y431" s="9"/>
      <c r="Z431" s="9"/>
      <c r="AA431" s="9">
        <f t="shared" si="47"/>
        <v>65156.849999999875</v>
      </c>
      <c r="AB431" s="7" t="e">
        <f>W431-#REF!</f>
        <v>#REF!</v>
      </c>
      <c r="AC431" s="12"/>
      <c r="AD431" s="12"/>
      <c r="AE431" s="12"/>
      <c r="AF431" s="12"/>
      <c r="AG431" s="13"/>
      <c r="AH431" s="13"/>
      <c r="AI431" s="13"/>
      <c r="AJ431" s="13"/>
    </row>
    <row r="432" spans="1:36" s="1" customFormat="1" x14ac:dyDescent="0.25">
      <c r="A432">
        <v>4135</v>
      </c>
      <c r="B432">
        <v>7</v>
      </c>
      <c r="C432">
        <f t="shared" ref="C432:C495" si="49">B432</f>
        <v>7</v>
      </c>
      <c r="D432" s="1" t="s">
        <v>463</v>
      </c>
      <c r="E432" s="7">
        <v>-134215.18</v>
      </c>
      <c r="F432" s="7">
        <v>-134215.18</v>
      </c>
      <c r="G432" s="7">
        <v>-100501.47000000002</v>
      </c>
      <c r="H432" s="7">
        <v>-40917.859999999986</v>
      </c>
      <c r="I432" s="7">
        <v>-41141.570000000007</v>
      </c>
      <c r="J432" s="7">
        <v>-40917.849999999991</v>
      </c>
      <c r="K432" s="7">
        <v>-40917.850000000006</v>
      </c>
      <c r="L432" s="7">
        <v>-41141.579999999987</v>
      </c>
      <c r="M432" s="7">
        <v>-40917.850000000006</v>
      </c>
      <c r="N432" s="7">
        <v>-40917.849999999991</v>
      </c>
      <c r="O432" s="7">
        <v>93073.590000000011</v>
      </c>
      <c r="P432" s="7">
        <v>93297.33</v>
      </c>
      <c r="Q432" s="7">
        <v>93297.33</v>
      </c>
      <c r="R432" s="7">
        <v>93073.59</v>
      </c>
      <c r="S432" s="7">
        <v>93297.33</v>
      </c>
      <c r="T432" s="7">
        <v>93297.33</v>
      </c>
      <c r="U432" s="7">
        <v>93073.59</v>
      </c>
      <c r="V432" s="7">
        <v>93297.33</v>
      </c>
      <c r="W432" s="9">
        <f t="shared" si="48"/>
        <v>89903.180000000109</v>
      </c>
      <c r="X432" s="9"/>
      <c r="Y432" s="9"/>
      <c r="Z432" s="9"/>
      <c r="AA432" s="9">
        <f t="shared" si="47"/>
        <v>89903.180000000109</v>
      </c>
      <c r="AB432" s="7" t="e">
        <f>W432-#REF!</f>
        <v>#REF!</v>
      </c>
      <c r="AC432" s="12"/>
      <c r="AD432" s="12"/>
      <c r="AE432" s="12"/>
      <c r="AF432" s="12"/>
      <c r="AG432" s="13"/>
      <c r="AH432" s="13"/>
      <c r="AI432" s="13"/>
      <c r="AJ432" s="13"/>
    </row>
    <row r="433" spans="1:36" s="1" customFormat="1" x14ac:dyDescent="0.25">
      <c r="A433">
        <v>4137</v>
      </c>
      <c r="B433">
        <v>7</v>
      </c>
      <c r="C433">
        <f t="shared" si="49"/>
        <v>7</v>
      </c>
      <c r="D433" s="1" t="s">
        <v>464</v>
      </c>
      <c r="E433" s="7">
        <v>-67196.47</v>
      </c>
      <c r="F433" s="7">
        <v>-67196.479999999996</v>
      </c>
      <c r="G433" s="7">
        <v>-50272.939999999995</v>
      </c>
      <c r="H433" s="7">
        <v>-20481.090000000004</v>
      </c>
      <c r="I433" s="7">
        <v>-20593.119999999995</v>
      </c>
      <c r="J433" s="7">
        <v>-20481.089999999997</v>
      </c>
      <c r="K433" s="7">
        <v>-20481.080000000002</v>
      </c>
      <c r="L433" s="7">
        <v>-20593.119999999995</v>
      </c>
      <c r="M433" s="7">
        <v>-20481.090000000004</v>
      </c>
      <c r="N433" s="7">
        <v>-20481.089999999997</v>
      </c>
      <c r="O433" s="7">
        <v>46603.360000000001</v>
      </c>
      <c r="P433" s="7">
        <v>46715.39</v>
      </c>
      <c r="Q433" s="7">
        <v>46715.38</v>
      </c>
      <c r="R433" s="7">
        <v>46603.360000000001</v>
      </c>
      <c r="S433" s="7">
        <v>46715.39</v>
      </c>
      <c r="T433" s="7">
        <v>46715.38</v>
      </c>
      <c r="U433" s="7">
        <v>46603.360000000001</v>
      </c>
      <c r="V433" s="7">
        <v>46715.39</v>
      </c>
      <c r="W433" s="9">
        <f t="shared" si="48"/>
        <v>45129.439999999922</v>
      </c>
      <c r="X433" s="9"/>
      <c r="Y433" s="9"/>
      <c r="Z433" s="9"/>
      <c r="AA433" s="9">
        <f t="shared" si="47"/>
        <v>45129.439999999922</v>
      </c>
      <c r="AB433" s="7" t="e">
        <f>W433-#REF!</f>
        <v>#REF!</v>
      </c>
      <c r="AC433" s="12"/>
      <c r="AD433" s="12"/>
      <c r="AE433" s="12"/>
      <c r="AF433" s="12"/>
      <c r="AG433" s="13"/>
      <c r="AH433" s="13"/>
      <c r="AI433" s="13"/>
      <c r="AJ433" s="13"/>
    </row>
    <row r="434" spans="1:36" s="1" customFormat="1" x14ac:dyDescent="0.25">
      <c r="A434">
        <v>4138</v>
      </c>
      <c r="B434">
        <v>7</v>
      </c>
      <c r="C434">
        <f t="shared" si="49"/>
        <v>7</v>
      </c>
      <c r="D434" s="1" t="s">
        <v>465</v>
      </c>
      <c r="E434" s="7">
        <v>-19353.259999999998</v>
      </c>
      <c r="F434" s="7">
        <v>-19353.27</v>
      </c>
      <c r="G434" s="7">
        <v>-14484.339999999998</v>
      </c>
      <c r="H434" s="7">
        <v>-5899.3299999999981</v>
      </c>
      <c r="I434" s="7">
        <v>-5931.6099999999988</v>
      </c>
      <c r="J434" s="7">
        <v>-5899.34</v>
      </c>
      <c r="K434" s="7">
        <v>-5899.3399999999983</v>
      </c>
      <c r="L434" s="7">
        <v>-5931.6099999999988</v>
      </c>
      <c r="M434" s="7">
        <v>-5899.34</v>
      </c>
      <c r="N434" s="7">
        <v>-5899.3399999999983</v>
      </c>
      <c r="O434" s="7">
        <v>13421.66</v>
      </c>
      <c r="P434" s="7">
        <v>13453.92</v>
      </c>
      <c r="Q434" s="7">
        <v>13453.92</v>
      </c>
      <c r="R434" s="7">
        <v>13421.66</v>
      </c>
      <c r="S434" s="7">
        <v>13453.92</v>
      </c>
      <c r="T434" s="7">
        <v>13453.92</v>
      </c>
      <c r="U434" s="7">
        <v>13421.66</v>
      </c>
      <c r="V434" s="7">
        <v>13453.92</v>
      </c>
      <c r="W434" s="9">
        <f t="shared" si="48"/>
        <v>12983.800000000017</v>
      </c>
      <c r="X434" s="9"/>
      <c r="Y434" s="9"/>
      <c r="Z434" s="9"/>
      <c r="AA434" s="9">
        <f t="shared" si="47"/>
        <v>12983.800000000017</v>
      </c>
      <c r="AB434" s="7" t="e">
        <f>W434-#REF!</f>
        <v>#REF!</v>
      </c>
      <c r="AC434" s="12"/>
      <c r="AD434" s="12"/>
      <c r="AE434" s="12"/>
      <c r="AF434" s="12"/>
      <c r="AG434" s="13"/>
      <c r="AH434" s="13"/>
      <c r="AI434" s="13"/>
      <c r="AJ434" s="13"/>
    </row>
    <row r="435" spans="1:36" s="1" customFormat="1" x14ac:dyDescent="0.25">
      <c r="A435">
        <v>4139</v>
      </c>
      <c r="B435">
        <v>7</v>
      </c>
      <c r="C435">
        <f t="shared" si="49"/>
        <v>7</v>
      </c>
      <c r="D435" s="1" t="s">
        <v>466</v>
      </c>
      <c r="E435" s="7">
        <v>-115027.1</v>
      </c>
      <c r="F435" s="7">
        <v>-115027.1</v>
      </c>
      <c r="G435" s="7">
        <v>-86118.86</v>
      </c>
      <c r="H435" s="7">
        <v>-35066.430000000008</v>
      </c>
      <c r="I435" s="7">
        <v>-35258.180000000008</v>
      </c>
      <c r="J435" s="7">
        <v>-35066.420000000013</v>
      </c>
      <c r="K435" s="7">
        <v>-35066.410000000003</v>
      </c>
      <c r="L435" s="7">
        <v>-35258.180000000008</v>
      </c>
      <c r="M435" s="7">
        <v>-35066.420000000013</v>
      </c>
      <c r="N435" s="7">
        <v>-35066.430000000008</v>
      </c>
      <c r="O435" s="7">
        <v>79768.92</v>
      </c>
      <c r="P435" s="7">
        <v>79960.679999999993</v>
      </c>
      <c r="Q435" s="7">
        <v>79960.679999999993</v>
      </c>
      <c r="R435" s="7">
        <v>79768.92</v>
      </c>
      <c r="S435" s="7">
        <v>79960.679999999993</v>
      </c>
      <c r="T435" s="7">
        <v>79960.67</v>
      </c>
      <c r="U435" s="7">
        <v>79768.92</v>
      </c>
      <c r="V435" s="7">
        <v>79960.679999999993</v>
      </c>
      <c r="W435" s="9">
        <f t="shared" si="48"/>
        <v>77088.619999999908</v>
      </c>
      <c r="X435" s="9"/>
      <c r="Y435" s="9"/>
      <c r="Z435" s="9"/>
      <c r="AA435" s="9">
        <f t="shared" si="47"/>
        <v>77088.619999999908</v>
      </c>
      <c r="AB435" s="7" t="e">
        <f>W435-#REF!</f>
        <v>#REF!</v>
      </c>
      <c r="AC435" s="12"/>
      <c r="AD435" s="12"/>
      <c r="AE435" s="12"/>
      <c r="AF435" s="12"/>
      <c r="AG435" s="13"/>
      <c r="AH435" s="13"/>
      <c r="AI435" s="13"/>
      <c r="AJ435" s="13"/>
    </row>
    <row r="436" spans="1:36" s="1" customFormat="1" x14ac:dyDescent="0.25">
      <c r="A436">
        <v>4140</v>
      </c>
      <c r="B436">
        <v>7</v>
      </c>
      <c r="C436">
        <f t="shared" si="49"/>
        <v>7</v>
      </c>
      <c r="D436" s="1" t="s">
        <v>467</v>
      </c>
      <c r="E436" s="7">
        <v>-241227.46</v>
      </c>
      <c r="F436" s="7">
        <v>-241227.47</v>
      </c>
      <c r="G436" s="7">
        <v>-180570.28</v>
      </c>
      <c r="H436" s="7">
        <v>-73535.419999999984</v>
      </c>
      <c r="I436" s="7">
        <v>-73937.56</v>
      </c>
      <c r="J436" s="7">
        <v>-73535.419999999984</v>
      </c>
      <c r="K436" s="7">
        <v>-73535.419999999984</v>
      </c>
      <c r="L436" s="7">
        <v>-73937.56</v>
      </c>
      <c r="M436" s="7">
        <v>-73535.419999999984</v>
      </c>
      <c r="N436" s="7">
        <v>-73535.419999999984</v>
      </c>
      <c r="O436" s="7">
        <v>167289.90000000002</v>
      </c>
      <c r="P436" s="7">
        <v>167692.04</v>
      </c>
      <c r="Q436" s="7">
        <v>167692.04</v>
      </c>
      <c r="R436" s="7">
        <v>167289.9</v>
      </c>
      <c r="S436" s="7">
        <v>167692.04</v>
      </c>
      <c r="T436" s="7">
        <v>167692.04</v>
      </c>
      <c r="U436" s="7">
        <v>167289.9</v>
      </c>
      <c r="V436" s="7">
        <v>167692.04</v>
      </c>
      <c r="W436" s="9">
        <f t="shared" si="48"/>
        <v>161752.47000000047</v>
      </c>
      <c r="X436" s="9"/>
      <c r="Y436" s="9"/>
      <c r="Z436" s="9"/>
      <c r="AA436" s="9">
        <f t="shared" si="47"/>
        <v>161752.47000000047</v>
      </c>
      <c r="AB436" s="7" t="e">
        <f>W436-#REF!</f>
        <v>#REF!</v>
      </c>
      <c r="AC436" s="12"/>
      <c r="AD436" s="12"/>
      <c r="AE436" s="12"/>
      <c r="AF436" s="12"/>
      <c r="AG436" s="13"/>
      <c r="AH436" s="13"/>
      <c r="AI436" s="13"/>
      <c r="AJ436" s="13"/>
    </row>
    <row r="437" spans="1:36" s="1" customFormat="1" x14ac:dyDescent="0.25">
      <c r="A437">
        <v>4141</v>
      </c>
      <c r="B437">
        <v>7</v>
      </c>
      <c r="C437">
        <f t="shared" si="49"/>
        <v>7</v>
      </c>
      <c r="D437" s="1" t="s">
        <v>468</v>
      </c>
      <c r="E437" s="7">
        <v>-215124.41</v>
      </c>
      <c r="F437" s="7">
        <v>-215124.41</v>
      </c>
      <c r="G437" s="7">
        <v>-160947.88</v>
      </c>
      <c r="H437" s="7">
        <v>-65568.97</v>
      </c>
      <c r="I437" s="7">
        <v>-65927.62</v>
      </c>
      <c r="J437" s="7">
        <v>-65568.98000000001</v>
      </c>
      <c r="K437" s="7">
        <v>-65568.97</v>
      </c>
      <c r="L437" s="7">
        <v>-65927.62</v>
      </c>
      <c r="M437" s="7">
        <v>-65568.97</v>
      </c>
      <c r="N437" s="7">
        <v>-65568.97</v>
      </c>
      <c r="O437" s="7">
        <v>149196.79</v>
      </c>
      <c r="P437" s="7">
        <v>149555.44</v>
      </c>
      <c r="Q437" s="7">
        <v>149555.43</v>
      </c>
      <c r="R437" s="7">
        <v>149196.79</v>
      </c>
      <c r="S437" s="7">
        <v>149555.44</v>
      </c>
      <c r="T437" s="7">
        <v>149555.44</v>
      </c>
      <c r="U437" s="7">
        <v>149196.79</v>
      </c>
      <c r="V437" s="7">
        <v>149555.44</v>
      </c>
      <c r="W437" s="9">
        <f t="shared" ref="W437:W468" si="50">SUM(E437:V437)</f>
        <v>144470.76000000015</v>
      </c>
      <c r="X437" s="9"/>
      <c r="Y437" s="9"/>
      <c r="Z437" s="9"/>
      <c r="AA437" s="9">
        <f t="shared" si="47"/>
        <v>144470.76000000015</v>
      </c>
      <c r="AB437" s="7" t="e">
        <f>W437-#REF!</f>
        <v>#REF!</v>
      </c>
      <c r="AC437" s="12"/>
      <c r="AD437" s="12"/>
      <c r="AE437" s="12"/>
      <c r="AF437" s="12"/>
      <c r="AG437" s="13"/>
      <c r="AH437" s="13"/>
      <c r="AI437" s="13"/>
      <c r="AJ437" s="13"/>
    </row>
    <row r="438" spans="1:36" s="1" customFormat="1" x14ac:dyDescent="0.25">
      <c r="A438">
        <v>4142</v>
      </c>
      <c r="B438">
        <v>7</v>
      </c>
      <c r="C438">
        <f t="shared" si="49"/>
        <v>7</v>
      </c>
      <c r="D438" s="1" t="s">
        <v>469</v>
      </c>
      <c r="E438" s="7">
        <v>-213028.02</v>
      </c>
      <c r="F438" s="7">
        <v>-213028.03</v>
      </c>
      <c r="G438" s="7">
        <v>-159370.5</v>
      </c>
      <c r="H438" s="7">
        <v>-64929.00999999998</v>
      </c>
      <c r="I438" s="7">
        <v>-65284.160000000003</v>
      </c>
      <c r="J438" s="7">
        <v>-64929.00999999998</v>
      </c>
      <c r="K438" s="7">
        <v>-64929.01999999999</v>
      </c>
      <c r="L438" s="7">
        <v>-65284.149999999994</v>
      </c>
      <c r="M438" s="7">
        <v>-64929.01999999999</v>
      </c>
      <c r="N438" s="7">
        <v>-64929.00999999998</v>
      </c>
      <c r="O438" s="7">
        <v>147743.87</v>
      </c>
      <c r="P438" s="7">
        <v>148099.01</v>
      </c>
      <c r="Q438" s="7">
        <v>148099.01</v>
      </c>
      <c r="R438" s="7">
        <v>147743.87</v>
      </c>
      <c r="S438" s="7">
        <v>148099.01</v>
      </c>
      <c r="T438" s="7">
        <v>148099.01</v>
      </c>
      <c r="U438" s="7">
        <v>147743.87</v>
      </c>
      <c r="V438" s="7">
        <v>148099.01</v>
      </c>
      <c r="W438" s="9">
        <f t="shared" si="50"/>
        <v>143086.72999999986</v>
      </c>
      <c r="X438" s="9"/>
      <c r="Y438" s="9"/>
      <c r="Z438" s="9"/>
      <c r="AA438" s="9">
        <f t="shared" si="47"/>
        <v>143086.72999999986</v>
      </c>
      <c r="AB438" s="7" t="e">
        <f>W438-#REF!</f>
        <v>#REF!</v>
      </c>
      <c r="AC438" s="12"/>
      <c r="AD438" s="12"/>
      <c r="AE438" s="12"/>
      <c r="AF438" s="12"/>
      <c r="AG438" s="13"/>
      <c r="AH438" s="13"/>
      <c r="AI438" s="13"/>
      <c r="AJ438" s="13"/>
    </row>
    <row r="439" spans="1:36" s="1" customFormat="1" x14ac:dyDescent="0.25">
      <c r="A439">
        <v>4143</v>
      </c>
      <c r="B439">
        <v>7</v>
      </c>
      <c r="C439">
        <f t="shared" si="49"/>
        <v>7</v>
      </c>
      <c r="D439" s="1" t="s">
        <v>470</v>
      </c>
      <c r="E439" s="7">
        <v>-267410.84000000003</v>
      </c>
      <c r="F439" s="7">
        <v>-267410.83</v>
      </c>
      <c r="G439" s="7">
        <v>-200170.77000000002</v>
      </c>
      <c r="H439" s="7">
        <v>-81517.23000000004</v>
      </c>
      <c r="I439" s="7">
        <v>-81963.020000000019</v>
      </c>
      <c r="J439" s="7">
        <v>-81517.23000000004</v>
      </c>
      <c r="K439" s="7">
        <v>-81517.23000000001</v>
      </c>
      <c r="L439" s="7">
        <v>-81963.020000000019</v>
      </c>
      <c r="M439" s="7">
        <v>-81517.23000000004</v>
      </c>
      <c r="N439" s="7">
        <v>-81517.23000000001</v>
      </c>
      <c r="O439" s="7">
        <v>185447.81</v>
      </c>
      <c r="P439" s="7">
        <v>185893.61</v>
      </c>
      <c r="Q439" s="7">
        <v>185893.6</v>
      </c>
      <c r="R439" s="7">
        <v>185447.82</v>
      </c>
      <c r="S439" s="7">
        <v>185893.6</v>
      </c>
      <c r="T439" s="7">
        <v>185893.6</v>
      </c>
      <c r="U439" s="7">
        <v>185447.82</v>
      </c>
      <c r="V439" s="7">
        <v>185893.6</v>
      </c>
      <c r="W439" s="9">
        <f t="shared" si="50"/>
        <v>179306.82999999996</v>
      </c>
      <c r="X439" s="9"/>
      <c r="Y439" s="9"/>
      <c r="Z439" s="9"/>
      <c r="AA439" s="9">
        <f t="shared" si="47"/>
        <v>179306.82999999996</v>
      </c>
      <c r="AB439" s="7" t="e">
        <f>W439-#REF!</f>
        <v>#REF!</v>
      </c>
      <c r="AC439" s="12"/>
      <c r="AD439" s="12"/>
      <c r="AE439" s="12"/>
      <c r="AF439" s="12"/>
      <c r="AG439" s="13"/>
      <c r="AH439" s="13"/>
      <c r="AI439" s="13"/>
      <c r="AJ439" s="13"/>
    </row>
    <row r="440" spans="1:36" s="1" customFormat="1" x14ac:dyDescent="0.25">
      <c r="A440">
        <v>4144</v>
      </c>
      <c r="B440">
        <v>7</v>
      </c>
      <c r="C440">
        <f t="shared" si="49"/>
        <v>7</v>
      </c>
      <c r="D440" s="1" t="s">
        <v>471</v>
      </c>
      <c r="E440" s="7">
        <v>-33181.050000000003</v>
      </c>
      <c r="F440" s="7">
        <v>-33181.050000000003</v>
      </c>
      <c r="G440" s="7">
        <v>-24823.08</v>
      </c>
      <c r="H440" s="7">
        <v>-10113.240000000002</v>
      </c>
      <c r="I440" s="7">
        <v>-10168.570000000003</v>
      </c>
      <c r="J440" s="7">
        <v>-10113.249999999996</v>
      </c>
      <c r="K440" s="7">
        <v>-10113.250000000004</v>
      </c>
      <c r="L440" s="7">
        <v>-10168.570000000003</v>
      </c>
      <c r="M440" s="7">
        <v>-10113.240000000002</v>
      </c>
      <c r="N440" s="7">
        <v>-10113.250000000004</v>
      </c>
      <c r="O440" s="7">
        <v>23012.489999999998</v>
      </c>
      <c r="P440" s="7">
        <v>23067.8</v>
      </c>
      <c r="Q440" s="7">
        <v>23067.81</v>
      </c>
      <c r="R440" s="7">
        <v>23012.48</v>
      </c>
      <c r="S440" s="7">
        <v>23067.81</v>
      </c>
      <c r="T440" s="7">
        <v>23067.8</v>
      </c>
      <c r="U440" s="7">
        <v>23012.49</v>
      </c>
      <c r="V440" s="7">
        <v>23067.8</v>
      </c>
      <c r="W440" s="9">
        <f t="shared" si="50"/>
        <v>22287.929999999968</v>
      </c>
      <c r="X440" s="9"/>
      <c r="Y440" s="9"/>
      <c r="Z440" s="9"/>
      <c r="AA440" s="9">
        <f t="shared" si="47"/>
        <v>22287.929999999968</v>
      </c>
      <c r="AB440" s="7" t="e">
        <f>W440-#REF!</f>
        <v>#REF!</v>
      </c>
      <c r="AC440" s="12"/>
      <c r="AD440" s="12"/>
      <c r="AE440" s="12"/>
      <c r="AF440" s="12"/>
      <c r="AG440" s="13"/>
      <c r="AH440" s="13"/>
      <c r="AI440" s="13"/>
      <c r="AJ440" s="13"/>
    </row>
    <row r="441" spans="1:36" s="1" customFormat="1" x14ac:dyDescent="0.25">
      <c r="A441">
        <v>4145</v>
      </c>
      <c r="B441">
        <v>7</v>
      </c>
      <c r="C441">
        <f t="shared" si="49"/>
        <v>7</v>
      </c>
      <c r="D441" s="1" t="s">
        <v>472</v>
      </c>
      <c r="E441" s="7">
        <v>-15706.3</v>
      </c>
      <c r="F441" s="7">
        <v>-15706.3</v>
      </c>
      <c r="G441" s="7">
        <v>-11751.13</v>
      </c>
      <c r="H441" s="7">
        <v>-4787.24</v>
      </c>
      <c r="I441" s="7">
        <v>-4813.4299999999985</v>
      </c>
      <c r="J441" s="7">
        <v>-4787.25</v>
      </c>
      <c r="K441" s="7">
        <v>-4787.24</v>
      </c>
      <c r="L441" s="7">
        <v>-4813.4299999999985</v>
      </c>
      <c r="M441" s="7">
        <v>-4787.24</v>
      </c>
      <c r="N441" s="7">
        <v>-4787.24</v>
      </c>
      <c r="O441" s="7">
        <v>10892.880000000001</v>
      </c>
      <c r="P441" s="7">
        <v>10919.06</v>
      </c>
      <c r="Q441" s="7">
        <v>10919.05</v>
      </c>
      <c r="R441" s="7">
        <v>10892.88</v>
      </c>
      <c r="S441" s="7">
        <v>10919.06</v>
      </c>
      <c r="T441" s="7">
        <v>10919.06</v>
      </c>
      <c r="U441" s="7">
        <v>10892.87</v>
      </c>
      <c r="V441" s="7">
        <v>10919.06</v>
      </c>
      <c r="W441" s="9">
        <f t="shared" si="50"/>
        <v>10547.119999999997</v>
      </c>
      <c r="X441" s="9"/>
      <c r="Y441" s="9"/>
      <c r="Z441" s="9"/>
      <c r="AA441" s="9">
        <f t="shared" si="47"/>
        <v>10547.119999999997</v>
      </c>
      <c r="AB441" s="7" t="e">
        <f>W441-#REF!</f>
        <v>#REF!</v>
      </c>
      <c r="AC441" s="12"/>
      <c r="AD441" s="12"/>
      <c r="AE441" s="12"/>
      <c r="AF441" s="12"/>
      <c r="AG441" s="13"/>
      <c r="AH441" s="13"/>
      <c r="AI441" s="13"/>
      <c r="AJ441" s="13"/>
    </row>
    <row r="442" spans="1:36" s="1" customFormat="1" x14ac:dyDescent="0.25">
      <c r="A442">
        <v>4146</v>
      </c>
      <c r="B442">
        <v>7</v>
      </c>
      <c r="C442">
        <f t="shared" si="49"/>
        <v>7</v>
      </c>
      <c r="D442" s="1" t="s">
        <v>473</v>
      </c>
      <c r="E442" s="7">
        <v>-78363.039999999994</v>
      </c>
      <c r="F442" s="7">
        <v>-78363.03</v>
      </c>
      <c r="G442" s="7">
        <v>-58641.7</v>
      </c>
      <c r="H442" s="7">
        <v>-23886.199999999997</v>
      </c>
      <c r="I442" s="7">
        <v>-24016.849999999991</v>
      </c>
      <c r="J442" s="7">
        <v>-23886.199999999997</v>
      </c>
      <c r="K442" s="7">
        <v>-23886.209999999992</v>
      </c>
      <c r="L442" s="7">
        <v>-24016.839999999997</v>
      </c>
      <c r="M442" s="7">
        <v>-23886.209999999992</v>
      </c>
      <c r="N442" s="7">
        <v>-23886.199999999997</v>
      </c>
      <c r="O442" s="7">
        <v>54346.19</v>
      </c>
      <c r="P442" s="7">
        <v>54476.83</v>
      </c>
      <c r="Q442" s="7">
        <v>54476.83</v>
      </c>
      <c r="R442" s="7">
        <v>54346.19</v>
      </c>
      <c r="S442" s="7">
        <v>54476.83</v>
      </c>
      <c r="T442" s="7">
        <v>54476.83</v>
      </c>
      <c r="U442" s="7">
        <v>54346.19</v>
      </c>
      <c r="V442" s="7">
        <v>54476.83</v>
      </c>
      <c r="W442" s="9">
        <f t="shared" si="50"/>
        <v>52590.240000000122</v>
      </c>
      <c r="X442" s="9"/>
      <c r="Y442" s="9"/>
      <c r="Z442" s="9"/>
      <c r="AA442" s="9">
        <f t="shared" si="47"/>
        <v>52590.240000000122</v>
      </c>
      <c r="AB442" s="7" t="e">
        <f>W442-#REF!</f>
        <v>#REF!</v>
      </c>
      <c r="AC442" s="12"/>
      <c r="AD442" s="12"/>
      <c r="AE442" s="12"/>
      <c r="AF442" s="12"/>
      <c r="AG442" s="13"/>
      <c r="AH442" s="13"/>
      <c r="AI442" s="13"/>
      <c r="AJ442" s="13"/>
    </row>
    <row r="443" spans="1:36" s="1" customFormat="1" x14ac:dyDescent="0.25">
      <c r="A443">
        <v>4150</v>
      </c>
      <c r="B443">
        <v>7</v>
      </c>
      <c r="C443">
        <f t="shared" si="49"/>
        <v>7</v>
      </c>
      <c r="D443" s="1" t="s">
        <v>474</v>
      </c>
      <c r="E443" s="7">
        <v>-58062.64</v>
      </c>
      <c r="F443" s="7">
        <v>-58062.64</v>
      </c>
      <c r="G443" s="7">
        <v>-43425.689999999995</v>
      </c>
      <c r="H443" s="7">
        <v>-17695.61</v>
      </c>
      <c r="I443" s="7">
        <v>-17792.43</v>
      </c>
      <c r="J443" s="7">
        <v>-17695.61</v>
      </c>
      <c r="K443" s="7">
        <v>-17695.620000000003</v>
      </c>
      <c r="L443" s="7">
        <v>-17792.43</v>
      </c>
      <c r="M443" s="7">
        <v>-17695.61</v>
      </c>
      <c r="N443" s="7">
        <v>-17695.620000000003</v>
      </c>
      <c r="O443" s="7">
        <v>40270.22</v>
      </c>
      <c r="P443" s="7">
        <v>40367.019999999997</v>
      </c>
      <c r="Q443" s="7">
        <v>40367.019999999997</v>
      </c>
      <c r="R443" s="7">
        <v>40270.22</v>
      </c>
      <c r="S443" s="7">
        <v>40367.019999999997</v>
      </c>
      <c r="T443" s="7">
        <v>40367.019999999997</v>
      </c>
      <c r="U443" s="7">
        <v>40270.22</v>
      </c>
      <c r="V443" s="7">
        <v>40367.019999999997</v>
      </c>
      <c r="W443" s="9">
        <f t="shared" si="50"/>
        <v>39031.86</v>
      </c>
      <c r="X443" s="9"/>
      <c r="Y443" s="9"/>
      <c r="Z443" s="9"/>
      <c r="AA443" s="9">
        <f t="shared" si="47"/>
        <v>39031.86</v>
      </c>
      <c r="AB443" s="7" t="e">
        <f>W443-#REF!</f>
        <v>#REF!</v>
      </c>
      <c r="AC443" s="12"/>
      <c r="AD443" s="12"/>
      <c r="AE443" s="12"/>
      <c r="AF443" s="12"/>
      <c r="AG443" s="13"/>
      <c r="AH443" s="13"/>
      <c r="AI443" s="13"/>
      <c r="AJ443" s="13"/>
    </row>
    <row r="444" spans="1:36" s="1" customFormat="1" x14ac:dyDescent="0.25">
      <c r="A444">
        <v>4151</v>
      </c>
      <c r="B444">
        <v>7</v>
      </c>
      <c r="C444">
        <f t="shared" si="49"/>
        <v>7</v>
      </c>
      <c r="D444" s="1" t="s">
        <v>475</v>
      </c>
      <c r="E444" s="7">
        <v>-56910.37</v>
      </c>
      <c r="F444" s="7">
        <v>-56910.37</v>
      </c>
      <c r="G444" s="7">
        <v>-42569.880000000005</v>
      </c>
      <c r="H444" s="7">
        <v>-17345.11</v>
      </c>
      <c r="I444" s="7">
        <v>-17439.989999999998</v>
      </c>
      <c r="J444" s="7">
        <v>-17345.11</v>
      </c>
      <c r="K444" s="7">
        <v>-17345.099999999999</v>
      </c>
      <c r="L444" s="7">
        <v>-17440</v>
      </c>
      <c r="M444" s="7">
        <v>-17345.099999999999</v>
      </c>
      <c r="N444" s="7">
        <v>-17345.11</v>
      </c>
      <c r="O444" s="7">
        <v>39470.370000000003</v>
      </c>
      <c r="P444" s="7">
        <v>39565.26</v>
      </c>
      <c r="Q444" s="7">
        <v>39565.26</v>
      </c>
      <c r="R444" s="7">
        <v>39470.370000000003</v>
      </c>
      <c r="S444" s="7">
        <v>39565.26</v>
      </c>
      <c r="T444" s="7">
        <v>39565.26</v>
      </c>
      <c r="U444" s="7">
        <v>39470.370000000003</v>
      </c>
      <c r="V444" s="7">
        <v>39565.26</v>
      </c>
      <c r="W444" s="9">
        <f t="shared" si="50"/>
        <v>38241.27000000007</v>
      </c>
      <c r="X444" s="9"/>
      <c r="Y444" s="9"/>
      <c r="Z444" s="9"/>
      <c r="AA444" s="9">
        <f t="shared" si="47"/>
        <v>38241.27000000007</v>
      </c>
      <c r="AB444" s="7" t="e">
        <f>W444-#REF!</f>
        <v>#REF!</v>
      </c>
      <c r="AC444" s="12"/>
      <c r="AD444" s="12"/>
      <c r="AE444" s="12"/>
      <c r="AF444" s="12"/>
      <c r="AG444" s="13"/>
      <c r="AH444" s="13"/>
      <c r="AI444" s="13"/>
      <c r="AJ444" s="13"/>
    </row>
    <row r="445" spans="1:36" s="1" customFormat="1" x14ac:dyDescent="0.25">
      <c r="A445">
        <v>4152</v>
      </c>
      <c r="B445">
        <v>7</v>
      </c>
      <c r="C445">
        <f t="shared" si="49"/>
        <v>7</v>
      </c>
      <c r="D445" s="1" t="s">
        <v>476</v>
      </c>
      <c r="E445" s="7">
        <v>-139482.60999999999</v>
      </c>
      <c r="F445" s="7">
        <v>-139482.62</v>
      </c>
      <c r="G445" s="7">
        <v>-104335.87</v>
      </c>
      <c r="H445" s="7">
        <v>-42511.489999999991</v>
      </c>
      <c r="I445" s="7">
        <v>-42744.039999999979</v>
      </c>
      <c r="J445" s="7">
        <v>-42511.489999999991</v>
      </c>
      <c r="K445" s="7">
        <v>-42511.5</v>
      </c>
      <c r="L445" s="7">
        <v>-42744.049999999988</v>
      </c>
      <c r="M445" s="7">
        <v>-42511.479999999981</v>
      </c>
      <c r="N445" s="7">
        <v>-42511.5</v>
      </c>
      <c r="O445" s="7">
        <v>96738.58</v>
      </c>
      <c r="P445" s="7">
        <v>96971.12</v>
      </c>
      <c r="Q445" s="7">
        <v>96971.12</v>
      </c>
      <c r="R445" s="7">
        <v>96738.58</v>
      </c>
      <c r="S445" s="7">
        <v>96971.12</v>
      </c>
      <c r="T445" s="7">
        <v>96971.12</v>
      </c>
      <c r="U445" s="7">
        <v>96738.58</v>
      </c>
      <c r="V445" s="7">
        <v>96971.12</v>
      </c>
      <c r="W445" s="9">
        <f t="shared" si="50"/>
        <v>93724.690000000046</v>
      </c>
      <c r="X445" s="9"/>
      <c r="Y445" s="9"/>
      <c r="Z445" s="9"/>
      <c r="AA445" s="9">
        <f t="shared" si="47"/>
        <v>93724.690000000046</v>
      </c>
      <c r="AB445" s="7" t="e">
        <f>W445-#REF!</f>
        <v>#REF!</v>
      </c>
      <c r="AC445" s="12"/>
      <c r="AD445" s="12"/>
      <c r="AE445" s="12"/>
      <c r="AF445" s="12"/>
      <c r="AG445" s="13"/>
      <c r="AH445" s="13"/>
      <c r="AI445" s="13"/>
      <c r="AJ445" s="13"/>
    </row>
    <row r="446" spans="1:36" s="1" customFormat="1" x14ac:dyDescent="0.25">
      <c r="A446">
        <v>4153</v>
      </c>
      <c r="B446">
        <v>7</v>
      </c>
      <c r="C446">
        <f t="shared" si="49"/>
        <v>7</v>
      </c>
      <c r="D446" s="1" t="s">
        <v>477</v>
      </c>
      <c r="E446" s="7">
        <v>-207635.09</v>
      </c>
      <c r="F446" s="7">
        <v>-207635.08</v>
      </c>
      <c r="G446" s="7">
        <v>-155475.34999999998</v>
      </c>
      <c r="H446" s="7">
        <v>-63300.799999999988</v>
      </c>
      <c r="I446" s="7">
        <v>-63646.919999999984</v>
      </c>
      <c r="J446" s="7">
        <v>-63300.799999999988</v>
      </c>
      <c r="K446" s="7">
        <v>-63300.789999999979</v>
      </c>
      <c r="L446" s="7">
        <v>-63646.919999999984</v>
      </c>
      <c r="M446" s="7">
        <v>-63300.799999999988</v>
      </c>
      <c r="N446" s="7">
        <v>-63300.789999999979</v>
      </c>
      <c r="O446" s="7">
        <v>143988.17000000001</v>
      </c>
      <c r="P446" s="7">
        <v>144334.29</v>
      </c>
      <c r="Q446" s="7">
        <v>144334.28</v>
      </c>
      <c r="R446" s="7">
        <v>143988.17000000001</v>
      </c>
      <c r="S446" s="7">
        <v>144334.29</v>
      </c>
      <c r="T446" s="7">
        <v>144334.29</v>
      </c>
      <c r="U446" s="7">
        <v>143988.16</v>
      </c>
      <c r="V446" s="7">
        <v>144334.29</v>
      </c>
      <c r="W446" s="9">
        <f t="shared" si="50"/>
        <v>139092.60000000012</v>
      </c>
      <c r="X446" s="9"/>
      <c r="Y446" s="9"/>
      <c r="Z446" s="9"/>
      <c r="AA446" s="9">
        <f t="shared" si="47"/>
        <v>139092.60000000012</v>
      </c>
      <c r="AB446" s="7" t="e">
        <f>W446-#REF!</f>
        <v>#REF!</v>
      </c>
      <c r="AC446" s="12"/>
      <c r="AD446" s="12"/>
      <c r="AE446" s="12"/>
      <c r="AF446" s="12"/>
      <c r="AG446" s="13"/>
      <c r="AH446" s="13"/>
      <c r="AI446" s="13"/>
      <c r="AJ446" s="13"/>
    </row>
    <row r="447" spans="1:36" s="1" customFormat="1" x14ac:dyDescent="0.25">
      <c r="A447">
        <v>4155</v>
      </c>
      <c r="B447">
        <v>7</v>
      </c>
      <c r="C447">
        <f t="shared" si="49"/>
        <v>7</v>
      </c>
      <c r="D447" s="1" t="s">
        <v>478</v>
      </c>
      <c r="E447" s="7">
        <v>-76253.009999999995</v>
      </c>
      <c r="F447" s="7">
        <v>-76253.009999999995</v>
      </c>
      <c r="G447" s="7">
        <v>-57078.849999999991</v>
      </c>
      <c r="H447" s="7">
        <v>-23244.839999999997</v>
      </c>
      <c r="I447" s="7">
        <v>-23371.949999999997</v>
      </c>
      <c r="J447" s="7">
        <v>-23244.839999999997</v>
      </c>
      <c r="K447" s="7">
        <v>-23244.839999999997</v>
      </c>
      <c r="L447" s="7">
        <v>-23371.949999999997</v>
      </c>
      <c r="M447" s="7">
        <v>-23244.829999999994</v>
      </c>
      <c r="N447" s="7">
        <v>-23244.839999999997</v>
      </c>
      <c r="O447" s="7">
        <v>52881.060000000005</v>
      </c>
      <c r="P447" s="7">
        <v>53008.17</v>
      </c>
      <c r="Q447" s="7">
        <v>53008.17</v>
      </c>
      <c r="R447" s="7">
        <v>52881.06</v>
      </c>
      <c r="S447" s="7">
        <v>53008.18</v>
      </c>
      <c r="T447" s="7">
        <v>53008.17</v>
      </c>
      <c r="U447" s="7">
        <v>52881.06</v>
      </c>
      <c r="V447" s="7">
        <v>53008.17</v>
      </c>
      <c r="W447" s="9">
        <f t="shared" si="50"/>
        <v>51131.079999999987</v>
      </c>
      <c r="X447" s="9"/>
      <c r="Y447" s="9"/>
      <c r="Z447" s="9"/>
      <c r="AA447" s="9">
        <f t="shared" si="47"/>
        <v>51131.079999999987</v>
      </c>
      <c r="AB447" s="7" t="e">
        <f>W447-#REF!</f>
        <v>#REF!</v>
      </c>
      <c r="AC447" s="12"/>
      <c r="AD447" s="12"/>
      <c r="AE447" s="12"/>
      <c r="AF447" s="12"/>
      <c r="AG447" s="13"/>
      <c r="AH447" s="13"/>
      <c r="AI447" s="13"/>
      <c r="AJ447" s="13"/>
    </row>
    <row r="448" spans="1:36" s="1" customFormat="1" x14ac:dyDescent="0.25">
      <c r="A448">
        <v>4159</v>
      </c>
      <c r="B448">
        <v>7</v>
      </c>
      <c r="C448">
        <f t="shared" si="49"/>
        <v>7</v>
      </c>
      <c r="D448" s="1" t="s">
        <v>479</v>
      </c>
      <c r="E448" s="7">
        <v>-184052.99</v>
      </c>
      <c r="F448" s="7">
        <v>-184052.99</v>
      </c>
      <c r="G448" s="7">
        <v>-137684.51</v>
      </c>
      <c r="H448" s="7">
        <v>-56096.669999999984</v>
      </c>
      <c r="I448" s="7">
        <v>-56403.509999999995</v>
      </c>
      <c r="J448" s="7">
        <v>-56096.650000000009</v>
      </c>
      <c r="K448" s="7">
        <v>-56096.669999999984</v>
      </c>
      <c r="L448" s="7">
        <v>-56403.509999999995</v>
      </c>
      <c r="M448" s="7">
        <v>-56096.66</v>
      </c>
      <c r="N448" s="7">
        <v>-56096.659999999989</v>
      </c>
      <c r="O448" s="7">
        <v>127649.47999999998</v>
      </c>
      <c r="P448" s="7">
        <v>127956.32</v>
      </c>
      <c r="Q448" s="7">
        <v>127956.33</v>
      </c>
      <c r="R448" s="7">
        <v>127649.48</v>
      </c>
      <c r="S448" s="7">
        <v>127956.32</v>
      </c>
      <c r="T448" s="7">
        <v>127956.33</v>
      </c>
      <c r="U448" s="7">
        <v>127649.47</v>
      </c>
      <c r="V448" s="7">
        <v>127956.33</v>
      </c>
      <c r="W448" s="9">
        <f t="shared" si="50"/>
        <v>123649.24</v>
      </c>
      <c r="X448" s="9"/>
      <c r="Y448" s="9"/>
      <c r="Z448" s="9"/>
      <c r="AA448" s="9">
        <f t="shared" si="47"/>
        <v>123649.24</v>
      </c>
      <c r="AB448" s="7" t="e">
        <f>W448-#REF!</f>
        <v>#REF!</v>
      </c>
      <c r="AC448" s="12"/>
      <c r="AD448" s="12"/>
      <c r="AE448" s="12"/>
      <c r="AF448" s="12"/>
      <c r="AG448" s="13"/>
      <c r="AH448" s="13"/>
      <c r="AI448" s="13"/>
      <c r="AJ448" s="13"/>
    </row>
    <row r="449" spans="1:36" s="1" customFormat="1" x14ac:dyDescent="0.25">
      <c r="A449">
        <v>4160</v>
      </c>
      <c r="B449">
        <v>7</v>
      </c>
      <c r="C449">
        <f t="shared" si="49"/>
        <v>7</v>
      </c>
      <c r="D449" s="1" t="s">
        <v>480</v>
      </c>
      <c r="E449" s="7">
        <v>-282285.42</v>
      </c>
      <c r="F449" s="7">
        <v>-282285.43</v>
      </c>
      <c r="G449" s="7">
        <v>-211296.88</v>
      </c>
      <c r="H449" s="7">
        <v>-86050.659999999974</v>
      </c>
      <c r="I449" s="7">
        <v>-86521.25999999998</v>
      </c>
      <c r="J449" s="7">
        <v>-86050.65</v>
      </c>
      <c r="K449" s="7">
        <v>-86050.669999999984</v>
      </c>
      <c r="L449" s="7">
        <v>-86521.249999999971</v>
      </c>
      <c r="M449" s="7">
        <v>-86050.669999999984</v>
      </c>
      <c r="N449" s="7">
        <v>-86050.659999999974</v>
      </c>
      <c r="O449" s="7">
        <v>195764.18</v>
      </c>
      <c r="P449" s="7">
        <v>196234.76</v>
      </c>
      <c r="Q449" s="7">
        <v>196234.76</v>
      </c>
      <c r="R449" s="7">
        <v>195764.17</v>
      </c>
      <c r="S449" s="7">
        <v>196234.76</v>
      </c>
      <c r="T449" s="7">
        <v>196234.76</v>
      </c>
      <c r="U449" s="7">
        <v>195764.18</v>
      </c>
      <c r="V449" s="7">
        <v>196234.76</v>
      </c>
      <c r="W449" s="9">
        <f t="shared" si="50"/>
        <v>189302.7800000002</v>
      </c>
      <c r="X449" s="9"/>
      <c r="Y449" s="9"/>
      <c r="Z449" s="9"/>
      <c r="AA449" s="9">
        <f t="shared" si="47"/>
        <v>189302.7800000002</v>
      </c>
      <c r="AB449" s="7" t="e">
        <f>W449-#REF!</f>
        <v>#REF!</v>
      </c>
      <c r="AC449" s="12"/>
      <c r="AD449" s="12"/>
      <c r="AE449" s="12"/>
      <c r="AF449" s="12"/>
      <c r="AG449" s="13"/>
      <c r="AH449" s="13"/>
      <c r="AI449" s="13"/>
      <c r="AJ449" s="13"/>
    </row>
    <row r="450" spans="1:36" s="1" customFormat="1" x14ac:dyDescent="0.25">
      <c r="A450">
        <v>4161</v>
      </c>
      <c r="B450">
        <v>7</v>
      </c>
      <c r="C450">
        <f t="shared" si="49"/>
        <v>7</v>
      </c>
      <c r="D450" s="1" t="s">
        <v>481</v>
      </c>
      <c r="E450" s="7">
        <v>-64027.91</v>
      </c>
      <c r="F450" s="7">
        <v>-64027.9</v>
      </c>
      <c r="G450" s="7">
        <v>-47930.840000000004</v>
      </c>
      <c r="H450" s="7">
        <v>-19518.489999999998</v>
      </c>
      <c r="I450" s="7">
        <v>-19625.230000000003</v>
      </c>
      <c r="J450" s="7">
        <v>-19518.489999999998</v>
      </c>
      <c r="K450" s="7">
        <v>-19518.5</v>
      </c>
      <c r="L450" s="7">
        <v>-19625.22</v>
      </c>
      <c r="M450" s="7">
        <v>-19518.5</v>
      </c>
      <c r="N450" s="7">
        <v>-19518.489999999998</v>
      </c>
      <c r="O450" s="7">
        <v>44402.68</v>
      </c>
      <c r="P450" s="7">
        <v>44509.41</v>
      </c>
      <c r="Q450" s="7">
        <v>44509.41</v>
      </c>
      <c r="R450" s="7">
        <v>44402.68</v>
      </c>
      <c r="S450" s="7">
        <v>44509.41</v>
      </c>
      <c r="T450" s="7">
        <v>44509.41</v>
      </c>
      <c r="U450" s="7">
        <v>44402.68</v>
      </c>
      <c r="V450" s="7">
        <v>44509.41</v>
      </c>
      <c r="W450" s="9">
        <f t="shared" si="50"/>
        <v>42925.520000000055</v>
      </c>
      <c r="X450" s="9"/>
      <c r="Y450" s="9"/>
      <c r="Z450" s="9"/>
      <c r="AA450" s="9">
        <f t="shared" si="47"/>
        <v>42925.520000000055</v>
      </c>
      <c r="AB450" s="7" t="e">
        <f>W450-#REF!</f>
        <v>#REF!</v>
      </c>
      <c r="AC450" s="12"/>
      <c r="AD450" s="12"/>
      <c r="AE450" s="12"/>
      <c r="AF450" s="12"/>
      <c r="AG450" s="13"/>
      <c r="AH450" s="13"/>
      <c r="AI450" s="13"/>
      <c r="AJ450" s="13"/>
    </row>
    <row r="451" spans="1:36" s="1" customFormat="1" x14ac:dyDescent="0.25">
      <c r="A451">
        <v>4162</v>
      </c>
      <c r="B451">
        <v>7</v>
      </c>
      <c r="C451">
        <f t="shared" si="49"/>
        <v>7</v>
      </c>
      <c r="D451" s="1" t="s">
        <v>482</v>
      </c>
      <c r="E451" s="7">
        <v>-48706.239999999998</v>
      </c>
      <c r="F451" s="7">
        <v>-48706.25</v>
      </c>
      <c r="G451" s="7">
        <v>-36465.69</v>
      </c>
      <c r="H451" s="7">
        <v>-14848.279999999999</v>
      </c>
      <c r="I451" s="7">
        <v>-14929.480000000003</v>
      </c>
      <c r="J451" s="7">
        <v>-14848.29</v>
      </c>
      <c r="K451" s="7">
        <v>-14848.29</v>
      </c>
      <c r="L451" s="7">
        <v>-14929.480000000003</v>
      </c>
      <c r="M451" s="7">
        <v>-14848.279999999999</v>
      </c>
      <c r="N451" s="7">
        <v>-14848.300000000003</v>
      </c>
      <c r="O451" s="7">
        <v>33776.770000000004</v>
      </c>
      <c r="P451" s="7">
        <v>33857.96</v>
      </c>
      <c r="Q451" s="7">
        <v>33857.96</v>
      </c>
      <c r="R451" s="7">
        <v>33776.76</v>
      </c>
      <c r="S451" s="7">
        <v>33857.96</v>
      </c>
      <c r="T451" s="7">
        <v>33857.96</v>
      </c>
      <c r="U451" s="7">
        <v>33776.76</v>
      </c>
      <c r="V451" s="7">
        <v>33857.96</v>
      </c>
      <c r="W451" s="9">
        <f t="shared" si="50"/>
        <v>32641.509999999987</v>
      </c>
      <c r="X451" s="9"/>
      <c r="Y451" s="9"/>
      <c r="Z451" s="9"/>
      <c r="AA451" s="9">
        <f t="shared" si="47"/>
        <v>32641.509999999987</v>
      </c>
      <c r="AB451" s="7" t="e">
        <f>W451-#REF!</f>
        <v>#REF!</v>
      </c>
      <c r="AC451" s="12"/>
      <c r="AD451" s="12"/>
      <c r="AE451" s="12"/>
      <c r="AF451" s="12"/>
      <c r="AG451" s="13"/>
      <c r="AH451" s="13"/>
      <c r="AI451" s="13"/>
      <c r="AJ451" s="13"/>
    </row>
    <row r="452" spans="1:36" s="1" customFormat="1" x14ac:dyDescent="0.25">
      <c r="A452">
        <v>4163</v>
      </c>
      <c r="B452">
        <v>7</v>
      </c>
      <c r="C452">
        <f t="shared" si="49"/>
        <v>7</v>
      </c>
      <c r="D452" s="1" t="s">
        <v>483</v>
      </c>
      <c r="E452" s="7">
        <v>-149394.12</v>
      </c>
      <c r="F452" s="7">
        <v>-149394.12</v>
      </c>
      <c r="G452" s="7">
        <v>-111840.94999999998</v>
      </c>
      <c r="H452" s="7">
        <v>-45542.45</v>
      </c>
      <c r="I452" s="7">
        <v>-45791.5</v>
      </c>
      <c r="J452" s="7">
        <v>-45542.45</v>
      </c>
      <c r="K452" s="7">
        <v>-45542.45</v>
      </c>
      <c r="L452" s="7">
        <v>-45791.489999999991</v>
      </c>
      <c r="M452" s="7">
        <v>-45542.45</v>
      </c>
      <c r="N452" s="7">
        <v>-45542.459999999992</v>
      </c>
      <c r="O452" s="7">
        <v>103602.63</v>
      </c>
      <c r="P452" s="7">
        <v>103851.67</v>
      </c>
      <c r="Q452" s="7">
        <v>103851.66</v>
      </c>
      <c r="R452" s="7">
        <v>103602.63</v>
      </c>
      <c r="S452" s="7">
        <v>103851.66</v>
      </c>
      <c r="T452" s="7">
        <v>103851.67</v>
      </c>
      <c r="U452" s="7">
        <v>103602.62</v>
      </c>
      <c r="V452" s="7">
        <v>103851.67</v>
      </c>
      <c r="W452" s="9">
        <f t="shared" si="50"/>
        <v>100141.77000000014</v>
      </c>
      <c r="X452" s="9"/>
      <c r="Y452" s="9"/>
      <c r="Z452" s="9"/>
      <c r="AA452" s="9">
        <f t="shared" si="47"/>
        <v>100141.77000000014</v>
      </c>
      <c r="AB452" s="7" t="e">
        <f>W452-#REF!</f>
        <v>#REF!</v>
      </c>
      <c r="AC452" s="12"/>
      <c r="AD452" s="12"/>
      <c r="AE452" s="12"/>
      <c r="AF452" s="12"/>
      <c r="AG452" s="13"/>
      <c r="AH452" s="13"/>
      <c r="AI452" s="13"/>
      <c r="AJ452" s="13"/>
    </row>
    <row r="453" spans="1:36" s="1" customFormat="1" x14ac:dyDescent="0.25">
      <c r="A453">
        <v>4164</v>
      </c>
      <c r="B453">
        <v>7</v>
      </c>
      <c r="C453">
        <f t="shared" si="49"/>
        <v>7</v>
      </c>
      <c r="D453" s="1" t="s">
        <v>484</v>
      </c>
      <c r="E453" s="7">
        <v>-121919.14</v>
      </c>
      <c r="F453" s="7">
        <v>-121919.14</v>
      </c>
      <c r="G453" s="7">
        <v>-91246.16</v>
      </c>
      <c r="H453" s="7">
        <v>-37163.86</v>
      </c>
      <c r="I453" s="7">
        <v>-37367.100000000006</v>
      </c>
      <c r="J453" s="7">
        <v>-37163.86</v>
      </c>
      <c r="K453" s="7">
        <v>-37163.850000000006</v>
      </c>
      <c r="L453" s="7">
        <v>-37367.100000000006</v>
      </c>
      <c r="M453" s="7">
        <v>-37163.86</v>
      </c>
      <c r="N453" s="7">
        <v>-37163.850000000006</v>
      </c>
      <c r="O453" s="7">
        <v>84552.03</v>
      </c>
      <c r="P453" s="7">
        <v>84755.29</v>
      </c>
      <c r="Q453" s="7">
        <v>84755.28</v>
      </c>
      <c r="R453" s="7">
        <v>84552.03</v>
      </c>
      <c r="S453" s="7">
        <v>84755.29</v>
      </c>
      <c r="T453" s="7">
        <v>84755.28</v>
      </c>
      <c r="U453" s="7">
        <v>84552.04</v>
      </c>
      <c r="V453" s="7">
        <v>84755.28</v>
      </c>
      <c r="W453" s="9">
        <f t="shared" si="50"/>
        <v>81794.600000000049</v>
      </c>
      <c r="X453" s="9"/>
      <c r="Y453" s="9"/>
      <c r="Z453" s="9"/>
      <c r="AA453" s="9">
        <f t="shared" si="47"/>
        <v>81794.600000000049</v>
      </c>
      <c r="AB453" s="7" t="e">
        <f>W453-#REF!</f>
        <v>#REF!</v>
      </c>
      <c r="AC453" s="12"/>
      <c r="AD453" s="12"/>
      <c r="AE453" s="12"/>
      <c r="AF453" s="12"/>
      <c r="AG453" s="13"/>
      <c r="AH453" s="13"/>
      <c r="AI453" s="13"/>
      <c r="AJ453" s="13"/>
    </row>
    <row r="454" spans="1:36" s="1" customFormat="1" x14ac:dyDescent="0.25">
      <c r="A454">
        <v>4166</v>
      </c>
      <c r="B454">
        <v>7</v>
      </c>
      <c r="C454">
        <f t="shared" si="49"/>
        <v>7</v>
      </c>
      <c r="D454" s="1" t="s">
        <v>485</v>
      </c>
      <c r="E454" s="7">
        <v>-58598.02</v>
      </c>
      <c r="F454" s="7">
        <v>-58598.02</v>
      </c>
      <c r="G454" s="7">
        <v>-43856.24</v>
      </c>
      <c r="H454" s="7">
        <v>-17862.150000000001</v>
      </c>
      <c r="I454" s="7">
        <v>-17959.82</v>
      </c>
      <c r="J454" s="7">
        <v>-17862.129999999997</v>
      </c>
      <c r="K454" s="7">
        <v>-17862.129999999997</v>
      </c>
      <c r="L454" s="7">
        <v>-17959.830000000002</v>
      </c>
      <c r="M454" s="7">
        <v>-17862.14</v>
      </c>
      <c r="N454" s="7">
        <v>-17862.129999999997</v>
      </c>
      <c r="O454" s="7">
        <v>40638.199999999997</v>
      </c>
      <c r="P454" s="7">
        <v>40735.89</v>
      </c>
      <c r="Q454" s="7">
        <v>40735.879999999997</v>
      </c>
      <c r="R454" s="7">
        <v>40638.199999999997</v>
      </c>
      <c r="S454" s="7">
        <v>40735.89</v>
      </c>
      <c r="T454" s="7">
        <v>40735.879999999997</v>
      </c>
      <c r="U454" s="7">
        <v>40638.199999999997</v>
      </c>
      <c r="V454" s="7">
        <v>40735.89</v>
      </c>
      <c r="W454" s="9">
        <f t="shared" si="50"/>
        <v>39311.419999999976</v>
      </c>
      <c r="X454" s="9"/>
      <c r="Y454" s="9"/>
      <c r="Z454" s="9"/>
      <c r="AA454" s="9">
        <f t="shared" si="47"/>
        <v>39311.419999999976</v>
      </c>
      <c r="AB454" s="7" t="e">
        <f>W454-#REF!</f>
        <v>#REF!</v>
      </c>
      <c r="AC454" s="12"/>
      <c r="AD454" s="12"/>
      <c r="AE454" s="12"/>
      <c r="AF454" s="12"/>
      <c r="AG454" s="13"/>
      <c r="AH454" s="13"/>
      <c r="AI454" s="13"/>
      <c r="AJ454" s="13"/>
    </row>
    <row r="455" spans="1:36" s="1" customFormat="1" x14ac:dyDescent="0.25">
      <c r="A455">
        <v>4167</v>
      </c>
      <c r="B455">
        <v>7</v>
      </c>
      <c r="C455">
        <f t="shared" si="49"/>
        <v>7</v>
      </c>
      <c r="D455" s="1" t="s">
        <v>486</v>
      </c>
      <c r="E455" s="7">
        <v>-93145.919999999998</v>
      </c>
      <c r="F455" s="7">
        <v>-93145.91</v>
      </c>
      <c r="G455" s="7">
        <v>-69682.41</v>
      </c>
      <c r="H455" s="7">
        <v>-28389.82</v>
      </c>
      <c r="I455" s="7">
        <v>-28545.11</v>
      </c>
      <c r="J455" s="7">
        <v>-28389.82</v>
      </c>
      <c r="K455" s="7">
        <v>-28389.820000000007</v>
      </c>
      <c r="L455" s="7">
        <v>-28545.11</v>
      </c>
      <c r="M455" s="7">
        <v>-28389.82</v>
      </c>
      <c r="N455" s="7">
        <v>-28389.820000000007</v>
      </c>
      <c r="O455" s="7">
        <v>64600.810000000005</v>
      </c>
      <c r="P455" s="7">
        <v>64756.09</v>
      </c>
      <c r="Q455" s="7">
        <v>64756.1</v>
      </c>
      <c r="R455" s="7">
        <v>64600.800000000003</v>
      </c>
      <c r="S455" s="7">
        <v>64756.1</v>
      </c>
      <c r="T455" s="7">
        <v>64756.09</v>
      </c>
      <c r="U455" s="7">
        <v>64600.81</v>
      </c>
      <c r="V455" s="7">
        <v>64756.09</v>
      </c>
      <c r="W455" s="9">
        <f t="shared" si="50"/>
        <v>62569.329999999987</v>
      </c>
      <c r="X455" s="9"/>
      <c r="Y455" s="9"/>
      <c r="Z455" s="9"/>
      <c r="AA455" s="9">
        <f t="shared" si="47"/>
        <v>62569.329999999987</v>
      </c>
      <c r="AB455" s="7" t="e">
        <f>W455-#REF!</f>
        <v>#REF!</v>
      </c>
      <c r="AC455" s="12"/>
      <c r="AD455" s="12"/>
      <c r="AE455" s="12"/>
      <c r="AF455" s="12"/>
      <c r="AG455" s="13"/>
      <c r="AH455" s="13"/>
      <c r="AI455" s="13"/>
      <c r="AJ455" s="13"/>
    </row>
    <row r="456" spans="1:36" s="1" customFormat="1" x14ac:dyDescent="0.25">
      <c r="A456">
        <v>4168</v>
      </c>
      <c r="B456">
        <v>7</v>
      </c>
      <c r="C456">
        <f t="shared" si="49"/>
        <v>7</v>
      </c>
      <c r="D456" s="1" t="s">
        <v>487</v>
      </c>
      <c r="E456" s="7">
        <v>-49375.6</v>
      </c>
      <c r="F456" s="7">
        <v>-49375.61</v>
      </c>
      <c r="G456" s="7">
        <v>-36965.9</v>
      </c>
      <c r="H456" s="7">
        <v>-15052.229999999996</v>
      </c>
      <c r="I456" s="7">
        <v>-15134.559999999998</v>
      </c>
      <c r="J456" s="7">
        <v>-15052.239999999998</v>
      </c>
      <c r="K456" s="7">
        <v>-15052.239999999998</v>
      </c>
      <c r="L456" s="7">
        <v>-15134.559999999998</v>
      </c>
      <c r="M456" s="7">
        <v>-15052.229999999996</v>
      </c>
      <c r="N456" s="7">
        <v>-15052.25</v>
      </c>
      <c r="O456" s="7">
        <v>34241.06</v>
      </c>
      <c r="P456" s="7">
        <v>34323.360000000001</v>
      </c>
      <c r="Q456" s="7">
        <v>34323.370000000003</v>
      </c>
      <c r="R456" s="7">
        <v>34241.050000000003</v>
      </c>
      <c r="S456" s="7">
        <v>34323.370000000003</v>
      </c>
      <c r="T456" s="7">
        <v>34323.360000000001</v>
      </c>
      <c r="U456" s="7">
        <v>34241.06</v>
      </c>
      <c r="V456" s="7">
        <v>34323.360000000001</v>
      </c>
      <c r="W456" s="9">
        <f t="shared" si="50"/>
        <v>33092.570000000065</v>
      </c>
      <c r="X456" s="9"/>
      <c r="Y456" s="9"/>
      <c r="Z456" s="9"/>
      <c r="AA456" s="9">
        <f t="shared" si="47"/>
        <v>33092.570000000065</v>
      </c>
      <c r="AB456" s="7" t="e">
        <f>W456-#REF!</f>
        <v>#REF!</v>
      </c>
      <c r="AC456" s="12"/>
      <c r="AD456" s="12"/>
      <c r="AE456" s="12"/>
      <c r="AF456" s="12"/>
      <c r="AG456" s="13"/>
      <c r="AH456" s="13"/>
      <c r="AI456" s="13"/>
      <c r="AJ456" s="13"/>
    </row>
    <row r="457" spans="1:36" s="1" customFormat="1" x14ac:dyDescent="0.25">
      <c r="A457">
        <v>4169</v>
      </c>
      <c r="B457">
        <v>7</v>
      </c>
      <c r="C457">
        <f t="shared" si="49"/>
        <v>7</v>
      </c>
      <c r="D457" s="1" t="s">
        <v>488</v>
      </c>
      <c r="E457" s="7">
        <v>-143480.16</v>
      </c>
      <c r="F457" s="7">
        <v>-143480.17000000001</v>
      </c>
      <c r="G457" s="7">
        <v>-107438.9</v>
      </c>
      <c r="H457" s="7">
        <v>-43742.41</v>
      </c>
      <c r="I457" s="7">
        <v>-43981.590000000011</v>
      </c>
      <c r="J457" s="7">
        <v>-43742.41</v>
      </c>
      <c r="K457" s="7">
        <v>-43742.420000000013</v>
      </c>
      <c r="L457" s="7">
        <v>-43981.58</v>
      </c>
      <c r="M457" s="7">
        <v>-43742.420000000013</v>
      </c>
      <c r="N457" s="7">
        <v>-43742.400000000009</v>
      </c>
      <c r="O457" s="7">
        <v>99498.569999999992</v>
      </c>
      <c r="P457" s="7">
        <v>99737.76</v>
      </c>
      <c r="Q457" s="7">
        <v>99737.75</v>
      </c>
      <c r="R457" s="7">
        <v>99498.57</v>
      </c>
      <c r="S457" s="7">
        <v>99737.76</v>
      </c>
      <c r="T457" s="7">
        <v>99737.75</v>
      </c>
      <c r="U457" s="7">
        <v>99498.58</v>
      </c>
      <c r="V457" s="7">
        <v>99737.75</v>
      </c>
      <c r="W457" s="9">
        <f t="shared" si="50"/>
        <v>96110.029999999897</v>
      </c>
      <c r="X457" s="9"/>
      <c r="Y457" s="9"/>
      <c r="Z457" s="9"/>
      <c r="AA457" s="9">
        <f t="shared" ref="AA457:AA520" si="51">W457+Z457</f>
        <v>96110.029999999897</v>
      </c>
      <c r="AB457" s="7" t="e">
        <f>W457-#REF!</f>
        <v>#REF!</v>
      </c>
      <c r="AC457" s="12"/>
      <c r="AD457" s="12"/>
      <c r="AE457" s="12"/>
      <c r="AF457" s="12"/>
      <c r="AG457" s="13"/>
      <c r="AH457" s="13"/>
      <c r="AI457" s="13"/>
      <c r="AJ457" s="13"/>
    </row>
    <row r="458" spans="1:36" s="1" customFormat="1" x14ac:dyDescent="0.25">
      <c r="A458">
        <v>4170</v>
      </c>
      <c r="B458">
        <v>7</v>
      </c>
      <c r="C458">
        <f t="shared" si="49"/>
        <v>7</v>
      </c>
      <c r="D458" s="1" t="s">
        <v>489</v>
      </c>
      <c r="E458" s="7">
        <v>-315753.07</v>
      </c>
      <c r="F458" s="7">
        <v>-315753.07</v>
      </c>
      <c r="G458" s="7">
        <v>-236420.53</v>
      </c>
      <c r="H458" s="7">
        <v>-96260.85</v>
      </c>
      <c r="I458" s="7">
        <v>-96787.200000000012</v>
      </c>
      <c r="J458" s="7">
        <v>-96260.84</v>
      </c>
      <c r="K458" s="7">
        <v>-96260.85</v>
      </c>
      <c r="L458" s="7">
        <v>-96787.200000000012</v>
      </c>
      <c r="M458" s="7">
        <v>-96260.84</v>
      </c>
      <c r="N458" s="7">
        <v>-96260.85</v>
      </c>
      <c r="O458" s="7">
        <v>218965.87</v>
      </c>
      <c r="P458" s="7">
        <v>219492.22</v>
      </c>
      <c r="Q458" s="7">
        <v>219492.22</v>
      </c>
      <c r="R458" s="7">
        <v>218965.87</v>
      </c>
      <c r="S458" s="7">
        <v>219492.22</v>
      </c>
      <c r="T458" s="7">
        <v>219492.22</v>
      </c>
      <c r="U458" s="7">
        <v>218965.87</v>
      </c>
      <c r="V458" s="7">
        <v>219492.22</v>
      </c>
      <c r="W458" s="9">
        <f t="shared" si="50"/>
        <v>211553.40999999974</v>
      </c>
      <c r="X458" s="9"/>
      <c r="Y458" s="9"/>
      <c r="Z458" s="9"/>
      <c r="AA458" s="9">
        <f t="shared" si="51"/>
        <v>211553.40999999974</v>
      </c>
      <c r="AB458" s="7" t="e">
        <f>W458-#REF!</f>
        <v>#REF!</v>
      </c>
      <c r="AC458" s="12"/>
      <c r="AD458" s="12"/>
      <c r="AE458" s="12"/>
      <c r="AF458" s="12"/>
      <c r="AG458" s="13"/>
      <c r="AH458" s="13"/>
      <c r="AI458" s="13"/>
      <c r="AJ458" s="13"/>
    </row>
    <row r="459" spans="1:36" s="1" customFormat="1" x14ac:dyDescent="0.25">
      <c r="A459">
        <v>4171</v>
      </c>
      <c r="B459">
        <v>7</v>
      </c>
      <c r="C459">
        <f t="shared" si="49"/>
        <v>7</v>
      </c>
      <c r="D459" s="1" t="s">
        <v>490</v>
      </c>
      <c r="E459" s="7">
        <v>-274677.06</v>
      </c>
      <c r="F459" s="7">
        <v>-274677.07</v>
      </c>
      <c r="G459" s="7">
        <v>-205713.36</v>
      </c>
      <c r="H459" s="7">
        <v>-83743.760000000009</v>
      </c>
      <c r="I459" s="7">
        <v>-84201.640000000014</v>
      </c>
      <c r="J459" s="7">
        <v>-83743.760000000009</v>
      </c>
      <c r="K459" s="7">
        <v>-83743.770000000019</v>
      </c>
      <c r="L459" s="7">
        <v>-84201.63</v>
      </c>
      <c r="M459" s="7">
        <v>-83743.770000000019</v>
      </c>
      <c r="N459" s="7">
        <v>-83743.760000000009</v>
      </c>
      <c r="O459" s="7">
        <v>190475.43</v>
      </c>
      <c r="P459" s="7">
        <v>190933.3</v>
      </c>
      <c r="Q459" s="7">
        <v>190933.3</v>
      </c>
      <c r="R459" s="7">
        <v>190475.43</v>
      </c>
      <c r="S459" s="7">
        <v>190933.3</v>
      </c>
      <c r="T459" s="7">
        <v>190933.3</v>
      </c>
      <c r="U459" s="7">
        <v>190475.43</v>
      </c>
      <c r="V459" s="7">
        <v>190933.3</v>
      </c>
      <c r="W459" s="9">
        <f t="shared" si="50"/>
        <v>183903.21000000008</v>
      </c>
      <c r="X459" s="9"/>
      <c r="Y459" s="9"/>
      <c r="Z459" s="9"/>
      <c r="AA459" s="9">
        <f t="shared" si="51"/>
        <v>183903.21000000008</v>
      </c>
      <c r="AB459" s="7" t="e">
        <f>W459-#REF!</f>
        <v>#REF!</v>
      </c>
      <c r="AC459" s="12"/>
      <c r="AD459" s="12"/>
      <c r="AE459" s="12"/>
      <c r="AF459" s="12"/>
      <c r="AG459" s="13"/>
      <c r="AH459" s="13"/>
      <c r="AI459" s="13"/>
      <c r="AJ459" s="13"/>
    </row>
    <row r="460" spans="1:36" s="1" customFormat="1" x14ac:dyDescent="0.25">
      <c r="A460">
        <v>4172</v>
      </c>
      <c r="B460">
        <v>7</v>
      </c>
      <c r="C460">
        <f t="shared" si="49"/>
        <v>7</v>
      </c>
      <c r="D460" s="1" t="s">
        <v>491</v>
      </c>
      <c r="E460" s="7">
        <v>-33501.78</v>
      </c>
      <c r="F460" s="7">
        <v>-33501.79</v>
      </c>
      <c r="G460" s="7">
        <v>-25074.269999999997</v>
      </c>
      <c r="H460" s="7">
        <v>-10212.25</v>
      </c>
      <c r="I460" s="7">
        <v>-10268.11</v>
      </c>
      <c r="J460" s="7">
        <v>-10212.239999999998</v>
      </c>
      <c r="K460" s="7">
        <v>-10212.260000000002</v>
      </c>
      <c r="L460" s="7">
        <v>-10268.099999999999</v>
      </c>
      <c r="M460" s="7">
        <v>-10212.260000000002</v>
      </c>
      <c r="N460" s="7">
        <v>-10212.25</v>
      </c>
      <c r="O460" s="7">
        <v>23233.68</v>
      </c>
      <c r="P460" s="7">
        <v>23289.53</v>
      </c>
      <c r="Q460" s="7">
        <v>23289.53</v>
      </c>
      <c r="R460" s="7">
        <v>23233.68</v>
      </c>
      <c r="S460" s="7">
        <v>23289.53</v>
      </c>
      <c r="T460" s="7">
        <v>23289.53</v>
      </c>
      <c r="U460" s="7">
        <v>23233.68</v>
      </c>
      <c r="V460" s="7">
        <v>23289.53</v>
      </c>
      <c r="W460" s="9">
        <f t="shared" si="50"/>
        <v>22473.379999999954</v>
      </c>
      <c r="X460" s="9"/>
      <c r="Y460" s="9"/>
      <c r="Z460" s="9"/>
      <c r="AA460" s="9">
        <f t="shared" si="51"/>
        <v>22473.379999999954</v>
      </c>
      <c r="AB460" s="7" t="e">
        <f>W460-#REF!</f>
        <v>#REF!</v>
      </c>
      <c r="AC460" s="12"/>
      <c r="AD460" s="12"/>
      <c r="AE460" s="12"/>
      <c r="AF460" s="12"/>
      <c r="AG460" s="13"/>
      <c r="AH460" s="13"/>
      <c r="AI460" s="13"/>
      <c r="AJ460" s="13"/>
    </row>
    <row r="461" spans="1:36" s="1" customFormat="1" x14ac:dyDescent="0.25">
      <c r="A461">
        <v>4177</v>
      </c>
      <c r="B461">
        <v>7</v>
      </c>
      <c r="C461">
        <f t="shared" si="49"/>
        <v>7</v>
      </c>
      <c r="D461" s="1" t="s">
        <v>492</v>
      </c>
      <c r="E461" s="7">
        <v>-26207.22</v>
      </c>
      <c r="F461" s="7">
        <v>-26207.22</v>
      </c>
      <c r="G461" s="7">
        <v>-19597.579999999998</v>
      </c>
      <c r="H461" s="7">
        <v>-7986.7800000000025</v>
      </c>
      <c r="I461" s="7">
        <v>-8030.4700000000012</v>
      </c>
      <c r="J461" s="7">
        <v>-7986.7599999999984</v>
      </c>
      <c r="K461" s="7">
        <v>-7986.77</v>
      </c>
      <c r="L461" s="7">
        <v>-8030.4700000000012</v>
      </c>
      <c r="M461" s="7">
        <v>-7986.77</v>
      </c>
      <c r="N461" s="7">
        <v>-7986.77</v>
      </c>
      <c r="O461" s="7">
        <v>18176.75</v>
      </c>
      <c r="P461" s="7">
        <v>18220.45</v>
      </c>
      <c r="Q461" s="7">
        <v>18220.439999999999</v>
      </c>
      <c r="R461" s="7">
        <v>18176.75</v>
      </c>
      <c r="S461" s="7">
        <v>18220.45</v>
      </c>
      <c r="T461" s="7">
        <v>18220.439999999999</v>
      </c>
      <c r="U461" s="7">
        <v>18176.75</v>
      </c>
      <c r="V461" s="7">
        <v>18220.45</v>
      </c>
      <c r="W461" s="9">
        <f t="shared" si="50"/>
        <v>17625.669999999984</v>
      </c>
      <c r="X461" s="9"/>
      <c r="Y461" s="9"/>
      <c r="Z461" s="9"/>
      <c r="AA461" s="9">
        <f t="shared" si="51"/>
        <v>17625.669999999984</v>
      </c>
      <c r="AB461" s="7" t="e">
        <f>W461-#REF!</f>
        <v>#REF!</v>
      </c>
      <c r="AC461" s="12"/>
      <c r="AD461" s="12"/>
      <c r="AE461" s="12"/>
      <c r="AF461" s="12"/>
      <c r="AG461" s="13"/>
      <c r="AH461" s="13"/>
      <c r="AI461" s="13"/>
      <c r="AJ461" s="13"/>
    </row>
    <row r="462" spans="1:36" s="1" customFormat="1" x14ac:dyDescent="0.25">
      <c r="A462">
        <v>4178</v>
      </c>
      <c r="B462">
        <v>7</v>
      </c>
      <c r="C462">
        <f t="shared" si="49"/>
        <v>7</v>
      </c>
      <c r="D462" s="1" t="s">
        <v>493</v>
      </c>
      <c r="E462" s="7">
        <v>-92726.68</v>
      </c>
      <c r="F462" s="7">
        <v>-92726.69</v>
      </c>
      <c r="G462" s="7">
        <v>-69439.009999999995</v>
      </c>
      <c r="H462" s="7">
        <v>-28269.849999999991</v>
      </c>
      <c r="I462" s="7">
        <v>-28424.419999999991</v>
      </c>
      <c r="J462" s="7">
        <v>-28269.86</v>
      </c>
      <c r="K462" s="7">
        <v>-28269.849999999991</v>
      </c>
      <c r="L462" s="7">
        <v>-28424.419999999991</v>
      </c>
      <c r="M462" s="7">
        <v>-28269.86</v>
      </c>
      <c r="N462" s="7">
        <v>-28269.849999999991</v>
      </c>
      <c r="O462" s="7">
        <v>64302.26</v>
      </c>
      <c r="P462" s="7">
        <v>64456.84</v>
      </c>
      <c r="Q462" s="7">
        <v>64456.83</v>
      </c>
      <c r="R462" s="7">
        <v>64302.26</v>
      </c>
      <c r="S462" s="7">
        <v>64456.83</v>
      </c>
      <c r="T462" s="7">
        <v>64456.83</v>
      </c>
      <c r="U462" s="7">
        <v>64302.26</v>
      </c>
      <c r="V462" s="7">
        <v>64456.83</v>
      </c>
      <c r="W462" s="9">
        <f t="shared" si="50"/>
        <v>62100.45000000015</v>
      </c>
      <c r="X462" s="9"/>
      <c r="Y462" s="9"/>
      <c r="Z462" s="9"/>
      <c r="AA462" s="9">
        <f t="shared" si="51"/>
        <v>62100.45000000015</v>
      </c>
      <c r="AB462" s="7" t="e">
        <f>W462-#REF!</f>
        <v>#REF!</v>
      </c>
      <c r="AC462" s="12"/>
      <c r="AD462" s="12"/>
      <c r="AE462" s="12"/>
      <c r="AF462" s="12"/>
      <c r="AG462" s="13"/>
      <c r="AH462" s="13"/>
      <c r="AI462" s="13"/>
      <c r="AJ462" s="13"/>
    </row>
    <row r="463" spans="1:36" s="1" customFormat="1" x14ac:dyDescent="0.25">
      <c r="A463">
        <v>4181</v>
      </c>
      <c r="B463">
        <v>7</v>
      </c>
      <c r="C463">
        <f t="shared" si="49"/>
        <v>7</v>
      </c>
      <c r="D463" s="1" t="s">
        <v>494</v>
      </c>
      <c r="E463" s="7">
        <v>-556145.66</v>
      </c>
      <c r="F463" s="7">
        <v>-556145.67000000004</v>
      </c>
      <c r="G463" s="7">
        <v>-416505.83000000007</v>
      </c>
      <c r="H463" s="7">
        <v>-169557.33000000002</v>
      </c>
      <c r="I463" s="7">
        <v>-170484.39</v>
      </c>
      <c r="J463" s="7">
        <v>-169557.33000000002</v>
      </c>
      <c r="K463" s="7">
        <v>-169557.34000000003</v>
      </c>
      <c r="L463" s="7">
        <v>-170484.40000000002</v>
      </c>
      <c r="M463" s="7">
        <v>-169557.32</v>
      </c>
      <c r="N463" s="7">
        <v>-169557.33000000002</v>
      </c>
      <c r="O463" s="7">
        <v>385661.27</v>
      </c>
      <c r="P463" s="7">
        <v>386588.34</v>
      </c>
      <c r="Q463" s="7">
        <v>386588.34</v>
      </c>
      <c r="R463" s="7">
        <v>385661.27</v>
      </c>
      <c r="S463" s="7">
        <v>386588.34</v>
      </c>
      <c r="T463" s="7">
        <v>386588.34</v>
      </c>
      <c r="U463" s="7">
        <v>385661.27</v>
      </c>
      <c r="V463" s="7">
        <v>386588.34</v>
      </c>
      <c r="W463" s="9">
        <f t="shared" si="50"/>
        <v>372372.91000000027</v>
      </c>
      <c r="X463" s="9"/>
      <c r="Y463" s="9"/>
      <c r="Z463" s="9"/>
      <c r="AA463" s="9">
        <f t="shared" si="51"/>
        <v>372372.91000000027</v>
      </c>
      <c r="AB463" s="7" t="e">
        <f>W463-#REF!</f>
        <v>#REF!</v>
      </c>
      <c r="AC463" s="12"/>
      <c r="AD463" s="12"/>
      <c r="AE463" s="12"/>
      <c r="AF463" s="12"/>
      <c r="AG463" s="13"/>
      <c r="AH463" s="13"/>
      <c r="AI463" s="13"/>
      <c r="AJ463" s="13"/>
    </row>
    <row r="464" spans="1:36" s="1" customFormat="1" x14ac:dyDescent="0.25">
      <c r="A464">
        <v>4183</v>
      </c>
      <c r="B464">
        <v>7</v>
      </c>
      <c r="C464">
        <f t="shared" si="49"/>
        <v>7</v>
      </c>
      <c r="D464" s="1" t="s">
        <v>495</v>
      </c>
      <c r="E464" s="7">
        <v>-458113.77</v>
      </c>
      <c r="F464" s="7">
        <v>-458113.78</v>
      </c>
      <c r="G464" s="7">
        <v>-439956.97000000003</v>
      </c>
      <c r="H464" s="7">
        <v>-150441.23000000004</v>
      </c>
      <c r="I464" s="7">
        <v>-151179.06000000006</v>
      </c>
      <c r="J464" s="7">
        <v>-150441.22000000003</v>
      </c>
      <c r="K464" s="7">
        <v>-150441.23000000004</v>
      </c>
      <c r="L464" s="7">
        <v>-151179.05000000005</v>
      </c>
      <c r="M464" s="7">
        <v>-150441.23000000004</v>
      </c>
      <c r="N464" s="7">
        <v>-150441.23000000004</v>
      </c>
      <c r="O464" s="7">
        <v>306934.72000000003</v>
      </c>
      <c r="P464" s="7">
        <v>307672.55</v>
      </c>
      <c r="Q464" s="7">
        <v>307672.55</v>
      </c>
      <c r="R464" s="7">
        <v>306934.71999999997</v>
      </c>
      <c r="S464" s="7">
        <v>307672.55</v>
      </c>
      <c r="T464" s="7">
        <v>307672.53999999998</v>
      </c>
      <c r="U464" s="7">
        <v>306934.71999999997</v>
      </c>
      <c r="V464" s="7">
        <v>307672.55</v>
      </c>
      <c r="W464" s="9">
        <f t="shared" si="50"/>
        <v>48418.130000000296</v>
      </c>
      <c r="X464" s="9"/>
      <c r="Y464" s="9"/>
      <c r="Z464" s="9"/>
      <c r="AA464" s="9">
        <f t="shared" si="51"/>
        <v>48418.130000000296</v>
      </c>
      <c r="AB464" s="7" t="e">
        <f>W464-#REF!</f>
        <v>#REF!</v>
      </c>
      <c r="AC464" s="12"/>
      <c r="AD464" s="12"/>
      <c r="AE464" s="12"/>
      <c r="AF464" s="12"/>
      <c r="AG464" s="13"/>
      <c r="AH464" s="13"/>
      <c r="AI464" s="13"/>
      <c r="AJ464" s="13"/>
    </row>
    <row r="465" spans="1:36" s="1" customFormat="1" x14ac:dyDescent="0.25">
      <c r="A465">
        <v>4184</v>
      </c>
      <c r="B465">
        <v>7</v>
      </c>
      <c r="C465">
        <f t="shared" si="49"/>
        <v>7</v>
      </c>
      <c r="D465" s="1" t="s">
        <v>496</v>
      </c>
      <c r="E465" s="7">
        <v>-223577.23</v>
      </c>
      <c r="F465" s="7">
        <v>-223577.23</v>
      </c>
      <c r="G465" s="7">
        <v>-167341.69</v>
      </c>
      <c r="H465" s="7">
        <v>-68153.120000000024</v>
      </c>
      <c r="I465" s="7">
        <v>-68525.820000000007</v>
      </c>
      <c r="J465" s="7">
        <v>-68153.120000000024</v>
      </c>
      <c r="K465" s="7">
        <v>-68153.110000000015</v>
      </c>
      <c r="L465" s="7">
        <v>-68525.830000000016</v>
      </c>
      <c r="M465" s="7">
        <v>-68153.100000000006</v>
      </c>
      <c r="N465" s="7">
        <v>-68153.120000000024</v>
      </c>
      <c r="O465" s="7">
        <v>155051.4</v>
      </c>
      <c r="P465" s="7">
        <v>155424.10999999999</v>
      </c>
      <c r="Q465" s="7">
        <v>155424.10999999999</v>
      </c>
      <c r="R465" s="7">
        <v>155051.4</v>
      </c>
      <c r="S465" s="7">
        <v>155424.12</v>
      </c>
      <c r="T465" s="7">
        <v>155424.10999999999</v>
      </c>
      <c r="U465" s="7">
        <v>155051.4</v>
      </c>
      <c r="V465" s="7">
        <v>155424.10999999999</v>
      </c>
      <c r="W465" s="9">
        <f t="shared" si="50"/>
        <v>149961.38999999987</v>
      </c>
      <c r="X465" s="9"/>
      <c r="Y465" s="9"/>
      <c r="Z465" s="9"/>
      <c r="AA465" s="9">
        <f t="shared" si="51"/>
        <v>149961.38999999987</v>
      </c>
      <c r="AB465" s="7" t="e">
        <f>W465-#REF!</f>
        <v>#REF!</v>
      </c>
      <c r="AC465" s="12"/>
      <c r="AD465" s="12"/>
      <c r="AE465" s="12"/>
      <c r="AF465" s="12"/>
      <c r="AG465" s="13"/>
      <c r="AH465" s="13"/>
      <c r="AI465" s="13"/>
      <c r="AJ465" s="13"/>
    </row>
    <row r="466" spans="1:36" s="1" customFormat="1" x14ac:dyDescent="0.25">
      <c r="A466">
        <v>4185</v>
      </c>
      <c r="B466">
        <v>7</v>
      </c>
      <c r="C466">
        <f t="shared" si="49"/>
        <v>7</v>
      </c>
      <c r="D466" s="1" t="s">
        <v>497</v>
      </c>
      <c r="E466" s="7">
        <v>-223906.52</v>
      </c>
      <c r="F466" s="7">
        <v>-223906.53</v>
      </c>
      <c r="G466" s="7">
        <v>-167561.88</v>
      </c>
      <c r="H466" s="7">
        <v>-68250.559999999998</v>
      </c>
      <c r="I466" s="7">
        <v>-68623.850000000006</v>
      </c>
      <c r="J466" s="7">
        <v>-68250.559999999998</v>
      </c>
      <c r="K466" s="7">
        <v>-68250.579999999987</v>
      </c>
      <c r="L466" s="7">
        <v>-68623.839999999997</v>
      </c>
      <c r="M466" s="7">
        <v>-68250.570000000007</v>
      </c>
      <c r="N466" s="7">
        <v>-68250.559999999998</v>
      </c>
      <c r="O466" s="7">
        <v>155282.68</v>
      </c>
      <c r="P466" s="7">
        <v>155655.96</v>
      </c>
      <c r="Q466" s="7">
        <v>155655.95000000001</v>
      </c>
      <c r="R466" s="7">
        <v>155282.69</v>
      </c>
      <c r="S466" s="7">
        <v>155655.95000000001</v>
      </c>
      <c r="T466" s="7">
        <v>155655.96</v>
      </c>
      <c r="U466" s="7">
        <v>155282.68</v>
      </c>
      <c r="V466" s="7">
        <v>155655.96</v>
      </c>
      <c r="W466" s="9">
        <f t="shared" si="50"/>
        <v>150252.37999999989</v>
      </c>
      <c r="X466" s="9"/>
      <c r="Y466" s="9"/>
      <c r="Z466" s="9"/>
      <c r="AA466" s="9">
        <f t="shared" si="51"/>
        <v>150252.37999999989</v>
      </c>
      <c r="AB466" s="7" t="e">
        <f>W466-#REF!</f>
        <v>#REF!</v>
      </c>
      <c r="AC466" s="12"/>
      <c r="AD466" s="12"/>
      <c r="AE466" s="12"/>
      <c r="AF466" s="12"/>
      <c r="AG466" s="13"/>
      <c r="AH466" s="13"/>
      <c r="AI466" s="13"/>
      <c r="AJ466" s="13"/>
    </row>
    <row r="467" spans="1:36" s="1" customFormat="1" x14ac:dyDescent="0.25">
      <c r="A467">
        <v>4186</v>
      </c>
      <c r="B467">
        <v>7</v>
      </c>
      <c r="C467">
        <f t="shared" si="49"/>
        <v>7</v>
      </c>
      <c r="D467" s="1" t="s">
        <v>498</v>
      </c>
      <c r="E467" s="7">
        <v>-259348.01</v>
      </c>
      <c r="F467" s="7">
        <v>-259348.01</v>
      </c>
      <c r="G467" s="7">
        <v>-194187.95</v>
      </c>
      <c r="H467" s="7">
        <v>-79065.22</v>
      </c>
      <c r="I467" s="7">
        <v>-79497.56</v>
      </c>
      <c r="J467" s="7">
        <v>-79065.210000000021</v>
      </c>
      <c r="K467" s="7">
        <v>-79065.22</v>
      </c>
      <c r="L467" s="7">
        <v>-79497.56</v>
      </c>
      <c r="M467" s="7">
        <v>-79065.22</v>
      </c>
      <c r="N467" s="7">
        <v>-79065.22</v>
      </c>
      <c r="O467" s="7">
        <v>179850.46000000002</v>
      </c>
      <c r="P467" s="7">
        <v>180282.79</v>
      </c>
      <c r="Q467" s="7">
        <v>180282.79</v>
      </c>
      <c r="R467" s="7">
        <v>179850.46</v>
      </c>
      <c r="S467" s="7">
        <v>180282.79</v>
      </c>
      <c r="T467" s="7">
        <v>180282.79</v>
      </c>
      <c r="U467" s="7">
        <v>179850.46</v>
      </c>
      <c r="V467" s="7">
        <v>180282.79</v>
      </c>
      <c r="W467" s="9">
        <f t="shared" si="50"/>
        <v>173760.15000000011</v>
      </c>
      <c r="X467" s="9"/>
      <c r="Y467" s="9"/>
      <c r="Z467" s="9"/>
      <c r="AA467" s="9">
        <f t="shared" si="51"/>
        <v>173760.15000000011</v>
      </c>
      <c r="AB467" s="7" t="e">
        <f>W467-#REF!</f>
        <v>#REF!</v>
      </c>
      <c r="AC467" s="12"/>
      <c r="AD467" s="12"/>
      <c r="AE467" s="12"/>
      <c r="AF467" s="12"/>
      <c r="AG467" s="13"/>
      <c r="AH467" s="13"/>
      <c r="AI467" s="13"/>
      <c r="AJ467" s="13"/>
    </row>
    <row r="468" spans="1:36" s="1" customFormat="1" x14ac:dyDescent="0.25">
      <c r="A468">
        <v>4187</v>
      </c>
      <c r="B468">
        <v>7</v>
      </c>
      <c r="C468">
        <f t="shared" si="49"/>
        <v>7</v>
      </c>
      <c r="D468" s="1" t="s">
        <v>499</v>
      </c>
      <c r="E468" s="7">
        <v>-28049.17</v>
      </c>
      <c r="F468" s="7">
        <v>-28049.17</v>
      </c>
      <c r="G468" s="7">
        <v>-20980.48</v>
      </c>
      <c r="H468" s="7">
        <v>-8548.73</v>
      </c>
      <c r="I468" s="7">
        <v>-8595.489999999998</v>
      </c>
      <c r="J468" s="7">
        <v>-8548.7199999999975</v>
      </c>
      <c r="K468" s="7">
        <v>-8548.7200000000012</v>
      </c>
      <c r="L468" s="7">
        <v>-8595.489999999998</v>
      </c>
      <c r="M468" s="7">
        <v>-8548.73</v>
      </c>
      <c r="N468" s="7">
        <v>-8548.73</v>
      </c>
      <c r="O468" s="7">
        <v>19453.68</v>
      </c>
      <c r="P468" s="7">
        <v>19500.45</v>
      </c>
      <c r="Q468" s="7">
        <v>19500.439999999999</v>
      </c>
      <c r="R468" s="7">
        <v>19453.68</v>
      </c>
      <c r="S468" s="7">
        <v>19500.439999999999</v>
      </c>
      <c r="T468" s="7">
        <v>19500.45</v>
      </c>
      <c r="U468" s="7">
        <v>19453.68</v>
      </c>
      <c r="V468" s="7">
        <v>19500.439999999999</v>
      </c>
      <c r="W468" s="9">
        <f t="shared" si="50"/>
        <v>18849.830000000024</v>
      </c>
      <c r="X468" s="9"/>
      <c r="Y468" s="9"/>
      <c r="Z468" s="9"/>
      <c r="AA468" s="9">
        <f t="shared" si="51"/>
        <v>18849.830000000024</v>
      </c>
      <c r="AB468" s="7" t="e">
        <f>W468-#REF!</f>
        <v>#REF!</v>
      </c>
      <c r="AC468" s="12"/>
      <c r="AD468" s="12"/>
      <c r="AE468" s="12"/>
      <c r="AF468" s="12"/>
      <c r="AG468" s="13"/>
      <c r="AH468" s="13"/>
      <c r="AI468" s="13"/>
      <c r="AJ468" s="13"/>
    </row>
    <row r="469" spans="1:36" s="1" customFormat="1" x14ac:dyDescent="0.25">
      <c r="A469">
        <v>4188</v>
      </c>
      <c r="B469">
        <v>7</v>
      </c>
      <c r="C469">
        <f t="shared" si="49"/>
        <v>7</v>
      </c>
      <c r="D469" s="1" t="s">
        <v>500</v>
      </c>
      <c r="E469" s="7">
        <v>-224715.31</v>
      </c>
      <c r="F469" s="7">
        <v>-224715.31</v>
      </c>
      <c r="G469" s="7">
        <v>-168133.63</v>
      </c>
      <c r="H469" s="7">
        <v>-68493.38</v>
      </c>
      <c r="I469" s="7">
        <v>-68868.010000000009</v>
      </c>
      <c r="J469" s="7">
        <v>-68493.359999999986</v>
      </c>
      <c r="K469" s="7">
        <v>-68493.38</v>
      </c>
      <c r="L469" s="7">
        <v>-68868.010000000009</v>
      </c>
      <c r="M469" s="7">
        <v>-68493.37</v>
      </c>
      <c r="N469" s="7">
        <v>-68493.37</v>
      </c>
      <c r="O469" s="7">
        <v>155847.29999999999</v>
      </c>
      <c r="P469" s="7">
        <v>156221.93</v>
      </c>
      <c r="Q469" s="7">
        <v>156221.94</v>
      </c>
      <c r="R469" s="7">
        <v>155847.29999999999</v>
      </c>
      <c r="S469" s="7">
        <v>156221.93</v>
      </c>
      <c r="T469" s="7">
        <v>156221.94</v>
      </c>
      <c r="U469" s="7">
        <v>155847.29999999999</v>
      </c>
      <c r="V469" s="7">
        <v>156221.93</v>
      </c>
      <c r="W469" s="9">
        <f t="shared" ref="W469:W500" si="52">SUM(E469:V469)</f>
        <v>150884.44</v>
      </c>
      <c r="X469" s="9"/>
      <c r="Y469" s="9"/>
      <c r="Z469" s="9"/>
      <c r="AA469" s="9">
        <f t="shared" si="51"/>
        <v>150884.44</v>
      </c>
      <c r="AB469" s="7" t="e">
        <f>W469-#REF!</f>
        <v>#REF!</v>
      </c>
      <c r="AC469" s="12"/>
      <c r="AD469" s="12"/>
      <c r="AE469" s="12"/>
      <c r="AF469" s="12"/>
      <c r="AG469" s="13"/>
      <c r="AH469" s="13"/>
      <c r="AI469" s="13"/>
      <c r="AJ469" s="13"/>
    </row>
    <row r="470" spans="1:36" s="1" customFormat="1" x14ac:dyDescent="0.25">
      <c r="A470">
        <v>4189</v>
      </c>
      <c r="B470">
        <v>7</v>
      </c>
      <c r="C470">
        <f t="shared" si="49"/>
        <v>7</v>
      </c>
      <c r="D470" s="1" t="s">
        <v>501</v>
      </c>
      <c r="E470" s="7">
        <v>-88859.1</v>
      </c>
      <c r="F470" s="7">
        <v>-88859.11</v>
      </c>
      <c r="G470" s="7">
        <v>-66448.23000000001</v>
      </c>
      <c r="H470" s="7">
        <v>-27080.220000000008</v>
      </c>
      <c r="I470" s="7">
        <v>-27228.370000000003</v>
      </c>
      <c r="J470" s="7">
        <v>-27080.22</v>
      </c>
      <c r="K470" s="7">
        <v>-27080.220000000008</v>
      </c>
      <c r="L470" s="7">
        <v>-27228.370000000003</v>
      </c>
      <c r="M470" s="7">
        <v>-27080.230000000003</v>
      </c>
      <c r="N470" s="7">
        <v>-27080.220000000008</v>
      </c>
      <c r="O470" s="7">
        <v>61630.74</v>
      </c>
      <c r="P470" s="7">
        <v>61778.879999999997</v>
      </c>
      <c r="Q470" s="7">
        <v>61778.879999999997</v>
      </c>
      <c r="R470" s="7">
        <v>61630.73</v>
      </c>
      <c r="S470" s="7">
        <v>61778.879999999997</v>
      </c>
      <c r="T470" s="7">
        <v>61778.89</v>
      </c>
      <c r="U470" s="7">
        <v>61630.73</v>
      </c>
      <c r="V470" s="7">
        <v>61778.879999999997</v>
      </c>
      <c r="W470" s="9">
        <f t="shared" si="52"/>
        <v>59762.319999999978</v>
      </c>
      <c r="X470" s="9"/>
      <c r="Y470" s="9"/>
      <c r="Z470" s="9"/>
      <c r="AA470" s="9">
        <f t="shared" si="51"/>
        <v>59762.319999999978</v>
      </c>
      <c r="AB470" s="7" t="e">
        <f>W470-#REF!</f>
        <v>#REF!</v>
      </c>
      <c r="AC470" s="12"/>
      <c r="AD470" s="12"/>
      <c r="AE470" s="12"/>
      <c r="AF470" s="12"/>
      <c r="AG470" s="13"/>
      <c r="AH470" s="13"/>
      <c r="AI470" s="13"/>
      <c r="AJ470" s="13"/>
    </row>
    <row r="471" spans="1:36" s="1" customFormat="1" x14ac:dyDescent="0.25">
      <c r="A471">
        <v>4190</v>
      </c>
      <c r="B471">
        <v>7</v>
      </c>
      <c r="C471">
        <f t="shared" si="49"/>
        <v>7</v>
      </c>
      <c r="D471" s="1" t="s">
        <v>502</v>
      </c>
      <c r="E471" s="7">
        <v>-46937.71</v>
      </c>
      <c r="F471" s="7">
        <v>-46937.71</v>
      </c>
      <c r="G471" s="7">
        <v>-35121.46</v>
      </c>
      <c r="H471" s="7">
        <v>-14306.91</v>
      </c>
      <c r="I471" s="7">
        <v>-14385.16</v>
      </c>
      <c r="J471" s="7">
        <v>-14306.889999999996</v>
      </c>
      <c r="K471" s="7">
        <v>-14306.91</v>
      </c>
      <c r="L471" s="7">
        <v>-14385.16</v>
      </c>
      <c r="M471" s="7">
        <v>-14306.899999999998</v>
      </c>
      <c r="N471" s="7">
        <v>-14306.899999999998</v>
      </c>
      <c r="O471" s="7">
        <v>32552.550000000003</v>
      </c>
      <c r="P471" s="7">
        <v>32630.799999999999</v>
      </c>
      <c r="Q471" s="7">
        <v>32630.81</v>
      </c>
      <c r="R471" s="7">
        <v>32552.55</v>
      </c>
      <c r="S471" s="7">
        <v>32630.799999999999</v>
      </c>
      <c r="T471" s="7">
        <v>32630.799999999999</v>
      </c>
      <c r="U471" s="7">
        <v>32552.560000000001</v>
      </c>
      <c r="V471" s="7">
        <v>32630.799999999999</v>
      </c>
      <c r="W471" s="9">
        <f t="shared" si="52"/>
        <v>31509.960000000021</v>
      </c>
      <c r="X471" s="9"/>
      <c r="Y471" s="9"/>
      <c r="Z471" s="9"/>
      <c r="AA471" s="9">
        <f t="shared" si="51"/>
        <v>31509.960000000021</v>
      </c>
      <c r="AB471" s="7" t="e">
        <f>W471-#REF!</f>
        <v>#REF!</v>
      </c>
      <c r="AC471" s="12"/>
      <c r="AD471" s="12"/>
      <c r="AE471" s="12"/>
      <c r="AF471" s="12"/>
      <c r="AG471" s="13"/>
      <c r="AH471" s="13"/>
      <c r="AI471" s="13"/>
      <c r="AJ471" s="13"/>
    </row>
    <row r="472" spans="1:36" s="1" customFormat="1" x14ac:dyDescent="0.25">
      <c r="A472">
        <v>4191</v>
      </c>
      <c r="B472">
        <v>7</v>
      </c>
      <c r="C472">
        <f t="shared" si="49"/>
        <v>7</v>
      </c>
      <c r="D472" s="1" t="s">
        <v>503</v>
      </c>
      <c r="E472" s="7">
        <v>-127683.69</v>
      </c>
      <c r="F472" s="7">
        <v>-127683.69</v>
      </c>
      <c r="G472" s="7">
        <v>-95542.079999999987</v>
      </c>
      <c r="H472" s="7">
        <v>-38918.990000000005</v>
      </c>
      <c r="I472" s="7">
        <v>-39131.850000000006</v>
      </c>
      <c r="J472" s="7">
        <v>-38918.979999999996</v>
      </c>
      <c r="K472" s="7">
        <v>-38918.990000000005</v>
      </c>
      <c r="L472" s="7">
        <v>-39131.839999999997</v>
      </c>
      <c r="M472" s="7">
        <v>-38918.990000000005</v>
      </c>
      <c r="N472" s="7">
        <v>-38918.990000000005</v>
      </c>
      <c r="O472" s="7">
        <v>88551.840000000011</v>
      </c>
      <c r="P472" s="7">
        <v>88764.7</v>
      </c>
      <c r="Q472" s="7">
        <v>88764.71</v>
      </c>
      <c r="R472" s="7">
        <v>88551.83</v>
      </c>
      <c r="S472" s="7">
        <v>88764.71</v>
      </c>
      <c r="T472" s="7">
        <v>88764.7</v>
      </c>
      <c r="U472" s="7">
        <v>88551.84</v>
      </c>
      <c r="V472" s="7">
        <v>88764.7</v>
      </c>
      <c r="W472" s="9">
        <f t="shared" si="52"/>
        <v>85710.940000000177</v>
      </c>
      <c r="X472" s="9"/>
      <c r="Y472" s="9"/>
      <c r="Z472" s="9"/>
      <c r="AA472" s="9">
        <f t="shared" si="51"/>
        <v>85710.940000000177</v>
      </c>
      <c r="AB472" s="7" t="e">
        <f>W472-#REF!</f>
        <v>#REF!</v>
      </c>
      <c r="AC472" s="12"/>
      <c r="AD472" s="12"/>
      <c r="AE472" s="12"/>
      <c r="AF472" s="12"/>
      <c r="AG472" s="13"/>
      <c r="AH472" s="13"/>
      <c r="AI472" s="13"/>
      <c r="AJ472" s="13"/>
    </row>
    <row r="473" spans="1:36" s="1" customFormat="1" x14ac:dyDescent="0.25">
      <c r="A473">
        <v>4192</v>
      </c>
      <c r="B473">
        <v>7</v>
      </c>
      <c r="C473">
        <f t="shared" si="49"/>
        <v>7</v>
      </c>
      <c r="D473" s="1" t="s">
        <v>504</v>
      </c>
      <c r="E473" s="7">
        <v>-295456.09999999998</v>
      </c>
      <c r="F473" s="7">
        <v>-295456.09999999998</v>
      </c>
      <c r="G473" s="7">
        <v>-221238.51</v>
      </c>
      <c r="H473" s="7">
        <v>-90074.789999999979</v>
      </c>
      <c r="I473" s="7">
        <v>-90567.319999999978</v>
      </c>
      <c r="J473" s="7">
        <v>-90074.789999999979</v>
      </c>
      <c r="K473" s="7">
        <v>-90074.799999999988</v>
      </c>
      <c r="L473" s="7">
        <v>-90567.319999999978</v>
      </c>
      <c r="M473" s="7">
        <v>-90074.789999999979</v>
      </c>
      <c r="N473" s="7">
        <v>-90074.799999999988</v>
      </c>
      <c r="O473" s="7">
        <v>204888.79</v>
      </c>
      <c r="P473" s="7">
        <v>205381.3</v>
      </c>
      <c r="Q473" s="7">
        <v>205381.31</v>
      </c>
      <c r="R473" s="7">
        <v>204888.78</v>
      </c>
      <c r="S473" s="7">
        <v>205381.31</v>
      </c>
      <c r="T473" s="7">
        <v>205381.3</v>
      </c>
      <c r="U473" s="7">
        <v>204888.79</v>
      </c>
      <c r="V473" s="7">
        <v>205381.3</v>
      </c>
      <c r="W473" s="9">
        <f t="shared" si="52"/>
        <v>197913.56000000008</v>
      </c>
      <c r="X473" s="9"/>
      <c r="Y473" s="9"/>
      <c r="Z473" s="9"/>
      <c r="AA473" s="9">
        <f t="shared" si="51"/>
        <v>197913.56000000008</v>
      </c>
      <c r="AB473" s="7" t="e">
        <f>W473-#REF!</f>
        <v>#REF!</v>
      </c>
      <c r="AC473" s="12"/>
      <c r="AD473" s="12"/>
      <c r="AE473" s="12"/>
      <c r="AF473" s="12"/>
      <c r="AG473" s="13"/>
      <c r="AH473" s="13"/>
      <c r="AI473" s="13"/>
      <c r="AJ473" s="13"/>
    </row>
    <row r="474" spans="1:36" s="1" customFormat="1" x14ac:dyDescent="0.25">
      <c r="A474">
        <v>4193</v>
      </c>
      <c r="B474">
        <v>7</v>
      </c>
      <c r="C474">
        <f t="shared" si="49"/>
        <v>7</v>
      </c>
      <c r="D474" s="1" t="s">
        <v>505</v>
      </c>
      <c r="E474" s="7">
        <v>-194070.39</v>
      </c>
      <c r="F474" s="7">
        <v>-194070.39</v>
      </c>
      <c r="G474" s="7">
        <v>-145258.44</v>
      </c>
      <c r="H474" s="7">
        <v>-59158.73000000001</v>
      </c>
      <c r="I474" s="7">
        <v>-59482.270000000019</v>
      </c>
      <c r="J474" s="7">
        <v>-59158.73000000001</v>
      </c>
      <c r="K474" s="7">
        <v>-59158.74000000002</v>
      </c>
      <c r="L474" s="7">
        <v>-59482.270000000019</v>
      </c>
      <c r="M474" s="7">
        <v>-59158.73000000001</v>
      </c>
      <c r="N474" s="7">
        <v>-59158.74000000002</v>
      </c>
      <c r="O474" s="7">
        <v>134588.12</v>
      </c>
      <c r="P474" s="7">
        <v>134911.66</v>
      </c>
      <c r="Q474" s="7">
        <v>134911.65</v>
      </c>
      <c r="R474" s="7">
        <v>134588.13</v>
      </c>
      <c r="S474" s="7">
        <v>134911.65</v>
      </c>
      <c r="T474" s="7">
        <v>134911.65</v>
      </c>
      <c r="U474" s="7">
        <v>134588.13</v>
      </c>
      <c r="V474" s="7">
        <v>134911.65</v>
      </c>
      <c r="W474" s="9">
        <f t="shared" si="52"/>
        <v>130165.21000000014</v>
      </c>
      <c r="X474" s="9"/>
      <c r="Y474" s="9"/>
      <c r="Z474" s="9"/>
      <c r="AA474" s="9">
        <f t="shared" si="51"/>
        <v>130165.21000000014</v>
      </c>
      <c r="AB474" s="7" t="e">
        <f>W474-#REF!</f>
        <v>#REF!</v>
      </c>
      <c r="AC474" s="12"/>
      <c r="AD474" s="12"/>
      <c r="AE474" s="12"/>
      <c r="AF474" s="12"/>
      <c r="AG474" s="13"/>
      <c r="AH474" s="13"/>
      <c r="AI474" s="13"/>
      <c r="AJ474" s="13"/>
    </row>
    <row r="475" spans="1:36" s="1" customFormat="1" x14ac:dyDescent="0.25">
      <c r="A475">
        <v>4194</v>
      </c>
      <c r="B475">
        <v>7</v>
      </c>
      <c r="C475">
        <f t="shared" si="49"/>
        <v>7</v>
      </c>
      <c r="D475" s="1" t="s">
        <v>506</v>
      </c>
      <c r="E475" s="7">
        <v>-126355.53</v>
      </c>
      <c r="F475" s="7">
        <v>-126355.53</v>
      </c>
      <c r="G475" s="7">
        <v>-94552.86</v>
      </c>
      <c r="H475" s="7">
        <v>-38514.67</v>
      </c>
      <c r="I475" s="7">
        <v>-38725.31</v>
      </c>
      <c r="J475" s="7">
        <v>-38514.660000000003</v>
      </c>
      <c r="K475" s="7">
        <v>-38514.660000000003</v>
      </c>
      <c r="L475" s="7">
        <v>-38725.31</v>
      </c>
      <c r="M475" s="7">
        <v>-38514.67</v>
      </c>
      <c r="N475" s="7">
        <v>-38514.660000000003</v>
      </c>
      <c r="O475" s="7">
        <v>87630.21</v>
      </c>
      <c r="P475" s="7">
        <v>87840.87</v>
      </c>
      <c r="Q475" s="7">
        <v>87840.86</v>
      </c>
      <c r="R475" s="7">
        <v>87630.22</v>
      </c>
      <c r="S475" s="7">
        <v>87840.86</v>
      </c>
      <c r="T475" s="7">
        <v>87840.87</v>
      </c>
      <c r="U475" s="7">
        <v>87630.21</v>
      </c>
      <c r="V475" s="7">
        <v>87840.87</v>
      </c>
      <c r="W475" s="9">
        <f t="shared" si="52"/>
        <v>84807.109999999797</v>
      </c>
      <c r="X475" s="9"/>
      <c r="Y475" s="9"/>
      <c r="Z475" s="9"/>
      <c r="AA475" s="9">
        <f t="shared" si="51"/>
        <v>84807.109999999797</v>
      </c>
      <c r="AB475" s="7" t="e">
        <f>W475-#REF!</f>
        <v>#REF!</v>
      </c>
      <c r="AC475" s="12"/>
      <c r="AD475" s="12"/>
      <c r="AE475" s="12"/>
      <c r="AF475" s="12"/>
      <c r="AG475" s="13"/>
      <c r="AH475" s="13"/>
      <c r="AI475" s="13"/>
      <c r="AJ475" s="13"/>
    </row>
    <row r="476" spans="1:36" s="1" customFormat="1" x14ac:dyDescent="0.25">
      <c r="A476">
        <v>4195</v>
      </c>
      <c r="B476">
        <v>7</v>
      </c>
      <c r="C476">
        <f t="shared" si="49"/>
        <v>7</v>
      </c>
      <c r="D476" s="1" t="s">
        <v>507</v>
      </c>
      <c r="E476" s="7">
        <v>-33752.82</v>
      </c>
      <c r="F476" s="7">
        <v>-33752.82</v>
      </c>
      <c r="G476" s="7">
        <v>-25245.17</v>
      </c>
      <c r="H476" s="7">
        <v>-10286.89</v>
      </c>
      <c r="I476" s="7">
        <v>-10343.16</v>
      </c>
      <c r="J476" s="7">
        <v>-10286.89</v>
      </c>
      <c r="K476" s="7">
        <v>-10286.900000000001</v>
      </c>
      <c r="L476" s="7">
        <v>-10343.149999999998</v>
      </c>
      <c r="M476" s="7">
        <v>-10286.89</v>
      </c>
      <c r="N476" s="7">
        <v>-10286.89</v>
      </c>
      <c r="O476" s="7">
        <v>23409.66</v>
      </c>
      <c r="P476" s="7">
        <v>23465.93</v>
      </c>
      <c r="Q476" s="7">
        <v>23465.93</v>
      </c>
      <c r="R476" s="7">
        <v>23409.65</v>
      </c>
      <c r="S476" s="7">
        <v>23465.93</v>
      </c>
      <c r="T476" s="7">
        <v>23465.93</v>
      </c>
      <c r="U476" s="7">
        <v>23409.66</v>
      </c>
      <c r="V476" s="7">
        <v>23465.93</v>
      </c>
      <c r="W476" s="9">
        <f t="shared" si="52"/>
        <v>22687.039999999968</v>
      </c>
      <c r="X476" s="9"/>
      <c r="Y476" s="9"/>
      <c r="Z476" s="9"/>
      <c r="AA476" s="9">
        <f t="shared" si="51"/>
        <v>22687.039999999968</v>
      </c>
      <c r="AB476" s="7" t="e">
        <f>W476-#REF!</f>
        <v>#REF!</v>
      </c>
      <c r="AC476" s="12"/>
      <c r="AD476" s="12"/>
      <c r="AE476" s="12"/>
      <c r="AF476" s="12"/>
      <c r="AG476" s="13"/>
      <c r="AH476" s="13"/>
      <c r="AI476" s="13"/>
      <c r="AJ476" s="13"/>
    </row>
    <row r="477" spans="1:36" s="1" customFormat="1" x14ac:dyDescent="0.25">
      <c r="A477">
        <v>4198</v>
      </c>
      <c r="B477">
        <v>7</v>
      </c>
      <c r="C477">
        <f t="shared" si="49"/>
        <v>7</v>
      </c>
      <c r="D477" s="1" t="s">
        <v>508</v>
      </c>
      <c r="E477" s="7">
        <v>-46970.31</v>
      </c>
      <c r="F477" s="7">
        <v>-46970.32</v>
      </c>
      <c r="G477" s="7">
        <v>-35148.149999999994</v>
      </c>
      <c r="H477" s="7">
        <v>-14317.089999999997</v>
      </c>
      <c r="I477" s="7">
        <v>-14395.399999999998</v>
      </c>
      <c r="J477" s="7">
        <v>-14317.099999999999</v>
      </c>
      <c r="K477" s="7">
        <v>-14317.089999999997</v>
      </c>
      <c r="L477" s="7">
        <v>-14395.399999999998</v>
      </c>
      <c r="M477" s="7">
        <v>-14317.099999999999</v>
      </c>
      <c r="N477" s="7">
        <v>-14317.089999999997</v>
      </c>
      <c r="O477" s="7">
        <v>32574.91</v>
      </c>
      <c r="P477" s="7">
        <v>32653.22</v>
      </c>
      <c r="Q477" s="7">
        <v>32653.21</v>
      </c>
      <c r="R477" s="7">
        <v>32574.91</v>
      </c>
      <c r="S477" s="7">
        <v>32653.22</v>
      </c>
      <c r="T477" s="7">
        <v>32653.22</v>
      </c>
      <c r="U477" s="7">
        <v>32574.91</v>
      </c>
      <c r="V477" s="7">
        <v>32653.22</v>
      </c>
      <c r="W477" s="9">
        <f t="shared" si="52"/>
        <v>31525.770000000015</v>
      </c>
      <c r="X477" s="9"/>
      <c r="Y477" s="9"/>
      <c r="Z477" s="9"/>
      <c r="AA477" s="9">
        <f t="shared" si="51"/>
        <v>31525.770000000015</v>
      </c>
      <c r="AB477" s="7" t="e">
        <f>W477-#REF!</f>
        <v>#REF!</v>
      </c>
      <c r="AC477" s="12"/>
      <c r="AD477" s="12"/>
      <c r="AE477" s="12"/>
      <c r="AF477" s="12"/>
      <c r="AG477" s="13"/>
      <c r="AH477" s="13"/>
      <c r="AI477" s="13"/>
      <c r="AJ477" s="13"/>
    </row>
    <row r="478" spans="1:36" s="1" customFormat="1" x14ac:dyDescent="0.25">
      <c r="A478">
        <v>4199</v>
      </c>
      <c r="B478">
        <v>7</v>
      </c>
      <c r="C478">
        <f t="shared" si="49"/>
        <v>7</v>
      </c>
      <c r="D478" s="1" t="s">
        <v>509</v>
      </c>
      <c r="E478" s="7">
        <v>-245607.39</v>
      </c>
      <c r="F478" s="7">
        <v>-245607.38</v>
      </c>
      <c r="G478" s="7">
        <v>-183838.13</v>
      </c>
      <c r="H478" s="7">
        <v>-74869.390000000014</v>
      </c>
      <c r="I478" s="7">
        <v>-75278.840000000026</v>
      </c>
      <c r="J478" s="7">
        <v>-74869.390000000014</v>
      </c>
      <c r="K478" s="7">
        <v>-74869.41</v>
      </c>
      <c r="L478" s="7">
        <v>-75278.830000000016</v>
      </c>
      <c r="M478" s="7">
        <v>-74869.400000000023</v>
      </c>
      <c r="N478" s="7">
        <v>-74869.390000000014</v>
      </c>
      <c r="O478" s="7">
        <v>170328.54</v>
      </c>
      <c r="P478" s="7">
        <v>170737.99</v>
      </c>
      <c r="Q478" s="7">
        <v>170737.99</v>
      </c>
      <c r="R478" s="7">
        <v>170328.55</v>
      </c>
      <c r="S478" s="7">
        <v>170737.99</v>
      </c>
      <c r="T478" s="7">
        <v>170737.99</v>
      </c>
      <c r="U478" s="7">
        <v>170328.54</v>
      </c>
      <c r="V478" s="7">
        <v>170737.99</v>
      </c>
      <c r="W478" s="9">
        <f t="shared" si="52"/>
        <v>164718.02999999971</v>
      </c>
      <c r="X478" s="9"/>
      <c r="Y478" s="9"/>
      <c r="Z478" s="9"/>
      <c r="AA478" s="9">
        <f t="shared" si="51"/>
        <v>164718.02999999971</v>
      </c>
      <c r="AB478" s="7" t="e">
        <f>W478-#REF!</f>
        <v>#REF!</v>
      </c>
      <c r="AC478" s="12"/>
      <c r="AD478" s="12"/>
      <c r="AE478" s="12"/>
      <c r="AF478" s="12"/>
      <c r="AG478" s="13"/>
      <c r="AH478" s="13"/>
      <c r="AI478" s="13"/>
      <c r="AJ478" s="13"/>
    </row>
    <row r="479" spans="1:36" s="1" customFormat="1" x14ac:dyDescent="0.25">
      <c r="A479">
        <v>4200</v>
      </c>
      <c r="B479">
        <v>7</v>
      </c>
      <c r="C479">
        <f t="shared" si="49"/>
        <v>7</v>
      </c>
      <c r="D479" s="1" t="s">
        <v>510</v>
      </c>
      <c r="E479" s="7">
        <v>-103622.22</v>
      </c>
      <c r="F479" s="7">
        <v>-103622.22</v>
      </c>
      <c r="G479" s="7">
        <v>-77583.58</v>
      </c>
      <c r="H479" s="7">
        <v>-31589.979999999996</v>
      </c>
      <c r="I479" s="7">
        <v>-31762.720000000001</v>
      </c>
      <c r="J479" s="7">
        <v>-31589.979999999996</v>
      </c>
      <c r="K479" s="7">
        <v>-31589.979999999996</v>
      </c>
      <c r="L479" s="7">
        <v>-31762.720000000001</v>
      </c>
      <c r="M479" s="7">
        <v>-31589.97</v>
      </c>
      <c r="N479" s="7">
        <v>-31589.979999999996</v>
      </c>
      <c r="O479" s="7">
        <v>71859.5</v>
      </c>
      <c r="P479" s="7">
        <v>72032.240000000005</v>
      </c>
      <c r="Q479" s="7">
        <v>72032.240000000005</v>
      </c>
      <c r="R479" s="7">
        <v>71859.5</v>
      </c>
      <c r="S479" s="7">
        <v>72032.25</v>
      </c>
      <c r="T479" s="7">
        <v>72032.240000000005</v>
      </c>
      <c r="U479" s="7">
        <v>71859.5</v>
      </c>
      <c r="V479" s="7">
        <v>72032.240000000005</v>
      </c>
      <c r="W479" s="9">
        <f t="shared" si="52"/>
        <v>69436.360000000132</v>
      </c>
      <c r="X479" s="9"/>
      <c r="Y479" s="9"/>
      <c r="Z479" s="9"/>
      <c r="AA479" s="9">
        <f t="shared" si="51"/>
        <v>69436.360000000132</v>
      </c>
      <c r="AB479" s="7" t="e">
        <f>W479-#REF!</f>
        <v>#REF!</v>
      </c>
      <c r="AC479" s="12"/>
      <c r="AD479" s="12"/>
      <c r="AE479" s="12"/>
      <c r="AF479" s="12"/>
      <c r="AG479" s="13"/>
      <c r="AH479" s="13"/>
      <c r="AI479" s="13"/>
      <c r="AJ479" s="13"/>
    </row>
    <row r="480" spans="1:36" s="1" customFormat="1" x14ac:dyDescent="0.25">
      <c r="A480">
        <v>4201</v>
      </c>
      <c r="B480">
        <v>7</v>
      </c>
      <c r="C480">
        <f t="shared" si="49"/>
        <v>7</v>
      </c>
      <c r="D480" s="1" t="s">
        <v>511</v>
      </c>
      <c r="E480" s="7">
        <v>-52838.82</v>
      </c>
      <c r="F480" s="7">
        <v>-52838.82</v>
      </c>
      <c r="G480" s="7">
        <v>-39551.300000000003</v>
      </c>
      <c r="H480" s="7">
        <v>-16107.190000000002</v>
      </c>
      <c r="I480" s="7">
        <v>-16195.269999999997</v>
      </c>
      <c r="J480" s="7">
        <v>-16107.200000000004</v>
      </c>
      <c r="K480" s="7">
        <v>-16107.190000000002</v>
      </c>
      <c r="L480" s="7">
        <v>-16195.269999999997</v>
      </c>
      <c r="M480" s="7">
        <v>-16107.18</v>
      </c>
      <c r="N480" s="7">
        <v>-16107.190000000002</v>
      </c>
      <c r="O480" s="7">
        <v>36643.550000000003</v>
      </c>
      <c r="P480" s="7">
        <v>36731.629999999997</v>
      </c>
      <c r="Q480" s="7">
        <v>36731.629999999997</v>
      </c>
      <c r="R480" s="7">
        <v>36643.550000000003</v>
      </c>
      <c r="S480" s="7">
        <v>36731.64</v>
      </c>
      <c r="T480" s="7">
        <v>36731.629999999997</v>
      </c>
      <c r="U480" s="7">
        <v>36643.550000000003</v>
      </c>
      <c r="V480" s="7">
        <v>36731.629999999997</v>
      </c>
      <c r="W480" s="9">
        <f t="shared" si="52"/>
        <v>35433.380000000005</v>
      </c>
      <c r="X480" s="9"/>
      <c r="Y480" s="9"/>
      <c r="Z480" s="9"/>
      <c r="AA480" s="9">
        <f t="shared" si="51"/>
        <v>35433.380000000005</v>
      </c>
      <c r="AB480" s="7" t="e">
        <f>W480-#REF!</f>
        <v>#REF!</v>
      </c>
      <c r="AC480" s="12"/>
      <c r="AD480" s="12"/>
      <c r="AE480" s="12"/>
      <c r="AF480" s="12"/>
      <c r="AG480" s="13"/>
      <c r="AH480" s="13"/>
      <c r="AI480" s="13"/>
      <c r="AJ480" s="13"/>
    </row>
    <row r="481" spans="1:36" s="1" customFormat="1" x14ac:dyDescent="0.25">
      <c r="A481">
        <v>4203</v>
      </c>
      <c r="B481">
        <v>7</v>
      </c>
      <c r="C481">
        <f t="shared" si="49"/>
        <v>7</v>
      </c>
      <c r="D481" s="1" t="s">
        <v>512</v>
      </c>
      <c r="E481" s="7">
        <v>-57119.43</v>
      </c>
      <c r="F481" s="7">
        <v>-57119.44</v>
      </c>
      <c r="G481" s="7">
        <v>-42757.41</v>
      </c>
      <c r="H481" s="7">
        <v>-17412.29</v>
      </c>
      <c r="I481" s="7">
        <v>-17507.510000000002</v>
      </c>
      <c r="J481" s="7">
        <v>-17412.28</v>
      </c>
      <c r="K481" s="7">
        <v>-17412.29</v>
      </c>
      <c r="L481" s="7">
        <v>-17507.510000000002</v>
      </c>
      <c r="M481" s="7">
        <v>-17412.29</v>
      </c>
      <c r="N481" s="7">
        <v>-17412.29</v>
      </c>
      <c r="O481" s="7">
        <v>39611.919999999998</v>
      </c>
      <c r="P481" s="7">
        <v>39707.14</v>
      </c>
      <c r="Q481" s="7">
        <v>39707.14</v>
      </c>
      <c r="R481" s="7">
        <v>39611.919999999998</v>
      </c>
      <c r="S481" s="7">
        <v>39707.14</v>
      </c>
      <c r="T481" s="7">
        <v>39707.14</v>
      </c>
      <c r="U481" s="7">
        <v>39611.919999999998</v>
      </c>
      <c r="V481" s="7">
        <v>39707.14</v>
      </c>
      <c r="W481" s="9">
        <f t="shared" si="52"/>
        <v>38298.719999999958</v>
      </c>
      <c r="X481" s="9"/>
      <c r="Y481" s="9"/>
      <c r="Z481" s="9"/>
      <c r="AA481" s="9">
        <f t="shared" si="51"/>
        <v>38298.719999999958</v>
      </c>
      <c r="AB481" s="7" t="e">
        <f>W481-#REF!</f>
        <v>#REF!</v>
      </c>
      <c r="AC481" s="12"/>
      <c r="AD481" s="12"/>
      <c r="AE481" s="12"/>
      <c r="AF481" s="12"/>
      <c r="AG481" s="13"/>
      <c r="AH481" s="13"/>
      <c r="AI481" s="13"/>
      <c r="AJ481" s="13"/>
    </row>
    <row r="482" spans="1:36" s="1" customFormat="1" x14ac:dyDescent="0.25">
      <c r="A482">
        <v>4204</v>
      </c>
      <c r="B482">
        <v>7</v>
      </c>
      <c r="C482">
        <f t="shared" si="49"/>
        <v>7</v>
      </c>
      <c r="D482" s="1" t="s">
        <v>513</v>
      </c>
      <c r="E482" s="7">
        <v>-51773.760000000002</v>
      </c>
      <c r="F482" s="7">
        <v>-51773.760000000002</v>
      </c>
      <c r="G482" s="7">
        <v>-38737.06</v>
      </c>
      <c r="H482" s="7">
        <v>-15780.64</v>
      </c>
      <c r="I482" s="7">
        <v>-15866.940000000002</v>
      </c>
      <c r="J482" s="7">
        <v>-15780.620000000003</v>
      </c>
      <c r="K482" s="7">
        <v>-15780.630000000005</v>
      </c>
      <c r="L482" s="7">
        <v>-15866.940000000002</v>
      </c>
      <c r="M482" s="7">
        <v>-15780.620000000003</v>
      </c>
      <c r="N482" s="7">
        <v>-15780.64</v>
      </c>
      <c r="O482" s="7">
        <v>35906.82</v>
      </c>
      <c r="P482" s="7">
        <v>35993.129999999997</v>
      </c>
      <c r="Q482" s="7">
        <v>35993.129999999997</v>
      </c>
      <c r="R482" s="7">
        <v>35906.82</v>
      </c>
      <c r="S482" s="7">
        <v>35993.129999999997</v>
      </c>
      <c r="T482" s="7">
        <v>35993.120000000003</v>
      </c>
      <c r="U482" s="7">
        <v>35906.82</v>
      </c>
      <c r="V482" s="7">
        <v>35993.129999999997</v>
      </c>
      <c r="W482" s="9">
        <f t="shared" si="52"/>
        <v>34764.489999999983</v>
      </c>
      <c r="X482" s="9"/>
      <c r="Y482" s="9"/>
      <c r="Z482" s="9"/>
      <c r="AA482" s="9">
        <f t="shared" si="51"/>
        <v>34764.489999999983</v>
      </c>
      <c r="AB482" s="7" t="e">
        <f>W482-#REF!</f>
        <v>#REF!</v>
      </c>
      <c r="AC482" s="12"/>
      <c r="AD482" s="12"/>
      <c r="AE482" s="12"/>
      <c r="AF482" s="12"/>
      <c r="AG482" s="13"/>
      <c r="AH482" s="13"/>
      <c r="AI482" s="13"/>
      <c r="AJ482" s="13"/>
    </row>
    <row r="483" spans="1:36" s="1" customFormat="1" x14ac:dyDescent="0.25">
      <c r="A483">
        <v>4205</v>
      </c>
      <c r="B483">
        <v>7</v>
      </c>
      <c r="C483">
        <f t="shared" si="49"/>
        <v>7</v>
      </c>
      <c r="D483" s="1" t="s">
        <v>514</v>
      </c>
      <c r="E483" s="7">
        <v>-112250.76</v>
      </c>
      <c r="F483" s="7">
        <v>-112250.76</v>
      </c>
      <c r="G483" s="7">
        <v>-84059.76</v>
      </c>
      <c r="H483" s="7">
        <v>-34222.209999999992</v>
      </c>
      <c r="I483" s="7">
        <v>-34409.339999999997</v>
      </c>
      <c r="J483" s="7">
        <v>-34222.199999999997</v>
      </c>
      <c r="K483" s="7">
        <v>-34222.22</v>
      </c>
      <c r="L483" s="7">
        <v>-34409.339999999997</v>
      </c>
      <c r="M483" s="7">
        <v>-34222.199999999997</v>
      </c>
      <c r="N483" s="7">
        <v>-34222.22</v>
      </c>
      <c r="O483" s="7">
        <v>77841.42</v>
      </c>
      <c r="P483" s="7">
        <v>78028.55</v>
      </c>
      <c r="Q483" s="7">
        <v>78028.539999999994</v>
      </c>
      <c r="R483" s="7">
        <v>77841.429999999993</v>
      </c>
      <c r="S483" s="7">
        <v>78028.539999999994</v>
      </c>
      <c r="T483" s="7">
        <v>78028.539999999994</v>
      </c>
      <c r="U483" s="7">
        <v>77841.429999999993</v>
      </c>
      <c r="V483" s="7">
        <v>78028.539999999994</v>
      </c>
      <c r="W483" s="9">
        <f t="shared" si="52"/>
        <v>75175.979999999894</v>
      </c>
      <c r="X483" s="9"/>
      <c r="Y483" s="9"/>
      <c r="Z483" s="9"/>
      <c r="AA483" s="9">
        <f t="shared" si="51"/>
        <v>75175.979999999894</v>
      </c>
      <c r="AB483" s="7" t="e">
        <f>W483-#REF!</f>
        <v>#REF!</v>
      </c>
      <c r="AC483" s="12"/>
      <c r="AD483" s="12"/>
      <c r="AE483" s="12"/>
      <c r="AF483" s="12"/>
      <c r="AG483" s="13"/>
      <c r="AH483" s="13"/>
      <c r="AI483" s="13"/>
      <c r="AJ483" s="13"/>
    </row>
    <row r="484" spans="1:36" s="1" customFormat="1" x14ac:dyDescent="0.25">
      <c r="A484">
        <v>4207</v>
      </c>
      <c r="B484">
        <v>7</v>
      </c>
      <c r="C484">
        <f t="shared" si="49"/>
        <v>7</v>
      </c>
      <c r="D484" s="1" t="s">
        <v>515</v>
      </c>
      <c r="E484" s="7">
        <v>-36950.370000000003</v>
      </c>
      <c r="F484" s="7">
        <v>-36950.379999999997</v>
      </c>
      <c r="G484" s="7">
        <v>-27631.22</v>
      </c>
      <c r="H484" s="7">
        <v>-11260.800000000003</v>
      </c>
      <c r="I484" s="7">
        <v>-11322.400000000001</v>
      </c>
      <c r="J484" s="7">
        <v>-11260.79</v>
      </c>
      <c r="K484" s="7">
        <v>-11260.79</v>
      </c>
      <c r="L484" s="7">
        <v>-11322.409999999996</v>
      </c>
      <c r="M484" s="7">
        <v>-11260.79</v>
      </c>
      <c r="N484" s="7">
        <v>-11260.800000000003</v>
      </c>
      <c r="O484" s="7">
        <v>25627.969999999998</v>
      </c>
      <c r="P484" s="7">
        <v>25689.58</v>
      </c>
      <c r="Q484" s="7">
        <v>25689.58</v>
      </c>
      <c r="R484" s="7">
        <v>25627.97</v>
      </c>
      <c r="S484" s="7">
        <v>25689.58</v>
      </c>
      <c r="T484" s="7">
        <v>25689.57</v>
      </c>
      <c r="U484" s="7">
        <v>25627.97</v>
      </c>
      <c r="V484" s="7">
        <v>25689.58</v>
      </c>
      <c r="W484" s="9">
        <f t="shared" si="52"/>
        <v>24851.049999999952</v>
      </c>
      <c r="X484" s="9"/>
      <c r="Y484" s="9"/>
      <c r="Z484" s="9"/>
      <c r="AA484" s="9">
        <f t="shared" si="51"/>
        <v>24851.049999999952</v>
      </c>
      <c r="AB484" s="7" t="e">
        <f>W484-#REF!</f>
        <v>#REF!</v>
      </c>
      <c r="AC484" s="12"/>
      <c r="AD484" s="12"/>
      <c r="AE484" s="12"/>
      <c r="AF484" s="12"/>
      <c r="AG484" s="13"/>
      <c r="AH484" s="13"/>
      <c r="AI484" s="13"/>
      <c r="AJ484" s="13"/>
    </row>
    <row r="485" spans="1:36" s="1" customFormat="1" x14ac:dyDescent="0.25">
      <c r="A485">
        <v>4208</v>
      </c>
      <c r="B485">
        <v>7</v>
      </c>
      <c r="C485">
        <f t="shared" si="49"/>
        <v>7</v>
      </c>
      <c r="D485" s="1" t="s">
        <v>516</v>
      </c>
      <c r="E485" s="7">
        <v>-74585.7</v>
      </c>
      <c r="F485" s="7">
        <v>-74585.7</v>
      </c>
      <c r="G485" s="7">
        <v>-55844.42</v>
      </c>
      <c r="H485" s="7">
        <v>-22738.089999999997</v>
      </c>
      <c r="I485" s="7">
        <v>-22862.43</v>
      </c>
      <c r="J485" s="7">
        <v>-22738.089999999997</v>
      </c>
      <c r="K485" s="7">
        <v>-22738.080000000002</v>
      </c>
      <c r="L485" s="7">
        <v>-22862.43</v>
      </c>
      <c r="M485" s="7">
        <v>-22738.089999999997</v>
      </c>
      <c r="N485" s="7">
        <v>-22738.089999999997</v>
      </c>
      <c r="O485" s="7">
        <v>51723.27</v>
      </c>
      <c r="P485" s="7">
        <v>51847.61</v>
      </c>
      <c r="Q485" s="7">
        <v>51847.61</v>
      </c>
      <c r="R485" s="7">
        <v>51723.27</v>
      </c>
      <c r="S485" s="7">
        <v>51847.61</v>
      </c>
      <c r="T485" s="7">
        <v>51847.61</v>
      </c>
      <c r="U485" s="7">
        <v>51723.27</v>
      </c>
      <c r="V485" s="7">
        <v>51847.61</v>
      </c>
      <c r="W485" s="9">
        <f t="shared" si="52"/>
        <v>49976.739999999983</v>
      </c>
      <c r="X485" s="9"/>
      <c r="Y485" s="9"/>
      <c r="Z485" s="9"/>
      <c r="AA485" s="9">
        <f t="shared" si="51"/>
        <v>49976.739999999983</v>
      </c>
      <c r="AB485" s="7" t="e">
        <f>W485-#REF!</f>
        <v>#REF!</v>
      </c>
      <c r="AC485" s="12"/>
      <c r="AD485" s="12"/>
      <c r="AE485" s="12"/>
      <c r="AF485" s="12"/>
      <c r="AG485" s="13"/>
      <c r="AH485" s="13"/>
      <c r="AI485" s="13"/>
      <c r="AJ485" s="13"/>
    </row>
    <row r="486" spans="1:36" s="1" customFormat="1" x14ac:dyDescent="0.25">
      <c r="A486">
        <v>4209</v>
      </c>
      <c r="B486">
        <v>7</v>
      </c>
      <c r="C486">
        <f t="shared" si="49"/>
        <v>7</v>
      </c>
      <c r="D486" s="1" t="s">
        <v>517</v>
      </c>
      <c r="E486" s="7">
        <v>-95879.45</v>
      </c>
      <c r="F486" s="7">
        <v>-95879.44</v>
      </c>
      <c r="G486" s="7">
        <v>-71799.83</v>
      </c>
      <c r="H486" s="7">
        <v>-29231.020000000004</v>
      </c>
      <c r="I486" s="7">
        <v>-29390.86</v>
      </c>
      <c r="J486" s="7">
        <v>-29231.020000000004</v>
      </c>
      <c r="K486" s="7">
        <v>-29231.03</v>
      </c>
      <c r="L486" s="7">
        <v>-29390.850000000006</v>
      </c>
      <c r="M486" s="7">
        <v>-29231.03</v>
      </c>
      <c r="N486" s="7">
        <v>-29231.020000000004</v>
      </c>
      <c r="O486" s="7">
        <v>66488.59</v>
      </c>
      <c r="P486" s="7">
        <v>66648.42</v>
      </c>
      <c r="Q486" s="7">
        <v>66648.42</v>
      </c>
      <c r="R486" s="7">
        <v>66488.59</v>
      </c>
      <c r="S486" s="7">
        <v>66648.42</v>
      </c>
      <c r="T486" s="7">
        <v>66648.42</v>
      </c>
      <c r="U486" s="7">
        <v>66488.59</v>
      </c>
      <c r="V486" s="7">
        <v>66648.42</v>
      </c>
      <c r="W486" s="9">
        <f t="shared" si="52"/>
        <v>64212.319999999891</v>
      </c>
      <c r="X486" s="9"/>
      <c r="Y486" s="9"/>
      <c r="Z486" s="9"/>
      <c r="AA486" s="9">
        <f t="shared" si="51"/>
        <v>64212.319999999891</v>
      </c>
      <c r="AB486" s="7" t="e">
        <f>W486-#REF!</f>
        <v>#REF!</v>
      </c>
      <c r="AC486" s="12"/>
      <c r="AD486" s="12"/>
      <c r="AE486" s="12"/>
      <c r="AF486" s="12"/>
      <c r="AG486" s="13"/>
      <c r="AH486" s="13"/>
      <c r="AI486" s="13"/>
      <c r="AJ486" s="13"/>
    </row>
    <row r="487" spans="1:36" s="1" customFormat="1" x14ac:dyDescent="0.25">
      <c r="A487">
        <v>4210</v>
      </c>
      <c r="B487">
        <v>7</v>
      </c>
      <c r="C487">
        <f t="shared" si="49"/>
        <v>7</v>
      </c>
      <c r="D487" s="1" t="s">
        <v>518</v>
      </c>
      <c r="E487" s="7">
        <v>-100725.03</v>
      </c>
      <c r="F487" s="7">
        <v>-100725.04</v>
      </c>
      <c r="G487" s="7">
        <v>-75362.7</v>
      </c>
      <c r="H487" s="7">
        <v>-30701</v>
      </c>
      <c r="I487" s="7">
        <v>-30868.929999999993</v>
      </c>
      <c r="J487" s="7">
        <v>-30700.990000000005</v>
      </c>
      <c r="K487" s="7">
        <v>-30701</v>
      </c>
      <c r="L487" s="7">
        <v>-30868.929999999993</v>
      </c>
      <c r="M487" s="7">
        <v>-30701</v>
      </c>
      <c r="N487" s="7">
        <v>-30701</v>
      </c>
      <c r="O487" s="7">
        <v>69856.11</v>
      </c>
      <c r="P487" s="7">
        <v>70024.03</v>
      </c>
      <c r="Q487" s="7">
        <v>70024.03</v>
      </c>
      <c r="R487" s="7">
        <v>69856.11</v>
      </c>
      <c r="S487" s="7">
        <v>70024.03</v>
      </c>
      <c r="T487" s="7">
        <v>70024.03</v>
      </c>
      <c r="U487" s="7">
        <v>69856.11</v>
      </c>
      <c r="V487" s="7">
        <v>70024.03</v>
      </c>
      <c r="W487" s="9">
        <f t="shared" si="52"/>
        <v>67632.86000000003</v>
      </c>
      <c r="X487" s="9"/>
      <c r="Y487" s="9"/>
      <c r="Z487" s="9"/>
      <c r="AA487" s="9">
        <f t="shared" si="51"/>
        <v>67632.86000000003</v>
      </c>
      <c r="AB487" s="7" t="e">
        <f>W487-#REF!</f>
        <v>#REF!</v>
      </c>
      <c r="AC487" s="12"/>
      <c r="AD487" s="12"/>
      <c r="AE487" s="12"/>
      <c r="AF487" s="12"/>
      <c r="AG487" s="13"/>
      <c r="AH487" s="13"/>
      <c r="AI487" s="13"/>
      <c r="AJ487" s="13"/>
    </row>
    <row r="488" spans="1:36" s="1" customFormat="1" x14ac:dyDescent="0.25">
      <c r="A488">
        <v>4211</v>
      </c>
      <c r="B488">
        <v>7</v>
      </c>
      <c r="C488">
        <f t="shared" si="49"/>
        <v>7</v>
      </c>
      <c r="D488" s="1" t="s">
        <v>519</v>
      </c>
      <c r="E488" s="7">
        <v>-32098.73</v>
      </c>
      <c r="F488" s="7">
        <v>-32098.73</v>
      </c>
      <c r="G488" s="7">
        <v>-24023.300000000003</v>
      </c>
      <c r="H488" s="7">
        <v>-9784.4700000000012</v>
      </c>
      <c r="I488" s="7">
        <v>-9837.98</v>
      </c>
      <c r="J488" s="7">
        <v>-9784.4700000000012</v>
      </c>
      <c r="K488" s="7">
        <v>-9784.48</v>
      </c>
      <c r="L488" s="7">
        <v>-9837.9700000000012</v>
      </c>
      <c r="M488" s="7">
        <v>-9784.4700000000012</v>
      </c>
      <c r="N488" s="7">
        <v>-9784.4700000000012</v>
      </c>
      <c r="O488" s="7">
        <v>22260.74</v>
      </c>
      <c r="P488" s="7">
        <v>22314.26</v>
      </c>
      <c r="Q488" s="7">
        <v>22314.26</v>
      </c>
      <c r="R488" s="7">
        <v>22260.75</v>
      </c>
      <c r="S488" s="7">
        <v>22314.26</v>
      </c>
      <c r="T488" s="7">
        <v>22314.25</v>
      </c>
      <c r="U488" s="7">
        <v>22260.75</v>
      </c>
      <c r="V488" s="7">
        <v>22314.26</v>
      </c>
      <c r="W488" s="9">
        <f t="shared" si="52"/>
        <v>21534.459999999966</v>
      </c>
      <c r="X488" s="9"/>
      <c r="Y488" s="9"/>
      <c r="Z488" s="9"/>
      <c r="AA488" s="9">
        <f t="shared" si="51"/>
        <v>21534.459999999966</v>
      </c>
      <c r="AB488" s="7" t="e">
        <f>W488-#REF!</f>
        <v>#REF!</v>
      </c>
      <c r="AC488" s="12"/>
      <c r="AD488" s="12"/>
      <c r="AE488" s="12"/>
      <c r="AF488" s="12"/>
      <c r="AG488" s="13"/>
      <c r="AH488" s="13"/>
      <c r="AI488" s="13"/>
      <c r="AJ488" s="13"/>
    </row>
    <row r="489" spans="1:36" s="1" customFormat="1" x14ac:dyDescent="0.25">
      <c r="A489">
        <v>4212</v>
      </c>
      <c r="B489">
        <v>7</v>
      </c>
      <c r="C489">
        <f t="shared" si="49"/>
        <v>7</v>
      </c>
      <c r="D489" s="1" t="s">
        <v>520</v>
      </c>
      <c r="E489" s="7">
        <v>-40958.230000000003</v>
      </c>
      <c r="F489" s="7">
        <v>-40958.22</v>
      </c>
      <c r="G489" s="7">
        <v>-30657.380000000005</v>
      </c>
      <c r="H489" s="7">
        <v>-12485.440000000002</v>
      </c>
      <c r="I489" s="7">
        <v>-12553.730000000003</v>
      </c>
      <c r="J489" s="7">
        <v>-12485.440000000002</v>
      </c>
      <c r="K489" s="7">
        <v>-12485.450000000004</v>
      </c>
      <c r="L489" s="7">
        <v>-12553.720000000001</v>
      </c>
      <c r="M489" s="7">
        <v>-12485.440000000002</v>
      </c>
      <c r="N489" s="7">
        <v>-12485.440000000002</v>
      </c>
      <c r="O489" s="7">
        <v>28404.5</v>
      </c>
      <c r="P489" s="7">
        <v>28472.78</v>
      </c>
      <c r="Q489" s="7">
        <v>28472.78</v>
      </c>
      <c r="R489" s="7">
        <v>28404.5</v>
      </c>
      <c r="S489" s="7">
        <v>28472.79</v>
      </c>
      <c r="T489" s="7">
        <v>28472.78</v>
      </c>
      <c r="U489" s="7">
        <v>28404.5</v>
      </c>
      <c r="V489" s="7">
        <v>28472.78</v>
      </c>
      <c r="W489" s="9">
        <f t="shared" si="52"/>
        <v>27468.919999999947</v>
      </c>
      <c r="X489" s="9"/>
      <c r="Y489" s="9"/>
      <c r="Z489" s="9"/>
      <c r="AA489" s="9">
        <f t="shared" si="51"/>
        <v>27468.919999999947</v>
      </c>
      <c r="AB489" s="7" t="e">
        <f>W489-#REF!</f>
        <v>#REF!</v>
      </c>
      <c r="AC489" s="12"/>
      <c r="AD489" s="12"/>
      <c r="AE489" s="12"/>
      <c r="AF489" s="12"/>
      <c r="AG489" s="13"/>
      <c r="AH489" s="13"/>
      <c r="AI489" s="13"/>
      <c r="AJ489" s="13"/>
    </row>
    <row r="490" spans="1:36" s="1" customFormat="1" x14ac:dyDescent="0.25">
      <c r="A490">
        <v>4213</v>
      </c>
      <c r="B490">
        <v>7</v>
      </c>
      <c r="C490">
        <f t="shared" si="49"/>
        <v>7</v>
      </c>
      <c r="D490" s="1" t="s">
        <v>521</v>
      </c>
      <c r="E490" s="7">
        <v>-18150.75</v>
      </c>
      <c r="F490" s="7">
        <v>-18150.759999999998</v>
      </c>
      <c r="G490" s="7">
        <v>-13576.470000000001</v>
      </c>
      <c r="H490" s="7">
        <v>-5531.91</v>
      </c>
      <c r="I490" s="7">
        <v>-5562.17</v>
      </c>
      <c r="J490" s="7">
        <v>-5531.91</v>
      </c>
      <c r="K490" s="7">
        <v>-5531.91</v>
      </c>
      <c r="L490" s="7">
        <v>-5562.17</v>
      </c>
      <c r="M490" s="7">
        <v>-5531.91</v>
      </c>
      <c r="N490" s="7">
        <v>-5531.91</v>
      </c>
      <c r="O490" s="7">
        <v>12588.58</v>
      </c>
      <c r="P490" s="7">
        <v>12618.84</v>
      </c>
      <c r="Q490" s="7">
        <v>12618.84</v>
      </c>
      <c r="R490" s="7">
        <v>12588.58</v>
      </c>
      <c r="S490" s="7">
        <v>12618.84</v>
      </c>
      <c r="T490" s="7">
        <v>12618.84</v>
      </c>
      <c r="U490" s="7">
        <v>12588.58</v>
      </c>
      <c r="V490" s="7">
        <v>12618.84</v>
      </c>
      <c r="W490" s="9">
        <f t="shared" si="52"/>
        <v>12198.069999999987</v>
      </c>
      <c r="X490" s="9"/>
      <c r="Y490" s="9"/>
      <c r="Z490" s="9"/>
      <c r="AA490" s="9">
        <f t="shared" si="51"/>
        <v>12198.069999999987</v>
      </c>
      <c r="AB490" s="7" t="e">
        <f>W490-#REF!</f>
        <v>#REF!</v>
      </c>
      <c r="AC490" s="12"/>
      <c r="AD490" s="12"/>
      <c r="AE490" s="12"/>
      <c r="AF490" s="12"/>
      <c r="AG490" s="13"/>
      <c r="AH490" s="13"/>
      <c r="AI490" s="13"/>
      <c r="AJ490" s="13"/>
    </row>
    <row r="491" spans="1:36" s="1" customFormat="1" x14ac:dyDescent="0.25">
      <c r="A491">
        <v>4214</v>
      </c>
      <c r="B491">
        <v>7</v>
      </c>
      <c r="C491">
        <f t="shared" si="49"/>
        <v>7</v>
      </c>
      <c r="D491" s="1" t="s">
        <v>522</v>
      </c>
      <c r="E491" s="7">
        <v>-24934.6</v>
      </c>
      <c r="F491" s="7">
        <v>-24934.61</v>
      </c>
      <c r="G491" s="7">
        <v>-18651.46</v>
      </c>
      <c r="H491" s="7">
        <v>-7599.5499999999993</v>
      </c>
      <c r="I491" s="7">
        <v>-7641.119999999999</v>
      </c>
      <c r="J491" s="7">
        <v>-7599.5399999999972</v>
      </c>
      <c r="K491" s="7">
        <v>-7599.5499999999993</v>
      </c>
      <c r="L491" s="7">
        <v>-7641.119999999999</v>
      </c>
      <c r="M491" s="7">
        <v>-7599.5499999999993</v>
      </c>
      <c r="N491" s="7">
        <v>-7599.5499999999993</v>
      </c>
      <c r="O491" s="7">
        <v>17293.48</v>
      </c>
      <c r="P491" s="7">
        <v>17335.05</v>
      </c>
      <c r="Q491" s="7">
        <v>17335.05</v>
      </c>
      <c r="R491" s="7">
        <v>17293.48</v>
      </c>
      <c r="S491" s="7">
        <v>17335.05</v>
      </c>
      <c r="T491" s="7">
        <v>17335.05</v>
      </c>
      <c r="U491" s="7">
        <v>17293.48</v>
      </c>
      <c r="V491" s="7">
        <v>17335.05</v>
      </c>
      <c r="W491" s="9">
        <f t="shared" si="52"/>
        <v>16755.040000000005</v>
      </c>
      <c r="X491" s="9"/>
      <c r="Y491" s="9"/>
      <c r="Z491" s="9"/>
      <c r="AA491" s="9">
        <f t="shared" si="51"/>
        <v>16755.040000000005</v>
      </c>
      <c r="AB491" s="7" t="e">
        <f>W491-#REF!</f>
        <v>#REF!</v>
      </c>
      <c r="AC491" s="12"/>
      <c r="AD491" s="12"/>
      <c r="AE491" s="12"/>
      <c r="AF491" s="12"/>
      <c r="AG491" s="13"/>
      <c r="AH491" s="13"/>
      <c r="AI491" s="13"/>
      <c r="AJ491" s="13"/>
    </row>
    <row r="492" spans="1:36" s="1" customFormat="1" x14ac:dyDescent="0.25">
      <c r="A492">
        <v>4218</v>
      </c>
      <c r="B492">
        <v>7</v>
      </c>
      <c r="C492">
        <f t="shared" si="49"/>
        <v>7</v>
      </c>
      <c r="D492" s="1" t="s">
        <v>523</v>
      </c>
      <c r="E492" s="7">
        <v>-45225.81</v>
      </c>
      <c r="F492" s="7">
        <v>-45225.82</v>
      </c>
      <c r="G492" s="7">
        <v>-33837.449999999997</v>
      </c>
      <c r="H492" s="7">
        <v>-13784.759999999998</v>
      </c>
      <c r="I492" s="7">
        <v>-13860.169999999998</v>
      </c>
      <c r="J492" s="7">
        <v>-13784.77</v>
      </c>
      <c r="K492" s="7">
        <v>-13784.759999999998</v>
      </c>
      <c r="L492" s="7">
        <v>-13860.169999999998</v>
      </c>
      <c r="M492" s="7">
        <v>-13784.749999999996</v>
      </c>
      <c r="N492" s="7">
        <v>-13784.77</v>
      </c>
      <c r="O492" s="7">
        <v>31365.649999999998</v>
      </c>
      <c r="P492" s="7">
        <v>31441.05</v>
      </c>
      <c r="Q492" s="7">
        <v>31441.05</v>
      </c>
      <c r="R492" s="7">
        <v>31365.65</v>
      </c>
      <c r="S492" s="7">
        <v>31441.06</v>
      </c>
      <c r="T492" s="7">
        <v>31441.05</v>
      </c>
      <c r="U492" s="7">
        <v>31365.65</v>
      </c>
      <c r="V492" s="7">
        <v>31441.05</v>
      </c>
      <c r="W492" s="9">
        <f t="shared" si="52"/>
        <v>30368.979999999981</v>
      </c>
      <c r="X492" s="9"/>
      <c r="Y492" s="9"/>
      <c r="Z492" s="9"/>
      <c r="AA492" s="9">
        <f t="shared" si="51"/>
        <v>30368.979999999981</v>
      </c>
      <c r="AB492" s="7" t="e">
        <f>W492-#REF!</f>
        <v>#REF!</v>
      </c>
      <c r="AC492" s="12"/>
      <c r="AD492" s="12"/>
      <c r="AE492" s="12"/>
      <c r="AF492" s="12"/>
      <c r="AG492" s="13"/>
      <c r="AH492" s="13"/>
      <c r="AI492" s="13"/>
      <c r="AJ492" s="13"/>
    </row>
    <row r="493" spans="1:36" s="1" customFormat="1" x14ac:dyDescent="0.25">
      <c r="A493">
        <v>12</v>
      </c>
      <c r="B493">
        <v>24</v>
      </c>
      <c r="C493">
        <f t="shared" si="49"/>
        <v>24</v>
      </c>
      <c r="D493" s="1" t="s">
        <v>25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6804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9">
        <f t="shared" si="52"/>
        <v>6804</v>
      </c>
      <c r="X493" s="9"/>
      <c r="Y493" s="9"/>
      <c r="Z493" s="9"/>
      <c r="AA493" s="9">
        <f t="shared" si="51"/>
        <v>6804</v>
      </c>
      <c r="AB493" s="7" t="e">
        <f>W493-#REF!</f>
        <v>#REF!</v>
      </c>
      <c r="AC493" s="12"/>
      <c r="AD493" s="12"/>
      <c r="AE493" s="12"/>
      <c r="AF493" s="12"/>
      <c r="AG493" s="13"/>
      <c r="AH493" s="13"/>
      <c r="AI493" s="13"/>
      <c r="AJ493" s="13"/>
    </row>
    <row r="494" spans="1:36" s="1" customFormat="1" x14ac:dyDescent="0.25">
      <c r="A494">
        <v>1094</v>
      </c>
      <c r="B494">
        <v>34</v>
      </c>
      <c r="C494">
        <f t="shared" si="49"/>
        <v>34</v>
      </c>
      <c r="D494" s="1" t="s">
        <v>299</v>
      </c>
      <c r="E494" s="7">
        <v>0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2500.2900000000009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9">
        <f t="shared" si="52"/>
        <v>2500.2900000000009</v>
      </c>
      <c r="X494" s="9"/>
      <c r="Y494" s="9"/>
      <c r="Z494" s="9"/>
      <c r="AA494" s="9">
        <f t="shared" si="51"/>
        <v>2500.2900000000009</v>
      </c>
      <c r="AB494" s="7" t="e">
        <f>W494-#REF!</f>
        <v>#REF!</v>
      </c>
      <c r="AC494" s="12"/>
      <c r="AD494" s="12"/>
      <c r="AE494" s="12"/>
      <c r="AF494" s="12"/>
      <c r="AG494" s="13"/>
      <c r="AH494" s="13"/>
      <c r="AI494" s="13"/>
      <c r="AJ494" s="13"/>
    </row>
    <row r="495" spans="1:36" s="1" customFormat="1" x14ac:dyDescent="0.25">
      <c r="A495">
        <v>1115</v>
      </c>
      <c r="B495">
        <v>34</v>
      </c>
      <c r="C495">
        <f t="shared" si="49"/>
        <v>34</v>
      </c>
      <c r="D495" s="1" t="s">
        <v>300</v>
      </c>
      <c r="E495" s="7">
        <v>0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2500.2699999999968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9">
        <f t="shared" si="52"/>
        <v>2500.2699999999968</v>
      </c>
      <c r="X495" s="9"/>
      <c r="Y495" s="9"/>
      <c r="Z495" s="9"/>
      <c r="AA495" s="9">
        <f t="shared" si="51"/>
        <v>2500.2699999999968</v>
      </c>
      <c r="AB495" s="7" t="e">
        <f>W495-#REF!</f>
        <v>#REF!</v>
      </c>
      <c r="AC495" s="12"/>
      <c r="AD495" s="12"/>
      <c r="AE495" s="12"/>
      <c r="AF495" s="12"/>
      <c r="AG495" s="13"/>
      <c r="AH495" s="13"/>
      <c r="AI495" s="13"/>
      <c r="AJ495" s="13"/>
    </row>
    <row r="496" spans="1:36" s="1" customFormat="1" x14ac:dyDescent="0.25">
      <c r="A496">
        <v>1480</v>
      </c>
      <c r="B496">
        <v>34</v>
      </c>
      <c r="C496">
        <f t="shared" ref="C496:C532" si="53">B496</f>
        <v>34</v>
      </c>
      <c r="D496" s="1" t="s">
        <v>301</v>
      </c>
      <c r="E496" s="7">
        <v>24308.240000000002</v>
      </c>
      <c r="F496" s="7">
        <v>0</v>
      </c>
      <c r="G496" s="7">
        <v>10417.82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6945.21</v>
      </c>
      <c r="O496" s="7">
        <v>0</v>
      </c>
      <c r="P496" s="7">
        <v>20835.63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9">
        <f t="shared" si="52"/>
        <v>62506.899999999994</v>
      </c>
      <c r="X496" s="9"/>
      <c r="Y496" s="9"/>
      <c r="Z496" s="9"/>
      <c r="AA496" s="9">
        <f t="shared" si="51"/>
        <v>62506.899999999994</v>
      </c>
      <c r="AB496" s="7" t="e">
        <f>W496-#REF!</f>
        <v>#REF!</v>
      </c>
      <c r="AC496" s="12"/>
      <c r="AD496" s="12"/>
      <c r="AE496" s="12"/>
      <c r="AF496" s="12"/>
      <c r="AG496" s="13"/>
      <c r="AH496" s="13"/>
      <c r="AI496" s="13"/>
      <c r="AJ496" s="13"/>
    </row>
    <row r="497" spans="1:36" s="1" customFormat="1" x14ac:dyDescent="0.25">
      <c r="A497">
        <v>6076</v>
      </c>
      <c r="B497">
        <v>50</v>
      </c>
      <c r="C497">
        <f t="shared" si="53"/>
        <v>50</v>
      </c>
      <c r="D497" s="1" t="s">
        <v>536</v>
      </c>
      <c r="E497" s="7">
        <v>14530.46</v>
      </c>
      <c r="F497" s="7">
        <v>1614.5</v>
      </c>
      <c r="G497" s="7">
        <v>1345.4099999999999</v>
      </c>
      <c r="H497" s="7">
        <v>2152.6599999999962</v>
      </c>
      <c r="I497" s="7">
        <v>2959.8999999999942</v>
      </c>
      <c r="J497" s="7">
        <v>1614.5099999999948</v>
      </c>
      <c r="K497" s="7">
        <v>2690.820000000007</v>
      </c>
      <c r="L497" s="7">
        <v>2152.6599999999962</v>
      </c>
      <c r="M497" s="7">
        <v>2152.6699999999983</v>
      </c>
      <c r="N497" s="7">
        <v>2690.820000000007</v>
      </c>
      <c r="O497" s="7">
        <v>2690.8300000000017</v>
      </c>
      <c r="P497" s="7">
        <v>3228.9900000000052</v>
      </c>
      <c r="Q497" s="7">
        <v>2152.6599999999962</v>
      </c>
      <c r="R497" s="7">
        <v>3767.1599999999889</v>
      </c>
      <c r="S497" s="7">
        <v>2690.820000000007</v>
      </c>
      <c r="T497" s="7">
        <v>2690.8300000000017</v>
      </c>
      <c r="U497" s="7">
        <v>2690.820000000007</v>
      </c>
      <c r="V497" s="7">
        <v>0</v>
      </c>
      <c r="W497" s="9">
        <f t="shared" si="52"/>
        <v>53816.52</v>
      </c>
      <c r="X497" s="9"/>
      <c r="Y497" s="9"/>
      <c r="Z497" s="9"/>
      <c r="AA497" s="9">
        <f t="shared" si="51"/>
        <v>53816.52</v>
      </c>
      <c r="AB497" s="7" t="e">
        <f>W497-#REF!</f>
        <v>#REF!</v>
      </c>
      <c r="AC497" s="12"/>
      <c r="AD497" s="12"/>
      <c r="AE497" s="12"/>
      <c r="AF497" s="12"/>
      <c r="AG497" s="13"/>
      <c r="AH497" s="13"/>
      <c r="AI497" s="13"/>
      <c r="AJ497" s="13"/>
    </row>
    <row r="498" spans="1:36" s="1" customFormat="1" x14ac:dyDescent="0.25">
      <c r="A498">
        <v>6088</v>
      </c>
      <c r="B498">
        <v>50</v>
      </c>
      <c r="C498">
        <f t="shared" si="53"/>
        <v>50</v>
      </c>
      <c r="D498" s="1" t="s">
        <v>538</v>
      </c>
      <c r="E498" s="7">
        <v>71172.569999999992</v>
      </c>
      <c r="F498" s="7">
        <v>7908.0599999999977</v>
      </c>
      <c r="G498" s="7">
        <v>6590.0600000000268</v>
      </c>
      <c r="H498" s="7">
        <v>10544.080000000016</v>
      </c>
      <c r="I498" s="7">
        <v>14498.109999999986</v>
      </c>
      <c r="J498" s="7">
        <v>7908.070000000007</v>
      </c>
      <c r="K498" s="7">
        <v>13180.100000000035</v>
      </c>
      <c r="L498" s="7">
        <v>10544.089999999997</v>
      </c>
      <c r="M498" s="7">
        <v>10544.090000000026</v>
      </c>
      <c r="N498" s="7">
        <v>13180.100000000035</v>
      </c>
      <c r="O498" s="7">
        <v>13180.100000000035</v>
      </c>
      <c r="P498" s="7">
        <v>15816.130000000005</v>
      </c>
      <c r="Q498" s="7">
        <v>10544.080000000016</v>
      </c>
      <c r="R498" s="7">
        <v>18452.149999999965</v>
      </c>
      <c r="S498" s="7">
        <v>13180.110000000044</v>
      </c>
      <c r="T498" s="7">
        <v>13180.100000000035</v>
      </c>
      <c r="U498" s="7">
        <v>13180.110000000044</v>
      </c>
      <c r="V498" s="7">
        <v>0</v>
      </c>
      <c r="W498" s="9">
        <f t="shared" si="52"/>
        <v>263602.11000000022</v>
      </c>
      <c r="X498" s="9"/>
      <c r="Y498" s="9"/>
      <c r="Z498" s="9"/>
      <c r="AA498" s="9">
        <f t="shared" si="51"/>
        <v>263602.11000000022</v>
      </c>
      <c r="AB498" s="7" t="e">
        <f>W498-#REF!</f>
        <v>#REF!</v>
      </c>
      <c r="AC498" s="12"/>
      <c r="AD498" s="12"/>
      <c r="AE498" s="12"/>
      <c r="AF498" s="12"/>
      <c r="AG498" s="13"/>
      <c r="AH498" s="13"/>
      <c r="AI498" s="13"/>
      <c r="AJ498" s="13"/>
    </row>
    <row r="499" spans="1:36" s="1" customFormat="1" x14ac:dyDescent="0.25">
      <c r="A499">
        <v>957</v>
      </c>
      <c r="B499">
        <v>51</v>
      </c>
      <c r="C499">
        <f t="shared" si="53"/>
        <v>51</v>
      </c>
      <c r="D499" s="1" t="s">
        <v>296</v>
      </c>
      <c r="E499" s="7">
        <v>451.03000000000009</v>
      </c>
      <c r="F499" s="7">
        <v>50.120000000000118</v>
      </c>
      <c r="G499" s="7">
        <v>41.759999999999991</v>
      </c>
      <c r="H499" s="7">
        <v>66.819999999999936</v>
      </c>
      <c r="I499" s="7">
        <v>91.880000000000109</v>
      </c>
      <c r="J499" s="7">
        <v>50.110000000000127</v>
      </c>
      <c r="K499" s="7">
        <v>83.5300000000002</v>
      </c>
      <c r="L499" s="7">
        <v>66.819999999999936</v>
      </c>
      <c r="M499" s="7">
        <v>66.819999999999936</v>
      </c>
      <c r="N499" s="7">
        <v>83.5300000000002</v>
      </c>
      <c r="O499" s="7">
        <v>83.519999999999982</v>
      </c>
      <c r="P499" s="7">
        <v>100.23000000000002</v>
      </c>
      <c r="Q499" s="7">
        <v>66.819999999999936</v>
      </c>
      <c r="R499" s="7">
        <v>116.94000000000005</v>
      </c>
      <c r="S499" s="7">
        <v>83.519999999999982</v>
      </c>
      <c r="T499" s="7">
        <v>83.5300000000002</v>
      </c>
      <c r="U499" s="7">
        <v>83.519999999999982</v>
      </c>
      <c r="V499" s="7">
        <v>0</v>
      </c>
      <c r="W499" s="9">
        <f t="shared" si="52"/>
        <v>1670.5000000000007</v>
      </c>
      <c r="X499" s="9"/>
      <c r="Y499" s="9"/>
      <c r="Z499" s="9"/>
      <c r="AA499" s="9">
        <f t="shared" si="51"/>
        <v>1670.5000000000007</v>
      </c>
      <c r="AB499" s="7" t="e">
        <f>W499-#REF!</f>
        <v>#REF!</v>
      </c>
      <c r="AC499" s="12"/>
      <c r="AD499" s="12"/>
      <c r="AE499" s="12"/>
      <c r="AF499" s="12"/>
      <c r="AG499" s="13"/>
      <c r="AH499" s="13"/>
      <c r="AI499" s="13"/>
      <c r="AJ499" s="13"/>
    </row>
    <row r="500" spans="1:36" s="1" customFormat="1" x14ac:dyDescent="0.25">
      <c r="A500">
        <v>397</v>
      </c>
      <c r="B500">
        <v>52</v>
      </c>
      <c r="C500">
        <f t="shared" si="53"/>
        <v>52</v>
      </c>
      <c r="D500" s="1" t="s">
        <v>148</v>
      </c>
      <c r="E500" s="7">
        <v>6018.6000000000022</v>
      </c>
      <c r="F500" s="7">
        <v>668.73999999999978</v>
      </c>
      <c r="G500" s="7">
        <v>557.27000000000044</v>
      </c>
      <c r="H500" s="7">
        <v>891.65000000000146</v>
      </c>
      <c r="I500" s="7">
        <v>1226.0099999999984</v>
      </c>
      <c r="J500" s="7">
        <v>668.73000000000138</v>
      </c>
      <c r="K500" s="7">
        <v>1114.5599999999977</v>
      </c>
      <c r="L500" s="7">
        <v>891.63999999999942</v>
      </c>
      <c r="M500" s="7">
        <v>891.65000000000146</v>
      </c>
      <c r="N500" s="7">
        <v>1114.5499999999993</v>
      </c>
      <c r="O500" s="7">
        <v>1114.5499999999993</v>
      </c>
      <c r="P500" s="7">
        <v>1337.4799999999959</v>
      </c>
      <c r="Q500" s="7">
        <v>891.63999999999942</v>
      </c>
      <c r="R500" s="7">
        <v>1560.3799999999974</v>
      </c>
      <c r="S500" s="7">
        <v>1114.5499999999993</v>
      </c>
      <c r="T500" s="7">
        <v>1114.5499999999993</v>
      </c>
      <c r="U500" s="7">
        <v>1114.5599999999977</v>
      </c>
      <c r="V500" s="7">
        <v>0</v>
      </c>
      <c r="W500" s="9">
        <f t="shared" si="52"/>
        <v>22291.10999999999</v>
      </c>
      <c r="X500" s="9"/>
      <c r="Y500" s="9"/>
      <c r="Z500" s="9"/>
      <c r="AA500" s="9">
        <f t="shared" si="51"/>
        <v>22291.10999999999</v>
      </c>
      <c r="AB500" s="7" t="e">
        <f>W500-#REF!</f>
        <v>#REF!</v>
      </c>
      <c r="AC500" s="12"/>
      <c r="AD500" s="12"/>
      <c r="AE500" s="12"/>
      <c r="AF500" s="12"/>
      <c r="AG500" s="13"/>
      <c r="AH500" s="13"/>
      <c r="AI500" s="13"/>
      <c r="AJ500" s="13"/>
    </row>
    <row r="501" spans="1:36" s="1" customFormat="1" x14ac:dyDescent="0.25">
      <c r="A501">
        <v>915</v>
      </c>
      <c r="B501">
        <v>52</v>
      </c>
      <c r="C501">
        <f t="shared" si="53"/>
        <v>52</v>
      </c>
      <c r="D501" s="1" t="s">
        <v>290</v>
      </c>
      <c r="E501" s="7">
        <v>13295.199999999997</v>
      </c>
      <c r="F501" s="7">
        <v>1477.25</v>
      </c>
      <c r="G501" s="7">
        <v>1231.0300000000025</v>
      </c>
      <c r="H501" s="7">
        <v>1969.6600000000035</v>
      </c>
      <c r="I501" s="7">
        <v>2708.2800000000061</v>
      </c>
      <c r="J501" s="7">
        <v>1477.239999999998</v>
      </c>
      <c r="K501" s="7">
        <v>2462.0800000000017</v>
      </c>
      <c r="L501" s="7">
        <v>1969.6600000000035</v>
      </c>
      <c r="M501" s="7">
        <v>1969.6600000000035</v>
      </c>
      <c r="N501" s="7">
        <v>2462.0699999999997</v>
      </c>
      <c r="O501" s="7">
        <v>2462.0699999999997</v>
      </c>
      <c r="P501" s="7">
        <v>2954.4900000000052</v>
      </c>
      <c r="Q501" s="7">
        <v>1969.6699999999983</v>
      </c>
      <c r="R501" s="7">
        <v>3446.8999999999942</v>
      </c>
      <c r="S501" s="7">
        <v>2462.0699999999997</v>
      </c>
      <c r="T501" s="7">
        <v>2462.0699999999997</v>
      </c>
      <c r="U501" s="7">
        <v>2462.0800000000017</v>
      </c>
      <c r="V501" s="7">
        <v>0</v>
      </c>
      <c r="W501" s="9">
        <f t="shared" ref="W501:W532" si="54">SUM(E501:V501)</f>
        <v>49241.48000000001</v>
      </c>
      <c r="X501" s="9"/>
      <c r="Y501" s="9"/>
      <c r="Z501" s="9"/>
      <c r="AA501" s="9">
        <f t="shared" si="51"/>
        <v>49241.48000000001</v>
      </c>
      <c r="AB501" s="7" t="e">
        <f>W501-#REF!</f>
        <v>#REF!</v>
      </c>
      <c r="AC501" s="12"/>
      <c r="AD501" s="12"/>
      <c r="AE501" s="12"/>
      <c r="AF501" s="12"/>
      <c r="AG501" s="13"/>
      <c r="AH501" s="13"/>
      <c r="AI501" s="13"/>
      <c r="AJ501" s="13"/>
    </row>
    <row r="502" spans="1:36" s="1" customFormat="1" x14ac:dyDescent="0.25">
      <c r="A502">
        <v>935</v>
      </c>
      <c r="B502">
        <v>52</v>
      </c>
      <c r="C502">
        <f t="shared" si="53"/>
        <v>52</v>
      </c>
      <c r="D502" s="1" t="s">
        <v>294</v>
      </c>
      <c r="E502" s="7">
        <v>12111.010000000002</v>
      </c>
      <c r="F502" s="7">
        <v>1345.6699999999983</v>
      </c>
      <c r="G502" s="7">
        <v>1121.3899999999994</v>
      </c>
      <c r="H502" s="7">
        <v>1794.2299999999959</v>
      </c>
      <c r="I502" s="7">
        <v>2467.0599999999977</v>
      </c>
      <c r="J502" s="7">
        <v>1345.6599999999999</v>
      </c>
      <c r="K502" s="7">
        <v>2242.7799999999988</v>
      </c>
      <c r="L502" s="7">
        <v>1794.2199999999939</v>
      </c>
      <c r="M502" s="7">
        <v>1794.2199999999939</v>
      </c>
      <c r="N502" s="7">
        <v>2242.7799999999988</v>
      </c>
      <c r="O502" s="7">
        <v>2242.7900000000009</v>
      </c>
      <c r="P502" s="7">
        <v>2691.3299999999945</v>
      </c>
      <c r="Q502" s="7">
        <v>1794.2299999999959</v>
      </c>
      <c r="R502" s="7">
        <v>3139.8899999999994</v>
      </c>
      <c r="S502" s="7">
        <v>2242.7799999999988</v>
      </c>
      <c r="T502" s="7">
        <v>2242.7799999999988</v>
      </c>
      <c r="U502" s="7">
        <v>2242.7799999999988</v>
      </c>
      <c r="V502" s="7">
        <v>0</v>
      </c>
      <c r="W502" s="9">
        <f t="shared" si="54"/>
        <v>44855.599999999962</v>
      </c>
      <c r="X502" s="9"/>
      <c r="Y502" s="9"/>
      <c r="Z502" s="9"/>
      <c r="AA502" s="9">
        <f t="shared" si="51"/>
        <v>44855.599999999962</v>
      </c>
      <c r="AB502" s="7" t="e">
        <f>W502-#REF!</f>
        <v>#REF!</v>
      </c>
      <c r="AC502" s="12"/>
      <c r="AD502" s="12"/>
      <c r="AE502" s="12"/>
      <c r="AF502" s="12"/>
      <c r="AG502" s="13"/>
      <c r="AH502" s="13"/>
      <c r="AI502" s="13"/>
      <c r="AJ502" s="13"/>
    </row>
    <row r="503" spans="1:36" s="1" customFormat="1" x14ac:dyDescent="0.25">
      <c r="A503">
        <v>938</v>
      </c>
      <c r="B503">
        <v>52</v>
      </c>
      <c r="C503">
        <f t="shared" si="53"/>
        <v>52</v>
      </c>
      <c r="D503" s="1" t="s">
        <v>295</v>
      </c>
      <c r="E503" s="7">
        <v>27625.15</v>
      </c>
      <c r="F503" s="7">
        <v>3069.4700000000012</v>
      </c>
      <c r="G503" s="7">
        <v>2557.8799999999974</v>
      </c>
      <c r="H503" s="7">
        <v>4092.6100000000006</v>
      </c>
      <c r="I503" s="7">
        <v>5627.3499999999767</v>
      </c>
      <c r="J503" s="7">
        <v>3069.4700000000012</v>
      </c>
      <c r="K503" s="7">
        <v>5115.7699999999895</v>
      </c>
      <c r="L503" s="7">
        <v>4092.6100000000006</v>
      </c>
      <c r="M503" s="7">
        <v>4092.6199999999953</v>
      </c>
      <c r="N503" s="7">
        <v>5115.7699999999895</v>
      </c>
      <c r="O503" s="7">
        <v>5115.7699999999895</v>
      </c>
      <c r="P503" s="7">
        <v>6138.9199999999837</v>
      </c>
      <c r="Q503" s="7">
        <v>4092.6199999999953</v>
      </c>
      <c r="R503" s="7">
        <v>7162.070000000007</v>
      </c>
      <c r="S503" s="7">
        <v>5115.7699999999895</v>
      </c>
      <c r="T503" s="7">
        <v>5115.7699999999895</v>
      </c>
      <c r="U503" s="7">
        <v>5115.7699999999895</v>
      </c>
      <c r="V503" s="7">
        <v>0</v>
      </c>
      <c r="W503" s="9">
        <f t="shared" si="54"/>
        <v>102315.3899999999</v>
      </c>
      <c r="X503" s="9"/>
      <c r="Y503" s="9"/>
      <c r="Z503" s="9"/>
      <c r="AA503" s="9">
        <f t="shared" si="51"/>
        <v>102315.3899999999</v>
      </c>
      <c r="AB503" s="7" t="e">
        <f>W503-#REF!</f>
        <v>#REF!</v>
      </c>
      <c r="AC503" s="12"/>
      <c r="AD503" s="12"/>
      <c r="AE503" s="12"/>
      <c r="AF503" s="12"/>
      <c r="AG503" s="13"/>
      <c r="AH503" s="13"/>
      <c r="AI503" s="13"/>
      <c r="AJ503" s="13"/>
    </row>
    <row r="504" spans="1:36" s="1" customFormat="1" x14ac:dyDescent="0.25">
      <c r="A504">
        <v>998</v>
      </c>
      <c r="B504">
        <v>52</v>
      </c>
      <c r="C504">
        <f t="shared" si="53"/>
        <v>52</v>
      </c>
      <c r="D504" s="1" t="s">
        <v>298</v>
      </c>
      <c r="E504" s="7">
        <v>3010.7499999999991</v>
      </c>
      <c r="F504" s="7">
        <v>334.52000000000044</v>
      </c>
      <c r="G504" s="7">
        <v>278.78000000000065</v>
      </c>
      <c r="H504" s="7">
        <v>446.03999999999905</v>
      </c>
      <c r="I504" s="7">
        <v>613.29000000000087</v>
      </c>
      <c r="J504" s="7">
        <v>334.53000000000065</v>
      </c>
      <c r="K504" s="7">
        <v>557.54000000000087</v>
      </c>
      <c r="L504" s="7">
        <v>446.03999999999905</v>
      </c>
      <c r="M504" s="7">
        <v>446.03999999999905</v>
      </c>
      <c r="N504" s="7">
        <v>557.55000000000109</v>
      </c>
      <c r="O504" s="7">
        <v>557.54000000000087</v>
      </c>
      <c r="P504" s="7">
        <v>669.05999999999949</v>
      </c>
      <c r="Q504" s="7">
        <v>446.02999999999884</v>
      </c>
      <c r="R504" s="7">
        <v>780.55999999999767</v>
      </c>
      <c r="S504" s="7">
        <v>557.55000000000109</v>
      </c>
      <c r="T504" s="7">
        <v>557.54000000000087</v>
      </c>
      <c r="U504" s="7">
        <v>557.55000000000109</v>
      </c>
      <c r="V504" s="7">
        <v>0</v>
      </c>
      <c r="W504" s="9">
        <f t="shared" si="54"/>
        <v>11150.91</v>
      </c>
      <c r="X504" s="9"/>
      <c r="Y504" s="9"/>
      <c r="Z504" s="9"/>
      <c r="AA504" s="9">
        <f t="shared" si="51"/>
        <v>11150.91</v>
      </c>
      <c r="AB504" s="7" t="e">
        <f>W504-#REF!</f>
        <v>#REF!</v>
      </c>
      <c r="AC504" s="12"/>
      <c r="AD504" s="12"/>
      <c r="AE504" s="12"/>
      <c r="AF504" s="12"/>
      <c r="AG504" s="13"/>
      <c r="AH504" s="13"/>
      <c r="AI504" s="13"/>
      <c r="AJ504" s="13"/>
    </row>
    <row r="505" spans="1:36" s="1" customFormat="1" x14ac:dyDescent="0.25">
      <c r="A505">
        <v>6079</v>
      </c>
      <c r="B505">
        <v>52</v>
      </c>
      <c r="C505">
        <f t="shared" si="53"/>
        <v>52</v>
      </c>
      <c r="D505" s="1" t="s">
        <v>537</v>
      </c>
      <c r="E505" s="7">
        <v>21741.93</v>
      </c>
      <c r="F505" s="7">
        <v>2415.7799999999988</v>
      </c>
      <c r="G505" s="7">
        <v>2013.1399999999994</v>
      </c>
      <c r="H505" s="7">
        <v>3221.0299999999988</v>
      </c>
      <c r="I505" s="7">
        <v>4428.9100000000035</v>
      </c>
      <c r="J505" s="7">
        <v>2415.7799999999988</v>
      </c>
      <c r="K505" s="7">
        <v>4026.2799999999988</v>
      </c>
      <c r="L505" s="7">
        <v>3221.0299999999988</v>
      </c>
      <c r="M505" s="7">
        <v>3221.0299999999988</v>
      </c>
      <c r="N505" s="7">
        <v>4026.2799999999988</v>
      </c>
      <c r="O505" s="7">
        <v>4026.2799999999988</v>
      </c>
      <c r="P505" s="7">
        <v>4831.5500000000029</v>
      </c>
      <c r="Q505" s="7">
        <v>3221.0299999999988</v>
      </c>
      <c r="R505" s="7">
        <v>5636.7900000000081</v>
      </c>
      <c r="S505" s="7">
        <v>4026.2900000000081</v>
      </c>
      <c r="T505" s="7">
        <v>4026.2899999999936</v>
      </c>
      <c r="U505" s="7">
        <v>4026.2799999999988</v>
      </c>
      <c r="V505" s="7">
        <v>0</v>
      </c>
      <c r="W505" s="9">
        <f t="shared" si="54"/>
        <v>80525.7</v>
      </c>
      <c r="X505" s="9"/>
      <c r="Y505" s="9"/>
      <c r="Z505" s="9"/>
      <c r="AA505" s="9">
        <f t="shared" si="51"/>
        <v>80525.7</v>
      </c>
      <c r="AB505" s="7" t="e">
        <f>W505-#REF!</f>
        <v>#REF!</v>
      </c>
      <c r="AC505" s="12"/>
      <c r="AD505" s="12"/>
      <c r="AE505" s="12"/>
      <c r="AF505" s="12"/>
      <c r="AG505" s="13"/>
      <c r="AH505" s="13"/>
      <c r="AI505" s="13"/>
      <c r="AJ505" s="13"/>
    </row>
    <row r="506" spans="1:36" s="1" customFormat="1" x14ac:dyDescent="0.25">
      <c r="A506">
        <v>6004</v>
      </c>
      <c r="B506">
        <v>61</v>
      </c>
      <c r="C506">
        <f t="shared" si="53"/>
        <v>61</v>
      </c>
      <c r="D506" s="1" t="s">
        <v>524</v>
      </c>
      <c r="E506" s="7">
        <v>15522.490000000002</v>
      </c>
      <c r="F506" s="7">
        <v>1724.7299999999959</v>
      </c>
      <c r="G506" s="7">
        <v>1437.260000000002</v>
      </c>
      <c r="H506" s="7">
        <v>2299.6300000000047</v>
      </c>
      <c r="I506" s="7">
        <v>3161.9900000000052</v>
      </c>
      <c r="J506" s="7">
        <v>1724.7199999999939</v>
      </c>
      <c r="K506" s="7">
        <v>2874.5399999999936</v>
      </c>
      <c r="L506" s="7">
        <v>2299.6300000000047</v>
      </c>
      <c r="M506" s="7">
        <v>2299.6300000000047</v>
      </c>
      <c r="N506" s="7">
        <v>2874.5399999999936</v>
      </c>
      <c r="O506" s="7">
        <v>2874.5299999999988</v>
      </c>
      <c r="P506" s="7">
        <v>3449.4400000000023</v>
      </c>
      <c r="Q506" s="7">
        <v>2299.6399999999994</v>
      </c>
      <c r="R506" s="7">
        <v>4024.3399999999965</v>
      </c>
      <c r="S506" s="7">
        <v>2874.5399999999936</v>
      </c>
      <c r="T506" s="7">
        <v>2874.5299999999988</v>
      </c>
      <c r="U506" s="7">
        <v>2874.5399999999936</v>
      </c>
      <c r="V506" s="7">
        <v>0</v>
      </c>
      <c r="W506" s="9">
        <f t="shared" si="54"/>
        <v>57490.719999999987</v>
      </c>
      <c r="X506" s="9"/>
      <c r="Y506" s="9"/>
      <c r="Z506" s="9"/>
      <c r="AA506" s="9">
        <f t="shared" si="51"/>
        <v>57490.719999999987</v>
      </c>
      <c r="AB506" s="7" t="e">
        <f>W506-#REF!</f>
        <v>#REF!</v>
      </c>
      <c r="AC506" s="12"/>
      <c r="AD506" s="12"/>
      <c r="AE506" s="12"/>
      <c r="AF506" s="12"/>
      <c r="AG506" s="13"/>
      <c r="AH506" s="13"/>
      <c r="AI506" s="13"/>
      <c r="AJ506" s="13"/>
    </row>
    <row r="507" spans="1:36" s="1" customFormat="1" x14ac:dyDescent="0.25">
      <c r="A507">
        <v>6012</v>
      </c>
      <c r="B507">
        <v>61</v>
      </c>
      <c r="C507">
        <f t="shared" si="53"/>
        <v>61</v>
      </c>
      <c r="D507" s="1" t="s">
        <v>525</v>
      </c>
      <c r="E507" s="7">
        <v>11755.93</v>
      </c>
      <c r="F507" s="7">
        <v>1306.2099999999991</v>
      </c>
      <c r="G507" s="7">
        <v>1088.5099999999984</v>
      </c>
      <c r="H507" s="7">
        <v>1741.6100000000006</v>
      </c>
      <c r="I507" s="7">
        <v>2394.7300000000032</v>
      </c>
      <c r="J507" s="7">
        <v>1306.2200000000012</v>
      </c>
      <c r="K507" s="7">
        <v>2177.010000000002</v>
      </c>
      <c r="L507" s="7">
        <v>1741.6200000000026</v>
      </c>
      <c r="M507" s="7">
        <v>1741.6200000000026</v>
      </c>
      <c r="N507" s="7">
        <v>2177.0299999999988</v>
      </c>
      <c r="O507" s="7">
        <v>2177.0199999999968</v>
      </c>
      <c r="P507" s="7">
        <v>2612.4199999999983</v>
      </c>
      <c r="Q507" s="7">
        <v>1741.6200000000026</v>
      </c>
      <c r="R507" s="7">
        <v>3047.8300000000017</v>
      </c>
      <c r="S507" s="7">
        <v>2177.0199999999968</v>
      </c>
      <c r="T507" s="7">
        <v>2177.0299999999988</v>
      </c>
      <c r="U507" s="7">
        <v>2177.0199999999968</v>
      </c>
      <c r="V507" s="7">
        <v>0</v>
      </c>
      <c r="W507" s="9">
        <f t="shared" si="54"/>
        <v>43540.45</v>
      </c>
      <c r="X507" s="9"/>
      <c r="Y507" s="9"/>
      <c r="Z507" s="9"/>
      <c r="AA507" s="9">
        <f t="shared" si="51"/>
        <v>43540.45</v>
      </c>
      <c r="AB507" s="7" t="e">
        <f>W507-#REF!</f>
        <v>#REF!</v>
      </c>
      <c r="AC507" s="12"/>
      <c r="AD507" s="12"/>
      <c r="AE507" s="12"/>
      <c r="AF507" s="12"/>
      <c r="AG507" s="13"/>
      <c r="AH507" s="13"/>
      <c r="AI507" s="13"/>
      <c r="AJ507" s="13"/>
    </row>
    <row r="508" spans="1:36" s="1" customFormat="1" x14ac:dyDescent="0.25">
      <c r="A508">
        <v>6013</v>
      </c>
      <c r="B508">
        <v>61</v>
      </c>
      <c r="C508">
        <f t="shared" si="53"/>
        <v>61</v>
      </c>
      <c r="D508" s="1" t="s">
        <v>526</v>
      </c>
      <c r="E508" s="7">
        <v>11630.880000000001</v>
      </c>
      <c r="F508" s="7">
        <v>1292.3199999999997</v>
      </c>
      <c r="G508" s="7">
        <v>1076.9199999999983</v>
      </c>
      <c r="H508" s="7">
        <v>1723.0999999999985</v>
      </c>
      <c r="I508" s="7">
        <v>2369.25</v>
      </c>
      <c r="J508" s="7">
        <v>1292.3199999999997</v>
      </c>
      <c r="K508" s="7">
        <v>2153.8699999999953</v>
      </c>
      <c r="L508" s="7">
        <v>1723.0899999999965</v>
      </c>
      <c r="M508" s="7">
        <v>1723.0899999999965</v>
      </c>
      <c r="N508" s="7">
        <v>2153.8600000000006</v>
      </c>
      <c r="O508" s="7">
        <v>2153.8699999999953</v>
      </c>
      <c r="P508" s="7">
        <v>2584.6299999999974</v>
      </c>
      <c r="Q508" s="7">
        <v>1723.1100000000006</v>
      </c>
      <c r="R508" s="7">
        <v>3015.4099999999889</v>
      </c>
      <c r="S508" s="7">
        <v>2153.8600000000006</v>
      </c>
      <c r="T508" s="7">
        <v>2153.8699999999953</v>
      </c>
      <c r="U508" s="7">
        <v>2153.8600000000006</v>
      </c>
      <c r="V508" s="7">
        <v>0</v>
      </c>
      <c r="W508" s="9">
        <f t="shared" si="54"/>
        <v>43077.309999999969</v>
      </c>
      <c r="X508" s="9"/>
      <c r="Y508" s="9"/>
      <c r="Z508" s="9"/>
      <c r="AA508" s="9">
        <f t="shared" si="51"/>
        <v>43077.309999999969</v>
      </c>
      <c r="AB508" s="7" t="e">
        <f>W508-#REF!</f>
        <v>#REF!</v>
      </c>
      <c r="AC508" s="12"/>
      <c r="AD508" s="12"/>
      <c r="AE508" s="12"/>
      <c r="AF508" s="12"/>
      <c r="AG508" s="13"/>
      <c r="AH508" s="13"/>
      <c r="AI508" s="13"/>
      <c r="AJ508" s="13"/>
    </row>
    <row r="509" spans="1:36" s="1" customFormat="1" x14ac:dyDescent="0.25">
      <c r="A509">
        <v>6014</v>
      </c>
      <c r="B509">
        <v>61</v>
      </c>
      <c r="C509">
        <f t="shared" si="53"/>
        <v>61</v>
      </c>
      <c r="D509" s="1" t="s">
        <v>527</v>
      </c>
      <c r="E509" s="7">
        <v>376.81000000000006</v>
      </c>
      <c r="F509" s="7">
        <v>41.869999999999891</v>
      </c>
      <c r="G509" s="7">
        <v>34.879999999999995</v>
      </c>
      <c r="H509" s="7">
        <v>55.829999999999927</v>
      </c>
      <c r="I509" s="7">
        <v>76.759999999999991</v>
      </c>
      <c r="J509" s="7">
        <v>41.8599999999999</v>
      </c>
      <c r="K509" s="7">
        <v>69.779999999999973</v>
      </c>
      <c r="L509" s="7">
        <v>55.829999999999927</v>
      </c>
      <c r="M509" s="7">
        <v>55.809999999999945</v>
      </c>
      <c r="N509" s="7">
        <v>69.789999999999964</v>
      </c>
      <c r="O509" s="7">
        <v>69.779999999999973</v>
      </c>
      <c r="P509" s="7">
        <v>83.729999999999791</v>
      </c>
      <c r="Q509" s="7">
        <v>55.819999999999936</v>
      </c>
      <c r="R509" s="7">
        <v>97.690000000000055</v>
      </c>
      <c r="S509" s="7">
        <v>69.779999999999973</v>
      </c>
      <c r="T509" s="7">
        <v>69.779999999999973</v>
      </c>
      <c r="U509" s="7">
        <v>69.779999999999973</v>
      </c>
      <c r="V509" s="7">
        <v>0</v>
      </c>
      <c r="W509" s="9">
        <f t="shared" si="54"/>
        <v>1395.5799999999992</v>
      </c>
      <c r="X509" s="9"/>
      <c r="Y509" s="9"/>
      <c r="Z509" s="9"/>
      <c r="AA509" s="9">
        <f t="shared" si="51"/>
        <v>1395.5799999999992</v>
      </c>
      <c r="AB509" s="7" t="e">
        <f>W509-#REF!</f>
        <v>#REF!</v>
      </c>
      <c r="AC509" s="12"/>
      <c r="AD509" s="12"/>
      <c r="AE509" s="12"/>
      <c r="AF509" s="12"/>
      <c r="AG509" s="13"/>
      <c r="AH509" s="13"/>
      <c r="AI509" s="13"/>
      <c r="AJ509" s="13"/>
    </row>
    <row r="510" spans="1:36" s="1" customFormat="1" x14ac:dyDescent="0.25">
      <c r="A510">
        <v>6018</v>
      </c>
      <c r="B510">
        <v>61</v>
      </c>
      <c r="C510">
        <f t="shared" si="53"/>
        <v>61</v>
      </c>
      <c r="D510" s="1" t="s">
        <v>528</v>
      </c>
      <c r="E510" s="7">
        <v>2183.3299999999995</v>
      </c>
      <c r="F510" s="7">
        <v>242.59000000000015</v>
      </c>
      <c r="G510" s="7">
        <v>202.14999999999964</v>
      </c>
      <c r="H510" s="7">
        <v>323.46000000000004</v>
      </c>
      <c r="I510" s="7">
        <v>444.75</v>
      </c>
      <c r="J510" s="7">
        <v>242.59000000000015</v>
      </c>
      <c r="K510" s="7">
        <v>404.31999999999971</v>
      </c>
      <c r="L510" s="7">
        <v>323.46000000000004</v>
      </c>
      <c r="M510" s="7">
        <v>323.46000000000004</v>
      </c>
      <c r="N510" s="7">
        <v>404.30999999999949</v>
      </c>
      <c r="O510" s="7">
        <v>404.31999999999971</v>
      </c>
      <c r="P510" s="7">
        <v>485.19000000000051</v>
      </c>
      <c r="Q510" s="7">
        <v>323.44999999999982</v>
      </c>
      <c r="R510" s="7">
        <v>566.03999999999905</v>
      </c>
      <c r="S510" s="7">
        <v>404.32999999999993</v>
      </c>
      <c r="T510" s="7">
        <v>404.30999999999949</v>
      </c>
      <c r="U510" s="7">
        <v>404.31999999999971</v>
      </c>
      <c r="V510" s="7">
        <v>0</v>
      </c>
      <c r="W510" s="9">
        <f t="shared" si="54"/>
        <v>8086.3799999999974</v>
      </c>
      <c r="X510" s="9"/>
      <c r="Y510" s="9"/>
      <c r="Z510" s="9"/>
      <c r="AA510" s="9">
        <f t="shared" si="51"/>
        <v>8086.3799999999974</v>
      </c>
      <c r="AB510" s="7" t="e">
        <f>W510-#REF!</f>
        <v>#REF!</v>
      </c>
      <c r="AC510" s="12"/>
      <c r="AD510" s="12"/>
      <c r="AE510" s="12"/>
      <c r="AF510" s="12"/>
      <c r="AG510" s="13"/>
      <c r="AH510" s="13"/>
      <c r="AI510" s="13"/>
      <c r="AJ510" s="13"/>
    </row>
    <row r="511" spans="1:36" s="1" customFormat="1" x14ac:dyDescent="0.25">
      <c r="A511">
        <v>6026</v>
      </c>
      <c r="B511">
        <v>61</v>
      </c>
      <c r="C511">
        <f t="shared" si="53"/>
        <v>61</v>
      </c>
      <c r="D511" s="1" t="s">
        <v>529</v>
      </c>
      <c r="E511" s="7">
        <v>6210.3799999999992</v>
      </c>
      <c r="F511" s="7">
        <v>690.04000000000087</v>
      </c>
      <c r="G511" s="7">
        <v>575.03000000000065</v>
      </c>
      <c r="H511" s="7">
        <v>920.06000000000131</v>
      </c>
      <c r="I511" s="7">
        <v>1265.0799999999981</v>
      </c>
      <c r="J511" s="7">
        <v>690.04000000000087</v>
      </c>
      <c r="K511" s="7">
        <v>1150.0699999999997</v>
      </c>
      <c r="L511" s="7">
        <v>920.06000000000131</v>
      </c>
      <c r="M511" s="7">
        <v>920.04999999999927</v>
      </c>
      <c r="N511" s="7">
        <v>1150.0699999999997</v>
      </c>
      <c r="O511" s="7">
        <v>1150.0699999999997</v>
      </c>
      <c r="P511" s="7">
        <v>1380.0900000000038</v>
      </c>
      <c r="Q511" s="7">
        <v>920.04999999999927</v>
      </c>
      <c r="R511" s="7">
        <v>1610.0999999999985</v>
      </c>
      <c r="S511" s="7">
        <v>1150.0699999999997</v>
      </c>
      <c r="T511" s="7">
        <v>1150.0699999999997</v>
      </c>
      <c r="U511" s="7">
        <v>1150.0699999999997</v>
      </c>
      <c r="V511" s="7">
        <v>0</v>
      </c>
      <c r="W511" s="9">
        <f t="shared" si="54"/>
        <v>23001.4</v>
      </c>
      <c r="X511" s="9"/>
      <c r="Y511" s="9"/>
      <c r="Z511" s="9"/>
      <c r="AA511" s="9">
        <f t="shared" si="51"/>
        <v>23001.4</v>
      </c>
      <c r="AB511" s="7" t="e">
        <f>W511-#REF!</f>
        <v>#REF!</v>
      </c>
      <c r="AC511" s="12"/>
      <c r="AD511" s="12"/>
      <c r="AE511" s="12"/>
      <c r="AF511" s="12"/>
      <c r="AG511" s="13"/>
      <c r="AH511" s="13"/>
      <c r="AI511" s="13"/>
      <c r="AJ511" s="13"/>
    </row>
    <row r="512" spans="1:36" s="1" customFormat="1" x14ac:dyDescent="0.25">
      <c r="A512">
        <v>6027</v>
      </c>
      <c r="B512">
        <v>61</v>
      </c>
      <c r="C512">
        <f t="shared" si="53"/>
        <v>61</v>
      </c>
      <c r="D512" s="1" t="s">
        <v>530</v>
      </c>
      <c r="E512" s="7">
        <v>17653.62</v>
      </c>
      <c r="F512" s="7">
        <v>1961.5199999999968</v>
      </c>
      <c r="G512" s="7">
        <v>1634.5899999999965</v>
      </c>
      <c r="H512" s="7">
        <v>2615.3500000000058</v>
      </c>
      <c r="I512" s="7">
        <v>3596.1100000000006</v>
      </c>
      <c r="J512" s="7">
        <v>1961.5199999999968</v>
      </c>
      <c r="K512" s="7">
        <v>3269.179999999993</v>
      </c>
      <c r="L512" s="7">
        <v>2615.3600000000006</v>
      </c>
      <c r="M512" s="7">
        <v>2615.3499999999985</v>
      </c>
      <c r="N512" s="7">
        <v>3269.1899999999878</v>
      </c>
      <c r="O512" s="7">
        <v>3269.1900000000023</v>
      </c>
      <c r="P512" s="7">
        <v>3923.0299999999988</v>
      </c>
      <c r="Q512" s="7">
        <v>2615.3400000000038</v>
      </c>
      <c r="R512" s="7">
        <v>4576.8800000000047</v>
      </c>
      <c r="S512" s="7">
        <v>3269.179999999993</v>
      </c>
      <c r="T512" s="7">
        <v>3269.1999999999971</v>
      </c>
      <c r="U512" s="7">
        <v>3269.179999999993</v>
      </c>
      <c r="V512" s="7">
        <v>0</v>
      </c>
      <c r="W512" s="9">
        <f t="shared" si="54"/>
        <v>65383.789999999964</v>
      </c>
      <c r="X512" s="9"/>
      <c r="Y512" s="9"/>
      <c r="Z512" s="9"/>
      <c r="AA512" s="9">
        <f t="shared" si="51"/>
        <v>65383.789999999964</v>
      </c>
      <c r="AB512" s="7" t="e">
        <f>W512-#REF!</f>
        <v>#REF!</v>
      </c>
      <c r="AC512" s="12"/>
      <c r="AD512" s="12"/>
      <c r="AE512" s="12"/>
      <c r="AF512" s="12"/>
      <c r="AG512" s="13"/>
      <c r="AH512" s="13"/>
      <c r="AI512" s="13"/>
      <c r="AJ512" s="13"/>
    </row>
    <row r="513" spans="1:37" s="1" customFormat="1" x14ac:dyDescent="0.25">
      <c r="A513">
        <v>6049</v>
      </c>
      <c r="B513">
        <v>61</v>
      </c>
      <c r="C513">
        <f t="shared" si="53"/>
        <v>61</v>
      </c>
      <c r="D513" s="1" t="s">
        <v>531</v>
      </c>
      <c r="E513" s="7">
        <v>16323.909999999996</v>
      </c>
      <c r="F513" s="7">
        <v>1813.760000000002</v>
      </c>
      <c r="G513" s="7">
        <v>1511.4799999999959</v>
      </c>
      <c r="H513" s="7">
        <v>2418.3600000000006</v>
      </c>
      <c r="I513" s="7">
        <v>3325.2400000000052</v>
      </c>
      <c r="J513" s="7">
        <v>1813.7700000000041</v>
      </c>
      <c r="K513" s="7">
        <v>3022.9399999999878</v>
      </c>
      <c r="L513" s="7">
        <v>2418.3499999999985</v>
      </c>
      <c r="M513" s="7">
        <v>2418.3600000000006</v>
      </c>
      <c r="N513" s="7">
        <v>3022.9499999999971</v>
      </c>
      <c r="O513" s="7">
        <v>3022.9499999999971</v>
      </c>
      <c r="P513" s="7">
        <v>3627.5299999999988</v>
      </c>
      <c r="Q513" s="7">
        <v>2418.3600000000006</v>
      </c>
      <c r="R513" s="7">
        <v>4232.1199999999953</v>
      </c>
      <c r="S513" s="7">
        <v>3022.9399999999878</v>
      </c>
      <c r="T513" s="7">
        <v>3022.9499999999971</v>
      </c>
      <c r="U513" s="7">
        <v>3022.9499999999971</v>
      </c>
      <c r="V513" s="7">
        <v>0</v>
      </c>
      <c r="W513" s="9">
        <f t="shared" si="54"/>
        <v>60458.919999999962</v>
      </c>
      <c r="X513" s="9"/>
      <c r="Y513" s="9"/>
      <c r="Z513" s="9"/>
      <c r="AA513" s="9">
        <f t="shared" si="51"/>
        <v>60458.919999999962</v>
      </c>
      <c r="AB513" s="7" t="e">
        <f>W513-#REF!</f>
        <v>#REF!</v>
      </c>
      <c r="AC513" s="12"/>
      <c r="AD513" s="12"/>
      <c r="AE513" s="12"/>
      <c r="AF513" s="12"/>
      <c r="AG513" s="13"/>
      <c r="AH513" s="13"/>
      <c r="AI513" s="13"/>
      <c r="AJ513" s="13"/>
    </row>
    <row r="514" spans="1:37" s="1" customFormat="1" x14ac:dyDescent="0.25">
      <c r="A514">
        <v>6051</v>
      </c>
      <c r="B514">
        <v>61</v>
      </c>
      <c r="C514">
        <f t="shared" si="53"/>
        <v>61</v>
      </c>
      <c r="D514" s="1" t="s">
        <v>532</v>
      </c>
      <c r="E514" s="7">
        <v>22343.83</v>
      </c>
      <c r="F514" s="7">
        <v>2482.6500000000015</v>
      </c>
      <c r="G514" s="7">
        <v>2068.8600000000006</v>
      </c>
      <c r="H514" s="7">
        <v>3310.1999999999971</v>
      </c>
      <c r="I514" s="7">
        <v>4551.5200000000041</v>
      </c>
      <c r="J514" s="7">
        <v>2482.6500000000015</v>
      </c>
      <c r="K514" s="7">
        <v>4137.75</v>
      </c>
      <c r="L514" s="7">
        <v>3310.1900000000023</v>
      </c>
      <c r="M514" s="7">
        <v>3310.1999999999971</v>
      </c>
      <c r="N514" s="7">
        <v>4137.7399999999907</v>
      </c>
      <c r="O514" s="7">
        <v>4137.75</v>
      </c>
      <c r="P514" s="7">
        <v>4965.2900000000081</v>
      </c>
      <c r="Q514" s="7">
        <v>3310.1999999999971</v>
      </c>
      <c r="R514" s="7">
        <v>5792.8499999999767</v>
      </c>
      <c r="S514" s="7">
        <v>4137.7399999999907</v>
      </c>
      <c r="T514" s="7">
        <v>4137.75</v>
      </c>
      <c r="U514" s="7">
        <v>4137.7399999999907</v>
      </c>
      <c r="V514" s="7">
        <v>0</v>
      </c>
      <c r="W514" s="9">
        <f t="shared" si="54"/>
        <v>82754.90999999996</v>
      </c>
      <c r="X514" s="9"/>
      <c r="Y514" s="9"/>
      <c r="Z514" s="9"/>
      <c r="AA514" s="9">
        <f t="shared" si="51"/>
        <v>82754.90999999996</v>
      </c>
      <c r="AB514" s="7" t="e">
        <f>W514-#REF!</f>
        <v>#REF!</v>
      </c>
      <c r="AC514" s="12"/>
      <c r="AD514" s="12"/>
      <c r="AE514" s="12"/>
      <c r="AF514" s="12"/>
      <c r="AG514" s="13"/>
      <c r="AH514" s="13"/>
      <c r="AI514" s="13"/>
      <c r="AJ514" s="13"/>
    </row>
    <row r="515" spans="1:37" s="1" customFormat="1" x14ac:dyDescent="0.25">
      <c r="A515">
        <v>6383</v>
      </c>
      <c r="B515">
        <v>61</v>
      </c>
      <c r="C515">
        <f t="shared" si="53"/>
        <v>61</v>
      </c>
      <c r="D515" s="1" t="s">
        <v>539</v>
      </c>
      <c r="E515" s="7">
        <v>16142.519999999997</v>
      </c>
      <c r="F515" s="7">
        <v>1793.6199999999953</v>
      </c>
      <c r="G515" s="7">
        <v>1494.6699999999983</v>
      </c>
      <c r="H515" s="7">
        <v>2391.489999999998</v>
      </c>
      <c r="I515" s="7">
        <v>3288.2900000000081</v>
      </c>
      <c r="J515" s="7">
        <v>1793.6099999999933</v>
      </c>
      <c r="K515" s="7">
        <v>2989.3600000000006</v>
      </c>
      <c r="L515" s="7">
        <v>2391.4900000000052</v>
      </c>
      <c r="M515" s="7">
        <v>2391.4800000000032</v>
      </c>
      <c r="N515" s="7">
        <v>2989.3600000000006</v>
      </c>
      <c r="O515" s="7">
        <v>2989.3499999999913</v>
      </c>
      <c r="P515" s="7">
        <v>3587.2299999999959</v>
      </c>
      <c r="Q515" s="7">
        <v>2391.4800000000032</v>
      </c>
      <c r="R515" s="7">
        <v>4185.1100000000006</v>
      </c>
      <c r="S515" s="7">
        <v>2989.3499999999913</v>
      </c>
      <c r="T515" s="7">
        <v>2989.3600000000006</v>
      </c>
      <c r="U515" s="7">
        <v>2989.3499999999913</v>
      </c>
      <c r="V515" s="7">
        <v>0</v>
      </c>
      <c r="W515" s="9">
        <f t="shared" si="54"/>
        <v>59787.119999999974</v>
      </c>
      <c r="X515" s="9"/>
      <c r="Y515" s="9"/>
      <c r="Z515" s="9"/>
      <c r="AA515" s="9">
        <f t="shared" si="51"/>
        <v>59787.119999999974</v>
      </c>
      <c r="AB515" s="7" t="e">
        <f>W515-#REF!</f>
        <v>#REF!</v>
      </c>
      <c r="AC515" s="12"/>
      <c r="AD515" s="12"/>
      <c r="AE515" s="12"/>
      <c r="AF515" s="12"/>
      <c r="AG515" s="13"/>
      <c r="AH515" s="13"/>
      <c r="AI515" s="13"/>
      <c r="AJ515" s="13"/>
    </row>
    <row r="516" spans="1:37" s="1" customFormat="1" x14ac:dyDescent="0.25">
      <c r="A516">
        <v>6979</v>
      </c>
      <c r="B516">
        <v>61</v>
      </c>
      <c r="C516">
        <f t="shared" si="53"/>
        <v>61</v>
      </c>
      <c r="D516" s="1" t="s">
        <v>540</v>
      </c>
      <c r="E516" s="7">
        <v>16291.620000000003</v>
      </c>
      <c r="F516" s="7">
        <v>1810.1800000000003</v>
      </c>
      <c r="G516" s="7">
        <v>1508.4800000000032</v>
      </c>
      <c r="H516" s="7">
        <v>2413.5699999999997</v>
      </c>
      <c r="I516" s="7">
        <v>3318.6600000000035</v>
      </c>
      <c r="J516" s="7">
        <v>1810.1900000000023</v>
      </c>
      <c r="K516" s="7">
        <v>3016.9700000000012</v>
      </c>
      <c r="L516" s="7">
        <v>2413.5699999999997</v>
      </c>
      <c r="M516" s="7">
        <v>2413.5799999999945</v>
      </c>
      <c r="N516" s="7">
        <v>3016.9599999999919</v>
      </c>
      <c r="O516" s="7">
        <v>3016.9700000000012</v>
      </c>
      <c r="P516" s="7">
        <v>3620.3600000000006</v>
      </c>
      <c r="Q516" s="7">
        <v>2413.5699999999997</v>
      </c>
      <c r="R516" s="7">
        <v>4223.75</v>
      </c>
      <c r="S516" s="7">
        <v>3016.9700000000012</v>
      </c>
      <c r="T516" s="7">
        <v>3016.9599999999919</v>
      </c>
      <c r="U516" s="7">
        <v>3016.9700000000012</v>
      </c>
      <c r="V516" s="7">
        <v>0</v>
      </c>
      <c r="W516" s="9">
        <f t="shared" si="54"/>
        <v>60339.329999999994</v>
      </c>
      <c r="X516" s="9"/>
      <c r="Y516" s="9"/>
      <c r="Z516" s="9"/>
      <c r="AA516" s="9">
        <f t="shared" si="51"/>
        <v>60339.329999999994</v>
      </c>
      <c r="AB516" s="7" t="e">
        <f>W516-#REF!</f>
        <v>#REF!</v>
      </c>
      <c r="AC516" s="12"/>
      <c r="AD516" s="12"/>
      <c r="AE516" s="12"/>
      <c r="AF516" s="12"/>
      <c r="AG516" s="13"/>
      <c r="AH516" s="13"/>
      <c r="AI516" s="13"/>
      <c r="AJ516" s="13"/>
    </row>
    <row r="517" spans="1:37" s="1" customFormat="1" x14ac:dyDescent="0.25">
      <c r="A517">
        <v>6067</v>
      </c>
      <c r="B517">
        <v>62</v>
      </c>
      <c r="C517">
        <f t="shared" si="53"/>
        <v>62</v>
      </c>
      <c r="D517" s="1" t="s">
        <v>533</v>
      </c>
      <c r="E517" s="7">
        <v>28157.18</v>
      </c>
      <c r="F517" s="7">
        <v>3128.5800000000017</v>
      </c>
      <c r="G517" s="7">
        <v>2607.1399999999994</v>
      </c>
      <c r="H517" s="7">
        <v>4171.4399999999878</v>
      </c>
      <c r="I517" s="7">
        <v>5735.7200000000012</v>
      </c>
      <c r="J517" s="7">
        <v>3128.5800000000017</v>
      </c>
      <c r="K517" s="7">
        <v>5214.2899999999936</v>
      </c>
      <c r="L517" s="7">
        <v>4171.4399999999878</v>
      </c>
      <c r="M517" s="7">
        <v>4171.429999999993</v>
      </c>
      <c r="N517" s="7">
        <v>5214.2899999999936</v>
      </c>
      <c r="O517" s="7">
        <v>5214.3000000000029</v>
      </c>
      <c r="P517" s="7">
        <v>6257.1399999999849</v>
      </c>
      <c r="Q517" s="7">
        <v>4171.4399999999878</v>
      </c>
      <c r="R517" s="7">
        <v>7300.0100000000093</v>
      </c>
      <c r="S517" s="7">
        <v>5214.3000000000029</v>
      </c>
      <c r="T517" s="7">
        <v>5214.2899999999936</v>
      </c>
      <c r="U517" s="7">
        <v>5214.2899999999936</v>
      </c>
      <c r="V517" s="7">
        <v>0</v>
      </c>
      <c r="W517" s="9">
        <f t="shared" si="54"/>
        <v>104285.85999999994</v>
      </c>
      <c r="X517" s="9"/>
      <c r="Y517" s="9"/>
      <c r="Z517" s="9"/>
      <c r="AA517" s="9">
        <f t="shared" si="51"/>
        <v>104285.85999999994</v>
      </c>
      <c r="AB517" s="7" t="e">
        <f>W517-#REF!</f>
        <v>#REF!</v>
      </c>
      <c r="AC517" s="12"/>
      <c r="AD517" s="12"/>
      <c r="AE517" s="12"/>
      <c r="AF517" s="12"/>
      <c r="AG517" s="13"/>
      <c r="AH517" s="13"/>
      <c r="AI517" s="13"/>
      <c r="AJ517" s="13"/>
    </row>
    <row r="518" spans="1:37" s="1" customFormat="1" x14ac:dyDescent="0.25">
      <c r="A518">
        <v>6069</v>
      </c>
      <c r="B518">
        <v>62</v>
      </c>
      <c r="C518">
        <f t="shared" si="53"/>
        <v>62</v>
      </c>
      <c r="D518" s="1" t="s">
        <v>534</v>
      </c>
      <c r="E518" s="7">
        <v>22036.230000000003</v>
      </c>
      <c r="F518" s="7">
        <v>2448.4700000000012</v>
      </c>
      <c r="G518" s="7">
        <v>2040.3800000000047</v>
      </c>
      <c r="H518" s="7">
        <v>3264.6300000000047</v>
      </c>
      <c r="I518" s="7">
        <v>4488.8600000000006</v>
      </c>
      <c r="J518" s="7">
        <v>2448.4700000000012</v>
      </c>
      <c r="K518" s="7">
        <v>4080.7899999999936</v>
      </c>
      <c r="L518" s="7">
        <v>3264.6199999999953</v>
      </c>
      <c r="M518" s="7">
        <v>3264.6300000000047</v>
      </c>
      <c r="N518" s="7">
        <v>4080.7799999999988</v>
      </c>
      <c r="O518" s="7">
        <v>4080.7799999999988</v>
      </c>
      <c r="P518" s="7">
        <v>4896.9400000000023</v>
      </c>
      <c r="Q518" s="7">
        <v>3264.6300000000047</v>
      </c>
      <c r="R518" s="7">
        <v>5713.0899999999965</v>
      </c>
      <c r="S518" s="7">
        <v>4080.7899999999936</v>
      </c>
      <c r="T518" s="7">
        <v>4080.7799999999988</v>
      </c>
      <c r="U518" s="7">
        <v>4080.7799999999988</v>
      </c>
      <c r="V518" s="7">
        <v>0</v>
      </c>
      <c r="W518" s="9">
        <f t="shared" si="54"/>
        <v>81615.650000000009</v>
      </c>
      <c r="X518" s="9"/>
      <c r="Y518" s="9"/>
      <c r="Z518" s="9"/>
      <c r="AA518" s="9">
        <f t="shared" si="51"/>
        <v>81615.650000000009</v>
      </c>
      <c r="AB518" s="7" t="e">
        <f>W518-#REF!</f>
        <v>#REF!</v>
      </c>
      <c r="AC518" s="12"/>
      <c r="AD518" s="12"/>
      <c r="AE518" s="12"/>
      <c r="AF518" s="12"/>
      <c r="AG518" s="13"/>
      <c r="AH518" s="13"/>
      <c r="AI518" s="13"/>
      <c r="AJ518" s="13"/>
    </row>
    <row r="519" spans="1:37" s="1" customFormat="1" x14ac:dyDescent="0.25">
      <c r="A519">
        <v>6072</v>
      </c>
      <c r="B519">
        <v>62</v>
      </c>
      <c r="C519">
        <f t="shared" si="53"/>
        <v>62</v>
      </c>
      <c r="D519" s="1" t="s">
        <v>535</v>
      </c>
      <c r="E519" s="7">
        <v>18293.670000000002</v>
      </c>
      <c r="F519" s="7">
        <v>2032.6300000000047</v>
      </c>
      <c r="G519" s="7">
        <v>1693.8600000000006</v>
      </c>
      <c r="H519" s="7">
        <v>2710.1800000000076</v>
      </c>
      <c r="I519" s="7">
        <v>3726.4799999999959</v>
      </c>
      <c r="J519" s="7">
        <v>2032.6400000000067</v>
      </c>
      <c r="K519" s="7">
        <v>3387.7099999999919</v>
      </c>
      <c r="L519" s="7">
        <v>2710.1800000000076</v>
      </c>
      <c r="M519" s="7">
        <v>2710.1800000000076</v>
      </c>
      <c r="N519" s="7">
        <v>3387.7099999999919</v>
      </c>
      <c r="O519" s="7">
        <v>3387.7200000000012</v>
      </c>
      <c r="P519" s="7">
        <v>4065.2599999999948</v>
      </c>
      <c r="Q519" s="7">
        <v>2710.1800000000076</v>
      </c>
      <c r="R519" s="7">
        <v>4742.8000000000029</v>
      </c>
      <c r="S519" s="7">
        <v>3387.7099999999919</v>
      </c>
      <c r="T519" s="7">
        <v>3387.7200000000012</v>
      </c>
      <c r="U519" s="7">
        <v>3387.7200000000012</v>
      </c>
      <c r="V519" s="7">
        <v>0</v>
      </c>
      <c r="W519" s="9">
        <f t="shared" si="54"/>
        <v>67754.35000000002</v>
      </c>
      <c r="X519" s="9"/>
      <c r="Y519" s="9"/>
      <c r="Z519" s="9"/>
      <c r="AA519" s="9">
        <f t="shared" si="51"/>
        <v>67754.35000000002</v>
      </c>
      <c r="AB519" s="7" t="e">
        <f>W519-#REF!</f>
        <v>#REF!</v>
      </c>
      <c r="AC519" s="12"/>
      <c r="AD519" s="12"/>
      <c r="AE519" s="12"/>
      <c r="AF519" s="12"/>
      <c r="AG519" s="13"/>
      <c r="AH519" s="13"/>
      <c r="AI519" s="13"/>
      <c r="AJ519" s="13"/>
    </row>
    <row r="520" spans="1:37" s="1" customFormat="1" x14ac:dyDescent="0.25">
      <c r="A520">
        <v>160</v>
      </c>
      <c r="B520">
        <v>70</v>
      </c>
      <c r="C520">
        <f t="shared" si="53"/>
        <v>70</v>
      </c>
      <c r="D520" s="1" t="s">
        <v>75</v>
      </c>
      <c r="E520" s="7">
        <v>0</v>
      </c>
      <c r="F520" s="7">
        <v>0</v>
      </c>
      <c r="G520" s="7">
        <v>0</v>
      </c>
      <c r="H520" s="7">
        <v>0</v>
      </c>
      <c r="I520" s="7">
        <v>138744.92999999996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-78865.109999999986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9">
        <f t="shared" si="54"/>
        <v>59879.819999999978</v>
      </c>
      <c r="X520" s="9"/>
      <c r="Y520" s="9"/>
      <c r="Z520" s="9"/>
      <c r="AA520" s="9">
        <f t="shared" si="51"/>
        <v>59879.819999999978</v>
      </c>
      <c r="AB520" s="7" t="e">
        <f>W520-#REF!</f>
        <v>#REF!</v>
      </c>
      <c r="AC520" s="12"/>
      <c r="AD520" s="12"/>
      <c r="AE520" s="12"/>
      <c r="AF520" s="12"/>
      <c r="AG520" s="13"/>
      <c r="AH520" s="13"/>
      <c r="AI520" s="13"/>
      <c r="AJ520" s="13"/>
    </row>
    <row r="521" spans="1:37" s="1" customFormat="1" x14ac:dyDescent="0.25">
      <c r="A521">
        <v>100</v>
      </c>
      <c r="B521">
        <v>80</v>
      </c>
      <c r="C521">
        <f t="shared" si="53"/>
        <v>80</v>
      </c>
      <c r="D521" s="1" t="s">
        <v>52</v>
      </c>
      <c r="E521" s="7">
        <v>7983.840000000002</v>
      </c>
      <c r="F521" s="7">
        <v>887.09999999999854</v>
      </c>
      <c r="G521" s="7">
        <v>739.2400000000016</v>
      </c>
      <c r="H521" s="7">
        <v>1182.7899999999972</v>
      </c>
      <c r="I521" s="7">
        <v>1626.3300000000017</v>
      </c>
      <c r="J521" s="7">
        <v>887.09999999999854</v>
      </c>
      <c r="K521" s="7">
        <v>1478.489999999998</v>
      </c>
      <c r="L521" s="7">
        <v>1182.7899999999972</v>
      </c>
      <c r="M521" s="7">
        <v>1182.7999999999993</v>
      </c>
      <c r="N521" s="7">
        <v>1478.4800000000032</v>
      </c>
      <c r="O521" s="7">
        <v>1478.489999999998</v>
      </c>
      <c r="P521" s="7">
        <v>1774.1899999999951</v>
      </c>
      <c r="Q521" s="7">
        <v>1182.7899999999972</v>
      </c>
      <c r="R521" s="7">
        <v>2069.8799999999974</v>
      </c>
      <c r="S521" s="7">
        <v>1478.489999999998</v>
      </c>
      <c r="T521" s="7">
        <v>1478.4900000000052</v>
      </c>
      <c r="U521" s="7">
        <v>1478.489999999998</v>
      </c>
      <c r="V521" s="7">
        <v>0</v>
      </c>
      <c r="W521" s="9">
        <f t="shared" si="54"/>
        <v>29569.779999999988</v>
      </c>
      <c r="X521" s="9"/>
      <c r="Y521" s="9"/>
      <c r="Z521" s="9"/>
      <c r="AA521" s="9">
        <f t="shared" ref="AA521:AA532" si="55">W521+Z521</f>
        <v>29569.779999999988</v>
      </c>
      <c r="AB521" s="7" t="e">
        <f>W521-#REF!</f>
        <v>#REF!</v>
      </c>
      <c r="AC521" s="12"/>
      <c r="AD521" s="12"/>
      <c r="AE521" s="12"/>
      <c r="AF521" s="12"/>
      <c r="AG521" s="13"/>
      <c r="AH521" s="13"/>
      <c r="AI521" s="13"/>
      <c r="AJ521" s="13"/>
    </row>
    <row r="522" spans="1:37" s="1" customFormat="1" x14ac:dyDescent="0.25">
      <c r="A522">
        <v>103</v>
      </c>
      <c r="B522">
        <v>80</v>
      </c>
      <c r="C522">
        <f t="shared" si="53"/>
        <v>80</v>
      </c>
      <c r="D522" s="1" t="s">
        <v>53</v>
      </c>
      <c r="E522" s="7">
        <v>54661.33</v>
      </c>
      <c r="F522" s="7">
        <v>6073.4800000000105</v>
      </c>
      <c r="G522" s="7">
        <v>5061.2399999999907</v>
      </c>
      <c r="H522" s="7">
        <v>8097.9800000000105</v>
      </c>
      <c r="I522" s="7">
        <v>11134.710000000021</v>
      </c>
      <c r="J522" s="7">
        <v>6073.4800000000105</v>
      </c>
      <c r="K522" s="7">
        <v>10122.470000000001</v>
      </c>
      <c r="L522" s="7">
        <v>8097.9800000000105</v>
      </c>
      <c r="M522" s="7">
        <v>8097.9700000000012</v>
      </c>
      <c r="N522" s="7">
        <v>10122.470000000001</v>
      </c>
      <c r="O522" s="7">
        <v>10122.470000000001</v>
      </c>
      <c r="P522" s="7">
        <v>12146.97000000003</v>
      </c>
      <c r="Q522" s="7">
        <v>8097.9599999999919</v>
      </c>
      <c r="R522" s="7">
        <v>14171.459999999963</v>
      </c>
      <c r="S522" s="7">
        <v>10122.470000000001</v>
      </c>
      <c r="T522" s="7">
        <v>10122.470000000001</v>
      </c>
      <c r="U522" s="7">
        <v>10122.470000000001</v>
      </c>
      <c r="V522" s="7">
        <v>0</v>
      </c>
      <c r="W522" s="9">
        <f t="shared" si="54"/>
        <v>202449.38000000006</v>
      </c>
      <c r="X522" s="9"/>
      <c r="Y522" s="9"/>
      <c r="Z522" s="9"/>
      <c r="AA522" s="9">
        <f t="shared" si="55"/>
        <v>202449.38000000006</v>
      </c>
      <c r="AB522" s="7" t="e">
        <f>W522-#REF!</f>
        <v>#REF!</v>
      </c>
      <c r="AC522" s="12"/>
      <c r="AD522" s="12"/>
      <c r="AE522" s="12"/>
      <c r="AF522" s="12"/>
      <c r="AG522" s="13"/>
      <c r="AH522" s="13"/>
      <c r="AI522" s="13"/>
      <c r="AJ522" s="13"/>
    </row>
    <row r="523" spans="1:37" s="1" customFormat="1" x14ac:dyDescent="0.25">
      <c r="A523">
        <v>105</v>
      </c>
      <c r="B523">
        <v>80</v>
      </c>
      <c r="C523">
        <f t="shared" si="53"/>
        <v>80</v>
      </c>
      <c r="D523" s="1" t="s">
        <v>54</v>
      </c>
      <c r="E523" s="7">
        <v>1082.04</v>
      </c>
      <c r="F523" s="7">
        <v>120.23000000000002</v>
      </c>
      <c r="G523" s="7">
        <v>100.17999999999984</v>
      </c>
      <c r="H523" s="7">
        <v>160.30999999999995</v>
      </c>
      <c r="I523" s="7">
        <v>220.41000000000076</v>
      </c>
      <c r="J523" s="7">
        <v>120.23000000000002</v>
      </c>
      <c r="K523" s="7">
        <v>200.38000000000011</v>
      </c>
      <c r="L523" s="7">
        <v>160.29999999999973</v>
      </c>
      <c r="M523" s="7">
        <v>160.30999999999995</v>
      </c>
      <c r="N523" s="7">
        <v>200.36999999999989</v>
      </c>
      <c r="O523" s="7">
        <v>200.38000000000011</v>
      </c>
      <c r="P523" s="7">
        <v>240.44999999999982</v>
      </c>
      <c r="Q523" s="7">
        <v>160.30999999999995</v>
      </c>
      <c r="R523" s="7">
        <v>280.52999999999975</v>
      </c>
      <c r="S523" s="7">
        <v>200.36999999999989</v>
      </c>
      <c r="T523" s="7">
        <v>200.38000000000011</v>
      </c>
      <c r="U523" s="7">
        <v>200.38000000000011</v>
      </c>
      <c r="V523" s="7">
        <v>0</v>
      </c>
      <c r="W523" s="9">
        <f t="shared" si="54"/>
        <v>4007.56</v>
      </c>
      <c r="X523" s="9"/>
      <c r="Y523" s="9"/>
      <c r="Z523" s="9"/>
      <c r="AA523" s="9">
        <f t="shared" si="55"/>
        <v>4007.56</v>
      </c>
      <c r="AB523" s="7" t="e">
        <f>W523-#REF!</f>
        <v>#REF!</v>
      </c>
      <c r="AC523" s="12"/>
      <c r="AD523" s="12"/>
      <c r="AE523" s="12"/>
      <c r="AF523" s="12"/>
      <c r="AG523" s="13"/>
      <c r="AH523" s="13"/>
      <c r="AI523" s="13"/>
      <c r="AJ523" s="13"/>
    </row>
    <row r="524" spans="1:37" s="1" customFormat="1" x14ac:dyDescent="0.25">
      <c r="A524">
        <v>106</v>
      </c>
      <c r="B524">
        <v>80</v>
      </c>
      <c r="C524">
        <f t="shared" si="53"/>
        <v>80</v>
      </c>
      <c r="D524" s="1" t="s">
        <v>55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6264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9">
        <f t="shared" si="54"/>
        <v>6264</v>
      </c>
      <c r="X524" s="9"/>
      <c r="Y524" s="9"/>
      <c r="Z524" s="9"/>
      <c r="AA524" s="9">
        <f t="shared" si="55"/>
        <v>6264</v>
      </c>
      <c r="AB524" s="7" t="e">
        <f>W524-#REF!</f>
        <v>#REF!</v>
      </c>
      <c r="AC524" s="12"/>
      <c r="AD524" s="12"/>
      <c r="AE524" s="12"/>
      <c r="AF524" s="12"/>
      <c r="AG524" s="13"/>
      <c r="AH524" s="13"/>
      <c r="AI524" s="13"/>
      <c r="AJ524" s="13"/>
    </row>
    <row r="525" spans="1:37" s="1" customFormat="1" x14ac:dyDescent="0.25">
      <c r="A525">
        <v>107</v>
      </c>
      <c r="B525">
        <v>80</v>
      </c>
      <c r="C525">
        <f t="shared" si="53"/>
        <v>80</v>
      </c>
      <c r="D525" s="1" t="s">
        <v>56</v>
      </c>
      <c r="E525" s="7">
        <v>614.53</v>
      </c>
      <c r="F525" s="7">
        <v>68.289999999999964</v>
      </c>
      <c r="G525" s="7">
        <v>56.899999999999864</v>
      </c>
      <c r="H525" s="7">
        <v>91.039999999999964</v>
      </c>
      <c r="I525" s="7">
        <v>125.18000000000029</v>
      </c>
      <c r="J525" s="7">
        <v>68.289999999999964</v>
      </c>
      <c r="K525" s="7">
        <v>113.79999999999973</v>
      </c>
      <c r="L525" s="7">
        <v>91.039999999999964</v>
      </c>
      <c r="M525" s="7">
        <v>91.050000000000182</v>
      </c>
      <c r="N525" s="7">
        <v>113.79999999999973</v>
      </c>
      <c r="O525" s="7">
        <v>113.79999999999973</v>
      </c>
      <c r="P525" s="7">
        <v>136.55999999999995</v>
      </c>
      <c r="Q525" s="7">
        <v>91.050000000000182</v>
      </c>
      <c r="R525" s="7">
        <v>159.32000000000016</v>
      </c>
      <c r="S525" s="7">
        <v>113.79999999999973</v>
      </c>
      <c r="T525" s="7">
        <v>113.80999999999995</v>
      </c>
      <c r="U525" s="7">
        <v>113.79999999999973</v>
      </c>
      <c r="V525" s="7">
        <v>0</v>
      </c>
      <c r="W525" s="9">
        <f t="shared" si="54"/>
        <v>2276.059999999999</v>
      </c>
      <c r="X525" s="9"/>
      <c r="Y525" s="9"/>
      <c r="Z525" s="9"/>
      <c r="AA525" s="9">
        <f t="shared" si="55"/>
        <v>2276.059999999999</v>
      </c>
      <c r="AB525" s="7" t="e">
        <f>W525-#REF!</f>
        <v>#REF!</v>
      </c>
      <c r="AC525" s="12"/>
      <c r="AD525" s="12"/>
      <c r="AE525" s="12"/>
      <c r="AF525" s="12"/>
      <c r="AG525" s="13"/>
      <c r="AH525" s="13"/>
      <c r="AI525" s="13"/>
      <c r="AJ525" s="13"/>
    </row>
    <row r="526" spans="1:37" s="1" customFormat="1" x14ac:dyDescent="0.25">
      <c r="A526">
        <v>111</v>
      </c>
      <c r="B526">
        <v>80</v>
      </c>
      <c r="C526">
        <f t="shared" si="53"/>
        <v>80</v>
      </c>
      <c r="D526" s="1" t="s">
        <v>60</v>
      </c>
      <c r="E526" s="7">
        <v>330.99</v>
      </c>
      <c r="F526" s="7">
        <v>36.769999999999982</v>
      </c>
      <c r="G526" s="7">
        <v>30.659999999999968</v>
      </c>
      <c r="H526" s="7">
        <v>49.019999999999982</v>
      </c>
      <c r="I526" s="7">
        <v>67.429999999999836</v>
      </c>
      <c r="J526" s="7">
        <v>36.779999999999973</v>
      </c>
      <c r="K526" s="7">
        <v>61.289999999999964</v>
      </c>
      <c r="L526" s="7">
        <v>49.029999999999973</v>
      </c>
      <c r="M526" s="7">
        <v>49.040000000000191</v>
      </c>
      <c r="N526" s="7">
        <v>61.289999999999964</v>
      </c>
      <c r="O526" s="7">
        <v>61.299999999999955</v>
      </c>
      <c r="P526" s="7">
        <v>73.549999999999955</v>
      </c>
      <c r="Q526" s="7">
        <v>49.040000000000191</v>
      </c>
      <c r="R526" s="7">
        <v>85.800000000000182</v>
      </c>
      <c r="S526" s="7">
        <v>61.299999999999955</v>
      </c>
      <c r="T526" s="7">
        <v>61.289999999999964</v>
      </c>
      <c r="U526" s="7">
        <v>61.299999999999955</v>
      </c>
      <c r="V526" s="7">
        <v>0</v>
      </c>
      <c r="W526" s="9">
        <f t="shared" si="54"/>
        <v>1225.8800000000001</v>
      </c>
      <c r="X526" s="9"/>
      <c r="Y526" s="9"/>
      <c r="Z526" s="9"/>
      <c r="AA526" s="9">
        <f t="shared" si="55"/>
        <v>1225.8800000000001</v>
      </c>
      <c r="AB526" s="7" t="e">
        <f>W526-#REF!</f>
        <v>#REF!</v>
      </c>
      <c r="AC526" s="12"/>
      <c r="AD526" s="12"/>
      <c r="AE526" s="12"/>
      <c r="AF526" s="12"/>
      <c r="AG526" s="13"/>
      <c r="AH526" s="13"/>
      <c r="AI526" s="13"/>
      <c r="AJ526" s="13"/>
    </row>
    <row r="527" spans="1:37" s="1" customFormat="1" x14ac:dyDescent="0.25">
      <c r="A527">
        <v>112</v>
      </c>
      <c r="B527">
        <v>80</v>
      </c>
      <c r="C527">
        <f t="shared" si="53"/>
        <v>80</v>
      </c>
      <c r="D527" s="1" t="s">
        <v>62</v>
      </c>
      <c r="E527" s="7">
        <v>1727.25</v>
      </c>
      <c r="F527" s="7">
        <v>191.92000000000007</v>
      </c>
      <c r="G527" s="7">
        <v>159.92999999999984</v>
      </c>
      <c r="H527" s="7">
        <v>255.88999999999942</v>
      </c>
      <c r="I527" s="7">
        <v>351.85000000000036</v>
      </c>
      <c r="J527" s="7">
        <v>191.90999999999985</v>
      </c>
      <c r="K527" s="7">
        <v>319.86999999999989</v>
      </c>
      <c r="L527" s="7">
        <v>255.88999999999942</v>
      </c>
      <c r="M527" s="7">
        <v>255.8799999999992</v>
      </c>
      <c r="N527" s="7">
        <v>319.85999999999967</v>
      </c>
      <c r="O527" s="7">
        <v>319.86999999999989</v>
      </c>
      <c r="P527" s="7">
        <v>383.82999999999993</v>
      </c>
      <c r="Q527" s="7">
        <v>255.88999999999942</v>
      </c>
      <c r="R527" s="7">
        <v>447.80999999999949</v>
      </c>
      <c r="S527" s="7">
        <v>319.85999999999967</v>
      </c>
      <c r="T527" s="7">
        <v>319.85999999999967</v>
      </c>
      <c r="U527" s="7">
        <v>319.85999999999967</v>
      </c>
      <c r="V527" s="7">
        <v>0</v>
      </c>
      <c r="W527" s="9">
        <f t="shared" si="54"/>
        <v>6397.229999999995</v>
      </c>
      <c r="X527" s="9"/>
      <c r="Y527" s="9"/>
      <c r="Z527" s="9"/>
      <c r="AA527" s="9">
        <f t="shared" si="55"/>
        <v>6397.229999999995</v>
      </c>
      <c r="AB527" s="7" t="e">
        <f>W527-#REF!</f>
        <v>#REF!</v>
      </c>
      <c r="AC527" s="12"/>
      <c r="AD527" s="12"/>
      <c r="AE527" s="12"/>
      <c r="AF527" s="12"/>
      <c r="AG527" s="13"/>
      <c r="AH527" s="13"/>
      <c r="AI527" s="13"/>
      <c r="AJ527" s="13"/>
      <c r="AK527"/>
    </row>
    <row r="528" spans="1:37" s="1" customFormat="1" x14ac:dyDescent="0.25">
      <c r="A528">
        <v>115</v>
      </c>
      <c r="B528">
        <v>80</v>
      </c>
      <c r="C528">
        <f t="shared" si="53"/>
        <v>80</v>
      </c>
      <c r="D528" s="1" t="s">
        <v>65</v>
      </c>
      <c r="E528" s="7">
        <v>6096.619999999999</v>
      </c>
      <c r="F528" s="7">
        <v>677.39999999999964</v>
      </c>
      <c r="G528" s="7">
        <v>564.5</v>
      </c>
      <c r="H528" s="7">
        <v>903.20999999999913</v>
      </c>
      <c r="I528" s="7">
        <v>1241.8999999999978</v>
      </c>
      <c r="J528" s="7">
        <v>677.39999999999964</v>
      </c>
      <c r="K528" s="7">
        <v>1129</v>
      </c>
      <c r="L528" s="7">
        <v>903.20999999999913</v>
      </c>
      <c r="M528" s="7">
        <v>903.20000000000073</v>
      </c>
      <c r="N528" s="7">
        <v>1129</v>
      </c>
      <c r="O528" s="7">
        <v>1129.0099999999984</v>
      </c>
      <c r="P528" s="7">
        <v>1354.7999999999993</v>
      </c>
      <c r="Q528" s="7">
        <v>903.20999999999913</v>
      </c>
      <c r="R528" s="7">
        <v>1580.6000000000058</v>
      </c>
      <c r="S528" s="7">
        <v>1129</v>
      </c>
      <c r="T528" s="7">
        <v>1129.0099999999984</v>
      </c>
      <c r="U528" s="7">
        <v>1129</v>
      </c>
      <c r="V528" s="7">
        <v>0</v>
      </c>
      <c r="W528" s="9">
        <f t="shared" si="54"/>
        <v>22580.069999999996</v>
      </c>
      <c r="X528" s="9"/>
      <c r="Y528" s="9"/>
      <c r="Z528" s="9"/>
      <c r="AA528" s="9">
        <f t="shared" si="55"/>
        <v>22580.069999999996</v>
      </c>
      <c r="AB528" s="7" t="e">
        <f>W528-#REF!</f>
        <v>#REF!</v>
      </c>
      <c r="AC528" s="12"/>
      <c r="AD528" s="12"/>
      <c r="AE528" s="12"/>
      <c r="AF528" s="12"/>
      <c r="AG528" s="13"/>
      <c r="AH528" s="13"/>
      <c r="AI528" s="13"/>
      <c r="AJ528" s="13"/>
      <c r="AK528"/>
    </row>
    <row r="529" spans="1:37" s="1" customFormat="1" x14ac:dyDescent="0.25">
      <c r="A529">
        <v>122</v>
      </c>
      <c r="B529">
        <v>80</v>
      </c>
      <c r="C529">
        <f t="shared" si="53"/>
        <v>80</v>
      </c>
      <c r="D529" s="1" t="s">
        <v>68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972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9">
        <f t="shared" si="54"/>
        <v>972</v>
      </c>
      <c r="X529" s="9"/>
      <c r="Y529" s="9"/>
      <c r="Z529" s="9"/>
      <c r="AA529" s="9">
        <f t="shared" si="55"/>
        <v>972</v>
      </c>
      <c r="AB529" s="7" t="e">
        <f>W529-#REF!</f>
        <v>#REF!</v>
      </c>
      <c r="AC529" s="12"/>
      <c r="AD529" s="12"/>
      <c r="AE529" s="12"/>
      <c r="AF529" s="12"/>
      <c r="AG529" s="13"/>
      <c r="AH529" s="13"/>
      <c r="AI529" s="13"/>
      <c r="AJ529" s="13"/>
      <c r="AK529"/>
    </row>
    <row r="530" spans="1:37" s="1" customFormat="1" x14ac:dyDescent="0.25">
      <c r="A530">
        <v>928</v>
      </c>
      <c r="B530">
        <v>83</v>
      </c>
      <c r="C530">
        <f t="shared" si="53"/>
        <v>83</v>
      </c>
      <c r="D530" s="1" t="s">
        <v>293</v>
      </c>
      <c r="E530" s="7">
        <v>4131.8200000000006</v>
      </c>
      <c r="F530" s="7">
        <v>459.07999999999993</v>
      </c>
      <c r="G530" s="7">
        <v>382.57999999999993</v>
      </c>
      <c r="H530" s="7">
        <v>612.1200000000008</v>
      </c>
      <c r="I530" s="7">
        <v>841.65999999999985</v>
      </c>
      <c r="J530" s="7">
        <v>459.10000000000036</v>
      </c>
      <c r="K530" s="7">
        <v>765.14999999999782</v>
      </c>
      <c r="L530" s="7">
        <v>612.11000000000058</v>
      </c>
      <c r="M530" s="7">
        <v>612.13000000000102</v>
      </c>
      <c r="N530" s="7">
        <v>765.14999999999782</v>
      </c>
      <c r="O530" s="7">
        <v>765.14999999999782</v>
      </c>
      <c r="P530" s="7">
        <v>918.17999999999665</v>
      </c>
      <c r="Q530" s="7">
        <v>612.1200000000008</v>
      </c>
      <c r="R530" s="7">
        <v>1071.1999999999971</v>
      </c>
      <c r="S530" s="7">
        <v>765.15999999999985</v>
      </c>
      <c r="T530" s="7">
        <v>765.14999999999782</v>
      </c>
      <c r="U530" s="7">
        <v>765.14999999999782</v>
      </c>
      <c r="V530" s="7">
        <v>0</v>
      </c>
      <c r="W530" s="9">
        <f t="shared" si="54"/>
        <v>15303.009999999986</v>
      </c>
      <c r="X530" s="9"/>
      <c r="Y530" s="9"/>
      <c r="Z530" s="9"/>
      <c r="AA530" s="9">
        <f t="shared" si="55"/>
        <v>15303.009999999986</v>
      </c>
      <c r="AB530" s="7" t="e">
        <f>W530-#REF!</f>
        <v>#REF!</v>
      </c>
      <c r="AC530" s="12"/>
      <c r="AD530" s="12"/>
      <c r="AE530" s="12"/>
      <c r="AF530" s="12"/>
      <c r="AG530" s="13"/>
      <c r="AH530" s="13"/>
      <c r="AI530" s="13"/>
      <c r="AJ530" s="13"/>
      <c r="AK530"/>
    </row>
    <row r="531" spans="1:37" s="1" customFormat="1" x14ac:dyDescent="0.25">
      <c r="A531">
        <v>991</v>
      </c>
      <c r="B531">
        <v>83</v>
      </c>
      <c r="C531">
        <f t="shared" si="53"/>
        <v>83</v>
      </c>
      <c r="D531" s="1" t="s">
        <v>297</v>
      </c>
      <c r="E531" s="7">
        <v>35262.17</v>
      </c>
      <c r="F531" s="7">
        <v>3918.0200000000041</v>
      </c>
      <c r="G531" s="7">
        <v>3265.0100000000093</v>
      </c>
      <c r="H531" s="7">
        <v>5224.0299999999988</v>
      </c>
      <c r="I531" s="7">
        <v>7183.039999999979</v>
      </c>
      <c r="J531" s="7">
        <v>3918.0200000000041</v>
      </c>
      <c r="K531" s="7">
        <v>6530.0299999999988</v>
      </c>
      <c r="L531" s="7">
        <v>5224.0299999999988</v>
      </c>
      <c r="M531" s="7">
        <v>5224.0200000000041</v>
      </c>
      <c r="N531" s="7">
        <v>6530.0299999999988</v>
      </c>
      <c r="O531" s="7">
        <v>6530.039999999979</v>
      </c>
      <c r="P531" s="7">
        <v>7836.0299999999988</v>
      </c>
      <c r="Q531" s="7">
        <v>5224.0299999999988</v>
      </c>
      <c r="R531" s="7">
        <v>9142.039999999979</v>
      </c>
      <c r="S531" s="7">
        <v>6530.039999999979</v>
      </c>
      <c r="T531" s="7">
        <v>6530.0299999999988</v>
      </c>
      <c r="U531" s="7">
        <v>6530.0299999999988</v>
      </c>
      <c r="V531" s="7">
        <v>0</v>
      </c>
      <c r="W531" s="9">
        <f t="shared" si="54"/>
        <v>130600.63999999993</v>
      </c>
      <c r="X531" s="9"/>
      <c r="Y531" s="9"/>
      <c r="Z531" s="9"/>
      <c r="AA531" s="9">
        <f t="shared" si="55"/>
        <v>130600.63999999993</v>
      </c>
      <c r="AB531" s="7" t="e">
        <f>W531-#REF!</f>
        <v>#REF!</v>
      </c>
      <c r="AC531" s="12"/>
      <c r="AD531" s="12"/>
      <c r="AE531" s="12"/>
      <c r="AF531" s="12"/>
      <c r="AG531" s="13"/>
      <c r="AH531" s="13"/>
      <c r="AI531" s="13"/>
      <c r="AJ531" s="13"/>
      <c r="AK531"/>
    </row>
    <row r="532" spans="1:37" s="1" customFormat="1" x14ac:dyDescent="0.25">
      <c r="A532">
        <v>7652</v>
      </c>
      <c r="B532">
        <v>84</v>
      </c>
      <c r="C532">
        <f t="shared" si="53"/>
        <v>84</v>
      </c>
      <c r="D532" s="1" t="s">
        <v>541</v>
      </c>
      <c r="E532" s="7">
        <v>0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4881.6399999999994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9">
        <f t="shared" si="54"/>
        <v>4881.6399999999994</v>
      </c>
      <c r="X532" s="9"/>
      <c r="Y532" s="9"/>
      <c r="Z532" s="9"/>
      <c r="AA532" s="9">
        <f t="shared" si="55"/>
        <v>4881.6399999999994</v>
      </c>
      <c r="AB532" s="7" t="e">
        <f>W532-#REF!</f>
        <v>#REF!</v>
      </c>
      <c r="AC532" s="12"/>
      <c r="AD532" s="12"/>
      <c r="AE532" s="12"/>
      <c r="AF532" s="12"/>
      <c r="AG532" s="13"/>
      <c r="AH532" s="13"/>
      <c r="AI532" s="13"/>
      <c r="AJ532" s="13"/>
      <c r="AK532"/>
    </row>
  </sheetData>
  <sortState ref="A7:AC530">
    <sortCondition ref="C7:C530"/>
    <sortCondition ref="A7:A530"/>
  </sortState>
  <mergeCells count="1">
    <mergeCell ref="AH3:AJ3"/>
  </mergeCells>
  <printOptions gridLines="1"/>
  <pageMargins left="0.2" right="0.2" top="0.25" bottom="0.25" header="0.3" footer="0.3"/>
  <pageSetup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Tax Shift Payback</vt:lpstr>
      <vt:lpstr>COMBINED AID AND TAX SHIFT </vt:lpstr>
      <vt:lpstr>'COMBINED AID AND TAX SHIFT '!Print_Area</vt:lpstr>
      <vt:lpstr>'COMBINED AID AND TAX SHIFT '!Print_Titles</vt:lpstr>
      <vt:lpstr>'Tax Shift Payback'!Print_Titles</vt:lpstr>
      <vt:lpstr>'Tax Shift Payback'!ShiftCY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Impact of Shift Buyback by District 10-17-13</dc:title>
  <dc:creator>Minnesota Department of Education</dc:creator>
  <cp:lastModifiedBy>Biringer, Catherine</cp:lastModifiedBy>
  <cp:lastPrinted>2013-10-16T17:47:57Z</cp:lastPrinted>
  <dcterms:created xsi:type="dcterms:W3CDTF">2013-10-08T16:15:17Z</dcterms:created>
  <dcterms:modified xsi:type="dcterms:W3CDTF">2013-10-17T19:51:18Z</dcterms:modified>
</cp:coreProperties>
</file>