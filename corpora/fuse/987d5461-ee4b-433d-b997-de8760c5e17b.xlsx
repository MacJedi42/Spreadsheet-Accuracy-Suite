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4790" windowHeight="7935"/>
  </bookViews>
  <sheets>
    <sheet name="3.2.4.1" sheetId="4" r:id="rId1"/>
  </sheets>
  <calcPr calcId="125725"/>
</workbook>
</file>

<file path=xl/calcChain.xml><?xml version="1.0" encoding="utf-8"?>
<calcChain xmlns="http://schemas.openxmlformats.org/spreadsheetml/2006/main">
  <c r="F2" i="4"/>
  <c r="G2"/>
  <c r="H2"/>
  <c r="I2"/>
  <c r="J2"/>
  <c r="K2"/>
  <c r="L2"/>
  <c r="M2"/>
</calcChain>
</file>

<file path=xl/sharedStrings.xml><?xml version="1.0" encoding="utf-8"?>
<sst xmlns="http://schemas.openxmlformats.org/spreadsheetml/2006/main" count="16" uniqueCount="16">
  <si>
    <r>
      <t>Fuente:</t>
    </r>
    <r>
      <rPr>
        <sz val="9"/>
        <rFont val="Univers"/>
      </rPr>
      <t xml:space="preserve"> Elaboración Fundación Encuentro a partir de datos INE.</t>
    </r>
  </si>
  <si>
    <t xml:space="preserve">  Alimentos y bebidas no alcohólicas</t>
  </si>
  <si>
    <t xml:space="preserve">  Bebidas alcohólicas y tabaco</t>
  </si>
  <si>
    <t xml:space="preserve">  Vestido y calzado</t>
  </si>
  <si>
    <t xml:space="preserve">  Vivienda</t>
  </si>
  <si>
    <t xml:space="preserve">  Menaje</t>
  </si>
  <si>
    <t xml:space="preserve">  Medicina</t>
  </si>
  <si>
    <t xml:space="preserve">  Transporte</t>
  </si>
  <si>
    <t xml:space="preserve">  Comunicaciones</t>
  </si>
  <si>
    <t xml:space="preserve">  Ocio y cultura</t>
  </si>
  <si>
    <t xml:space="preserve">  Enseñanza</t>
  </si>
  <si>
    <t xml:space="preserve">  Hoteles, cafés y restaurantes</t>
  </si>
  <si>
    <t xml:space="preserve">  Otros</t>
  </si>
  <si>
    <t>General</t>
  </si>
  <si>
    <r>
      <t xml:space="preserve">Nota: </t>
    </r>
    <r>
      <rPr>
        <sz val="9"/>
        <rFont val="Univers"/>
      </rPr>
      <t>Datos a diciembre de cada año. De 1993 a 2001 están calculados con Base 1992=100. De 2002 a 2012 con Base 2011=100.</t>
    </r>
  </si>
  <si>
    <t>3.2.4.1 - Evolución del Índice de Precios de Consumo por grupos. En números índice. 1990-2012</t>
  </si>
</sst>
</file>

<file path=xl/styles.xml><?xml version="1.0" encoding="utf-8"?>
<styleSheet xmlns="http://schemas.openxmlformats.org/spreadsheetml/2006/main">
  <numFmts count="1">
    <numFmt numFmtId="168" formatCode="#,##0.0"/>
  </numFmts>
  <fonts count="7">
    <font>
      <sz val="8"/>
      <name val="Univers"/>
    </font>
    <font>
      <sz val="8"/>
      <name val="Univers"/>
    </font>
    <font>
      <b/>
      <sz val="8"/>
      <name val="Univers"/>
    </font>
    <font>
      <b/>
      <sz val="9"/>
      <name val="Univers"/>
      <family val="2"/>
    </font>
    <font>
      <sz val="8"/>
      <name val="Univers"/>
      <family val="2"/>
    </font>
    <font>
      <sz val="9"/>
      <name val="Univers"/>
    </font>
    <font>
      <b/>
      <sz val="9"/>
      <name val="Univers"/>
    </font>
  </fonts>
  <fills count="4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</fills>
  <borders count="9">
    <border>
      <left/>
      <right/>
      <top/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/>
      <bottom/>
      <diagonal/>
    </border>
    <border>
      <left style="medium">
        <color indexed="23"/>
      </left>
      <right/>
      <top style="medium">
        <color indexed="23"/>
      </top>
      <bottom/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/>
      <right style="medium">
        <color indexed="23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Fill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/>
    </xf>
    <xf numFmtId="3" fontId="2" fillId="2" borderId="1" xfId="0" applyNumberFormat="1" applyFont="1" applyFill="1" applyBorder="1" applyAlignment="1" applyProtection="1">
      <alignment vertical="center"/>
    </xf>
    <xf numFmtId="0" fontId="6" fillId="0" borderId="0" xfId="0" applyFont="1" applyAlignment="1">
      <alignment vertical="top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3" fillId="0" borderId="0" xfId="0" applyFont="1" applyAlignment="1">
      <alignment vertical="center"/>
    </xf>
    <xf numFmtId="0" fontId="4" fillId="2" borderId="4" xfId="0" applyFont="1" applyFill="1" applyBorder="1" applyAlignment="1" applyProtection="1">
      <alignment horizontal="left" vertical="center" wrapText="1" indent="1"/>
    </xf>
    <xf numFmtId="0" fontId="1" fillId="0" borderId="0" xfId="0" applyFont="1"/>
    <xf numFmtId="0" fontId="4" fillId="2" borderId="5" xfId="0" applyFont="1" applyFill="1" applyBorder="1" applyAlignment="1" applyProtection="1">
      <alignment horizontal="left" vertical="center" wrapText="1" indent="1"/>
    </xf>
    <xf numFmtId="0" fontId="1" fillId="2" borderId="4" xfId="0" applyFont="1" applyFill="1" applyBorder="1" applyAlignment="1" applyProtection="1">
      <alignment horizontal="left" vertical="center" wrapText="1" indent="1"/>
    </xf>
    <xf numFmtId="168" fontId="4" fillId="3" borderId="6" xfId="0" applyNumberFormat="1" applyFont="1" applyFill="1" applyBorder="1" applyAlignment="1" applyProtection="1">
      <alignment vertical="center"/>
    </xf>
    <xf numFmtId="168" fontId="4" fillId="3" borderId="7" xfId="0" applyNumberFormat="1" applyFont="1" applyFill="1" applyBorder="1" applyAlignment="1" applyProtection="1">
      <alignment vertical="center"/>
    </xf>
    <xf numFmtId="168" fontId="1" fillId="3" borderId="0" xfId="0" applyNumberFormat="1" applyFont="1" applyFill="1" applyBorder="1" applyAlignment="1" applyProtection="1">
      <alignment vertical="center"/>
    </xf>
    <xf numFmtId="168" fontId="1" fillId="3" borderId="8" xfId="0" applyNumberFormat="1" applyFont="1" applyFill="1" applyBorder="1" applyAlignment="1" applyProtection="1">
      <alignment vertical="center"/>
    </xf>
    <xf numFmtId="168" fontId="4" fillId="3" borderId="0" xfId="0" applyNumberFormat="1" applyFont="1" applyFill="1" applyBorder="1" applyAlignment="1" applyProtection="1">
      <alignment vertical="center"/>
    </xf>
    <xf numFmtId="168" fontId="4" fillId="3" borderId="8" xfId="0" applyNumberFormat="1" applyFont="1" applyFill="1" applyBorder="1" applyAlignment="1" applyProtection="1">
      <alignment vertical="center"/>
    </xf>
    <xf numFmtId="168" fontId="2" fillId="2" borderId="2" xfId="0" applyNumberFormat="1" applyFont="1" applyFill="1" applyBorder="1" applyAlignment="1" applyProtection="1">
      <alignment vertical="center"/>
    </xf>
    <xf numFmtId="168" fontId="2" fillId="2" borderId="3" xfId="0" applyNumberFormat="1" applyFont="1" applyFill="1" applyBorder="1" applyAlignment="1" applyProtection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Border="1" applyAlignment="1">
      <alignment vertical="top"/>
    </xf>
    <xf numFmtId="0" fontId="6" fillId="0" borderId="6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>
      <selection activeCell="A15" sqref="A15"/>
    </sheetView>
  </sheetViews>
  <sheetFormatPr baseColWidth="10" defaultRowHeight="11.25"/>
  <cols>
    <col min="1" max="1" width="35.83203125" customWidth="1"/>
    <col min="2" max="24" width="8.83203125" customWidth="1"/>
  </cols>
  <sheetData>
    <row r="1" spans="1:24" ht="15" customHeight="1" thickBot="1">
      <c r="A1" s="20" t="s">
        <v>15</v>
      </c>
      <c r="B1" s="20"/>
      <c r="C1" s="20"/>
      <c r="D1" s="20"/>
      <c r="E1" s="20"/>
      <c r="F1" s="20"/>
      <c r="G1" s="20"/>
      <c r="H1" s="20"/>
      <c r="I1" s="7"/>
      <c r="J1" s="7"/>
      <c r="K1" s="7"/>
      <c r="L1" s="7"/>
      <c r="M1" s="7"/>
    </row>
    <row r="2" spans="1:24" ht="12" customHeight="1" thickBot="1">
      <c r="A2" s="1"/>
      <c r="B2" s="2">
        <v>1990</v>
      </c>
      <c r="C2" s="5">
        <v>1991</v>
      </c>
      <c r="D2" s="5">
        <v>1992</v>
      </c>
      <c r="E2" s="5">
        <v>1993</v>
      </c>
      <c r="F2" s="5">
        <f>+E2+1</f>
        <v>1994</v>
      </c>
      <c r="G2" s="5">
        <f t="shared" ref="G2:L2" si="0">+F2+1</f>
        <v>1995</v>
      </c>
      <c r="H2" s="5">
        <f t="shared" si="0"/>
        <v>1996</v>
      </c>
      <c r="I2" s="5">
        <f t="shared" si="0"/>
        <v>1997</v>
      </c>
      <c r="J2" s="5">
        <f t="shared" si="0"/>
        <v>1998</v>
      </c>
      <c r="K2" s="5">
        <f t="shared" si="0"/>
        <v>1999</v>
      </c>
      <c r="L2" s="5">
        <f t="shared" si="0"/>
        <v>2000</v>
      </c>
      <c r="M2" s="5">
        <f>+L2+1</f>
        <v>2001</v>
      </c>
      <c r="N2" s="5">
        <v>2002</v>
      </c>
      <c r="O2" s="5">
        <v>2003</v>
      </c>
      <c r="P2" s="5">
        <v>2004</v>
      </c>
      <c r="Q2" s="5">
        <v>2005</v>
      </c>
      <c r="R2" s="5">
        <v>2006</v>
      </c>
      <c r="S2" s="5">
        <v>2007</v>
      </c>
      <c r="T2" s="5">
        <v>2008</v>
      </c>
      <c r="U2" s="5">
        <v>2009</v>
      </c>
      <c r="V2" s="5">
        <v>2010</v>
      </c>
      <c r="W2" s="5">
        <v>2011</v>
      </c>
      <c r="X2" s="6">
        <v>2012</v>
      </c>
    </row>
    <row r="3" spans="1:24" ht="12" customHeight="1">
      <c r="A3" s="10" t="s">
        <v>1</v>
      </c>
      <c r="B3" s="12"/>
      <c r="C3" s="12"/>
      <c r="D3" s="12"/>
      <c r="E3" s="12">
        <v>105.289</v>
      </c>
      <c r="F3" s="12">
        <v>109.986</v>
      </c>
      <c r="G3" s="12">
        <v>114.298</v>
      </c>
      <c r="H3" s="12">
        <v>116.608</v>
      </c>
      <c r="I3" s="12">
        <v>117.086</v>
      </c>
      <c r="J3" s="12">
        <v>117.664</v>
      </c>
      <c r="K3" s="12">
        <v>119.917</v>
      </c>
      <c r="L3" s="12">
        <v>123.708</v>
      </c>
      <c r="M3" s="12">
        <v>130.97900000000001</v>
      </c>
      <c r="N3" s="12">
        <v>80.036000000000001</v>
      </c>
      <c r="O3" s="12">
        <v>83.281999999999996</v>
      </c>
      <c r="P3" s="12">
        <v>85.816999999999993</v>
      </c>
      <c r="Q3" s="12">
        <v>89.394000000000005</v>
      </c>
      <c r="R3" s="12">
        <v>92.233000000000004</v>
      </c>
      <c r="S3" s="12">
        <v>98.338999999999999</v>
      </c>
      <c r="T3" s="12">
        <v>100.69</v>
      </c>
      <c r="U3" s="12">
        <v>98.296000000000006</v>
      </c>
      <c r="V3" s="12">
        <v>98.995999999999995</v>
      </c>
      <c r="W3" s="12">
        <v>101.102</v>
      </c>
      <c r="X3" s="13">
        <v>104.163</v>
      </c>
    </row>
    <row r="4" spans="1:24" s="9" customFormat="1" ht="12" customHeight="1">
      <c r="A4" s="11" t="s">
        <v>2</v>
      </c>
      <c r="B4" s="14"/>
      <c r="C4" s="14"/>
      <c r="D4" s="14"/>
      <c r="E4" s="14">
        <v>109.792</v>
      </c>
      <c r="F4" s="14">
        <v>119.517</v>
      </c>
      <c r="G4" s="14">
        <v>131.602</v>
      </c>
      <c r="H4" s="14">
        <v>146.05099999999999</v>
      </c>
      <c r="I4" s="14">
        <v>161.334</v>
      </c>
      <c r="J4" s="14">
        <v>163.05799999999999</v>
      </c>
      <c r="K4" s="14">
        <v>172.76599999999999</v>
      </c>
      <c r="L4" s="14">
        <v>179.351</v>
      </c>
      <c r="M4" s="14">
        <v>186.904</v>
      </c>
      <c r="N4" s="14">
        <v>59.234000000000002</v>
      </c>
      <c r="O4" s="14">
        <v>60.884</v>
      </c>
      <c r="P4" s="14">
        <v>64.227999999999994</v>
      </c>
      <c r="Q4" s="14">
        <v>67.504999999999995</v>
      </c>
      <c r="R4" s="14">
        <v>68.478999999999999</v>
      </c>
      <c r="S4" s="14">
        <v>72.635999999999996</v>
      </c>
      <c r="T4" s="14">
        <v>75.501999999999995</v>
      </c>
      <c r="U4" s="14">
        <v>85.096000000000004</v>
      </c>
      <c r="V4" s="14">
        <v>98.036000000000001</v>
      </c>
      <c r="W4" s="14">
        <v>102.117</v>
      </c>
      <c r="X4" s="15">
        <v>107.61799999999999</v>
      </c>
    </row>
    <row r="5" spans="1:24" s="9" customFormat="1" ht="12" customHeight="1">
      <c r="A5" s="11" t="s">
        <v>3</v>
      </c>
      <c r="B5" s="14"/>
      <c r="C5" s="14"/>
      <c r="D5" s="14"/>
      <c r="E5" s="14">
        <v>105.473</v>
      </c>
      <c r="F5" s="14">
        <v>108.169</v>
      </c>
      <c r="G5" s="14">
        <v>111.333</v>
      </c>
      <c r="H5" s="14">
        <v>113.855</v>
      </c>
      <c r="I5" s="14">
        <v>116.071</v>
      </c>
      <c r="J5" s="14">
        <v>118.798</v>
      </c>
      <c r="K5" s="14">
        <v>121.203</v>
      </c>
      <c r="L5" s="14">
        <v>123.93899999999999</v>
      </c>
      <c r="M5" s="14">
        <v>127.91</v>
      </c>
      <c r="N5" s="14">
        <v>99.58</v>
      </c>
      <c r="O5" s="14">
        <v>102.024</v>
      </c>
      <c r="P5" s="14">
        <v>104.176</v>
      </c>
      <c r="Q5" s="14">
        <v>105.66800000000001</v>
      </c>
      <c r="R5" s="14">
        <v>107.021</v>
      </c>
      <c r="S5" s="14">
        <v>108.258</v>
      </c>
      <c r="T5" s="14">
        <v>108.836</v>
      </c>
      <c r="U5" s="14">
        <v>107.93600000000001</v>
      </c>
      <c r="V5" s="14">
        <v>108.571</v>
      </c>
      <c r="W5" s="14">
        <v>108.91800000000001</v>
      </c>
      <c r="X5" s="15">
        <v>109.197</v>
      </c>
    </row>
    <row r="6" spans="1:24" s="9" customFormat="1" ht="12" customHeight="1">
      <c r="A6" s="11" t="s">
        <v>4</v>
      </c>
      <c r="B6" s="14"/>
      <c r="C6" s="14"/>
      <c r="D6" s="14"/>
      <c r="E6" s="14">
        <v>108.96</v>
      </c>
      <c r="F6" s="14">
        <v>114.111</v>
      </c>
      <c r="G6" s="14">
        <v>120.21899999999999</v>
      </c>
      <c r="H6" s="14">
        <v>125.395</v>
      </c>
      <c r="I6" s="14">
        <v>129.41300000000001</v>
      </c>
      <c r="J6" s="14">
        <v>130.43600000000001</v>
      </c>
      <c r="K6" s="14">
        <v>134.28</v>
      </c>
      <c r="L6" s="14">
        <v>140.44</v>
      </c>
      <c r="M6" s="14">
        <v>142.94900000000001</v>
      </c>
      <c r="N6" s="14">
        <v>67.924000000000007</v>
      </c>
      <c r="O6" s="14">
        <v>69.855999999999995</v>
      </c>
      <c r="P6" s="14">
        <v>72.739999999999995</v>
      </c>
      <c r="Q6" s="14">
        <v>77.096999999999994</v>
      </c>
      <c r="R6" s="14">
        <v>80.908000000000001</v>
      </c>
      <c r="S6" s="14">
        <v>84.766000000000005</v>
      </c>
      <c r="T6" s="14">
        <v>89.784999999999997</v>
      </c>
      <c r="U6" s="14">
        <v>90.51</v>
      </c>
      <c r="V6" s="14">
        <v>95.683999999999997</v>
      </c>
      <c r="W6" s="14">
        <v>101.20399999999999</v>
      </c>
      <c r="X6" s="15">
        <v>106.917</v>
      </c>
    </row>
    <row r="7" spans="1:24" ht="12" customHeight="1">
      <c r="A7" s="8" t="s">
        <v>5</v>
      </c>
      <c r="B7" s="16"/>
      <c r="C7" s="16"/>
      <c r="D7" s="16"/>
      <c r="E7" s="16">
        <v>105.02</v>
      </c>
      <c r="F7" s="16">
        <v>107.074</v>
      </c>
      <c r="G7" s="16">
        <v>111.523</v>
      </c>
      <c r="H7" s="16">
        <v>115.571</v>
      </c>
      <c r="I7" s="16">
        <v>117.20099999999999</v>
      </c>
      <c r="J7" s="16">
        <v>119.764</v>
      </c>
      <c r="K7" s="16">
        <v>122.05500000000001</v>
      </c>
      <c r="L7" s="16">
        <v>125.742</v>
      </c>
      <c r="M7" s="16">
        <v>129.26599999999999</v>
      </c>
      <c r="N7" s="16">
        <v>85.938999999999993</v>
      </c>
      <c r="O7" s="16">
        <v>87.432000000000002</v>
      </c>
      <c r="P7" s="16">
        <v>88.962999999999994</v>
      </c>
      <c r="Q7" s="16">
        <v>90.894999999999996</v>
      </c>
      <c r="R7" s="16">
        <v>93.295000000000002</v>
      </c>
      <c r="S7" s="16">
        <v>95.656000000000006</v>
      </c>
      <c r="T7" s="16">
        <v>98.168999999999997</v>
      </c>
      <c r="U7" s="16">
        <v>98.956000000000003</v>
      </c>
      <c r="V7" s="16">
        <v>99.91</v>
      </c>
      <c r="W7" s="16">
        <v>101.04300000000001</v>
      </c>
      <c r="X7" s="17">
        <v>102.23</v>
      </c>
    </row>
    <row r="8" spans="1:24" ht="12" customHeight="1">
      <c r="A8" s="8" t="s">
        <v>6</v>
      </c>
      <c r="B8" s="16"/>
      <c r="C8" s="16"/>
      <c r="D8" s="16"/>
      <c r="E8" s="16">
        <v>105.444</v>
      </c>
      <c r="F8" s="16">
        <v>108.95099999999999</v>
      </c>
      <c r="G8" s="16">
        <v>112.669</v>
      </c>
      <c r="H8" s="16">
        <v>116.315</v>
      </c>
      <c r="I8" s="16">
        <v>118.961</v>
      </c>
      <c r="J8" s="16">
        <v>122.883</v>
      </c>
      <c r="K8" s="16">
        <v>125.121</v>
      </c>
      <c r="L8" s="16">
        <v>128.03700000000001</v>
      </c>
      <c r="M8" s="16">
        <v>131.46799999999999</v>
      </c>
      <c r="N8" s="16">
        <v>100.387</v>
      </c>
      <c r="O8" s="16">
        <v>102.38800000000001</v>
      </c>
      <c r="P8" s="16">
        <v>102.625</v>
      </c>
      <c r="Q8" s="16">
        <v>103.35</v>
      </c>
      <c r="R8" s="16">
        <v>105.062</v>
      </c>
      <c r="S8" s="16">
        <v>102.877</v>
      </c>
      <c r="T8" s="16">
        <v>103.199</v>
      </c>
      <c r="U8" s="16">
        <v>101.86499999999999</v>
      </c>
      <c r="V8" s="16">
        <v>100.613</v>
      </c>
      <c r="W8" s="16">
        <v>97.77</v>
      </c>
      <c r="X8" s="17">
        <v>110.753</v>
      </c>
    </row>
    <row r="9" spans="1:24" ht="12" customHeight="1">
      <c r="A9" s="8" t="s">
        <v>7</v>
      </c>
      <c r="B9" s="16"/>
      <c r="C9" s="16"/>
      <c r="D9" s="16"/>
      <c r="E9" s="16">
        <v>109.699</v>
      </c>
      <c r="F9" s="16">
        <v>115.461</v>
      </c>
      <c r="G9" s="16">
        <v>120.78</v>
      </c>
      <c r="H9" s="16">
        <v>126.032</v>
      </c>
      <c r="I9" s="16">
        <v>127.59</v>
      </c>
      <c r="J9" s="16">
        <v>125.649</v>
      </c>
      <c r="K9" s="16">
        <v>132.959</v>
      </c>
      <c r="L9" s="16">
        <v>141.33500000000001</v>
      </c>
      <c r="M9" s="16">
        <v>137.19200000000001</v>
      </c>
      <c r="N9" s="16">
        <v>72.311000000000007</v>
      </c>
      <c r="O9" s="16">
        <v>73.046000000000006</v>
      </c>
      <c r="P9" s="16">
        <v>77.462000000000003</v>
      </c>
      <c r="Q9" s="16">
        <v>82.269000000000005</v>
      </c>
      <c r="R9" s="16">
        <v>83.768000000000001</v>
      </c>
      <c r="S9" s="16">
        <v>89.698999999999998</v>
      </c>
      <c r="T9" s="16">
        <v>84.692999999999998</v>
      </c>
      <c r="U9" s="16">
        <v>87.978999999999999</v>
      </c>
      <c r="V9" s="16">
        <v>96.111999999999995</v>
      </c>
      <c r="W9" s="16">
        <v>100.801</v>
      </c>
      <c r="X9" s="17">
        <v>103.92100000000001</v>
      </c>
    </row>
    <row r="10" spans="1:24" ht="12" customHeight="1">
      <c r="A10" s="8" t="s">
        <v>8</v>
      </c>
      <c r="B10" s="16"/>
      <c r="C10" s="16"/>
      <c r="D10" s="16"/>
      <c r="E10" s="16">
        <v>107.28700000000001</v>
      </c>
      <c r="F10" s="16">
        <v>122.876</v>
      </c>
      <c r="G10" s="16">
        <v>123.907</v>
      </c>
      <c r="H10" s="16">
        <v>123.848</v>
      </c>
      <c r="I10" s="16">
        <v>123.554</v>
      </c>
      <c r="J10" s="16">
        <v>130.93600000000001</v>
      </c>
      <c r="K10" s="16">
        <v>126.744</v>
      </c>
      <c r="L10" s="16">
        <v>122.95099999999999</v>
      </c>
      <c r="M10" s="16">
        <v>119.78400000000001</v>
      </c>
      <c r="N10" s="16">
        <v>105.432</v>
      </c>
      <c r="O10" s="16">
        <v>105.22</v>
      </c>
      <c r="P10" s="16">
        <v>104.50700000000001</v>
      </c>
      <c r="Q10" s="16">
        <v>102.768</v>
      </c>
      <c r="R10" s="16">
        <v>101.232</v>
      </c>
      <c r="S10" s="16">
        <v>102.012</v>
      </c>
      <c r="T10" s="16">
        <v>101.715</v>
      </c>
      <c r="U10" s="16">
        <v>101.38</v>
      </c>
      <c r="V10" s="16">
        <v>100.64700000000001</v>
      </c>
      <c r="W10" s="16">
        <v>99.061000000000007</v>
      </c>
      <c r="X10" s="17">
        <v>96.400999999999996</v>
      </c>
    </row>
    <row r="11" spans="1:24" ht="12" customHeight="1">
      <c r="A11" s="8" t="s">
        <v>9</v>
      </c>
      <c r="B11" s="16"/>
      <c r="C11" s="16"/>
      <c r="D11" s="16"/>
      <c r="E11" s="16">
        <v>105.771</v>
      </c>
      <c r="F11" s="16">
        <v>108.88</v>
      </c>
      <c r="G11" s="16">
        <v>112.995</v>
      </c>
      <c r="H11" s="16">
        <v>116.36499999999999</v>
      </c>
      <c r="I11" s="16">
        <v>119.086</v>
      </c>
      <c r="J11" s="16">
        <v>121.848</v>
      </c>
      <c r="K11" s="16">
        <v>122.752</v>
      </c>
      <c r="L11" s="16">
        <v>129.04300000000001</v>
      </c>
      <c r="M11" s="16">
        <v>134.626</v>
      </c>
      <c r="N11" s="16">
        <v>102.702</v>
      </c>
      <c r="O11" s="16">
        <v>102.827</v>
      </c>
      <c r="P11" s="16">
        <v>102.73399999999999</v>
      </c>
      <c r="Q11" s="16">
        <v>103.39400000000001</v>
      </c>
      <c r="R11" s="16">
        <v>102.813</v>
      </c>
      <c r="S11" s="16">
        <v>101.979</v>
      </c>
      <c r="T11" s="16">
        <v>102.26</v>
      </c>
      <c r="U11" s="16">
        <v>101.114</v>
      </c>
      <c r="V11" s="16">
        <v>100.01900000000001</v>
      </c>
      <c r="W11" s="16">
        <v>101.355</v>
      </c>
      <c r="X11" s="17">
        <v>102.142</v>
      </c>
    </row>
    <row r="12" spans="1:24" ht="12" customHeight="1">
      <c r="A12" s="8" t="s">
        <v>10</v>
      </c>
      <c r="B12" s="16"/>
      <c r="C12" s="16"/>
      <c r="D12" s="16"/>
      <c r="E12" s="16">
        <v>117.42100000000001</v>
      </c>
      <c r="F12" s="16">
        <v>127.11799999999999</v>
      </c>
      <c r="G12" s="16">
        <v>135.82</v>
      </c>
      <c r="H12" s="16">
        <v>142.489</v>
      </c>
      <c r="I12" s="16">
        <v>149.06100000000001</v>
      </c>
      <c r="J12" s="16">
        <v>155.297</v>
      </c>
      <c r="K12" s="16">
        <v>161.83199999999999</v>
      </c>
      <c r="L12" s="16">
        <v>170.70400000000001</v>
      </c>
      <c r="M12" s="16">
        <v>177.71100000000001</v>
      </c>
      <c r="N12" s="16">
        <v>73.905000000000001</v>
      </c>
      <c r="O12" s="16">
        <v>77.11</v>
      </c>
      <c r="P12" s="16">
        <v>80.337999999999994</v>
      </c>
      <c r="Q12" s="16">
        <v>83.623999999999995</v>
      </c>
      <c r="R12" s="16">
        <v>87.31</v>
      </c>
      <c r="S12" s="16">
        <v>90.864999999999995</v>
      </c>
      <c r="T12" s="16">
        <v>94.477999999999994</v>
      </c>
      <c r="U12" s="16">
        <v>97.009</v>
      </c>
      <c r="V12" s="16">
        <v>99.209000000000003</v>
      </c>
      <c r="W12" s="16">
        <v>101.985</v>
      </c>
      <c r="X12" s="17">
        <v>112.71899999999999</v>
      </c>
    </row>
    <row r="13" spans="1:24" ht="12" customHeight="1">
      <c r="A13" s="8" t="s">
        <v>11</v>
      </c>
      <c r="B13" s="16"/>
      <c r="C13" s="16"/>
      <c r="D13" s="16"/>
      <c r="E13" s="16">
        <v>108.86199999999999</v>
      </c>
      <c r="F13" s="16">
        <v>113.598</v>
      </c>
      <c r="G13" s="16">
        <v>118.684</v>
      </c>
      <c r="H13" s="16">
        <v>122.539</v>
      </c>
      <c r="I13" s="16">
        <v>126.30500000000001</v>
      </c>
      <c r="J13" s="16">
        <v>130.59700000000001</v>
      </c>
      <c r="K13" s="16">
        <v>135.58699999999999</v>
      </c>
      <c r="L13" s="16">
        <v>141.76</v>
      </c>
      <c r="M13" s="16">
        <v>148.483</v>
      </c>
      <c r="N13" s="16">
        <v>74.573999999999998</v>
      </c>
      <c r="O13" s="16">
        <v>77.596000000000004</v>
      </c>
      <c r="P13" s="16">
        <v>80.837000000000003</v>
      </c>
      <c r="Q13" s="16">
        <v>84.281000000000006</v>
      </c>
      <c r="R13" s="16">
        <v>87.978999999999999</v>
      </c>
      <c r="S13" s="16">
        <v>92.286000000000001</v>
      </c>
      <c r="T13" s="16">
        <v>96.022999999999996</v>
      </c>
      <c r="U13" s="16">
        <v>97.198999999999998</v>
      </c>
      <c r="V13" s="16">
        <v>98.85</v>
      </c>
      <c r="W13" s="16">
        <v>100.01900000000001</v>
      </c>
      <c r="X13" s="17">
        <v>100.792</v>
      </c>
    </row>
    <row r="14" spans="1:24" ht="12" customHeight="1" thickBot="1">
      <c r="A14" s="8" t="s">
        <v>12</v>
      </c>
      <c r="B14" s="16"/>
      <c r="C14" s="16"/>
      <c r="D14" s="16"/>
      <c r="E14" s="16">
        <v>109.738</v>
      </c>
      <c r="F14" s="16">
        <v>113.495</v>
      </c>
      <c r="G14" s="16">
        <v>118.77200000000001</v>
      </c>
      <c r="H14" s="16">
        <v>121.063</v>
      </c>
      <c r="I14" s="16">
        <v>124.072</v>
      </c>
      <c r="J14" s="16">
        <v>128.58500000000001</v>
      </c>
      <c r="K14" s="16">
        <v>133.398</v>
      </c>
      <c r="L14" s="16">
        <v>139.03299999999999</v>
      </c>
      <c r="M14" s="16">
        <v>143.90799999999999</v>
      </c>
      <c r="N14" s="16">
        <v>76.991</v>
      </c>
      <c r="O14" s="16">
        <v>79.372</v>
      </c>
      <c r="P14" s="16">
        <v>81.617999999999995</v>
      </c>
      <c r="Q14" s="16">
        <v>84.382999999999996</v>
      </c>
      <c r="R14" s="16">
        <v>87.637</v>
      </c>
      <c r="S14" s="16">
        <v>90.256</v>
      </c>
      <c r="T14" s="16">
        <v>93.441000000000003</v>
      </c>
      <c r="U14" s="16">
        <v>95.409000000000006</v>
      </c>
      <c r="V14" s="16">
        <v>98.1</v>
      </c>
      <c r="W14" s="16">
        <v>100.705</v>
      </c>
      <c r="X14" s="17">
        <v>104.002</v>
      </c>
    </row>
    <row r="15" spans="1:24" ht="12" customHeight="1" thickBot="1">
      <c r="A15" s="3" t="s">
        <v>13</v>
      </c>
      <c r="B15" s="18"/>
      <c r="C15" s="18"/>
      <c r="D15" s="18"/>
      <c r="E15" s="18">
        <v>107.262</v>
      </c>
      <c r="F15" s="18">
        <v>111.914</v>
      </c>
      <c r="G15" s="18">
        <v>116.748</v>
      </c>
      <c r="H15" s="18">
        <v>120.497</v>
      </c>
      <c r="I15" s="18">
        <v>122.925</v>
      </c>
      <c r="J15" s="18">
        <v>124.65300000000001</v>
      </c>
      <c r="K15" s="18">
        <v>128.29</v>
      </c>
      <c r="L15" s="18">
        <v>133.36600000000001</v>
      </c>
      <c r="M15" s="18">
        <v>136.97800000000001</v>
      </c>
      <c r="N15" s="18">
        <v>80.007000000000005</v>
      </c>
      <c r="O15" s="18">
        <v>82.09</v>
      </c>
      <c r="P15" s="18">
        <v>84.739000000000004</v>
      </c>
      <c r="Q15" s="18">
        <v>87.903999999999996</v>
      </c>
      <c r="R15" s="18">
        <v>90.248000000000005</v>
      </c>
      <c r="S15" s="18">
        <v>94.057000000000002</v>
      </c>
      <c r="T15" s="18">
        <v>95.405000000000001</v>
      </c>
      <c r="U15" s="18">
        <v>96.162999999999997</v>
      </c>
      <c r="V15" s="18">
        <v>99.036000000000001</v>
      </c>
      <c r="W15" s="18">
        <v>101.39100000000001</v>
      </c>
      <c r="X15" s="19">
        <v>104.298</v>
      </c>
    </row>
    <row r="16" spans="1:24" ht="12" customHeight="1">
      <c r="A16" s="22" t="s">
        <v>14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4"/>
      <c r="M16" s="4"/>
      <c r="N16" s="4"/>
      <c r="O16" s="4"/>
      <c r="P16" s="4"/>
      <c r="Q16" s="4"/>
      <c r="R16" s="4"/>
      <c r="S16" s="4"/>
      <c r="T16" s="4"/>
    </row>
    <row r="17" spans="1:4" ht="12">
      <c r="A17" s="21" t="s">
        <v>0</v>
      </c>
      <c r="B17" s="21"/>
      <c r="C17" s="21"/>
      <c r="D17" s="21"/>
    </row>
  </sheetData>
  <mergeCells count="3">
    <mergeCell ref="A1:H1"/>
    <mergeCell ref="A17:D17"/>
    <mergeCell ref="A16:K16"/>
  </mergeCells>
  <phoneticPr fontId="0" type="noConversion"/>
  <pageMargins left="0.75" right="0.75" top="1" bottom="1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3.2.4.1</vt:lpstr>
    </vt:vector>
  </TitlesOfParts>
  <Company>Fundación Encuentro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 Chueca</cp:lastModifiedBy>
  <dcterms:created xsi:type="dcterms:W3CDTF">2009-02-23T12:13:20Z</dcterms:created>
  <dcterms:modified xsi:type="dcterms:W3CDTF">2013-10-01T16:06:27Z</dcterms:modified>
</cp:coreProperties>
</file>