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60" yWindow="945" windowWidth="15750" windowHeight="7230"/>
  </bookViews>
  <sheets>
    <sheet name="Form" sheetId="1" r:id="rId1"/>
    <sheet name="Payment Worksheet" sheetId="3" r:id="rId2"/>
    <sheet name="Dropdown selections" sheetId="2" state="hidden" r:id="rId3"/>
  </sheets>
  <definedNames>
    <definedName name="IncreaseType" localSheetId="2">'Dropdown selections'!$A$16:$A$23</definedName>
    <definedName name="IncreaseType">'Dropdown selections'!$A$16:$A$23</definedName>
    <definedName name="_xlnm.Print_Area" localSheetId="0">Form!$A$1:$J$100</definedName>
    <definedName name="SalaryCode">'Dropdown selections'!$A$2:$A$14</definedName>
  </definedNames>
  <calcPr calcId="145621"/>
</workbook>
</file>

<file path=xl/calcChain.xml><?xml version="1.0" encoding="utf-8"?>
<calcChain xmlns="http://schemas.openxmlformats.org/spreadsheetml/2006/main">
  <c r="I37" i="1" l="1"/>
  <c r="E38" i="1" l="1"/>
  <c r="E27" i="1"/>
  <c r="I22" i="1" l="1"/>
  <c r="I21" i="1"/>
  <c r="G10" i="3" l="1"/>
  <c r="I10" i="3" s="1"/>
  <c r="H10" i="3" s="1"/>
  <c r="G11" i="3"/>
  <c r="I11" i="3" s="1"/>
  <c r="H11" i="3" s="1"/>
  <c r="G12" i="3"/>
  <c r="I12" i="3" s="1"/>
  <c r="H12" i="3" s="1"/>
  <c r="G13" i="3"/>
  <c r="I13" i="3" s="1"/>
  <c r="H13" i="3" s="1"/>
  <c r="G14" i="3"/>
  <c r="I14" i="3" s="1"/>
  <c r="H14" i="3" s="1"/>
  <c r="G15" i="3"/>
  <c r="I15" i="3" s="1"/>
  <c r="H15" i="3" s="1"/>
  <c r="G16" i="3"/>
  <c r="I16" i="3" s="1"/>
  <c r="H16" i="3" s="1"/>
  <c r="G17" i="3"/>
  <c r="I17" i="3" s="1"/>
  <c r="H17" i="3" s="1"/>
  <c r="G18" i="3"/>
  <c r="I18" i="3" s="1"/>
  <c r="H18" i="3" s="1"/>
  <c r="G19" i="3"/>
  <c r="I19" i="3" s="1"/>
  <c r="H19" i="3" s="1"/>
  <c r="G20" i="3"/>
  <c r="I20" i="3"/>
  <c r="H20" i="3" s="1"/>
  <c r="G21" i="3"/>
  <c r="I21" i="3" s="1"/>
  <c r="H21" i="3" s="1"/>
  <c r="G22" i="3"/>
  <c r="I22" i="3" s="1"/>
  <c r="H22" i="3" s="1"/>
  <c r="G23" i="3"/>
  <c r="I23" i="3" s="1"/>
  <c r="H23" i="3" s="1"/>
  <c r="G24" i="3"/>
  <c r="I24" i="3" s="1"/>
  <c r="H24" i="3" s="1"/>
  <c r="G25" i="3"/>
  <c r="I25" i="3" s="1"/>
  <c r="H25" i="3" s="1"/>
  <c r="G26" i="3"/>
  <c r="I26" i="3" s="1"/>
  <c r="H26" i="3" s="1"/>
  <c r="G27" i="3"/>
  <c r="I27" i="3" s="1"/>
  <c r="H27" i="3" s="1"/>
  <c r="G28" i="3"/>
  <c r="I28" i="3" s="1"/>
  <c r="H28" i="3" s="1"/>
  <c r="G29" i="3"/>
  <c r="I29" i="3" s="1"/>
  <c r="H29" i="3" s="1"/>
  <c r="G30" i="3"/>
  <c r="I30" i="3" s="1"/>
  <c r="H30" i="3" s="1"/>
  <c r="G31" i="3"/>
  <c r="I31" i="3" s="1"/>
  <c r="H31" i="3" s="1"/>
  <c r="G32" i="3"/>
  <c r="I32" i="3" s="1"/>
  <c r="H32" i="3" s="1"/>
  <c r="G33" i="3"/>
  <c r="I33" i="3" s="1"/>
  <c r="H33" i="3" s="1"/>
  <c r="G34" i="3"/>
  <c r="I34" i="3" s="1"/>
  <c r="H34" i="3" s="1"/>
  <c r="D35" i="3"/>
  <c r="E35" i="3"/>
  <c r="F35" i="3"/>
  <c r="I49" i="1"/>
  <c r="I47" i="1"/>
  <c r="I45" i="1"/>
  <c r="B58" i="1" s="1"/>
  <c r="I36" i="1"/>
  <c r="I34" i="1"/>
  <c r="I33" i="1"/>
  <c r="I25" i="1"/>
  <c r="E15" i="1"/>
  <c r="I56" i="1" l="1"/>
  <c r="I55" i="1"/>
  <c r="G35" i="3"/>
  <c r="I35" i="3" s="1"/>
  <c r="H35" i="3" s="1"/>
  <c r="I38" i="1"/>
  <c r="I27" i="1"/>
  <c r="I51" i="1"/>
  <c r="I53" i="1"/>
  <c r="F58" i="1" l="1"/>
</calcChain>
</file>

<file path=xl/sharedStrings.xml><?xml version="1.0" encoding="utf-8"?>
<sst xmlns="http://schemas.openxmlformats.org/spreadsheetml/2006/main" count="146" uniqueCount="109">
  <si>
    <t>NAME:</t>
  </si>
  <si>
    <t>Enter Employee Name</t>
  </si>
  <si>
    <t>Enter Rank/Title</t>
  </si>
  <si>
    <t>Enter $$$</t>
  </si>
  <si>
    <t>Source(s):</t>
  </si>
  <si>
    <t>State:</t>
  </si>
  <si>
    <t>Non-State:</t>
  </si>
  <si>
    <t>Source of Non-State Funds:</t>
  </si>
  <si>
    <t>TOTALS:</t>
  </si>
  <si>
    <t>PROPOSED EFFECTIVE DATE:</t>
  </si>
  <si>
    <t>JUNE 30th TOTAL SALARY:</t>
  </si>
  <si>
    <t xml:space="preserve">1a - Promotion and Reallocation to a Higher-Level Class </t>
  </si>
  <si>
    <t>1b - Employee applies for a job vacancy, is selected competitively, and employee changes jobs</t>
  </si>
  <si>
    <t>3 - Retention</t>
  </si>
  <si>
    <t>4 - Career progression adjustments for demonstrated competencies</t>
  </si>
  <si>
    <t>5 - University Cancer Research Fund</t>
  </si>
  <si>
    <t>6 - Distinguished Professors Endowment Fund</t>
  </si>
  <si>
    <t>7 - Faculty Recruiting and Retention Fund</t>
  </si>
  <si>
    <t>8 - Non-State Funds Other (must explain in comments)</t>
  </si>
  <si>
    <t>9 - State Funds Other (must explain in comments)</t>
  </si>
  <si>
    <t>Base</t>
  </si>
  <si>
    <t>Stipend/Supplement</t>
  </si>
  <si>
    <t>Base and Stipend/Supplement</t>
  </si>
  <si>
    <t xml:space="preserve">Dean/Vice Chancellor Approval: </t>
  </si>
  <si>
    <t xml:space="preserve">Department / Center Head Approval: </t>
  </si>
  <si>
    <t xml:space="preserve">PERCENTAGE OF INCREASE  TO BASE:  </t>
  </si>
  <si>
    <t xml:space="preserve">AMOUNT OF INCREASE  TO BASE:  </t>
  </si>
  <si>
    <t xml:space="preserve">AMOUNT OF INCREASE  TO STIPEND:  </t>
  </si>
  <si>
    <t>TOTAL PERCENT OF SALARY INCREASE:</t>
  </si>
  <si>
    <t>CURRENT TOTAL SALARY:</t>
  </si>
  <si>
    <t xml:space="preserve">TOTAL PERCENTAGE OF BASE INCREASE FOR FISCAL YEAR: </t>
  </si>
  <si>
    <t>TOTAL AMOUNT OF BASE INCREASE FOR FISCAL YEAR:</t>
  </si>
  <si>
    <t xml:space="preserve">TOTAL PERCENTAGE INCREASE FOR FISCAL YEAR: </t>
  </si>
  <si>
    <t>Enter Date</t>
  </si>
  <si>
    <t>APPROVALS:</t>
  </si>
  <si>
    <t>RECOMMENDED TOTAL SALARY:</t>
  </si>
  <si>
    <t>EMPLOYEE TYPE:</t>
  </si>
  <si>
    <t>Enter EPA/EPA-NF/SPA</t>
  </si>
  <si>
    <t>By checking this box, the preparer certifies that all existing insitutional policies and procedures for</t>
  </si>
  <si>
    <t>OHR Use Only</t>
  </si>
  <si>
    <t>(Type Title)</t>
  </si>
  <si>
    <t>Date</t>
  </si>
  <si>
    <t>Enter School/Division</t>
  </si>
  <si>
    <t xml:space="preserve">TOTAL INCREASE AMOUNT FOR FISCAL YEAR: </t>
  </si>
  <si>
    <t>OSP compliance)</t>
  </si>
  <si>
    <t xml:space="preserve">By checking this box, the preparer certified that the appropriate Department Head and Dean, Vice Chancellor or designee have approved this </t>
  </si>
  <si>
    <t>request. If 20% or greater there are no designees and request must be approved by the relevant Dean or Vice Chancelllor.</t>
  </si>
  <si>
    <t>Employee Name:</t>
  </si>
  <si>
    <t>Proposed Effective Date of Increase:</t>
  </si>
  <si>
    <t>CURRENT BASE SALARY:</t>
  </si>
  <si>
    <t>RECOMMENDED BASE SALARY:</t>
  </si>
  <si>
    <t>JUNE 30th BASE SALARY:</t>
  </si>
  <si>
    <t>RECOMMENDED STIPENDS/SUPPLEMENTS /LUMP SUM PAYMENTS/TEMP ASSIGNMENTS:</t>
  </si>
  <si>
    <t xml:space="preserve">TOTAL AMOUNT OF STIPEND/SUPPLE. INCREASE FOR FISCAL YEAR: </t>
  </si>
  <si>
    <t>SUPPLEMENTS /LUMP SUM PAYMENTS/</t>
  </si>
  <si>
    <t>TOTAL CURRENT TO DATE STIPENDS/</t>
  </si>
  <si>
    <t>TEMP ASSIGNMENTS:</t>
  </si>
  <si>
    <t>Lump Sum Payments</t>
  </si>
  <si>
    <t>Stipends/Supplements</t>
  </si>
  <si>
    <t>Longer than 6 months (yes/no)</t>
  </si>
  <si>
    <t>Temporary Assignments (SPA)</t>
  </si>
  <si>
    <t xml:space="preserve"> BOT APPROVAL  REQUIRED</t>
  </si>
  <si>
    <t>BOG APPROVAL REQUIRED</t>
  </si>
  <si>
    <t>(Type Name)</t>
  </si>
  <si>
    <t xml:space="preserve">Prepared by: </t>
  </si>
  <si>
    <t>Department Certification:</t>
  </si>
  <si>
    <t xml:space="preserve">for employment decisions have been followed (i.e.,tenure and promotion process, employment approvals, UNC code compliance, </t>
  </si>
  <si>
    <t>Total</t>
  </si>
  <si>
    <t>Use this worksheet to calculate lump sum payments/stipends/supplements/temporary assignments.</t>
  </si>
  <si>
    <t>June 30th Total Salary:</t>
  </si>
  <si>
    <t>Effective Date(s)</t>
  </si>
  <si>
    <t>%</t>
  </si>
  <si>
    <t>Cumulative Totals Based on 6/30 Total Salary:</t>
  </si>
  <si>
    <t>Adjusted Total Salary for Indvidual Payment</t>
  </si>
  <si>
    <t>Select One (drop down)</t>
  </si>
  <si>
    <t xml:space="preserve">Lump Sum Payment </t>
  </si>
  <si>
    <t>Temporary Assignment</t>
  </si>
  <si>
    <t>Base and Lump Sum Payment</t>
  </si>
  <si>
    <t>Base and Temporary Assignment</t>
  </si>
  <si>
    <t xml:space="preserve">By checking this box, the preparer certifies that the Chancellor or the Chancellor's designee have approved this request. </t>
  </si>
  <si>
    <t>JUNE 30th STIPENDS/SUPPLEMENTS/TEMP</t>
  </si>
  <si>
    <r>
      <t xml:space="preserve">For FY 2011/12, GA pre-approval will also be required for any EPA or SPA supplemental compensation including acting pay, pay for temporary additional duties, salary supplements, stipends, or lump sum payments but only when all of the following conditions occur: 
1) the effective date of the additional work and associated compensation is 8/24/2011 (which is the date this new requirement was communicated by UNC GA to our campus) or later; 
2) the compensation is for an individual task or assignment that will exceed 6 months or greater in duration, and 
3) the cumulative amount of this and all other forms of added compensation made to the employee fiscal year-to-date exceeds 10% or greater of the employee’s June 30th total salary(base salary plus any existing supplements or stipends, </t>
    </r>
    <r>
      <rPr>
        <u/>
        <sz val="10"/>
        <color indexed="8"/>
        <rFont val="Arial Narrow"/>
        <family val="2"/>
      </rPr>
      <t>not</t>
    </r>
    <r>
      <rPr>
        <sz val="10"/>
        <color indexed="8"/>
        <rFont val="Arial Narrow"/>
        <family val="2"/>
      </rPr>
      <t xml:space="preserve"> including lump payments). 
</t>
    </r>
    <r>
      <rPr>
        <b/>
        <sz val="10"/>
        <color indexed="8"/>
        <rFont val="Arial Narrow"/>
        <family val="2"/>
      </rPr>
      <t>**This worksheet can be used to track payments. Once a payment meets the above criteria, you MUST calculate all previous payments since 6/30 (no matter the amount or duration) and use that total to calculate total percent increase.</t>
    </r>
    <r>
      <rPr>
        <sz val="10"/>
        <color indexed="8"/>
        <rFont val="Arial Narrow"/>
        <family val="2"/>
      </rPr>
      <t xml:space="preserve">
</t>
    </r>
  </si>
  <si>
    <t>To be completed by Dean's Office:</t>
  </si>
  <si>
    <t>If not applicable, enter "0" in currency field</t>
  </si>
  <si>
    <r>
      <t>ASSIGNMENTS</t>
    </r>
    <r>
      <rPr>
        <b/>
        <sz val="9"/>
        <rFont val="Arial Narrow"/>
        <family val="2"/>
      </rPr>
      <t xml:space="preserve"> (do not include lump sum pymnts):</t>
    </r>
  </si>
  <si>
    <r>
      <rPr>
        <b/>
        <sz val="10"/>
        <rFont val="Arial Narrow"/>
        <family val="2"/>
      </rPr>
      <t>(</t>
    </r>
    <r>
      <rPr>
        <b/>
        <u/>
        <sz val="10"/>
        <rFont val="Arial Narrow"/>
        <family val="2"/>
      </rPr>
      <t>post</t>
    </r>
    <r>
      <rPr>
        <b/>
        <sz val="10"/>
        <rFont val="Arial Narrow"/>
        <family val="2"/>
      </rPr>
      <t>-June 30th cumulative)</t>
    </r>
  </si>
  <si>
    <t>THE RECOMMENDED SALARY INCREASE IS APPLIED TO THE (SELECT ONE):</t>
  </si>
  <si>
    <r>
      <rPr>
        <b/>
        <sz val="10"/>
        <rFont val="Arial Narrow"/>
        <family val="2"/>
      </rPr>
      <t xml:space="preserve">Submission Instructions: </t>
    </r>
    <r>
      <rPr>
        <sz val="10"/>
        <rFont val="Arial Narrow"/>
        <family val="2"/>
      </rPr>
      <t xml:space="preserve">
For SPA Promotional Increases: Send this form to your OHR Employment Consultant
For All Other SPA Increases: Send this form to your OHR Classification and Compensation Consultant
For EPA Non-Faculty Increases: Email this form to the EPA Non-Faculty HR unit at epanfsalaryrequest@unc.edu
For Faculty Increases: Email this form to the Academic Personnel Office at apo@unc.edu; call 962-1091 with any questions.
</t>
    </r>
  </si>
  <si>
    <t>To be completed by originating unit:</t>
  </si>
  <si>
    <r>
      <t>Note</t>
    </r>
    <r>
      <rPr>
        <sz val="9"/>
        <rFont val="Arial Narrow"/>
        <family val="2"/>
      </rPr>
      <t>:  Sources of Non-State Funds are usually grants, trust funds, endowments, medical faculty practice plan, etc.</t>
    </r>
  </si>
  <si>
    <t>To be completed by OHR or Provost's Office as appropriate:</t>
  </si>
  <si>
    <t>SCHOOL/DIVISION &amp; DEPT:</t>
  </si>
  <si>
    <t>Enter New Rank/Title if appicable</t>
  </si>
  <si>
    <t>REASON FOR INCREASE:</t>
  </si>
  <si>
    <t>Enter Reason for Increase</t>
  </si>
  <si>
    <t>NEW RANK/TITLE: (If applicable)</t>
  </si>
  <si>
    <t>CURRENT RANK/TITLE/SPACLASS TITLE:</t>
  </si>
  <si>
    <t>REASON CODE (SELECT ONE):</t>
  </si>
  <si>
    <t>(IF APPLICABLE) TOTAL PERCENTAGE INCREASE FOR FTE CONVERSION:</t>
  </si>
  <si>
    <t xml:space="preserve">(IF APPLICABLE) TOTAL INCREASE AMOUNT FOR FTE CONVERSION: </t>
  </si>
  <si>
    <t>Enter #</t>
  </si>
  <si>
    <t>2a - Adjustment related to an increase in job duties or responsibilities</t>
  </si>
  <si>
    <t>10 - Conversion in appointment period without other adjustments (i.e., 9 to 12 month conversion)</t>
  </si>
  <si>
    <t>2b - Temporary adjustment related to an increase in job duties or responsibilities; salary will revert when temporary duties cease</t>
  </si>
  <si>
    <r>
      <t>JUSTIFICATION:Enter brief justification here (PLEASE NOTE IF THE INCREASE IS TO THE BASE SALARY OR IS AN INCREASE TO THE STIPEND/SUPPLEMENT/LUMP SUM PAYMENTS/TEMPORARY ASSIGNMENTS). Note</t>
    </r>
    <r>
      <rPr>
        <sz val="8"/>
        <rFont val="Arial Narrow"/>
        <family val="2"/>
      </rPr>
      <t>: Any EPA increase 10% or greater requires BOG approval, must attach memorandum on official letterhead addressing justification specifics.</t>
    </r>
  </si>
  <si>
    <t xml:space="preserve">CURRENT FTE </t>
  </si>
  <si>
    <t xml:space="preserve">NEW FTE </t>
  </si>
  <si>
    <t xml:space="preserve"> VC OHR/EVC &amp; Provost approval (when required): </t>
  </si>
  <si>
    <t>AMOUNT OF INCREASE DUE TO FTE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</si>
</sst>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
    <numFmt numFmtId="165" formatCode="&quot;$&quot;#,##0.00"/>
  </numFmts>
  <fonts count="15" x14ac:knownFonts="1">
    <font>
      <sz val="11"/>
      <color theme="1"/>
      <name val="Calibri"/>
      <family val="2"/>
      <scheme val="minor"/>
    </font>
    <font>
      <sz val="10"/>
      <name val="Arial Narrow"/>
      <family val="2"/>
    </font>
    <font>
      <b/>
      <sz val="9"/>
      <name val="Arial Narrow"/>
      <family val="2"/>
    </font>
    <font>
      <sz val="9"/>
      <name val="Arial Narrow"/>
      <family val="2"/>
    </font>
    <font>
      <sz val="8"/>
      <name val="Arial Narrow"/>
      <family val="2"/>
    </font>
    <font>
      <b/>
      <sz val="8"/>
      <name val="Arial Narrow"/>
      <family val="2"/>
    </font>
    <font>
      <b/>
      <sz val="10"/>
      <color indexed="8"/>
      <name val="Arial Narrow"/>
      <family val="2"/>
    </font>
    <font>
      <b/>
      <sz val="9"/>
      <color indexed="8"/>
      <name val="Arial Narrow"/>
      <family val="2"/>
    </font>
    <font>
      <b/>
      <u/>
      <sz val="9"/>
      <name val="Arial Narrow"/>
      <family val="2"/>
    </font>
    <font>
      <b/>
      <u/>
      <sz val="12"/>
      <name val="Arial Narrow"/>
      <family val="2"/>
    </font>
    <font>
      <b/>
      <u/>
      <sz val="10"/>
      <name val="Arial Narrow"/>
      <family val="2"/>
    </font>
    <font>
      <sz val="10"/>
      <color indexed="8"/>
      <name val="Arial Narrow"/>
      <family val="2"/>
    </font>
    <font>
      <b/>
      <sz val="12"/>
      <color indexed="8"/>
      <name val="Arial Narrow"/>
      <family val="2"/>
    </font>
    <font>
      <b/>
      <sz val="10"/>
      <name val="Arial Narrow"/>
      <family val="2"/>
    </font>
    <font>
      <u/>
      <sz val="10"/>
      <color indexed="8"/>
      <name val="Arial Narrow"/>
      <family val="2"/>
    </font>
  </fonts>
  <fills count="11">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11"/>
        <bgColor indexed="64"/>
      </patternFill>
    </fill>
    <fill>
      <patternFill patternType="solid">
        <fgColor indexed="27"/>
        <bgColor indexed="64"/>
      </patternFill>
    </fill>
    <fill>
      <patternFill patternType="solid">
        <fgColor indexed="46"/>
        <bgColor indexed="64"/>
      </patternFill>
    </fill>
    <fill>
      <patternFill patternType="solid">
        <fgColor indexed="13"/>
        <bgColor indexed="64"/>
      </patternFill>
    </fill>
    <fill>
      <patternFill patternType="solid">
        <fgColor indexed="45"/>
        <bgColor indexed="64"/>
      </patternFill>
    </fill>
    <fill>
      <patternFill patternType="solid">
        <fgColor indexed="42"/>
        <bgColor indexed="64"/>
      </patternFill>
    </fill>
    <fill>
      <patternFill patternType="solid">
        <fgColor rgb="FFFFFF99"/>
        <bgColor indexed="64"/>
      </patternFill>
    </fill>
  </fills>
  <borders count="25">
    <border>
      <left/>
      <right/>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top/>
      <bottom style="medium">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ck">
        <color indexed="64"/>
      </left>
      <right/>
      <top/>
      <bottom/>
      <diagonal/>
    </border>
    <border>
      <left style="thick">
        <color indexed="64"/>
      </left>
      <right/>
      <top/>
      <bottom style="medium">
        <color indexed="64"/>
      </bottom>
      <diagonal/>
    </border>
    <border>
      <left style="thick">
        <color indexed="64"/>
      </left>
      <right/>
      <top style="medium">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style="medium">
        <color indexed="64"/>
      </bottom>
      <diagonal/>
    </border>
  </borders>
  <cellStyleXfs count="1">
    <xf numFmtId="0" fontId="0" fillId="0" borderId="0"/>
  </cellStyleXfs>
  <cellXfs count="275">
    <xf numFmtId="0" fontId="0" fillId="0" borderId="0" xfId="0"/>
    <xf numFmtId="0" fontId="1" fillId="0" borderId="0" xfId="0" applyFont="1" applyProtection="1"/>
    <xf numFmtId="0" fontId="3" fillId="0" borderId="0" xfId="0" applyFont="1" applyProtection="1"/>
    <xf numFmtId="0" fontId="3" fillId="0" borderId="0" xfId="0" applyFont="1" applyBorder="1" applyProtection="1"/>
    <xf numFmtId="0" fontId="3" fillId="0" borderId="0" xfId="0" applyFont="1" applyAlignment="1" applyProtection="1">
      <alignment horizontal="center"/>
    </xf>
    <xf numFmtId="0" fontId="2" fillId="0" borderId="0" xfId="0" applyNumberFormat="1" applyFont="1" applyAlignment="1" applyProtection="1">
      <alignment horizontal="left" wrapText="1"/>
    </xf>
    <xf numFmtId="0" fontId="3" fillId="0" borderId="0" xfId="0" applyFont="1" applyBorder="1" applyAlignment="1" applyProtection="1">
      <alignment wrapText="1"/>
    </xf>
    <xf numFmtId="0" fontId="3" fillId="3" borderId="0" xfId="0" applyFont="1" applyFill="1" applyBorder="1" applyProtection="1"/>
    <xf numFmtId="164" fontId="1" fillId="2" borderId="1" xfId="0" applyNumberFormat="1" applyFont="1" applyFill="1" applyBorder="1" applyAlignment="1" applyProtection="1">
      <alignment horizontal="center"/>
      <protection locked="0"/>
    </xf>
    <xf numFmtId="0" fontId="3" fillId="4" borderId="0" xfId="0" applyFont="1" applyFill="1" applyBorder="1" applyProtection="1"/>
    <xf numFmtId="164" fontId="1" fillId="4" borderId="0" xfId="0" applyNumberFormat="1" applyFont="1" applyFill="1" applyBorder="1" applyProtection="1"/>
    <xf numFmtId="0" fontId="3" fillId="4" borderId="0" xfId="0" applyFont="1" applyFill="1" applyBorder="1" applyAlignment="1" applyProtection="1">
      <alignment horizontal="right"/>
    </xf>
    <xf numFmtId="0" fontId="3" fillId="2" borderId="0" xfId="0" applyFont="1" applyFill="1" applyBorder="1" applyAlignment="1" applyProtection="1"/>
    <xf numFmtId="0" fontId="3" fillId="2" borderId="0" xfId="0" applyFont="1" applyFill="1" applyBorder="1" applyProtection="1"/>
    <xf numFmtId="0" fontId="3" fillId="2" borderId="0" xfId="0" applyFont="1" applyFill="1" applyBorder="1" applyAlignment="1" applyProtection="1">
      <alignment horizontal="right"/>
    </xf>
    <xf numFmtId="0" fontId="3" fillId="0" borderId="0" xfId="0" applyFont="1" applyFill="1" applyBorder="1" applyAlignment="1" applyProtection="1">
      <alignment horizontal="center" wrapText="1"/>
    </xf>
    <xf numFmtId="10" fontId="1" fillId="2" borderId="1" xfId="0" applyNumberFormat="1" applyFont="1" applyFill="1" applyBorder="1" applyProtection="1"/>
    <xf numFmtId="164" fontId="1" fillId="2" borderId="1" xfId="0" applyNumberFormat="1" applyFont="1" applyFill="1" applyBorder="1" applyProtection="1"/>
    <xf numFmtId="10" fontId="1" fillId="4" borderId="1" xfId="0" applyNumberFormat="1" applyFont="1" applyFill="1" applyBorder="1" applyProtection="1"/>
    <xf numFmtId="164" fontId="1" fillId="4" borderId="1" xfId="0" applyNumberFormat="1" applyFont="1" applyFill="1" applyBorder="1" applyProtection="1"/>
    <xf numFmtId="0" fontId="1" fillId="4" borderId="0" xfId="0" applyFont="1" applyFill="1" applyBorder="1" applyProtection="1"/>
    <xf numFmtId="0" fontId="3" fillId="0" borderId="0" xfId="0" applyFont="1" applyBorder="1" applyAlignment="1" applyProtection="1">
      <alignment horizontal="left" wrapText="1"/>
    </xf>
    <xf numFmtId="0" fontId="3" fillId="0" borderId="0" xfId="0" applyFont="1" applyBorder="1" applyAlignment="1" applyProtection="1">
      <alignment horizontal="center"/>
    </xf>
    <xf numFmtId="0" fontId="3" fillId="0" borderId="0" xfId="0" applyFont="1" applyBorder="1" applyAlignment="1" applyProtection="1">
      <alignment vertical="top" wrapText="1"/>
    </xf>
    <xf numFmtId="0" fontId="1" fillId="0" borderId="0" xfId="0" applyFont="1" applyBorder="1" applyProtection="1"/>
    <xf numFmtId="0" fontId="3" fillId="0" borderId="2" xfId="0" applyFont="1" applyBorder="1" applyProtection="1"/>
    <xf numFmtId="0" fontId="2" fillId="0" borderId="0" xfId="0" applyFont="1" applyBorder="1" applyProtection="1"/>
    <xf numFmtId="0" fontId="3" fillId="0" borderId="3" xfId="0" applyFont="1" applyBorder="1" applyProtection="1"/>
    <xf numFmtId="0" fontId="3" fillId="4" borderId="3" xfId="0" applyFont="1" applyFill="1" applyBorder="1" applyProtection="1"/>
    <xf numFmtId="0" fontId="3" fillId="4" borderId="3" xfId="0" applyFont="1" applyFill="1" applyBorder="1" applyAlignment="1" applyProtection="1"/>
    <xf numFmtId="0" fontId="3" fillId="2" borderId="3" xfId="0" applyFont="1" applyFill="1" applyBorder="1" applyProtection="1"/>
    <xf numFmtId="0" fontId="1" fillId="2" borderId="0" xfId="0" applyFont="1" applyFill="1" applyBorder="1" applyProtection="1"/>
    <xf numFmtId="0" fontId="3" fillId="2" borderId="3" xfId="0" applyFont="1" applyFill="1" applyBorder="1" applyAlignment="1" applyProtection="1"/>
    <xf numFmtId="0" fontId="8" fillId="0" borderId="0" xfId="0" applyFont="1" applyBorder="1" applyProtection="1"/>
    <xf numFmtId="0" fontId="3" fillId="0" borderId="2" xfId="0" applyFont="1" applyBorder="1" applyAlignment="1" applyProtection="1">
      <alignment horizontal="left" wrapText="1"/>
    </xf>
    <xf numFmtId="0" fontId="3" fillId="0" borderId="3" xfId="0" applyFont="1" applyBorder="1" applyAlignment="1" applyProtection="1">
      <alignment vertical="top" wrapText="1"/>
    </xf>
    <xf numFmtId="0" fontId="3" fillId="0" borderId="4" xfId="0" applyFont="1" applyBorder="1" applyProtection="1"/>
    <xf numFmtId="0" fontId="3" fillId="0" borderId="5" xfId="0" applyFont="1" applyBorder="1" applyProtection="1"/>
    <xf numFmtId="0" fontId="3" fillId="0" borderId="6" xfId="0" applyFont="1" applyFill="1" applyBorder="1" applyAlignment="1" applyProtection="1">
      <alignment horizontal="center" wrapText="1"/>
    </xf>
    <xf numFmtId="1" fontId="3" fillId="2" borderId="7" xfId="0" applyNumberFormat="1" applyFont="1" applyFill="1" applyBorder="1" applyAlignment="1" applyProtection="1">
      <alignment horizontal="center"/>
      <protection locked="0"/>
    </xf>
    <xf numFmtId="0" fontId="3" fillId="0" borderId="8" xfId="0" applyFont="1" applyBorder="1" applyProtection="1"/>
    <xf numFmtId="0" fontId="3" fillId="0" borderId="4" xfId="0" applyFont="1" applyBorder="1" applyAlignment="1" applyProtection="1">
      <alignment horizontal="center"/>
    </xf>
    <xf numFmtId="0" fontId="3" fillId="0" borderId="9" xfId="0" applyFont="1" applyBorder="1" applyAlignment="1" applyProtection="1">
      <alignment horizontal="center"/>
    </xf>
    <xf numFmtId="0" fontId="3" fillId="0" borderId="5" xfId="0" applyFont="1" applyBorder="1" applyAlignment="1" applyProtection="1">
      <alignment horizontal="center"/>
    </xf>
    <xf numFmtId="0" fontId="3" fillId="4" borderId="0" xfId="0" applyFont="1" applyFill="1" applyBorder="1" applyAlignment="1" applyProtection="1"/>
    <xf numFmtId="164" fontId="1" fillId="2" borderId="10" xfId="0" applyNumberFormat="1" applyFont="1" applyFill="1" applyBorder="1" applyAlignment="1" applyProtection="1">
      <alignment horizontal="center"/>
      <protection locked="0"/>
    </xf>
    <xf numFmtId="164" fontId="1" fillId="4" borderId="10" xfId="0" applyNumberFormat="1" applyFont="1" applyFill="1" applyBorder="1" applyProtection="1"/>
    <xf numFmtId="0" fontId="2" fillId="6" borderId="0" xfId="0" applyFont="1" applyFill="1" applyBorder="1" applyAlignment="1" applyProtection="1">
      <alignment horizontal="left"/>
    </xf>
    <xf numFmtId="16" fontId="2" fillId="6" borderId="0" xfId="0" applyNumberFormat="1" applyFont="1" applyFill="1" applyBorder="1" applyAlignment="1" applyProtection="1">
      <alignment wrapText="1"/>
    </xf>
    <xf numFmtId="0" fontId="1" fillId="6" borderId="0" xfId="0" applyFont="1" applyFill="1" applyBorder="1" applyAlignment="1" applyProtection="1">
      <alignment horizontal="center"/>
    </xf>
    <xf numFmtId="0" fontId="3" fillId="6" borderId="2" xfId="0" applyFont="1" applyFill="1" applyBorder="1" applyProtection="1"/>
    <xf numFmtId="0" fontId="3" fillId="6" borderId="0" xfId="0" applyFont="1" applyFill="1" applyBorder="1" applyAlignment="1" applyProtection="1">
      <alignment horizontal="right"/>
    </xf>
    <xf numFmtId="0" fontId="3" fillId="6" borderId="0" xfId="0" applyFont="1" applyFill="1" applyBorder="1" applyProtection="1"/>
    <xf numFmtId="0" fontId="2" fillId="0" borderId="6" xfId="0" applyFont="1" applyFill="1" applyBorder="1" applyAlignment="1" applyProtection="1">
      <alignment wrapText="1"/>
    </xf>
    <xf numFmtId="0" fontId="2" fillId="0" borderId="4" xfId="0" applyFont="1" applyFill="1" applyBorder="1" applyAlignment="1" applyProtection="1"/>
    <xf numFmtId="0" fontId="2" fillId="0" borderId="9" xfId="0" applyFont="1" applyFill="1" applyBorder="1" applyAlignment="1" applyProtection="1">
      <alignment wrapText="1"/>
    </xf>
    <xf numFmtId="0" fontId="3" fillId="0" borderId="9" xfId="0" applyFont="1" applyFill="1" applyBorder="1" applyAlignment="1" applyProtection="1">
      <alignment horizontal="center" wrapText="1"/>
    </xf>
    <xf numFmtId="0" fontId="3" fillId="0" borderId="9" xfId="0" applyFont="1" applyBorder="1" applyProtection="1"/>
    <xf numFmtId="164" fontId="1" fillId="2" borderId="1" xfId="0" applyNumberFormat="1" applyFont="1" applyFill="1" applyBorder="1" applyAlignment="1" applyProtection="1">
      <alignment horizontal="center" wrapText="1"/>
      <protection locked="0"/>
    </xf>
    <xf numFmtId="0" fontId="7" fillId="0" borderId="0" xfId="0" applyFont="1" applyBorder="1" applyProtection="1"/>
    <xf numFmtId="0" fontId="3" fillId="0" borderId="2" xfId="0" applyFont="1" applyBorder="1" applyAlignment="1" applyProtection="1">
      <alignment horizontal="center"/>
    </xf>
    <xf numFmtId="0" fontId="3" fillId="3" borderId="0" xfId="0" applyFont="1" applyFill="1" applyBorder="1" applyAlignment="1" applyProtection="1">
      <alignment horizontal="center"/>
    </xf>
    <xf numFmtId="0" fontId="0" fillId="0" borderId="0" xfId="0" applyAlignment="1">
      <alignment wrapText="1"/>
    </xf>
    <xf numFmtId="0" fontId="9" fillId="0" borderId="2" xfId="0" applyFont="1" applyBorder="1" applyAlignment="1" applyProtection="1">
      <alignment horizontal="center"/>
    </xf>
    <xf numFmtId="0" fontId="9" fillId="0" borderId="0" xfId="0" applyFont="1" applyBorder="1" applyAlignment="1" applyProtection="1">
      <alignment horizontal="center"/>
    </xf>
    <xf numFmtId="0" fontId="9" fillId="0" borderId="2" xfId="0" applyFont="1" applyBorder="1" applyAlignment="1" applyProtection="1">
      <alignment horizontal="left"/>
    </xf>
    <xf numFmtId="0" fontId="11" fillId="0" borderId="0" xfId="0" applyFont="1"/>
    <xf numFmtId="0" fontId="6" fillId="0" borderId="0" xfId="0" applyFont="1" applyAlignment="1">
      <alignment horizontal="center" wrapText="1"/>
    </xf>
    <xf numFmtId="165" fontId="11" fillId="0" borderId="0" xfId="0" applyNumberFormat="1" applyFont="1"/>
    <xf numFmtId="10" fontId="11" fillId="0" borderId="0" xfId="0" applyNumberFormat="1" applyFont="1"/>
    <xf numFmtId="0" fontId="11" fillId="0" borderId="0" xfId="0" applyFont="1" applyAlignment="1">
      <alignment horizontal="left" vertical="top" wrapText="1"/>
    </xf>
    <xf numFmtId="165" fontId="11" fillId="0" borderId="9" xfId="0" applyNumberFormat="1" applyFont="1" applyBorder="1"/>
    <xf numFmtId="0" fontId="12" fillId="0" borderId="0" xfId="0" applyFont="1" applyBorder="1" applyAlignment="1">
      <alignment horizontal="right" vertical="top" wrapText="1"/>
    </xf>
    <xf numFmtId="165" fontId="12" fillId="7" borderId="0" xfId="0" applyNumberFormat="1" applyFont="1" applyFill="1"/>
    <xf numFmtId="0" fontId="12" fillId="0" borderId="0" xfId="0" applyFont="1" applyAlignment="1">
      <alignment horizontal="right"/>
    </xf>
    <xf numFmtId="165" fontId="12" fillId="0" borderId="0" xfId="0" applyNumberFormat="1" applyFont="1"/>
    <xf numFmtId="0" fontId="7" fillId="0" borderId="0" xfId="0" applyFont="1"/>
    <xf numFmtId="164" fontId="1" fillId="8" borderId="1" xfId="0" applyNumberFormat="1" applyFont="1" applyFill="1" applyBorder="1" applyProtection="1"/>
    <xf numFmtId="0" fontId="3" fillId="8" borderId="13" xfId="0" applyFont="1" applyFill="1" applyBorder="1" applyAlignment="1" applyProtection="1">
      <alignment horizontal="center"/>
    </xf>
    <xf numFmtId="0" fontId="2" fillId="8" borderId="0" xfId="0" applyFont="1" applyFill="1" applyBorder="1" applyAlignment="1" applyProtection="1">
      <alignment horizontal="left"/>
    </xf>
    <xf numFmtId="0" fontId="3" fillId="8" borderId="0" xfId="0" applyFont="1" applyFill="1" applyBorder="1" applyProtection="1"/>
    <xf numFmtId="10" fontId="1" fillId="8" borderId="10" xfId="0" applyNumberFormat="1" applyFont="1" applyFill="1" applyBorder="1" applyProtection="1"/>
    <xf numFmtId="0" fontId="3" fillId="8" borderId="14" xfId="0" applyFont="1" applyFill="1" applyBorder="1" applyProtection="1"/>
    <xf numFmtId="0" fontId="3" fillId="8" borderId="15" xfId="0" applyFont="1" applyFill="1" applyBorder="1" applyProtection="1"/>
    <xf numFmtId="0" fontId="3" fillId="3" borderId="16" xfId="0" applyFont="1" applyFill="1" applyBorder="1" applyAlignment="1" applyProtection="1">
      <alignment horizontal="center"/>
    </xf>
    <xf numFmtId="164" fontId="1" fillId="9" borderId="10" xfId="0" applyNumberFormat="1" applyFont="1" applyFill="1" applyBorder="1" applyProtection="1"/>
    <xf numFmtId="0" fontId="3" fillId="9" borderId="3" xfId="0" applyFont="1" applyFill="1" applyBorder="1" applyProtection="1"/>
    <xf numFmtId="0" fontId="3" fillId="9" borderId="0" xfId="0" applyFont="1" applyFill="1" applyBorder="1" applyAlignment="1" applyProtection="1">
      <alignment horizontal="right"/>
    </xf>
    <xf numFmtId="164" fontId="1" fillId="9" borderId="0" xfId="0" applyNumberFormat="1" applyFont="1" applyFill="1" applyBorder="1" applyProtection="1"/>
    <xf numFmtId="10" fontId="1" fillId="9" borderId="1" xfId="0" applyNumberFormat="1" applyFont="1" applyFill="1" applyBorder="1" applyAlignment="1" applyProtection="1">
      <alignment vertical="center"/>
    </xf>
    <xf numFmtId="0" fontId="2" fillId="9" borderId="18" xfId="0" applyFont="1" applyFill="1" applyBorder="1" applyAlignment="1" applyProtection="1">
      <alignment horizontal="right"/>
    </xf>
    <xf numFmtId="164" fontId="1" fillId="9" borderId="1" xfId="0" applyNumberFormat="1" applyFont="1" applyFill="1" applyBorder="1" applyAlignment="1" applyProtection="1">
      <alignment vertical="center"/>
    </xf>
    <xf numFmtId="0" fontId="3" fillId="9" borderId="15" xfId="0" applyFont="1" applyFill="1" applyBorder="1" applyProtection="1"/>
    <xf numFmtId="0" fontId="3" fillId="9" borderId="13" xfId="0" applyFont="1" applyFill="1" applyBorder="1" applyAlignment="1" applyProtection="1">
      <alignment horizontal="center"/>
    </xf>
    <xf numFmtId="0" fontId="2" fillId="9" borderId="0" xfId="0" applyFont="1" applyFill="1" applyBorder="1" applyAlignment="1" applyProtection="1">
      <alignment horizontal="left"/>
    </xf>
    <xf numFmtId="0" fontId="1" fillId="9" borderId="0" xfId="0" applyFont="1" applyFill="1" applyBorder="1" applyProtection="1"/>
    <xf numFmtId="164" fontId="1" fillId="2" borderId="1" xfId="0" applyNumberFormat="1" applyFont="1" applyFill="1" applyBorder="1" applyAlignment="1" applyProtection="1">
      <alignment horizontal="center"/>
    </xf>
    <xf numFmtId="10" fontId="11" fillId="0" borderId="0" xfId="0" applyNumberFormat="1" applyFont="1" applyProtection="1"/>
    <xf numFmtId="165" fontId="11" fillId="0" borderId="0" xfId="0" applyNumberFormat="1" applyFont="1" applyProtection="1"/>
    <xf numFmtId="10" fontId="11" fillId="0" borderId="9" xfId="0" applyNumberFormat="1" applyFont="1" applyBorder="1" applyProtection="1"/>
    <xf numFmtId="165" fontId="11" fillId="0" borderId="9" xfId="0" applyNumberFormat="1" applyFont="1" applyBorder="1" applyProtection="1"/>
    <xf numFmtId="10" fontId="12" fillId="7" borderId="0" xfId="0" applyNumberFormat="1" applyFont="1" applyFill="1" applyProtection="1"/>
    <xf numFmtId="165" fontId="12" fillId="0" borderId="0" xfId="0" applyNumberFormat="1" applyFont="1" applyFill="1" applyProtection="1"/>
    <xf numFmtId="16" fontId="2" fillId="4" borderId="19" xfId="0" applyNumberFormat="1" applyFont="1" applyFill="1" applyBorder="1" applyAlignment="1" applyProtection="1"/>
    <xf numFmtId="0" fontId="3" fillId="4" borderId="19" xfId="0" applyFont="1" applyFill="1" applyBorder="1" applyProtection="1"/>
    <xf numFmtId="0" fontId="2" fillId="2" borderId="19" xfId="0" applyFont="1" applyFill="1" applyBorder="1" applyAlignment="1" applyProtection="1"/>
    <xf numFmtId="0" fontId="3" fillId="2" borderId="19" xfId="0" applyFont="1" applyFill="1" applyBorder="1" applyProtection="1"/>
    <xf numFmtId="0" fontId="3" fillId="2" borderId="19" xfId="0" applyFont="1" applyFill="1" applyBorder="1" applyAlignment="1" applyProtection="1"/>
    <xf numFmtId="0" fontId="3" fillId="2" borderId="20" xfId="0" applyFont="1" applyFill="1" applyBorder="1" applyProtection="1"/>
    <xf numFmtId="0" fontId="3" fillId="2" borderId="9" xfId="0" applyFont="1" applyFill="1" applyBorder="1" applyProtection="1"/>
    <xf numFmtId="0" fontId="3" fillId="2" borderId="9" xfId="0" applyFont="1" applyFill="1" applyBorder="1" applyAlignment="1" applyProtection="1">
      <alignment horizontal="center"/>
    </xf>
    <xf numFmtId="164" fontId="1" fillId="2" borderId="9" xfId="0" applyNumberFormat="1" applyFont="1" applyFill="1" applyBorder="1" applyProtection="1"/>
    <xf numFmtId="0" fontId="3" fillId="2" borderId="5" xfId="0" applyFont="1" applyFill="1" applyBorder="1" applyProtection="1"/>
    <xf numFmtId="0" fontId="2" fillId="0" borderId="2" xfId="0" applyFont="1" applyFill="1" applyBorder="1" applyAlignment="1" applyProtection="1"/>
    <xf numFmtId="0" fontId="2" fillId="0" borderId="0" xfId="0" applyFont="1" applyFill="1" applyBorder="1" applyAlignment="1" applyProtection="1">
      <alignment wrapText="1"/>
    </xf>
    <xf numFmtId="49" fontId="3" fillId="0" borderId="12" xfId="0" applyNumberFormat="1" applyFont="1" applyFill="1" applyBorder="1" applyAlignment="1" applyProtection="1">
      <alignment horizontal="left"/>
      <protection locked="0"/>
    </xf>
    <xf numFmtId="0" fontId="6" fillId="0" borderId="0" xfId="0" applyFont="1" applyAlignment="1" applyProtection="1">
      <alignment horizontal="center" wrapText="1"/>
      <protection locked="0"/>
    </xf>
    <xf numFmtId="0" fontId="11" fillId="0" borderId="0" xfId="0" applyFont="1" applyProtection="1">
      <protection locked="0"/>
    </xf>
    <xf numFmtId="165" fontId="11" fillId="0" borderId="0" xfId="0" applyNumberFormat="1" applyFont="1" applyProtection="1">
      <protection locked="0"/>
    </xf>
    <xf numFmtId="0" fontId="11" fillId="0" borderId="0" xfId="0" applyFont="1" applyBorder="1" applyProtection="1">
      <protection locked="0"/>
    </xf>
    <xf numFmtId="165" fontId="11" fillId="0" borderId="9" xfId="0" applyNumberFormat="1" applyFont="1" applyBorder="1" applyProtection="1">
      <protection locked="0"/>
    </xf>
    <xf numFmtId="0" fontId="7" fillId="0" borderId="1" xfId="0" applyFont="1" applyBorder="1" applyAlignment="1" applyProtection="1">
      <protection locked="0"/>
    </xf>
    <xf numFmtId="0" fontId="3" fillId="0" borderId="1" xfId="0" applyFont="1" applyBorder="1" applyAlignment="1" applyProtection="1">
      <alignment horizontal="center"/>
      <protection locked="0"/>
    </xf>
    <xf numFmtId="0" fontId="3" fillId="0" borderId="1" xfId="0" applyFont="1" applyFill="1" applyBorder="1" applyAlignment="1" applyProtection="1">
      <alignment horizontal="center" wrapText="1"/>
      <protection locked="0"/>
    </xf>
    <xf numFmtId="0" fontId="9" fillId="0" borderId="1" xfId="0" applyFont="1" applyBorder="1" applyAlignment="1" applyProtection="1">
      <alignment horizontal="center"/>
      <protection locked="0"/>
    </xf>
    <xf numFmtId="0" fontId="3" fillId="0" borderId="1" xfId="0" applyFont="1" applyBorder="1" applyProtection="1">
      <protection locked="0"/>
    </xf>
    <xf numFmtId="0" fontId="2" fillId="0" borderId="0" xfId="0" applyFont="1" applyBorder="1" applyAlignment="1" applyProtection="1">
      <alignment horizontal="left"/>
    </xf>
    <xf numFmtId="0" fontId="2" fillId="0" borderId="3" xfId="0" applyFont="1" applyBorder="1" applyAlignment="1" applyProtection="1">
      <alignment horizontal="left"/>
    </xf>
    <xf numFmtId="0" fontId="3" fillId="0" borderId="0" xfId="0" applyFont="1" applyBorder="1" applyAlignment="1" applyProtection="1">
      <alignment horizontal="center"/>
    </xf>
    <xf numFmtId="0" fontId="3" fillId="0" borderId="3" xfId="0" applyFont="1" applyBorder="1" applyAlignment="1" applyProtection="1">
      <alignment horizontal="center"/>
    </xf>
    <xf numFmtId="0" fontId="2" fillId="0" borderId="0" xfId="0" applyFont="1" applyProtection="1"/>
    <xf numFmtId="0" fontId="3" fillId="0" borderId="3" xfId="0" applyFont="1" applyBorder="1" applyAlignment="1" applyProtection="1">
      <alignment horizontal="center"/>
    </xf>
    <xf numFmtId="0" fontId="0" fillId="0" borderId="0" xfId="0"/>
    <xf numFmtId="0" fontId="2" fillId="10" borderId="22" xfId="0" applyFont="1" applyFill="1" applyBorder="1" applyAlignment="1" applyProtection="1">
      <alignment horizontal="right"/>
    </xf>
    <xf numFmtId="0" fontId="2" fillId="10" borderId="23" xfId="0" applyFont="1" applyFill="1" applyBorder="1" applyAlignment="1" applyProtection="1">
      <alignment horizontal="right"/>
    </xf>
    <xf numFmtId="0" fontId="3" fillId="10" borderId="14" xfId="0" applyFont="1" applyFill="1" applyBorder="1" applyProtection="1"/>
    <xf numFmtId="0" fontId="3" fillId="10" borderId="24" xfId="0" applyFont="1" applyFill="1" applyBorder="1" applyProtection="1"/>
    <xf numFmtId="0" fontId="3" fillId="10" borderId="9" xfId="0" applyFont="1" applyFill="1" applyBorder="1" applyAlignment="1" applyProtection="1">
      <alignment horizontal="center"/>
    </xf>
    <xf numFmtId="0" fontId="3" fillId="10" borderId="9" xfId="0" applyFont="1" applyFill="1" applyBorder="1" applyProtection="1"/>
    <xf numFmtId="0" fontId="2" fillId="10" borderId="9" xfId="0" applyFont="1" applyFill="1" applyBorder="1" applyAlignment="1" applyProtection="1">
      <alignment horizontal="right"/>
    </xf>
    <xf numFmtId="0" fontId="3" fillId="10" borderId="5" xfId="0" applyFont="1" applyFill="1" applyBorder="1" applyProtection="1"/>
    <xf numFmtId="0" fontId="3" fillId="3" borderId="16" xfId="0" applyFont="1" applyFill="1" applyBorder="1" applyProtection="1"/>
    <xf numFmtId="0" fontId="13" fillId="4" borderId="19" xfId="0" applyFont="1" applyFill="1" applyBorder="1" applyProtection="1"/>
    <xf numFmtId="0" fontId="3" fillId="6" borderId="14" xfId="0" applyFont="1" applyFill="1" applyBorder="1" applyAlignment="1" applyProtection="1">
      <alignment horizontal="center"/>
    </xf>
    <xf numFmtId="0" fontId="2" fillId="10" borderId="0" xfId="0" applyFont="1" applyFill="1" applyBorder="1" applyAlignment="1" applyProtection="1">
      <alignment horizontal="left"/>
    </xf>
    <xf numFmtId="0" fontId="3" fillId="10" borderId="0" xfId="0" applyFont="1" applyFill="1" applyBorder="1" applyAlignment="1" applyProtection="1">
      <alignment horizontal="left"/>
    </xf>
    <xf numFmtId="164" fontId="1" fillId="10" borderId="1" xfId="0" applyNumberFormat="1" applyFont="1" applyFill="1" applyBorder="1" applyAlignment="1" applyProtection="1">
      <alignment vertical="center"/>
    </xf>
    <xf numFmtId="0" fontId="3" fillId="0" borderId="0" xfId="0" applyFont="1" applyBorder="1" applyAlignment="1" applyProtection="1">
      <alignment horizontal="center"/>
    </xf>
    <xf numFmtId="2" fontId="1" fillId="2" borderId="1" xfId="0" applyNumberFormat="1" applyFont="1" applyFill="1" applyBorder="1" applyAlignment="1" applyProtection="1">
      <alignment horizontal="center"/>
      <protection locked="0"/>
    </xf>
    <xf numFmtId="0" fontId="3" fillId="0" borderId="0" xfId="0" applyFont="1" applyBorder="1" applyAlignment="1" applyProtection="1"/>
    <xf numFmtId="0" fontId="3" fillId="0" borderId="3" xfId="0" applyFont="1" applyBorder="1" applyAlignment="1" applyProtection="1"/>
    <xf numFmtId="0" fontId="2" fillId="0" borderId="2" xfId="0" applyFont="1" applyBorder="1" applyAlignment="1" applyProtection="1"/>
    <xf numFmtId="0" fontId="2" fillId="0" borderId="0" xfId="0" applyFont="1" applyBorder="1" applyAlignment="1" applyProtection="1"/>
    <xf numFmtId="0" fontId="2" fillId="9" borderId="17" xfId="0" applyFont="1" applyFill="1" applyBorder="1" applyAlignment="1" applyProtection="1">
      <alignment horizontal="right"/>
    </xf>
    <xf numFmtId="0" fontId="2" fillId="9" borderId="0" xfId="0" applyFont="1" applyFill="1" applyBorder="1" applyAlignment="1" applyProtection="1">
      <alignment horizontal="right"/>
    </xf>
    <xf numFmtId="0" fontId="3" fillId="0" borderId="11" xfId="0" applyFont="1" applyBorder="1" applyAlignment="1" applyProtection="1">
      <alignment horizontal="center"/>
    </xf>
    <xf numFmtId="0" fontId="3" fillId="0" borderId="6" xfId="0" applyFont="1" applyBorder="1" applyAlignment="1" applyProtection="1">
      <alignment horizontal="center"/>
    </xf>
    <xf numFmtId="0" fontId="3" fillId="0" borderId="8" xfId="0" applyFont="1" applyBorder="1" applyAlignment="1" applyProtection="1">
      <alignment horizontal="center"/>
    </xf>
    <xf numFmtId="49" fontId="3" fillId="4" borderId="0" xfId="0" applyNumberFormat="1" applyFont="1" applyFill="1" applyBorder="1" applyAlignment="1" applyProtection="1">
      <alignment horizontal="left" vertical="center" indent="3"/>
    </xf>
    <xf numFmtId="0" fontId="3" fillId="0" borderId="0" xfId="0" applyFont="1" applyBorder="1" applyAlignment="1" applyProtection="1">
      <alignment vertical="top" wrapText="1"/>
    </xf>
    <xf numFmtId="0" fontId="2" fillId="0" borderId="0" xfId="0" applyFont="1" applyBorder="1" applyAlignment="1" applyProtection="1">
      <alignment horizontal="right"/>
    </xf>
    <xf numFmtId="0" fontId="2" fillId="0" borderId="2" xfId="0" applyFont="1" applyBorder="1" applyAlignment="1" applyProtection="1">
      <alignment horizontal="right"/>
    </xf>
    <xf numFmtId="0" fontId="3" fillId="2" borderId="0" xfId="0" applyFont="1" applyFill="1" applyBorder="1" applyAlignment="1" applyProtection="1">
      <alignment horizontal="center"/>
    </xf>
    <xf numFmtId="0" fontId="3" fillId="4" borderId="0" xfId="0" applyFont="1" applyFill="1" applyBorder="1" applyAlignment="1" applyProtection="1">
      <alignment horizontal="left"/>
    </xf>
    <xf numFmtId="0" fontId="2" fillId="4" borderId="0" xfId="0" applyFont="1" applyFill="1" applyBorder="1" applyAlignment="1" applyProtection="1">
      <alignment horizontal="left"/>
    </xf>
    <xf numFmtId="0" fontId="2" fillId="4" borderId="0" xfId="0" applyFont="1" applyFill="1" applyBorder="1" applyAlignment="1" applyProtection="1"/>
    <xf numFmtId="16" fontId="2" fillId="6" borderId="2" xfId="0" applyNumberFormat="1" applyFont="1" applyFill="1" applyBorder="1" applyAlignment="1" applyProtection="1">
      <alignment horizontal="left"/>
    </xf>
    <xf numFmtId="0" fontId="3" fillId="6" borderId="0" xfId="0" applyFont="1" applyFill="1" applyBorder="1" applyAlignment="1" applyProtection="1">
      <alignment horizontal="center"/>
    </xf>
    <xf numFmtId="0" fontId="3" fillId="6" borderId="3" xfId="0" applyFont="1" applyFill="1" applyBorder="1" applyAlignment="1" applyProtection="1">
      <alignment horizontal="center"/>
    </xf>
    <xf numFmtId="0" fontId="3" fillId="4" borderId="0" xfId="0" applyFont="1" applyFill="1" applyBorder="1" applyAlignment="1" applyProtection="1">
      <alignment horizontal="center"/>
    </xf>
    <xf numFmtId="2" fontId="1" fillId="10" borderId="1" xfId="0" applyNumberFormat="1" applyFont="1" applyFill="1" applyBorder="1" applyProtection="1"/>
    <xf numFmtId="1" fontId="3" fillId="0" borderId="0" xfId="0" applyNumberFormat="1" applyFont="1" applyFill="1" applyBorder="1" applyAlignment="1" applyProtection="1">
      <alignment horizontal="center"/>
    </xf>
    <xf numFmtId="0" fontId="7" fillId="6" borderId="0" xfId="0" applyFont="1" applyFill="1" applyBorder="1" applyAlignment="1" applyProtection="1"/>
    <xf numFmtId="0" fontId="7" fillId="6" borderId="2" xfId="0" applyFont="1" applyFill="1" applyBorder="1" applyAlignment="1" applyProtection="1"/>
    <xf numFmtId="0" fontId="7" fillId="6" borderId="0" xfId="0" applyFont="1" applyFill="1" applyBorder="1" applyAlignment="1" applyProtection="1">
      <alignment horizontal="right"/>
    </xf>
    <xf numFmtId="0" fontId="7" fillId="4" borderId="19" xfId="0" applyFont="1" applyFill="1" applyBorder="1" applyAlignment="1" applyProtection="1"/>
    <xf numFmtId="0" fontId="7" fillId="4" borderId="0" xfId="0" applyFont="1" applyFill="1" applyBorder="1" applyAlignment="1" applyProtection="1"/>
    <xf numFmtId="0" fontId="0" fillId="10" borderId="0" xfId="0" applyFill="1" applyBorder="1" applyAlignment="1" applyProtection="1">
      <alignment wrapText="1"/>
    </xf>
    <xf numFmtId="0" fontId="13" fillId="10" borderId="19" xfId="0" applyFont="1" applyFill="1" applyBorder="1" applyAlignment="1" applyProtection="1">
      <alignment horizontal="left"/>
    </xf>
    <xf numFmtId="0" fontId="6" fillId="10" borderId="0" xfId="0" applyFont="1" applyFill="1" applyBorder="1" applyAlignment="1" applyProtection="1">
      <alignment horizontal="left" wrapText="1"/>
    </xf>
    <xf numFmtId="49" fontId="2" fillId="0" borderId="11" xfId="0" applyNumberFormat="1" applyFont="1" applyFill="1" applyBorder="1" applyAlignment="1" applyProtection="1">
      <alignment horizontal="left"/>
    </xf>
    <xf numFmtId="49" fontId="3" fillId="0" borderId="6" xfId="0" applyNumberFormat="1" applyFont="1" applyFill="1" applyBorder="1" applyAlignment="1" applyProtection="1">
      <alignment horizontal="left"/>
    </xf>
    <xf numFmtId="49" fontId="3" fillId="0" borderId="9" xfId="0" applyNumberFormat="1" applyFont="1" applyFill="1" applyBorder="1" applyAlignment="1" applyProtection="1">
      <alignment horizontal="left"/>
    </xf>
    <xf numFmtId="49" fontId="3" fillId="0" borderId="0" xfId="0" applyNumberFormat="1" applyFont="1" applyFill="1" applyBorder="1" applyAlignment="1" applyProtection="1">
      <alignment horizontal="left"/>
    </xf>
    <xf numFmtId="0" fontId="0" fillId="0" borderId="0" xfId="0" applyBorder="1" applyAlignment="1" applyProtection="1"/>
    <xf numFmtId="0" fontId="10" fillId="0" borderId="2" xfId="0" applyNumberFormat="1" applyFont="1" applyFill="1" applyBorder="1" applyAlignment="1" applyProtection="1">
      <alignment vertical="top"/>
    </xf>
    <xf numFmtId="0" fontId="5" fillId="0"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xf>
    <xf numFmtId="0" fontId="4" fillId="0" borderId="0" xfId="0" applyNumberFormat="1" applyFont="1" applyFill="1" applyBorder="1" applyAlignment="1" applyProtection="1">
      <alignment horizontal="left" vertical="top" wrapText="1"/>
    </xf>
    <xf numFmtId="0" fontId="0" fillId="0" borderId="0" xfId="0" applyBorder="1" applyAlignment="1" applyProtection="1">
      <alignment horizontal="center"/>
    </xf>
    <xf numFmtId="0" fontId="2" fillId="0" borderId="0" xfId="0" applyFont="1" applyBorder="1" applyAlignment="1" applyProtection="1">
      <alignment horizontal="left"/>
      <protection locked="0"/>
    </xf>
    <xf numFmtId="10" fontId="1" fillId="10" borderId="23" xfId="0" applyNumberFormat="1" applyFont="1" applyFill="1" applyBorder="1" applyAlignment="1" applyProtection="1">
      <alignment vertical="center"/>
      <protection locked="0"/>
    </xf>
    <xf numFmtId="49" fontId="3" fillId="2" borderId="1" xfId="0" applyNumberFormat="1" applyFont="1" applyFill="1" applyBorder="1" applyAlignment="1" applyProtection="1">
      <alignment horizontal="left"/>
      <protection locked="0"/>
    </xf>
    <xf numFmtId="49" fontId="1" fillId="2" borderId="1" xfId="0" applyNumberFormat="1" applyFont="1" applyFill="1" applyBorder="1" applyAlignment="1" applyProtection="1">
      <alignment horizontal="left"/>
      <protection locked="0"/>
    </xf>
    <xf numFmtId="0" fontId="3" fillId="0" borderId="11" xfId="0" applyFont="1" applyBorder="1" applyAlignment="1" applyProtection="1">
      <alignment horizontal="center"/>
    </xf>
    <xf numFmtId="0" fontId="3" fillId="0" borderId="6" xfId="0" applyFont="1" applyBorder="1" applyAlignment="1" applyProtection="1">
      <alignment horizontal="center"/>
    </xf>
    <xf numFmtId="0" fontId="3" fillId="0" borderId="8" xfId="0" applyFont="1" applyBorder="1" applyAlignment="1" applyProtection="1">
      <alignment horizontal="center"/>
    </xf>
    <xf numFmtId="0" fontId="3" fillId="0" borderId="0" xfId="0" applyFont="1" applyBorder="1" applyAlignment="1" applyProtection="1">
      <alignment horizontal="left" indent="1"/>
    </xf>
    <xf numFmtId="0" fontId="3" fillId="0" borderId="0" xfId="0" applyFont="1" applyAlignment="1">
      <alignment horizontal="left" indent="1"/>
    </xf>
    <xf numFmtId="16" fontId="2" fillId="6" borderId="2" xfId="0" applyNumberFormat="1" applyFont="1" applyFill="1" applyBorder="1" applyAlignment="1" applyProtection="1">
      <alignment wrapText="1"/>
    </xf>
    <xf numFmtId="0" fontId="3" fillId="6" borderId="0" xfId="0" applyFont="1" applyFill="1" applyBorder="1" applyAlignment="1" applyProtection="1"/>
    <xf numFmtId="16" fontId="2" fillId="6" borderId="2" xfId="0" applyNumberFormat="1" applyFont="1" applyFill="1" applyBorder="1" applyAlignment="1" applyProtection="1">
      <alignment horizontal="left"/>
    </xf>
    <xf numFmtId="0" fontId="3" fillId="6" borderId="0" xfId="0" applyFont="1" applyFill="1" applyBorder="1" applyAlignment="1" applyProtection="1">
      <alignment horizontal="left"/>
    </xf>
    <xf numFmtId="0" fontId="3" fillId="6" borderId="0" xfId="0" applyFont="1" applyFill="1" applyBorder="1" applyAlignment="1" applyProtection="1">
      <alignment horizontal="center"/>
    </xf>
    <xf numFmtId="0" fontId="3" fillId="6" borderId="3" xfId="0" applyFont="1" applyFill="1" applyBorder="1" applyAlignment="1" applyProtection="1">
      <alignment horizontal="center"/>
    </xf>
    <xf numFmtId="0" fontId="2" fillId="4" borderId="0" xfId="0" applyFont="1" applyFill="1" applyBorder="1" applyAlignment="1" applyProtection="1">
      <alignment horizontal="left"/>
    </xf>
    <xf numFmtId="0" fontId="3" fillId="4" borderId="0" xfId="0" applyFont="1" applyFill="1" applyBorder="1" applyAlignment="1" applyProtection="1">
      <alignment horizontal="left"/>
    </xf>
    <xf numFmtId="0" fontId="3" fillId="6" borderId="2" xfId="0" applyFont="1" applyFill="1" applyBorder="1" applyAlignment="1" applyProtection="1">
      <alignment horizontal="center"/>
    </xf>
    <xf numFmtId="49" fontId="2" fillId="6" borderId="22" xfId="0" applyNumberFormat="1" applyFont="1" applyFill="1" applyBorder="1" applyAlignment="1" applyProtection="1">
      <alignment horizontal="left" vertical="center" wrapText="1" indent="1"/>
    </xf>
    <xf numFmtId="49" fontId="3" fillId="6" borderId="23" xfId="0" applyNumberFormat="1" applyFont="1" applyFill="1" applyBorder="1" applyAlignment="1" applyProtection="1">
      <alignment horizontal="left" vertical="center" wrapText="1" indent="1"/>
    </xf>
    <xf numFmtId="49" fontId="3" fillId="6" borderId="18" xfId="0" applyNumberFormat="1" applyFont="1" applyFill="1" applyBorder="1" applyAlignment="1" applyProtection="1">
      <alignment horizontal="left" vertical="center" wrapText="1" indent="1"/>
    </xf>
    <xf numFmtId="49" fontId="3" fillId="6" borderId="1" xfId="0" applyNumberFormat="1" applyFont="1" applyFill="1" applyBorder="1" applyAlignment="1" applyProtection="1">
      <alignment horizontal="left" vertical="center" wrapText="1" indent="1"/>
    </xf>
    <xf numFmtId="0" fontId="3" fillId="6" borderId="0" xfId="0" applyFont="1" applyFill="1" applyBorder="1" applyAlignment="1" applyProtection="1">
      <alignment horizontal="left" indent="1"/>
    </xf>
    <xf numFmtId="49" fontId="3" fillId="2" borderId="1" xfId="0" applyNumberFormat="1" applyFont="1" applyFill="1" applyBorder="1" applyAlignment="1" applyProtection="1">
      <alignment horizontal="center"/>
      <protection locked="0"/>
    </xf>
    <xf numFmtId="0" fontId="3" fillId="5" borderId="4" xfId="0" applyFont="1" applyFill="1" applyBorder="1" applyAlignment="1" applyProtection="1">
      <alignment horizontal="center"/>
    </xf>
    <xf numFmtId="0" fontId="3" fillId="5" borderId="9" xfId="0" applyFont="1" applyFill="1" applyBorder="1" applyAlignment="1" applyProtection="1">
      <alignment horizontal="center"/>
    </xf>
    <xf numFmtId="0" fontId="3" fillId="5" borderId="5" xfId="0" applyFont="1" applyFill="1" applyBorder="1" applyAlignment="1" applyProtection="1">
      <alignment horizontal="center"/>
    </xf>
    <xf numFmtId="0" fontId="3" fillId="4" borderId="19" xfId="0" applyFont="1" applyFill="1" applyBorder="1" applyAlignment="1" applyProtection="1">
      <alignment horizontal="center"/>
    </xf>
    <xf numFmtId="0" fontId="3" fillId="4" borderId="0" xfId="0" applyFont="1" applyFill="1" applyBorder="1" applyAlignment="1" applyProtection="1">
      <alignment horizontal="center"/>
    </xf>
    <xf numFmtId="49" fontId="3" fillId="4" borderId="0" xfId="0" applyNumberFormat="1" applyFont="1" applyFill="1" applyBorder="1" applyAlignment="1" applyProtection="1">
      <alignment horizontal="left" vertical="center" indent="3"/>
    </xf>
    <xf numFmtId="0" fontId="2" fillId="4" borderId="19" xfId="0" applyFont="1" applyFill="1" applyBorder="1" applyAlignment="1" applyProtection="1">
      <alignment horizontal="left"/>
    </xf>
    <xf numFmtId="0" fontId="2" fillId="2" borderId="0" xfId="0" applyFont="1" applyFill="1" applyBorder="1" applyAlignment="1" applyProtection="1"/>
    <xf numFmtId="0" fontId="13" fillId="10" borderId="19" xfId="0" applyFont="1" applyFill="1" applyBorder="1" applyAlignment="1" applyProtection="1">
      <alignment horizontal="left" wrapText="1"/>
    </xf>
    <xf numFmtId="0" fontId="6" fillId="10" borderId="0" xfId="0" applyFont="1" applyFill="1" applyBorder="1" applyAlignment="1" applyProtection="1">
      <alignment horizontal="left" wrapText="1"/>
    </xf>
    <xf numFmtId="0" fontId="2" fillId="2" borderId="0" xfId="0" applyFont="1" applyFill="1" applyBorder="1" applyAlignment="1" applyProtection="1">
      <alignment horizontal="left"/>
    </xf>
    <xf numFmtId="0" fontId="3" fillId="2" borderId="0" xfId="0" applyFont="1" applyFill="1" applyBorder="1" applyAlignment="1" applyProtection="1">
      <alignment horizontal="left"/>
    </xf>
    <xf numFmtId="0" fontId="3" fillId="0" borderId="21" xfId="0" applyFont="1" applyBorder="1" applyAlignment="1" applyProtection="1">
      <alignment horizontal="center"/>
    </xf>
    <xf numFmtId="16" fontId="2" fillId="2" borderId="19" xfId="0" applyNumberFormat="1" applyFont="1" applyFill="1" applyBorder="1" applyAlignment="1" applyProtection="1">
      <alignment horizontal="left" wrapText="1"/>
    </xf>
    <xf numFmtId="16" fontId="2" fillId="2" borderId="0" xfId="0" applyNumberFormat="1" applyFont="1" applyFill="1" applyBorder="1" applyAlignment="1" applyProtection="1">
      <alignment horizontal="left" wrapText="1"/>
    </xf>
    <xf numFmtId="0" fontId="3" fillId="4" borderId="0" xfId="0" applyFont="1" applyFill="1" applyBorder="1" applyAlignment="1" applyProtection="1">
      <alignment horizontal="left" indent="1"/>
    </xf>
    <xf numFmtId="16" fontId="2" fillId="4" borderId="19" xfId="0" applyNumberFormat="1" applyFont="1" applyFill="1" applyBorder="1" applyAlignment="1" applyProtection="1">
      <alignment horizontal="left" wrapText="1"/>
    </xf>
    <xf numFmtId="16" fontId="2" fillId="4" borderId="0" xfId="0" applyNumberFormat="1" applyFont="1" applyFill="1" applyBorder="1" applyAlignment="1" applyProtection="1">
      <alignment horizontal="left" wrapText="1"/>
    </xf>
    <xf numFmtId="0" fontId="2" fillId="4" borderId="0" xfId="0" applyFont="1" applyFill="1" applyBorder="1" applyAlignment="1" applyProtection="1"/>
    <xf numFmtId="0" fontId="1" fillId="0" borderId="0" xfId="0" applyFont="1" applyBorder="1" applyAlignment="1" applyProtection="1">
      <alignment vertical="top" wrapText="1"/>
    </xf>
    <xf numFmtId="0" fontId="3" fillId="0" borderId="0" xfId="0" applyFont="1" applyBorder="1" applyAlignment="1" applyProtection="1">
      <alignment vertical="top" wrapText="1"/>
    </xf>
    <xf numFmtId="0" fontId="3" fillId="0" borderId="9" xfId="0" applyFont="1" applyBorder="1" applyAlignment="1" applyProtection="1">
      <alignment vertical="top" wrapText="1"/>
    </xf>
    <xf numFmtId="0" fontId="2" fillId="0" borderId="2" xfId="0" applyFont="1" applyBorder="1" applyAlignment="1" applyProtection="1">
      <alignment horizontal="center"/>
    </xf>
    <xf numFmtId="0" fontId="0" fillId="0" borderId="0" xfId="0" applyProtection="1"/>
    <xf numFmtId="0" fontId="2" fillId="0" borderId="0" xfId="0" applyFont="1" applyBorder="1" applyAlignment="1" applyProtection="1">
      <alignment horizontal="right"/>
    </xf>
    <xf numFmtId="49" fontId="3" fillId="0" borderId="9" xfId="0" applyNumberFormat="1" applyFont="1" applyFill="1" applyBorder="1" applyAlignment="1" applyProtection="1">
      <alignment horizontal="left"/>
      <protection locked="0"/>
    </xf>
    <xf numFmtId="0" fontId="0" fillId="0" borderId="9" xfId="0" applyFill="1" applyBorder="1" applyAlignment="1" applyProtection="1">
      <protection locked="0"/>
    </xf>
    <xf numFmtId="0" fontId="2" fillId="0" borderId="2" xfId="0" applyFont="1" applyBorder="1" applyAlignment="1" applyProtection="1">
      <alignment horizontal="right"/>
    </xf>
    <xf numFmtId="0" fontId="0" fillId="0" borderId="0" xfId="0" applyBorder="1" applyAlignment="1" applyProtection="1"/>
    <xf numFmtId="0" fontId="5" fillId="2" borderId="11" xfId="0" applyNumberFormat="1" applyFont="1" applyFill="1" applyBorder="1" applyAlignment="1" applyProtection="1">
      <alignment horizontal="left" vertical="top" wrapText="1"/>
      <protection locked="0"/>
    </xf>
    <xf numFmtId="0" fontId="0" fillId="0" borderId="6" xfId="0" applyBorder="1" applyAlignment="1" applyProtection="1">
      <alignment wrapText="1"/>
      <protection locked="0"/>
    </xf>
    <xf numFmtId="0" fontId="0" fillId="0" borderId="8" xfId="0" applyBorder="1" applyAlignment="1" applyProtection="1">
      <alignment wrapText="1"/>
      <protection locked="0"/>
    </xf>
    <xf numFmtId="0" fontId="2" fillId="2" borderId="0" xfId="0" applyFont="1" applyFill="1" applyBorder="1" applyAlignment="1" applyProtection="1">
      <alignment horizontal="left" wrapText="1"/>
      <protection locked="0"/>
    </xf>
    <xf numFmtId="0" fontId="2" fillId="2" borderId="0" xfId="0" applyFont="1" applyFill="1" applyBorder="1" applyAlignment="1" applyProtection="1">
      <alignment horizontal="left" vertical="center" wrapText="1"/>
      <protection locked="0"/>
    </xf>
    <xf numFmtId="0" fontId="2" fillId="2" borderId="9" xfId="0" applyFont="1" applyFill="1" applyBorder="1" applyAlignment="1" applyProtection="1">
      <alignment horizontal="left" vertical="center" wrapText="1"/>
      <protection locked="0"/>
    </xf>
    <xf numFmtId="0" fontId="2" fillId="2" borderId="19" xfId="0" applyFont="1" applyFill="1" applyBorder="1" applyAlignment="1" applyProtection="1">
      <alignment horizontal="center"/>
    </xf>
    <xf numFmtId="0" fontId="2" fillId="2" borderId="0" xfId="0" applyFont="1" applyFill="1" applyBorder="1" applyAlignment="1" applyProtection="1">
      <alignment horizontal="center"/>
    </xf>
    <xf numFmtId="49" fontId="3" fillId="2" borderId="0" xfId="0" applyNumberFormat="1" applyFont="1" applyFill="1" applyBorder="1" applyAlignment="1" applyProtection="1">
      <alignment horizontal="center" vertical="center"/>
    </xf>
    <xf numFmtId="0" fontId="3" fillId="2" borderId="19" xfId="0" applyFont="1" applyFill="1" applyBorder="1" applyAlignment="1" applyProtection="1">
      <alignment horizontal="center"/>
    </xf>
    <xf numFmtId="0" fontId="3" fillId="2" borderId="0" xfId="0" applyFont="1" applyFill="1" applyBorder="1" applyAlignment="1" applyProtection="1">
      <alignment horizontal="center"/>
    </xf>
    <xf numFmtId="0" fontId="3" fillId="2" borderId="3" xfId="0" applyFont="1" applyFill="1" applyBorder="1" applyAlignment="1" applyProtection="1">
      <alignment horizontal="center"/>
    </xf>
    <xf numFmtId="0" fontId="3" fillId="2" borderId="0" xfId="0" applyFont="1" applyFill="1" applyBorder="1" applyAlignment="1" applyProtection="1">
      <alignment horizontal="left" indent="1"/>
    </xf>
    <xf numFmtId="0" fontId="2" fillId="9" borderId="1" xfId="0" applyFont="1" applyFill="1" applyBorder="1" applyAlignment="1" applyProtection="1">
      <alignment horizontal="right"/>
    </xf>
    <xf numFmtId="0" fontId="2" fillId="2" borderId="9" xfId="0" applyFont="1" applyFill="1" applyBorder="1" applyAlignment="1" applyProtection="1">
      <alignment horizontal="left"/>
    </xf>
    <xf numFmtId="0" fontId="3" fillId="2" borderId="9" xfId="0" applyFont="1" applyFill="1" applyBorder="1" applyAlignment="1" applyProtection="1">
      <alignment horizontal="left"/>
    </xf>
    <xf numFmtId="0" fontId="2" fillId="9" borderId="22" xfId="0" applyFont="1" applyFill="1" applyBorder="1" applyAlignment="1" applyProtection="1">
      <alignment horizontal="right"/>
    </xf>
    <xf numFmtId="0" fontId="2" fillId="9" borderId="23" xfId="0" applyFont="1" applyFill="1" applyBorder="1" applyAlignment="1" applyProtection="1">
      <alignment horizontal="right"/>
    </xf>
    <xf numFmtId="0" fontId="2" fillId="9" borderId="17" xfId="0" applyFont="1" applyFill="1" applyBorder="1" applyAlignment="1" applyProtection="1">
      <alignment horizontal="right"/>
    </xf>
    <xf numFmtId="0" fontId="2" fillId="9" borderId="0" xfId="0" applyFont="1" applyFill="1" applyBorder="1" applyAlignment="1" applyProtection="1">
      <alignment horizontal="right"/>
    </xf>
    <xf numFmtId="0" fontId="2" fillId="8" borderId="18" xfId="0" applyFont="1" applyFill="1" applyBorder="1" applyAlignment="1" applyProtection="1">
      <alignment horizontal="right"/>
    </xf>
    <xf numFmtId="0" fontId="2" fillId="8" borderId="1" xfId="0" applyFont="1" applyFill="1" applyBorder="1" applyAlignment="1" applyProtection="1">
      <alignment horizontal="right"/>
    </xf>
    <xf numFmtId="0" fontId="2" fillId="3" borderId="2" xfId="0" applyFont="1" applyFill="1" applyBorder="1" applyAlignment="1" applyProtection="1">
      <alignment horizontal="center" vertical="center" wrapText="1"/>
    </xf>
    <xf numFmtId="0" fontId="2" fillId="3" borderId="0" xfId="0" applyFont="1" applyFill="1" applyBorder="1" applyAlignment="1" applyProtection="1">
      <alignment horizontal="center" vertical="center" wrapText="1"/>
    </xf>
    <xf numFmtId="0" fontId="2" fillId="8" borderId="22" xfId="0" applyFont="1" applyFill="1" applyBorder="1" applyAlignment="1" applyProtection="1">
      <alignment horizontal="right"/>
    </xf>
    <xf numFmtId="0" fontId="2" fillId="8" borderId="23" xfId="0" applyFont="1" applyFill="1" applyBorder="1" applyAlignment="1" applyProtection="1">
      <alignment horizontal="right"/>
    </xf>
    <xf numFmtId="0" fontId="3" fillId="8" borderId="17" xfId="0" applyFont="1" applyFill="1" applyBorder="1" applyAlignment="1" applyProtection="1">
      <alignment horizontal="center"/>
    </xf>
    <xf numFmtId="0" fontId="3" fillId="8" borderId="0" xfId="0" applyFont="1" applyFill="1" applyBorder="1" applyAlignment="1" applyProtection="1">
      <alignment horizontal="center"/>
    </xf>
    <xf numFmtId="0" fontId="3" fillId="8" borderId="3" xfId="0" applyFont="1" applyFill="1" applyBorder="1" applyAlignment="1" applyProtection="1">
      <alignment horizontal="center"/>
    </xf>
    <xf numFmtId="0" fontId="12" fillId="0" borderId="0" xfId="0" applyFont="1" applyAlignment="1">
      <alignment horizontal="center" wrapText="1"/>
    </xf>
    <xf numFmtId="0" fontId="11" fillId="0" borderId="0" xfId="0" applyFont="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4"/>
  <sheetViews>
    <sheetView tabSelected="1" zoomScaleNormal="100" workbookViewId="0">
      <selection activeCell="E12" sqref="E12 E14"/>
    </sheetView>
  </sheetViews>
  <sheetFormatPr defaultColWidth="5.28515625" defaultRowHeight="13.5" x14ac:dyDescent="0.25"/>
  <cols>
    <col min="1" max="1" width="3.7109375" style="2" customWidth="1"/>
    <col min="2" max="2" width="9.140625" style="2" customWidth="1"/>
    <col min="3" max="3" width="17.5703125" style="2" customWidth="1"/>
    <col min="4" max="4" width="8.5703125" style="2" customWidth="1"/>
    <col min="5" max="5" width="13.85546875" style="4" customWidth="1"/>
    <col min="6" max="6" width="9.140625" style="2" customWidth="1"/>
    <col min="7" max="7" width="7.42578125" style="2" customWidth="1"/>
    <col min="8" max="8" width="17.140625" style="2" customWidth="1"/>
    <col min="9" max="9" width="9.85546875" style="1" customWidth="1"/>
    <col min="10" max="10" width="1.140625" style="2" customWidth="1"/>
    <col min="11" max="255" width="9.140625" style="2" customWidth="1"/>
    <col min="256" max="16384" width="5.28515625" style="2"/>
  </cols>
  <sheetData>
    <row r="1" spans="1:10" ht="0.75" customHeight="1" x14ac:dyDescent="0.25">
      <c r="A1" s="194"/>
      <c r="B1" s="195"/>
      <c r="C1" s="195"/>
      <c r="D1" s="195"/>
      <c r="E1" s="195"/>
      <c r="F1" s="195"/>
      <c r="G1" s="195"/>
      <c r="H1" s="195"/>
      <c r="I1" s="195"/>
      <c r="J1" s="196"/>
    </row>
    <row r="2" spans="1:10" ht="0.75" customHeight="1" x14ac:dyDescent="0.25">
      <c r="A2" s="60"/>
      <c r="B2" s="128"/>
      <c r="C2" s="128"/>
      <c r="D2" s="128"/>
      <c r="E2" s="128"/>
      <c r="F2" s="128"/>
      <c r="G2" s="128"/>
      <c r="H2" s="128"/>
      <c r="I2" s="128"/>
      <c r="J2" s="129"/>
    </row>
    <row r="3" spans="1:10" ht="0.75" customHeight="1" x14ac:dyDescent="0.25">
      <c r="A3" s="60"/>
      <c r="B3" s="128"/>
      <c r="C3" s="128"/>
      <c r="D3" s="128"/>
      <c r="E3" s="128"/>
      <c r="F3" s="128"/>
      <c r="G3" s="128"/>
      <c r="H3" s="128"/>
      <c r="I3" s="128"/>
      <c r="J3" s="129"/>
    </row>
    <row r="4" spans="1:10" ht="0.75" customHeight="1" x14ac:dyDescent="0.25">
      <c r="A4" s="60"/>
      <c r="B4" s="128"/>
      <c r="C4" s="128"/>
      <c r="D4" s="128"/>
      <c r="E4" s="128"/>
      <c r="F4" s="128"/>
      <c r="G4" s="128"/>
      <c r="H4" s="128"/>
      <c r="I4" s="128"/>
      <c r="J4" s="129"/>
    </row>
    <row r="5" spans="1:10" x14ac:dyDescent="0.25">
      <c r="A5" s="151" t="s">
        <v>0</v>
      </c>
      <c r="B5" s="152"/>
      <c r="C5" s="152"/>
      <c r="D5" s="192" t="s">
        <v>1</v>
      </c>
      <c r="E5" s="192"/>
      <c r="F5" s="192"/>
      <c r="G5" s="192"/>
      <c r="H5" s="192"/>
      <c r="I5" s="126"/>
      <c r="J5" s="127"/>
    </row>
    <row r="6" spans="1:10" x14ac:dyDescent="0.25">
      <c r="A6" s="26" t="s">
        <v>36</v>
      </c>
      <c r="B6" s="26"/>
      <c r="C6" s="3"/>
      <c r="D6" s="192" t="s">
        <v>37</v>
      </c>
      <c r="E6" s="192"/>
      <c r="F6" s="192"/>
      <c r="G6" s="192"/>
      <c r="H6" s="192"/>
      <c r="I6" s="24"/>
      <c r="J6" s="27"/>
    </row>
    <row r="7" spans="1:10" x14ac:dyDescent="0.25">
      <c r="A7" s="151" t="s">
        <v>96</v>
      </c>
      <c r="B7" s="152"/>
      <c r="C7" s="152"/>
      <c r="D7" s="192" t="s">
        <v>2</v>
      </c>
      <c r="E7" s="192"/>
      <c r="F7" s="192"/>
      <c r="G7" s="192"/>
      <c r="H7" s="192"/>
      <c r="I7" s="149"/>
      <c r="J7" s="150"/>
    </row>
    <row r="8" spans="1:10" x14ac:dyDescent="0.25">
      <c r="A8" s="26" t="s">
        <v>95</v>
      </c>
      <c r="B8" s="26"/>
      <c r="C8" s="3"/>
      <c r="D8" s="192" t="s">
        <v>92</v>
      </c>
      <c r="E8" s="192"/>
      <c r="F8" s="192"/>
      <c r="G8" s="192"/>
      <c r="H8" s="192"/>
      <c r="I8" s="147"/>
      <c r="J8" s="131"/>
    </row>
    <row r="9" spans="1:10" x14ac:dyDescent="0.25">
      <c r="A9" s="26" t="s">
        <v>91</v>
      </c>
      <c r="B9" s="26"/>
      <c r="C9" s="3"/>
      <c r="D9" s="192" t="s">
        <v>42</v>
      </c>
      <c r="E9" s="192"/>
      <c r="F9" s="192"/>
      <c r="G9" s="192"/>
      <c r="H9" s="192"/>
      <c r="I9" s="147"/>
      <c r="J9" s="131"/>
    </row>
    <row r="10" spans="1:10" x14ac:dyDescent="0.25">
      <c r="A10" s="130" t="s">
        <v>93</v>
      </c>
      <c r="B10" s="130"/>
      <c r="D10" s="192" t="s">
        <v>94</v>
      </c>
      <c r="E10" s="192"/>
      <c r="F10" s="192"/>
      <c r="G10" s="192"/>
      <c r="H10" s="192"/>
      <c r="I10" s="147"/>
      <c r="J10" s="27"/>
    </row>
    <row r="11" spans="1:10" ht="16.5" customHeight="1" x14ac:dyDescent="0.25">
      <c r="A11" s="151" t="s">
        <v>9</v>
      </c>
      <c r="B11" s="152"/>
      <c r="C11" s="152"/>
      <c r="D11" s="193" t="s">
        <v>33</v>
      </c>
      <c r="E11" s="193"/>
      <c r="F11" s="193"/>
      <c r="G11" s="193"/>
      <c r="H11" s="190"/>
      <c r="I11" s="171"/>
      <c r="J11" s="27"/>
    </row>
    <row r="12" spans="1:10" x14ac:dyDescent="0.25">
      <c r="A12" s="201" t="s">
        <v>51</v>
      </c>
      <c r="B12" s="202"/>
      <c r="C12" s="202"/>
      <c r="D12" s="202"/>
      <c r="E12" s="58" t="s">
        <v>3</v>
      </c>
      <c r="F12" s="203"/>
      <c r="G12" s="203"/>
      <c r="H12" s="203"/>
      <c r="I12" s="203"/>
      <c r="J12" s="204"/>
    </row>
    <row r="13" spans="1:10" ht="15" customHeight="1" x14ac:dyDescent="0.25">
      <c r="A13" s="166" t="s">
        <v>80</v>
      </c>
      <c r="B13" s="172"/>
      <c r="C13" s="172"/>
      <c r="D13" s="172"/>
      <c r="E13" s="167"/>
      <c r="F13" s="47"/>
      <c r="G13" s="167"/>
      <c r="H13" s="167"/>
      <c r="I13" s="167"/>
      <c r="J13" s="168"/>
    </row>
    <row r="14" spans="1:10" ht="15" customHeight="1" x14ac:dyDescent="0.25">
      <c r="A14" s="173"/>
      <c r="B14" s="172" t="s">
        <v>84</v>
      </c>
      <c r="C14" s="174"/>
      <c r="D14" s="172"/>
      <c r="E14" s="45" t="s">
        <v>3</v>
      </c>
      <c r="F14" s="48"/>
      <c r="G14" s="167" t="s">
        <v>83</v>
      </c>
      <c r="H14" s="167"/>
      <c r="I14" s="167"/>
      <c r="J14" s="168"/>
    </row>
    <row r="15" spans="1:10" x14ac:dyDescent="0.25">
      <c r="A15" s="199" t="s">
        <v>10</v>
      </c>
      <c r="B15" s="200"/>
      <c r="C15" s="200"/>
      <c r="D15" s="200"/>
      <c r="E15" s="96" t="e">
        <f>SUM(E12+E14)</f>
        <v>#VALUE!</v>
      </c>
      <c r="F15" s="167"/>
      <c r="G15" s="167"/>
      <c r="H15" s="167"/>
      <c r="I15" s="49"/>
      <c r="J15" s="168"/>
    </row>
    <row r="16" spans="1:10" ht="16.5" customHeight="1" x14ac:dyDescent="0.25">
      <c r="A16" s="50"/>
      <c r="B16" s="51" t="s">
        <v>4</v>
      </c>
      <c r="C16" s="51" t="s">
        <v>5</v>
      </c>
      <c r="D16" s="52"/>
      <c r="E16" s="8" t="s">
        <v>3</v>
      </c>
      <c r="F16" s="208" t="s">
        <v>89</v>
      </c>
      <c r="G16" s="209"/>
      <c r="H16" s="209"/>
      <c r="I16" s="209"/>
      <c r="J16" s="143"/>
    </row>
    <row r="17" spans="1:10" ht="16.5" customHeight="1" x14ac:dyDescent="0.25">
      <c r="A17" s="207"/>
      <c r="B17" s="203"/>
      <c r="C17" s="51" t="s">
        <v>6</v>
      </c>
      <c r="D17" s="52"/>
      <c r="E17" s="8" t="s">
        <v>3</v>
      </c>
      <c r="F17" s="210"/>
      <c r="G17" s="211"/>
      <c r="H17" s="211"/>
      <c r="I17" s="211"/>
      <c r="J17" s="168"/>
    </row>
    <row r="18" spans="1:10" ht="12.75" customHeight="1" thickBot="1" x14ac:dyDescent="0.3">
      <c r="A18" s="50"/>
      <c r="B18" s="212" t="s">
        <v>7</v>
      </c>
      <c r="C18" s="212"/>
      <c r="D18" s="212"/>
      <c r="E18" s="213"/>
      <c r="F18" s="213"/>
      <c r="G18" s="213"/>
      <c r="H18" s="213"/>
      <c r="I18" s="213"/>
      <c r="J18" s="167"/>
    </row>
    <row r="19" spans="1:10" ht="6" hidden="1" customHeight="1" thickBot="1" x14ac:dyDescent="0.3">
      <c r="A19" s="214"/>
      <c r="B19" s="215"/>
      <c r="C19" s="215"/>
      <c r="D19" s="215"/>
      <c r="E19" s="215"/>
      <c r="F19" s="215"/>
      <c r="G19" s="215"/>
      <c r="H19" s="215"/>
      <c r="I19" s="215"/>
      <c r="J19" s="216"/>
    </row>
    <row r="20" spans="1:10" ht="0.75" customHeight="1" x14ac:dyDescent="0.25">
      <c r="A20" s="194"/>
      <c r="B20" s="195"/>
      <c r="C20" s="195"/>
      <c r="D20" s="195"/>
      <c r="E20" s="195"/>
      <c r="F20" s="195"/>
      <c r="G20" s="195"/>
      <c r="H20" s="195"/>
      <c r="I20" s="195"/>
      <c r="J20" s="196"/>
    </row>
    <row r="21" spans="1:10" ht="16.5" customHeight="1" x14ac:dyDescent="0.25">
      <c r="A21" s="220" t="s">
        <v>49</v>
      </c>
      <c r="B21" s="206"/>
      <c r="C21" s="206"/>
      <c r="D21" s="206"/>
      <c r="E21" s="8" t="s">
        <v>3</v>
      </c>
      <c r="F21" s="205" t="s">
        <v>25</v>
      </c>
      <c r="G21" s="206"/>
      <c r="H21" s="206"/>
      <c r="I21" s="18" t="e">
        <f>+(E21-E12)/E12</f>
        <v>#VALUE!</v>
      </c>
      <c r="J21" s="28"/>
    </row>
    <row r="22" spans="1:10" x14ac:dyDescent="0.25">
      <c r="A22" s="103" t="s">
        <v>55</v>
      </c>
      <c r="B22" s="9"/>
      <c r="C22" s="9"/>
      <c r="D22" s="9"/>
      <c r="E22" s="169"/>
      <c r="F22" s="205" t="s">
        <v>26</v>
      </c>
      <c r="G22" s="206"/>
      <c r="H22" s="206"/>
      <c r="I22" s="19" t="e">
        <f>E21-E12</f>
        <v>#VALUE!</v>
      </c>
      <c r="J22" s="28"/>
    </row>
    <row r="23" spans="1:10" ht="13.5" customHeight="1" x14ac:dyDescent="0.25">
      <c r="A23" s="175" t="s">
        <v>54</v>
      </c>
      <c r="B23" s="9"/>
      <c r="C23" s="165"/>
      <c r="D23" s="165"/>
      <c r="E23" s="44"/>
      <c r="F23" s="164"/>
      <c r="G23" s="163"/>
      <c r="H23" s="163"/>
      <c r="I23" s="10"/>
      <c r="J23" s="28"/>
    </row>
    <row r="24" spans="1:10" x14ac:dyDescent="0.25">
      <c r="A24" s="175" t="s">
        <v>56</v>
      </c>
      <c r="B24" s="9"/>
      <c r="C24" s="176"/>
      <c r="D24" s="176"/>
      <c r="E24" s="44"/>
      <c r="F24" s="164"/>
      <c r="G24" s="163"/>
      <c r="H24" s="163"/>
      <c r="I24" s="10"/>
      <c r="J24" s="28"/>
    </row>
    <row r="25" spans="1:10" x14ac:dyDescent="0.25">
      <c r="A25" s="142" t="s">
        <v>85</v>
      </c>
      <c r="B25" s="9"/>
      <c r="C25" s="176"/>
      <c r="D25" s="176"/>
      <c r="E25" s="8" t="s">
        <v>3</v>
      </c>
      <c r="F25" s="205" t="s">
        <v>27</v>
      </c>
      <c r="G25" s="206"/>
      <c r="H25" s="206"/>
      <c r="I25" s="46" t="e">
        <f>E25-E14</f>
        <v>#VALUE!</v>
      </c>
      <c r="J25" s="28"/>
    </row>
    <row r="26" spans="1:10" x14ac:dyDescent="0.25">
      <c r="A26" s="142" t="s">
        <v>105</v>
      </c>
      <c r="B26" s="9"/>
      <c r="C26" s="176"/>
      <c r="D26" s="176"/>
      <c r="E26" s="148" t="s">
        <v>100</v>
      </c>
      <c r="F26" s="219"/>
      <c r="G26" s="219"/>
      <c r="H26" s="219"/>
      <c r="I26" s="158"/>
      <c r="J26" s="28"/>
    </row>
    <row r="27" spans="1:10" ht="16.5" customHeight="1" x14ac:dyDescent="0.25">
      <c r="A27" s="230" t="s">
        <v>29</v>
      </c>
      <c r="B27" s="231"/>
      <c r="C27" s="231"/>
      <c r="D27" s="231"/>
      <c r="E27" s="96" t="e">
        <f>E21+E25</f>
        <v>#VALUE!</v>
      </c>
      <c r="F27" s="232" t="s">
        <v>28</v>
      </c>
      <c r="G27" s="232"/>
      <c r="H27" s="232"/>
      <c r="I27" s="18" t="e">
        <f>(E27-E15)/E15</f>
        <v>#VALUE!</v>
      </c>
      <c r="J27" s="28"/>
    </row>
    <row r="28" spans="1:10" ht="16.5" customHeight="1" x14ac:dyDescent="0.25">
      <c r="A28" s="104"/>
      <c r="B28" s="11" t="s">
        <v>4</v>
      </c>
      <c r="C28" s="11" t="s">
        <v>5</v>
      </c>
      <c r="D28" s="9"/>
      <c r="E28" s="8" t="s">
        <v>3</v>
      </c>
      <c r="F28" s="9"/>
      <c r="G28" s="9"/>
      <c r="H28" s="9"/>
      <c r="I28" s="20"/>
      <c r="J28" s="28"/>
    </row>
    <row r="29" spans="1:10" ht="16.5" customHeight="1" x14ac:dyDescent="0.25">
      <c r="A29" s="217"/>
      <c r="B29" s="218"/>
      <c r="C29" s="11" t="s">
        <v>6</v>
      </c>
      <c r="D29" s="9"/>
      <c r="E29" s="8" t="s">
        <v>3</v>
      </c>
      <c r="F29" s="219"/>
      <c r="G29" s="219"/>
      <c r="H29" s="219"/>
      <c r="I29" s="10"/>
      <c r="J29" s="28"/>
    </row>
    <row r="30" spans="1:10" ht="13.5" customHeight="1" x14ac:dyDescent="0.25">
      <c r="A30" s="104"/>
      <c r="B30" s="229" t="s">
        <v>7</v>
      </c>
      <c r="C30" s="229"/>
      <c r="D30" s="229"/>
      <c r="E30" s="213"/>
      <c r="F30" s="213"/>
      <c r="G30" s="213"/>
      <c r="H30" s="213"/>
      <c r="I30" s="213"/>
      <c r="J30" s="29"/>
    </row>
    <row r="31" spans="1:10" ht="6" customHeight="1" thickBot="1" x14ac:dyDescent="0.3">
      <c r="A31" s="104"/>
      <c r="B31" s="9"/>
      <c r="C31" s="9"/>
      <c r="D31" s="9"/>
      <c r="E31" s="169"/>
      <c r="F31" s="205"/>
      <c r="G31" s="206"/>
      <c r="H31" s="206"/>
      <c r="I31" s="19"/>
      <c r="J31" s="28"/>
    </row>
    <row r="32" spans="1:10" ht="2.25" customHeight="1" x14ac:dyDescent="0.25">
      <c r="A32" s="226"/>
      <c r="B32" s="195"/>
      <c r="C32" s="195"/>
      <c r="D32" s="195"/>
      <c r="E32" s="195"/>
      <c r="F32" s="195"/>
      <c r="G32" s="195"/>
      <c r="H32" s="195"/>
      <c r="I32" s="195"/>
      <c r="J32" s="196"/>
    </row>
    <row r="33" spans="1:10" ht="16.5" customHeight="1" x14ac:dyDescent="0.25">
      <c r="A33" s="105" t="s">
        <v>50</v>
      </c>
      <c r="B33" s="12"/>
      <c r="C33" s="12"/>
      <c r="D33" s="12"/>
      <c r="E33" s="8" t="s">
        <v>3</v>
      </c>
      <c r="F33" s="224" t="s">
        <v>25</v>
      </c>
      <c r="G33" s="225"/>
      <c r="H33" s="225"/>
      <c r="I33" s="16" t="e">
        <f>+(E33-E21)/E21</f>
        <v>#VALUE!</v>
      </c>
      <c r="J33" s="30"/>
    </row>
    <row r="34" spans="1:10" x14ac:dyDescent="0.25">
      <c r="A34" s="227" t="s">
        <v>52</v>
      </c>
      <c r="B34" s="228"/>
      <c r="C34" s="228"/>
      <c r="D34" s="228"/>
      <c r="E34" s="162"/>
      <c r="F34" s="224" t="s">
        <v>26</v>
      </c>
      <c r="G34" s="225"/>
      <c r="H34" s="225"/>
      <c r="I34" s="17" t="e">
        <f>E33-E21</f>
        <v>#VALUE!</v>
      </c>
      <c r="J34" s="30"/>
    </row>
    <row r="35" spans="1:10" ht="13.5" customHeight="1" x14ac:dyDescent="0.25">
      <c r="A35" s="227"/>
      <c r="B35" s="228"/>
      <c r="C35" s="228"/>
      <c r="D35" s="228"/>
      <c r="E35" s="162"/>
      <c r="F35" s="13"/>
      <c r="G35" s="13"/>
      <c r="H35" s="13"/>
      <c r="I35" s="13"/>
      <c r="J35" s="30"/>
    </row>
    <row r="36" spans="1:10" ht="13.5" customHeight="1" x14ac:dyDescent="0.25">
      <c r="A36" s="222" t="s">
        <v>85</v>
      </c>
      <c r="B36" s="223"/>
      <c r="C36" s="223"/>
      <c r="D36" s="177"/>
      <c r="E36" s="8" t="s">
        <v>3</v>
      </c>
      <c r="F36" s="224" t="s">
        <v>27</v>
      </c>
      <c r="G36" s="225"/>
      <c r="H36" s="225"/>
      <c r="I36" s="17" t="e">
        <f>E36-E25</f>
        <v>#VALUE!</v>
      </c>
      <c r="J36" s="30"/>
    </row>
    <row r="37" spans="1:10" ht="13.5" customHeight="1" x14ac:dyDescent="0.25">
      <c r="A37" s="178" t="s">
        <v>106</v>
      </c>
      <c r="B37" s="179"/>
      <c r="C37" s="179"/>
      <c r="D37" s="177"/>
      <c r="E37" s="148" t="s">
        <v>100</v>
      </c>
      <c r="F37" s="144" t="s">
        <v>108</v>
      </c>
      <c r="G37" s="145"/>
      <c r="H37" s="145"/>
      <c r="I37" s="170" t="e">
        <f>E37-E26</f>
        <v>#VALUE!</v>
      </c>
      <c r="J37" s="30"/>
    </row>
    <row r="38" spans="1:10" ht="16.5" customHeight="1" x14ac:dyDescent="0.25">
      <c r="A38" s="227" t="s">
        <v>35</v>
      </c>
      <c r="B38" s="225"/>
      <c r="C38" s="225"/>
      <c r="D38" s="225"/>
      <c r="E38" s="96" t="e">
        <f>E33+E36</f>
        <v>#VALUE!</v>
      </c>
      <c r="F38" s="221" t="s">
        <v>28</v>
      </c>
      <c r="G38" s="221"/>
      <c r="H38" s="221"/>
      <c r="I38" s="16" t="e">
        <f>(E38-E27)/E27</f>
        <v>#VALUE!</v>
      </c>
      <c r="J38" s="30"/>
    </row>
    <row r="39" spans="1:10" ht="16.5" customHeight="1" x14ac:dyDescent="0.25">
      <c r="A39" s="106"/>
      <c r="B39" s="14" t="s">
        <v>4</v>
      </c>
      <c r="C39" s="14" t="s">
        <v>5</v>
      </c>
      <c r="D39" s="13"/>
      <c r="E39" s="8" t="s">
        <v>3</v>
      </c>
      <c r="F39" s="13"/>
      <c r="G39" s="13"/>
      <c r="H39" s="13"/>
      <c r="I39" s="31"/>
      <c r="J39" s="30"/>
    </row>
    <row r="40" spans="1:10" x14ac:dyDescent="0.25">
      <c r="A40" s="249"/>
      <c r="B40" s="250"/>
      <c r="C40" s="14" t="s">
        <v>6</v>
      </c>
      <c r="D40" s="13"/>
      <c r="E40" s="8" t="s">
        <v>3</v>
      </c>
      <c r="F40" s="251"/>
      <c r="G40" s="251"/>
      <c r="H40" s="251"/>
      <c r="I40" s="251"/>
      <c r="J40" s="30"/>
    </row>
    <row r="41" spans="1:10" ht="12" customHeight="1" x14ac:dyDescent="0.25">
      <c r="A41" s="107"/>
      <c r="B41" s="255" t="s">
        <v>7</v>
      </c>
      <c r="C41" s="255"/>
      <c r="D41" s="255"/>
      <c r="E41" s="213"/>
      <c r="F41" s="213"/>
      <c r="G41" s="213"/>
      <c r="H41" s="213"/>
      <c r="I41" s="213"/>
      <c r="J41" s="32"/>
    </row>
    <row r="42" spans="1:10" ht="0.75" customHeight="1" x14ac:dyDescent="0.25">
      <c r="A42" s="252"/>
      <c r="B42" s="253"/>
      <c r="C42" s="253"/>
      <c r="D42" s="253"/>
      <c r="E42" s="253"/>
      <c r="F42" s="253"/>
      <c r="G42" s="253"/>
      <c r="H42" s="253"/>
      <c r="I42" s="253"/>
      <c r="J42" s="254"/>
    </row>
    <row r="43" spans="1:10" ht="6" customHeight="1" thickBot="1" x14ac:dyDescent="0.3">
      <c r="A43" s="108"/>
      <c r="B43" s="109"/>
      <c r="C43" s="109"/>
      <c r="D43" s="109"/>
      <c r="E43" s="110"/>
      <c r="F43" s="257"/>
      <c r="G43" s="258"/>
      <c r="H43" s="258"/>
      <c r="I43" s="111"/>
      <c r="J43" s="112"/>
    </row>
    <row r="44" spans="1:10" ht="0.75" customHeight="1" x14ac:dyDescent="0.25">
      <c r="A44" s="194"/>
      <c r="B44" s="195"/>
      <c r="C44" s="195"/>
      <c r="D44" s="195"/>
      <c r="E44" s="195"/>
      <c r="F44" s="195"/>
      <c r="G44" s="195"/>
      <c r="H44" s="195"/>
      <c r="I44" s="195"/>
      <c r="J44" s="196"/>
    </row>
    <row r="45" spans="1:10" ht="15.95" customHeight="1" x14ac:dyDescent="0.25">
      <c r="A45" s="265" t="s">
        <v>8</v>
      </c>
      <c r="B45" s="266"/>
      <c r="C45" s="266"/>
      <c r="D45" s="267" t="s">
        <v>30</v>
      </c>
      <c r="E45" s="268"/>
      <c r="F45" s="268"/>
      <c r="G45" s="268"/>
      <c r="H45" s="268"/>
      <c r="I45" s="81" t="e">
        <f>+(E33-E12)/E12</f>
        <v>#VALUE!</v>
      </c>
      <c r="J45" s="82"/>
    </row>
    <row r="46" spans="1:10" ht="3.75" customHeight="1" x14ac:dyDescent="0.25">
      <c r="A46" s="265"/>
      <c r="B46" s="266"/>
      <c r="C46" s="266"/>
      <c r="D46" s="269"/>
      <c r="E46" s="270"/>
      <c r="F46" s="270"/>
      <c r="G46" s="270"/>
      <c r="H46" s="270"/>
      <c r="I46" s="270"/>
      <c r="J46" s="271"/>
    </row>
    <row r="47" spans="1:10" x14ac:dyDescent="0.25">
      <c r="A47" s="265"/>
      <c r="B47" s="266"/>
      <c r="C47" s="266"/>
      <c r="D47" s="263" t="s">
        <v>31</v>
      </c>
      <c r="E47" s="264"/>
      <c r="F47" s="264"/>
      <c r="G47" s="264"/>
      <c r="H47" s="264"/>
      <c r="I47" s="77" t="e">
        <f xml:space="preserve"> (E33-E12)</f>
        <v>#VALUE!</v>
      </c>
      <c r="J47" s="83"/>
    </row>
    <row r="48" spans="1:10" ht="3.75" customHeight="1" x14ac:dyDescent="0.25">
      <c r="A48" s="265"/>
      <c r="B48" s="266"/>
      <c r="C48" s="266"/>
      <c r="D48" s="7"/>
      <c r="E48" s="61"/>
      <c r="F48" s="61"/>
      <c r="G48" s="61"/>
      <c r="H48" s="61"/>
      <c r="I48" s="61"/>
      <c r="J48" s="84"/>
    </row>
    <row r="49" spans="1:24" x14ac:dyDescent="0.25">
      <c r="A49" s="265"/>
      <c r="B49" s="266"/>
      <c r="C49" s="266"/>
      <c r="D49" s="259" t="s">
        <v>53</v>
      </c>
      <c r="E49" s="260"/>
      <c r="F49" s="260"/>
      <c r="G49" s="260"/>
      <c r="H49" s="260"/>
      <c r="I49" s="85" t="e">
        <f>E36-E14</f>
        <v>#VALUE!</v>
      </c>
      <c r="J49" s="86"/>
    </row>
    <row r="50" spans="1:24" ht="2.25" customHeight="1" x14ac:dyDescent="0.25">
      <c r="A50" s="265"/>
      <c r="B50" s="266"/>
      <c r="C50" s="266"/>
      <c r="D50" s="153"/>
      <c r="E50" s="87"/>
      <c r="F50" s="154"/>
      <c r="G50" s="154"/>
      <c r="H50" s="154"/>
      <c r="I50" s="88"/>
      <c r="J50" s="86"/>
    </row>
    <row r="51" spans="1:24" x14ac:dyDescent="0.25">
      <c r="A51" s="265"/>
      <c r="B51" s="266"/>
      <c r="C51" s="266"/>
      <c r="D51" s="261" t="s">
        <v>32</v>
      </c>
      <c r="E51" s="262"/>
      <c r="F51" s="262"/>
      <c r="G51" s="262"/>
      <c r="H51" s="262"/>
      <c r="I51" s="89" t="e">
        <f>(E38-E15)/E15</f>
        <v>#VALUE!</v>
      </c>
      <c r="J51" s="86"/>
    </row>
    <row r="52" spans="1:24" ht="2.25" customHeight="1" x14ac:dyDescent="0.25">
      <c r="A52" s="265"/>
      <c r="B52" s="266"/>
      <c r="C52" s="266"/>
      <c r="D52" s="153"/>
      <c r="E52" s="87"/>
      <c r="F52" s="154"/>
      <c r="G52" s="154"/>
      <c r="H52" s="154"/>
      <c r="I52" s="88"/>
      <c r="J52" s="86"/>
    </row>
    <row r="53" spans="1:24" x14ac:dyDescent="0.25">
      <c r="A53" s="265"/>
      <c r="B53" s="266"/>
      <c r="C53" s="266"/>
      <c r="D53" s="90"/>
      <c r="E53" s="256" t="s">
        <v>43</v>
      </c>
      <c r="F53" s="256"/>
      <c r="G53" s="256"/>
      <c r="H53" s="256"/>
      <c r="I53" s="91" t="e">
        <f>E38-E15</f>
        <v>#VALUE!</v>
      </c>
      <c r="J53" s="92"/>
    </row>
    <row r="54" spans="1:24" ht="6.6" customHeight="1" x14ac:dyDescent="0.25">
      <c r="A54" s="265"/>
      <c r="B54" s="266"/>
      <c r="C54" s="266"/>
      <c r="D54" s="7"/>
      <c r="E54" s="7"/>
      <c r="F54" s="7"/>
      <c r="G54" s="7"/>
      <c r="H54" s="7"/>
      <c r="I54" s="7"/>
      <c r="J54" s="141"/>
    </row>
    <row r="55" spans="1:24" x14ac:dyDescent="0.25">
      <c r="A55" s="265"/>
      <c r="B55" s="266"/>
      <c r="C55" s="266"/>
      <c r="D55" s="133"/>
      <c r="E55" s="134"/>
      <c r="F55" s="134"/>
      <c r="G55" s="134"/>
      <c r="H55" s="134" t="s">
        <v>98</v>
      </c>
      <c r="I55" s="191" t="e">
        <f>(E38-E15)/E15</f>
        <v>#VALUE!</v>
      </c>
      <c r="J55" s="135"/>
    </row>
    <row r="56" spans="1:24" ht="14.25" thickBot="1" x14ac:dyDescent="0.3">
      <c r="A56" s="265"/>
      <c r="B56" s="266"/>
      <c r="C56" s="266"/>
      <c r="D56" s="136"/>
      <c r="E56" s="137"/>
      <c r="F56" s="138"/>
      <c r="G56" s="138"/>
      <c r="H56" s="139" t="s">
        <v>99</v>
      </c>
      <c r="I56" s="146" t="e">
        <f>E38-E15</f>
        <v>#VALUE!</v>
      </c>
      <c r="J56" s="140"/>
    </row>
    <row r="57" spans="1:24" ht="7.15" customHeight="1" thickBot="1" x14ac:dyDescent="0.3">
      <c r="A57" s="155"/>
      <c r="B57" s="156"/>
      <c r="C57" s="156"/>
      <c r="D57" s="156"/>
      <c r="E57" s="156"/>
      <c r="F57" s="156"/>
      <c r="G57" s="156"/>
      <c r="H57" s="156"/>
      <c r="I57" s="156"/>
      <c r="J57" s="157"/>
    </row>
    <row r="58" spans="1:24" ht="14.25" thickBot="1" x14ac:dyDescent="0.3">
      <c r="A58" s="60"/>
      <c r="B58" s="78" t="e">
        <f>IF(I45&gt;9.99%,"Yes",IF(I45&lt;9.99%,"No"))</f>
        <v>#VALUE!</v>
      </c>
      <c r="C58" s="79" t="s">
        <v>61</v>
      </c>
      <c r="D58" s="80"/>
      <c r="E58" s="147"/>
      <c r="F58" s="93" t="e">
        <f>IF(AND(I51&gt;=10%,I53&gt;=10000),"Yes","No")</f>
        <v>#VALUE!</v>
      </c>
      <c r="G58" s="94" t="s">
        <v>62</v>
      </c>
      <c r="H58" s="95"/>
      <c r="I58" s="147"/>
      <c r="J58" s="131"/>
    </row>
    <row r="59" spans="1:24" ht="6.6" customHeight="1" x14ac:dyDescent="0.25">
      <c r="A59" s="60"/>
      <c r="B59" s="147"/>
      <c r="C59" s="147"/>
      <c r="D59" s="147"/>
      <c r="E59" s="147"/>
      <c r="F59" s="147"/>
      <c r="G59" s="147"/>
      <c r="H59" s="147"/>
      <c r="I59" s="147"/>
      <c r="J59" s="131"/>
    </row>
    <row r="60" spans="1:24" ht="15" customHeight="1" x14ac:dyDescent="0.25">
      <c r="A60" s="60"/>
      <c r="B60" s="147"/>
      <c r="C60" s="147"/>
      <c r="D60" s="147"/>
      <c r="E60" s="147"/>
      <c r="F60" s="147"/>
      <c r="G60" s="147"/>
      <c r="H60" s="147"/>
      <c r="I60" s="147"/>
      <c r="J60" s="131"/>
    </row>
    <row r="61" spans="1:24" ht="15" customHeight="1" x14ac:dyDescent="0.25">
      <c r="A61" s="236" t="s">
        <v>86</v>
      </c>
      <c r="B61" s="237"/>
      <c r="C61" s="237"/>
      <c r="D61" s="237"/>
      <c r="E61" s="237"/>
      <c r="F61" s="246" t="s">
        <v>74</v>
      </c>
      <c r="G61" s="246"/>
      <c r="H61" s="246"/>
      <c r="I61" s="246"/>
      <c r="J61" s="131"/>
    </row>
    <row r="62" spans="1:24" ht="15" customHeight="1" x14ac:dyDescent="0.25">
      <c r="A62" s="60"/>
      <c r="B62" s="147"/>
      <c r="C62" s="238" t="s">
        <v>97</v>
      </c>
      <c r="D62" s="238"/>
      <c r="E62" s="238"/>
      <c r="F62" s="247" t="s">
        <v>74</v>
      </c>
      <c r="G62" s="247"/>
      <c r="H62" s="247"/>
      <c r="I62" s="247"/>
      <c r="J62" s="131"/>
    </row>
    <row r="63" spans="1:24" ht="12.75" customHeight="1" thickBot="1" x14ac:dyDescent="0.3">
      <c r="A63" s="41"/>
      <c r="B63" s="42"/>
      <c r="C63" s="42"/>
      <c r="D63" s="57"/>
      <c r="E63" s="57"/>
      <c r="F63" s="248"/>
      <c r="G63" s="248"/>
      <c r="H63" s="248"/>
      <c r="I63" s="248"/>
      <c r="J63" s="43"/>
    </row>
    <row r="64" spans="1:24" ht="129.75" customHeight="1" thickBot="1" x14ac:dyDescent="0.3">
      <c r="A64" s="243" t="s">
        <v>104</v>
      </c>
      <c r="B64" s="244"/>
      <c r="C64" s="244"/>
      <c r="D64" s="244"/>
      <c r="E64" s="244"/>
      <c r="F64" s="244"/>
      <c r="G64" s="244"/>
      <c r="H64" s="244"/>
      <c r="I64" s="244"/>
      <c r="J64" s="245"/>
      <c r="P64" s="5"/>
      <c r="Q64" s="5"/>
      <c r="R64" s="5"/>
      <c r="S64" s="5"/>
      <c r="T64" s="5"/>
      <c r="U64" s="5"/>
      <c r="V64" s="5"/>
      <c r="W64" s="5"/>
      <c r="X64" s="5"/>
    </row>
    <row r="65" spans="1:24" ht="13.5" customHeight="1" x14ac:dyDescent="0.25">
      <c r="A65" s="180" t="s">
        <v>47</v>
      </c>
      <c r="B65" s="53"/>
      <c r="C65" s="115"/>
      <c r="D65" s="181"/>
      <c r="E65" s="181"/>
      <c r="F65" s="181"/>
      <c r="G65" s="181"/>
      <c r="H65" s="38"/>
      <c r="I65" s="38"/>
      <c r="J65" s="40"/>
      <c r="P65" s="5"/>
      <c r="Q65" s="5"/>
      <c r="R65" s="5"/>
      <c r="S65" s="5"/>
      <c r="T65" s="5"/>
      <c r="U65" s="5"/>
      <c r="V65" s="5"/>
      <c r="W65" s="5"/>
      <c r="X65" s="5"/>
    </row>
    <row r="66" spans="1:24" ht="13.5" customHeight="1" thickBot="1" x14ac:dyDescent="0.3">
      <c r="A66" s="54" t="s">
        <v>48</v>
      </c>
      <c r="B66" s="55"/>
      <c r="C66" s="182"/>
      <c r="D66" s="239"/>
      <c r="E66" s="240"/>
      <c r="F66" s="182"/>
      <c r="G66" s="182"/>
      <c r="H66" s="56"/>
      <c r="I66" s="56"/>
      <c r="J66" s="37"/>
      <c r="P66" s="5"/>
      <c r="Q66" s="5"/>
      <c r="R66" s="5"/>
      <c r="S66" s="5"/>
      <c r="T66" s="5"/>
      <c r="U66" s="5"/>
      <c r="V66" s="5"/>
      <c r="W66" s="5"/>
      <c r="X66" s="5"/>
    </row>
    <row r="67" spans="1:24" ht="13.5" customHeight="1" x14ac:dyDescent="0.25">
      <c r="A67" s="113"/>
      <c r="B67" s="114"/>
      <c r="C67" s="183"/>
      <c r="D67" s="183"/>
      <c r="E67" s="184"/>
      <c r="F67" s="183"/>
      <c r="G67" s="183"/>
      <c r="H67" s="15"/>
      <c r="I67" s="15"/>
      <c r="J67" s="27"/>
      <c r="P67" s="5"/>
      <c r="Q67" s="5"/>
      <c r="R67" s="5"/>
      <c r="S67" s="5"/>
      <c r="T67" s="5"/>
      <c r="U67" s="5"/>
      <c r="V67" s="5"/>
      <c r="W67" s="5"/>
      <c r="X67" s="5"/>
    </row>
    <row r="68" spans="1:24" ht="13.5" customHeight="1" thickBot="1" x14ac:dyDescent="0.3">
      <c r="A68" s="113"/>
      <c r="B68" s="114"/>
      <c r="C68" s="183"/>
      <c r="D68" s="183"/>
      <c r="E68" s="184"/>
      <c r="F68" s="183"/>
      <c r="G68" s="183"/>
      <c r="H68" s="15"/>
      <c r="I68" s="15"/>
      <c r="J68" s="27"/>
      <c r="P68" s="5"/>
      <c r="Q68" s="5"/>
      <c r="R68" s="5"/>
      <c r="S68" s="5"/>
      <c r="T68" s="5"/>
      <c r="U68" s="5"/>
      <c r="V68" s="5"/>
      <c r="W68" s="5"/>
      <c r="X68" s="5"/>
    </row>
    <row r="69" spans="1:24" ht="13.5" customHeight="1" x14ac:dyDescent="0.25">
      <c r="A69" s="185" t="s">
        <v>34</v>
      </c>
      <c r="B69" s="3"/>
      <c r="C69" s="186"/>
      <c r="D69" s="186"/>
      <c r="E69" s="186"/>
      <c r="F69" s="186"/>
      <c r="G69" s="186"/>
      <c r="H69" s="15"/>
      <c r="I69" s="15"/>
      <c r="J69" s="40"/>
      <c r="P69" s="5"/>
      <c r="Q69" s="5"/>
      <c r="R69" s="5"/>
      <c r="S69" s="5"/>
      <c r="T69" s="5"/>
      <c r="U69" s="5"/>
      <c r="V69" s="5"/>
      <c r="W69" s="5"/>
      <c r="X69" s="5"/>
    </row>
    <row r="70" spans="1:24" ht="14.25" customHeight="1" x14ac:dyDescent="0.25">
      <c r="A70" s="241" t="s">
        <v>24</v>
      </c>
      <c r="B70" s="242"/>
      <c r="C70" s="242"/>
      <c r="D70" s="242"/>
      <c r="E70" s="121"/>
      <c r="F70" s="122"/>
      <c r="G70" s="122"/>
      <c r="H70" s="123"/>
      <c r="I70" s="123"/>
      <c r="J70" s="27"/>
      <c r="P70" s="5"/>
      <c r="Q70" s="5"/>
      <c r="R70" s="5"/>
      <c r="S70" s="5"/>
      <c r="T70" s="5"/>
      <c r="U70" s="5"/>
      <c r="V70" s="5"/>
      <c r="W70" s="5"/>
      <c r="X70" s="5"/>
    </row>
    <row r="71" spans="1:24" ht="12.75" customHeight="1" x14ac:dyDescent="0.25">
      <c r="A71" s="60"/>
      <c r="B71" s="147"/>
      <c r="C71" s="147"/>
      <c r="D71" s="147"/>
      <c r="E71" s="186" t="s">
        <v>63</v>
      </c>
      <c r="F71" s="3"/>
      <c r="G71" s="187" t="s">
        <v>40</v>
      </c>
      <c r="H71" s="3"/>
      <c r="I71" s="188" t="s">
        <v>41</v>
      </c>
      <c r="J71" s="27"/>
      <c r="P71" s="5"/>
      <c r="Q71" s="5"/>
      <c r="R71" s="5"/>
      <c r="S71" s="5"/>
      <c r="T71" s="5"/>
      <c r="U71" s="5"/>
      <c r="V71" s="5"/>
      <c r="W71" s="5"/>
      <c r="X71" s="5"/>
    </row>
    <row r="72" spans="1:24" ht="19.5" customHeight="1" x14ac:dyDescent="0.25">
      <c r="A72" s="241" t="s">
        <v>23</v>
      </c>
      <c r="B72" s="242"/>
      <c r="C72" s="242"/>
      <c r="D72" s="242"/>
      <c r="E72" s="121"/>
      <c r="F72" s="122"/>
      <c r="G72" s="122"/>
      <c r="H72" s="122"/>
      <c r="I72" s="122"/>
      <c r="J72" s="27"/>
      <c r="N72" s="197"/>
      <c r="O72" s="198"/>
      <c r="P72" s="198"/>
      <c r="Q72" s="198"/>
      <c r="R72" s="198"/>
      <c r="S72" s="198"/>
      <c r="T72" s="198"/>
      <c r="U72" s="198"/>
      <c r="V72" s="198"/>
    </row>
    <row r="73" spans="1:24" ht="11.25" customHeight="1" x14ac:dyDescent="0.25">
      <c r="A73" s="60"/>
      <c r="B73" s="147"/>
      <c r="C73" s="147"/>
      <c r="D73" s="147"/>
      <c r="E73" s="186" t="s">
        <v>63</v>
      </c>
      <c r="F73" s="3"/>
      <c r="G73" s="187" t="s">
        <v>40</v>
      </c>
      <c r="H73" s="3"/>
      <c r="I73" s="188" t="s">
        <v>41</v>
      </c>
      <c r="J73" s="27"/>
    </row>
    <row r="74" spans="1:24" ht="19.5" customHeight="1" x14ac:dyDescent="0.25">
      <c r="A74" s="241" t="s">
        <v>107</v>
      </c>
      <c r="B74" s="242"/>
      <c r="C74" s="242"/>
      <c r="D74" s="242"/>
      <c r="E74" s="121"/>
      <c r="F74" s="122"/>
      <c r="G74" s="122"/>
      <c r="H74" s="122"/>
      <c r="I74" s="122"/>
      <c r="J74" s="27"/>
    </row>
    <row r="75" spans="1:24" ht="11.45" customHeight="1" x14ac:dyDescent="0.25">
      <c r="A75" s="161"/>
      <c r="B75" s="59"/>
      <c r="C75" s="59"/>
      <c r="D75" s="59"/>
      <c r="E75" s="186" t="s">
        <v>63</v>
      </c>
      <c r="F75" s="3"/>
      <c r="G75" s="187" t="s">
        <v>40</v>
      </c>
      <c r="H75" s="3"/>
      <c r="I75" s="188" t="s">
        <v>41</v>
      </c>
      <c r="J75" s="27"/>
    </row>
    <row r="76" spans="1:24" ht="13.5" customHeight="1" x14ac:dyDescent="0.25">
      <c r="A76" s="25"/>
      <c r="B76" s="3"/>
      <c r="C76" s="3"/>
      <c r="D76" s="3"/>
      <c r="E76" s="3"/>
      <c r="F76" s="147"/>
      <c r="G76" s="3"/>
      <c r="H76" s="147"/>
      <c r="I76" s="147"/>
      <c r="J76" s="27"/>
    </row>
    <row r="77" spans="1:24" ht="13.5" customHeight="1" x14ac:dyDescent="0.25">
      <c r="A77" s="65" t="s">
        <v>65</v>
      </c>
      <c r="B77" s="189"/>
      <c r="C77" s="189"/>
      <c r="D77" s="184"/>
      <c r="E77" s="184"/>
      <c r="F77" s="184"/>
      <c r="G77" s="184"/>
      <c r="H77" s="184"/>
      <c r="I77" s="184"/>
      <c r="J77" s="27"/>
    </row>
    <row r="78" spans="1:24" ht="13.5" customHeight="1" x14ac:dyDescent="0.25">
      <c r="A78" s="65"/>
      <c r="B78" s="189"/>
      <c r="C78" s="189"/>
      <c r="D78" s="184"/>
      <c r="E78" s="184"/>
      <c r="F78" s="184"/>
      <c r="G78" s="184"/>
      <c r="H78" s="184"/>
      <c r="I78" s="184"/>
      <c r="J78" s="27"/>
    </row>
    <row r="79" spans="1:24" ht="13.5" customHeight="1" x14ac:dyDescent="0.25">
      <c r="A79" s="63"/>
      <c r="B79" s="64"/>
      <c r="C79" s="3"/>
      <c r="D79" s="160" t="s">
        <v>64</v>
      </c>
      <c r="E79" s="124"/>
      <c r="F79" s="125"/>
      <c r="G79" s="125"/>
      <c r="H79" s="122"/>
      <c r="I79" s="122"/>
      <c r="J79" s="27"/>
    </row>
    <row r="80" spans="1:24" ht="13.5" customHeight="1" x14ac:dyDescent="0.25">
      <c r="A80" s="63"/>
      <c r="B80" s="64"/>
      <c r="C80" s="64"/>
      <c r="D80" s="3"/>
      <c r="E80" s="186" t="s">
        <v>63</v>
      </c>
      <c r="F80" s="3"/>
      <c r="G80" s="187" t="s">
        <v>40</v>
      </c>
      <c r="H80" s="3"/>
      <c r="I80" s="188" t="s">
        <v>41</v>
      </c>
      <c r="J80" s="27"/>
    </row>
    <row r="81" spans="1:24" ht="13.5" customHeight="1" x14ac:dyDescent="0.25">
      <c r="A81" s="63"/>
      <c r="B81" s="64"/>
      <c r="C81" s="64"/>
      <c r="D81" s="3"/>
      <c r="E81" s="186"/>
      <c r="F81" s="3"/>
      <c r="G81" s="187"/>
      <c r="H81" s="3"/>
      <c r="I81" s="188"/>
      <c r="J81" s="27"/>
    </row>
    <row r="82" spans="1:24" ht="12" customHeight="1" x14ac:dyDescent="0.25">
      <c r="A82" s="25"/>
      <c r="B82" s="26" t="s">
        <v>88</v>
      </c>
      <c r="C82" s="3"/>
      <c r="D82" s="3"/>
      <c r="E82" s="3"/>
      <c r="F82" s="3"/>
      <c r="G82" s="3"/>
      <c r="H82" s="147"/>
      <c r="I82" s="147"/>
      <c r="J82" s="27"/>
      <c r="M82" s="3"/>
    </row>
    <row r="83" spans="1:24" ht="19.5" customHeight="1" x14ac:dyDescent="0.25">
      <c r="A83" s="39"/>
      <c r="B83" s="3" t="s">
        <v>38</v>
      </c>
      <c r="C83" s="3"/>
      <c r="D83" s="3"/>
      <c r="E83" s="3"/>
      <c r="F83" s="3"/>
      <c r="G83" s="3"/>
      <c r="H83" s="147"/>
      <c r="I83" s="147"/>
      <c r="J83" s="27"/>
      <c r="M83" s="3"/>
      <c r="N83" s="197"/>
      <c r="O83" s="198"/>
      <c r="P83" s="198"/>
      <c r="Q83" s="198"/>
      <c r="R83" s="198"/>
      <c r="S83" s="198"/>
      <c r="T83" s="198"/>
      <c r="U83" s="198"/>
      <c r="V83" s="198"/>
    </row>
    <row r="84" spans="1:24" ht="12" customHeight="1" x14ac:dyDescent="0.25">
      <c r="A84" s="25"/>
      <c r="B84" s="3" t="s">
        <v>66</v>
      </c>
      <c r="C84" s="3"/>
      <c r="D84" s="3"/>
      <c r="E84" s="3"/>
      <c r="F84" s="3"/>
      <c r="G84" s="3"/>
      <c r="H84" s="147"/>
      <c r="I84" s="147"/>
      <c r="J84" s="27"/>
      <c r="M84" s="3"/>
    </row>
    <row r="85" spans="1:24" ht="12" customHeight="1" x14ac:dyDescent="0.25">
      <c r="A85" s="25"/>
      <c r="B85" s="3" t="s">
        <v>44</v>
      </c>
      <c r="C85" s="3"/>
      <c r="D85" s="3"/>
      <c r="E85" s="3"/>
      <c r="F85" s="3"/>
      <c r="G85" s="3"/>
      <c r="H85" s="147"/>
      <c r="I85" s="147"/>
      <c r="J85" s="27"/>
      <c r="M85" s="3"/>
    </row>
    <row r="86" spans="1:24" ht="12" customHeight="1" x14ac:dyDescent="0.25">
      <c r="A86" s="25"/>
      <c r="B86" s="3"/>
      <c r="C86" s="3"/>
      <c r="D86" s="3"/>
      <c r="E86" s="3"/>
      <c r="F86" s="3"/>
      <c r="G86" s="3"/>
      <c r="H86" s="147"/>
      <c r="I86" s="147"/>
      <c r="J86" s="27"/>
      <c r="M86" s="3"/>
    </row>
    <row r="87" spans="1:24" ht="12" customHeight="1" x14ac:dyDescent="0.25">
      <c r="A87" s="25"/>
      <c r="B87" s="26" t="s">
        <v>82</v>
      </c>
      <c r="C87" s="3"/>
      <c r="D87" s="3"/>
      <c r="E87" s="3"/>
      <c r="F87" s="3"/>
      <c r="G87" s="3"/>
      <c r="H87" s="147"/>
      <c r="I87" s="147"/>
      <c r="J87" s="27"/>
      <c r="M87" s="3"/>
    </row>
    <row r="88" spans="1:24" ht="19.5" customHeight="1" x14ac:dyDescent="0.25">
      <c r="A88" s="39"/>
      <c r="B88" s="3" t="s">
        <v>45</v>
      </c>
      <c r="C88" s="3"/>
      <c r="D88" s="3"/>
      <c r="E88" s="3"/>
      <c r="F88" s="3"/>
      <c r="G88" s="3"/>
      <c r="H88" s="3"/>
      <c r="I88" s="3"/>
      <c r="J88" s="27"/>
    </row>
    <row r="89" spans="1:24" x14ac:dyDescent="0.25">
      <c r="A89" s="25"/>
      <c r="B89" s="3" t="s">
        <v>46</v>
      </c>
      <c r="C89" s="3"/>
      <c r="D89" s="3"/>
      <c r="E89" s="3"/>
      <c r="F89" s="3"/>
      <c r="G89" s="3"/>
      <c r="H89" s="3"/>
      <c r="I89" s="3"/>
      <c r="J89" s="27"/>
    </row>
    <row r="90" spans="1:24" x14ac:dyDescent="0.25">
      <c r="A90" s="25"/>
      <c r="B90" s="3"/>
      <c r="C90" s="3"/>
      <c r="D90" s="3"/>
      <c r="E90" s="3"/>
      <c r="F90" s="3"/>
      <c r="G90" s="3"/>
      <c r="H90" s="3"/>
      <c r="I90" s="3"/>
      <c r="J90" s="27"/>
    </row>
    <row r="91" spans="1:24" x14ac:dyDescent="0.25">
      <c r="A91" s="25"/>
      <c r="B91" s="26" t="s">
        <v>90</v>
      </c>
      <c r="C91" s="3"/>
      <c r="D91" s="3"/>
      <c r="E91" s="3"/>
      <c r="F91" s="3"/>
      <c r="G91" s="3"/>
      <c r="H91" s="3"/>
      <c r="I91" s="3"/>
      <c r="J91" s="27"/>
    </row>
    <row r="92" spans="1:24" ht="19.5" customHeight="1" x14ac:dyDescent="0.25">
      <c r="A92" s="39"/>
      <c r="B92" s="3" t="s">
        <v>79</v>
      </c>
      <c r="C92" s="3"/>
      <c r="D92" s="3"/>
      <c r="E92" s="3"/>
      <c r="F92" s="3"/>
      <c r="G92" s="3"/>
      <c r="H92" s="3"/>
      <c r="I92" s="3"/>
      <c r="J92" s="27"/>
    </row>
    <row r="93" spans="1:24" x14ac:dyDescent="0.25">
      <c r="A93" s="25"/>
      <c r="B93" s="3"/>
      <c r="C93" s="3"/>
      <c r="D93" s="3"/>
      <c r="E93" s="3"/>
      <c r="F93" s="3"/>
      <c r="G93" s="3"/>
      <c r="H93" s="3"/>
      <c r="I93" s="3"/>
      <c r="J93" s="27"/>
    </row>
    <row r="94" spans="1:24" ht="11.25" hidden="1" customHeight="1" x14ac:dyDescent="0.25">
      <c r="A94" s="25"/>
      <c r="B94" s="33" t="s">
        <v>39</v>
      </c>
      <c r="C94" s="3"/>
      <c r="D94" s="3"/>
      <c r="E94" s="147"/>
      <c r="F94" s="3"/>
      <c r="G94" s="3"/>
      <c r="H94" s="6"/>
      <c r="I94" s="6"/>
      <c r="J94" s="27"/>
    </row>
    <row r="95" spans="1:24" ht="13.5" customHeight="1" x14ac:dyDescent="0.25">
      <c r="A95" s="34"/>
      <c r="B95" s="233" t="s">
        <v>87</v>
      </c>
      <c r="C95" s="234"/>
      <c r="D95" s="234"/>
      <c r="E95" s="234"/>
      <c r="F95" s="234"/>
      <c r="G95" s="234"/>
      <c r="H95" s="234"/>
      <c r="I95" s="159"/>
      <c r="J95" s="35"/>
      <c r="K95" s="23"/>
      <c r="L95" s="23"/>
      <c r="M95" s="23"/>
      <c r="N95" s="23"/>
      <c r="O95" s="23"/>
      <c r="P95" s="23"/>
      <c r="Q95" s="23"/>
      <c r="R95" s="23"/>
      <c r="S95" s="23"/>
      <c r="T95" s="23"/>
      <c r="U95" s="23"/>
      <c r="V95" s="23"/>
      <c r="W95" s="23"/>
      <c r="X95" s="23"/>
    </row>
    <row r="96" spans="1:24" ht="13.5" customHeight="1" x14ac:dyDescent="0.25">
      <c r="A96" s="34"/>
      <c r="B96" s="234"/>
      <c r="C96" s="234"/>
      <c r="D96" s="234"/>
      <c r="E96" s="234"/>
      <c r="F96" s="234"/>
      <c r="G96" s="234"/>
      <c r="H96" s="234"/>
      <c r="I96" s="21"/>
      <c r="J96" s="27"/>
    </row>
    <row r="97" spans="1:13" ht="15" customHeight="1" x14ac:dyDescent="0.25">
      <c r="A97" s="34"/>
      <c r="B97" s="234"/>
      <c r="C97" s="234"/>
      <c r="D97" s="234"/>
      <c r="E97" s="234"/>
      <c r="F97" s="234"/>
      <c r="G97" s="234"/>
      <c r="H97" s="234"/>
      <c r="I97" s="21"/>
      <c r="J97" s="27"/>
    </row>
    <row r="98" spans="1:13" ht="15.75" customHeight="1" x14ac:dyDescent="0.25">
      <c r="A98" s="60"/>
      <c r="B98" s="234"/>
      <c r="C98" s="234"/>
      <c r="D98" s="234"/>
      <c r="E98" s="234"/>
      <c r="F98" s="234"/>
      <c r="G98" s="234"/>
      <c r="H98" s="234"/>
      <c r="I98" s="21"/>
      <c r="J98" s="27"/>
    </row>
    <row r="99" spans="1:13" ht="15.75" customHeight="1" x14ac:dyDescent="0.25">
      <c r="A99" s="25"/>
      <c r="B99" s="234"/>
      <c r="C99" s="234"/>
      <c r="D99" s="234"/>
      <c r="E99" s="234"/>
      <c r="F99" s="234"/>
      <c r="G99" s="234"/>
      <c r="H99" s="234"/>
      <c r="I99" s="21"/>
      <c r="J99" s="27"/>
      <c r="M99" s="3"/>
    </row>
    <row r="100" spans="1:13" ht="15.75" customHeight="1" thickBot="1" x14ac:dyDescent="0.3">
      <c r="A100" s="36"/>
      <c r="B100" s="235"/>
      <c r="C100" s="235"/>
      <c r="D100" s="235"/>
      <c r="E100" s="235"/>
      <c r="F100" s="235"/>
      <c r="G100" s="235"/>
      <c r="H100" s="235"/>
      <c r="I100" s="42"/>
      <c r="J100" s="43"/>
      <c r="L100" s="3"/>
    </row>
    <row r="101" spans="1:13" x14ac:dyDescent="0.25">
      <c r="A101" s="3"/>
      <c r="B101" s="3"/>
      <c r="C101" s="3"/>
      <c r="D101" s="3"/>
      <c r="E101" s="22"/>
      <c r="F101" s="3"/>
      <c r="G101" s="3"/>
      <c r="H101" s="3"/>
      <c r="I101" s="24"/>
      <c r="J101" s="3"/>
      <c r="K101" s="3"/>
    </row>
    <row r="102" spans="1:13" x14ac:dyDescent="0.25">
      <c r="J102" s="3"/>
    </row>
    <row r="103" spans="1:13" x14ac:dyDescent="0.25">
      <c r="J103" s="3"/>
    </row>
    <row r="104" spans="1:13" x14ac:dyDescent="0.25">
      <c r="C104" s="3"/>
    </row>
  </sheetData>
  <sheetProtection sheet="1" objects="1" scenarios="1"/>
  <mergeCells count="63">
    <mergeCell ref="E53:H53"/>
    <mergeCell ref="F43:H43"/>
    <mergeCell ref="D49:H49"/>
    <mergeCell ref="D51:H51"/>
    <mergeCell ref="D47:H47"/>
    <mergeCell ref="A44:J44"/>
    <mergeCell ref="A45:C56"/>
    <mergeCell ref="D45:H45"/>
    <mergeCell ref="D46:J46"/>
    <mergeCell ref="F26:H26"/>
    <mergeCell ref="B95:H100"/>
    <mergeCell ref="A61:E61"/>
    <mergeCell ref="C62:E62"/>
    <mergeCell ref="D66:E66"/>
    <mergeCell ref="A70:D70"/>
    <mergeCell ref="A64:J64"/>
    <mergeCell ref="F61:I61"/>
    <mergeCell ref="A72:D72"/>
    <mergeCell ref="F62:I63"/>
    <mergeCell ref="A74:D74"/>
    <mergeCell ref="E41:I41"/>
    <mergeCell ref="A40:B40"/>
    <mergeCell ref="F40:I40"/>
    <mergeCell ref="A42:J42"/>
    <mergeCell ref="B41:D41"/>
    <mergeCell ref="F29:H29"/>
    <mergeCell ref="A21:D21"/>
    <mergeCell ref="F38:H38"/>
    <mergeCell ref="A36:C36"/>
    <mergeCell ref="F34:H34"/>
    <mergeCell ref="A32:J32"/>
    <mergeCell ref="F33:H33"/>
    <mergeCell ref="A34:D35"/>
    <mergeCell ref="A38:D38"/>
    <mergeCell ref="F36:H36"/>
    <mergeCell ref="F25:H25"/>
    <mergeCell ref="F21:H21"/>
    <mergeCell ref="B30:D30"/>
    <mergeCell ref="E30:I30"/>
    <mergeCell ref="A27:D27"/>
    <mergeCell ref="F27:H27"/>
    <mergeCell ref="A1:J1"/>
    <mergeCell ref="D5:H5"/>
    <mergeCell ref="N83:V83"/>
    <mergeCell ref="A15:D15"/>
    <mergeCell ref="A12:D12"/>
    <mergeCell ref="F12:J12"/>
    <mergeCell ref="N72:V72"/>
    <mergeCell ref="F22:H22"/>
    <mergeCell ref="A17:B17"/>
    <mergeCell ref="A20:J20"/>
    <mergeCell ref="F16:I17"/>
    <mergeCell ref="B18:D18"/>
    <mergeCell ref="E18:I18"/>
    <mergeCell ref="A19:J19"/>
    <mergeCell ref="F31:H31"/>
    <mergeCell ref="A29:B29"/>
    <mergeCell ref="D10:H10"/>
    <mergeCell ref="D11:G11"/>
    <mergeCell ref="D9:H9"/>
    <mergeCell ref="D6:H6"/>
    <mergeCell ref="D7:H7"/>
    <mergeCell ref="D8:H8"/>
  </mergeCells>
  <phoneticPr fontId="0" type="noConversion"/>
  <dataValidations count="2">
    <dataValidation type="list" allowBlank="1" showInputMessage="1" showErrorMessage="1" sqref="F62:I63">
      <formula1>SalaryCode</formula1>
    </dataValidation>
    <dataValidation type="list" allowBlank="1" showInputMessage="1" showErrorMessage="1" sqref="F61">
      <formula1>IncreaseType</formula1>
    </dataValidation>
  </dataValidations>
  <printOptions horizontalCentered="1"/>
  <pageMargins left="0.25" right="0.25" top="0.66" bottom="0.34" header="0.17" footer="0.17"/>
  <pageSetup scale="89" orientation="portrait" r:id="rId1"/>
  <headerFooter>
    <oddHeader>&amp;C&amp;"Arial Narrow,Bold"&amp;14FY 2012/13 Recommendation for EPA/SPA Base Salary Increase, Stipend, or Supplement</oddHeader>
    <oddFooter>&amp;L&amp;K000000Form Rev. &amp;D&amp;RPage &amp;P of 2</oddFooter>
  </headerFooter>
  <rowBreaks count="1" manualBreakCount="1">
    <brk id="64" max="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8"/>
  <sheetViews>
    <sheetView topLeftCell="A7" workbookViewId="0">
      <selection activeCell="B18" sqref="B18"/>
    </sheetView>
  </sheetViews>
  <sheetFormatPr defaultColWidth="9.140625" defaultRowHeight="12.75" x14ac:dyDescent="0.2"/>
  <cols>
    <col min="1" max="1" width="3" style="66" bestFit="1" customWidth="1"/>
    <col min="2" max="2" width="23.7109375" style="66" bestFit="1" customWidth="1"/>
    <col min="3" max="3" width="25.42578125" style="66" customWidth="1"/>
    <col min="4" max="4" width="11.7109375" style="66" customWidth="1"/>
    <col min="5" max="5" width="18.5703125" style="66" bestFit="1" customWidth="1"/>
    <col min="6" max="6" width="15.5703125" style="66" bestFit="1" customWidth="1"/>
    <col min="7" max="7" width="10.140625" style="66" bestFit="1" customWidth="1"/>
    <col min="8" max="8" width="9.140625" style="66"/>
    <col min="9" max="9" width="14.85546875" style="66" customWidth="1"/>
    <col min="10" max="16384" width="9.140625" style="66"/>
  </cols>
  <sheetData>
    <row r="1" spans="1:9" ht="15.75" x14ac:dyDescent="0.25">
      <c r="A1" s="272" t="s">
        <v>68</v>
      </c>
      <c r="B1" s="272"/>
      <c r="C1" s="272"/>
      <c r="D1" s="272"/>
      <c r="E1" s="272"/>
      <c r="F1" s="272"/>
      <c r="G1" s="272"/>
    </row>
    <row r="2" spans="1:9" x14ac:dyDescent="0.2">
      <c r="A2" s="273" t="s">
        <v>81</v>
      </c>
      <c r="B2" s="273"/>
      <c r="C2" s="273"/>
      <c r="D2" s="273"/>
      <c r="E2" s="273"/>
      <c r="F2" s="273"/>
      <c r="G2" s="274"/>
      <c r="H2" s="274"/>
      <c r="I2" s="274"/>
    </row>
    <row r="3" spans="1:9" x14ac:dyDescent="0.2">
      <c r="A3" s="273"/>
      <c r="B3" s="273"/>
      <c r="C3" s="273"/>
      <c r="D3" s="273"/>
      <c r="E3" s="273"/>
      <c r="F3" s="273"/>
      <c r="G3" s="274"/>
      <c r="H3" s="274"/>
      <c r="I3" s="274"/>
    </row>
    <row r="4" spans="1:9" x14ac:dyDescent="0.2">
      <c r="A4" s="273"/>
      <c r="B4" s="273"/>
      <c r="C4" s="273"/>
      <c r="D4" s="273"/>
      <c r="E4" s="273"/>
      <c r="F4" s="273"/>
      <c r="G4" s="274"/>
      <c r="H4" s="274"/>
      <c r="I4" s="274"/>
    </row>
    <row r="5" spans="1:9" x14ac:dyDescent="0.2">
      <c r="A5" s="273"/>
      <c r="B5" s="273"/>
      <c r="C5" s="273"/>
      <c r="D5" s="273"/>
      <c r="E5" s="273"/>
      <c r="F5" s="273"/>
      <c r="G5" s="274"/>
      <c r="H5" s="274"/>
      <c r="I5" s="274"/>
    </row>
    <row r="6" spans="1:9" x14ac:dyDescent="0.2">
      <c r="A6" s="273"/>
      <c r="B6" s="273"/>
      <c r="C6" s="273"/>
      <c r="D6" s="273"/>
      <c r="E6" s="273"/>
      <c r="F6" s="273"/>
      <c r="G6" s="274"/>
      <c r="H6" s="274"/>
      <c r="I6" s="274"/>
    </row>
    <row r="7" spans="1:9" ht="39.75" customHeight="1" x14ac:dyDescent="0.2">
      <c r="A7" s="273"/>
      <c r="B7" s="273"/>
      <c r="C7" s="273"/>
      <c r="D7" s="273"/>
      <c r="E7" s="273"/>
      <c r="F7" s="273"/>
      <c r="G7" s="274"/>
      <c r="H7" s="274"/>
      <c r="I7" s="274"/>
    </row>
    <row r="8" spans="1:9" ht="15.75" x14ac:dyDescent="0.25">
      <c r="A8" s="70"/>
      <c r="B8" s="72" t="s">
        <v>69</v>
      </c>
      <c r="C8" s="73"/>
      <c r="D8" s="70"/>
      <c r="E8" s="70"/>
      <c r="F8" s="70"/>
      <c r="G8" s="62"/>
    </row>
    <row r="9" spans="1:9" s="67" customFormat="1" ht="51" x14ac:dyDescent="0.2">
      <c r="B9" s="116" t="s">
        <v>70</v>
      </c>
      <c r="C9" s="116" t="s">
        <v>59</v>
      </c>
      <c r="D9" s="116" t="s">
        <v>57</v>
      </c>
      <c r="E9" s="116" t="s">
        <v>58</v>
      </c>
      <c r="F9" s="116" t="s">
        <v>60</v>
      </c>
      <c r="G9" s="67" t="s">
        <v>67</v>
      </c>
      <c r="H9" s="67" t="s">
        <v>71</v>
      </c>
      <c r="I9" s="67" t="s">
        <v>73</v>
      </c>
    </row>
    <row r="10" spans="1:9" x14ac:dyDescent="0.2">
      <c r="A10" s="66">
        <v>1</v>
      </c>
      <c r="B10" s="117"/>
      <c r="C10" s="117"/>
      <c r="D10" s="118"/>
      <c r="E10" s="118"/>
      <c r="F10" s="118"/>
      <c r="G10" s="68">
        <f>SUM(D10:F10)</f>
        <v>0</v>
      </c>
      <c r="H10" s="97" t="e">
        <f t="shared" ref="H10:H34" si="0">(I10-$C$8)/$C$8</f>
        <v>#DIV/0!</v>
      </c>
      <c r="I10" s="98">
        <f t="shared" ref="I10:I34" si="1">$C$8+G10</f>
        <v>0</v>
      </c>
    </row>
    <row r="11" spans="1:9" x14ac:dyDescent="0.2">
      <c r="A11" s="66">
        <v>2</v>
      </c>
      <c r="B11" s="117"/>
      <c r="C11" s="117"/>
      <c r="D11" s="118"/>
      <c r="E11" s="118"/>
      <c r="F11" s="118"/>
      <c r="G11" s="68">
        <f t="shared" ref="G11:G34" si="2">SUM(D11:F11)</f>
        <v>0</v>
      </c>
      <c r="H11" s="97" t="e">
        <f t="shared" si="0"/>
        <v>#DIV/0!</v>
      </c>
      <c r="I11" s="98">
        <f t="shared" si="1"/>
        <v>0</v>
      </c>
    </row>
    <row r="12" spans="1:9" x14ac:dyDescent="0.2">
      <c r="A12" s="66">
        <v>3</v>
      </c>
      <c r="B12" s="117"/>
      <c r="C12" s="117"/>
      <c r="D12" s="118"/>
      <c r="E12" s="118"/>
      <c r="F12" s="118"/>
      <c r="G12" s="68">
        <f t="shared" si="2"/>
        <v>0</v>
      </c>
      <c r="H12" s="97" t="e">
        <f t="shared" si="0"/>
        <v>#DIV/0!</v>
      </c>
      <c r="I12" s="98">
        <f t="shared" si="1"/>
        <v>0</v>
      </c>
    </row>
    <row r="13" spans="1:9" x14ac:dyDescent="0.2">
      <c r="A13" s="66">
        <v>4</v>
      </c>
      <c r="B13" s="117"/>
      <c r="C13" s="117"/>
      <c r="D13" s="118"/>
      <c r="E13" s="118"/>
      <c r="F13" s="118"/>
      <c r="G13" s="68">
        <f t="shared" si="2"/>
        <v>0</v>
      </c>
      <c r="H13" s="97" t="e">
        <f t="shared" si="0"/>
        <v>#DIV/0!</v>
      </c>
      <c r="I13" s="98">
        <f t="shared" si="1"/>
        <v>0</v>
      </c>
    </row>
    <row r="14" spans="1:9" x14ac:dyDescent="0.2">
      <c r="A14" s="66">
        <v>5</v>
      </c>
      <c r="B14" s="117"/>
      <c r="C14" s="117"/>
      <c r="D14" s="118"/>
      <c r="E14" s="118"/>
      <c r="F14" s="118"/>
      <c r="G14" s="68">
        <f t="shared" si="2"/>
        <v>0</v>
      </c>
      <c r="H14" s="97" t="e">
        <f t="shared" si="0"/>
        <v>#DIV/0!</v>
      </c>
      <c r="I14" s="98">
        <f t="shared" si="1"/>
        <v>0</v>
      </c>
    </row>
    <row r="15" spans="1:9" x14ac:dyDescent="0.2">
      <c r="A15" s="66">
        <v>6</v>
      </c>
      <c r="B15" s="117"/>
      <c r="C15" s="117"/>
      <c r="D15" s="118"/>
      <c r="E15" s="118"/>
      <c r="F15" s="118"/>
      <c r="G15" s="68">
        <f t="shared" si="2"/>
        <v>0</v>
      </c>
      <c r="H15" s="97" t="e">
        <f t="shared" si="0"/>
        <v>#DIV/0!</v>
      </c>
      <c r="I15" s="98">
        <f t="shared" si="1"/>
        <v>0</v>
      </c>
    </row>
    <row r="16" spans="1:9" x14ac:dyDescent="0.2">
      <c r="A16" s="66">
        <v>7</v>
      </c>
      <c r="B16" s="117"/>
      <c r="C16" s="117"/>
      <c r="D16" s="118"/>
      <c r="E16" s="118"/>
      <c r="F16" s="118"/>
      <c r="G16" s="68">
        <f t="shared" si="2"/>
        <v>0</v>
      </c>
      <c r="H16" s="97" t="e">
        <f t="shared" si="0"/>
        <v>#DIV/0!</v>
      </c>
      <c r="I16" s="98">
        <f t="shared" si="1"/>
        <v>0</v>
      </c>
    </row>
    <row r="17" spans="1:9" x14ac:dyDescent="0.2">
      <c r="A17" s="66">
        <v>8</v>
      </c>
      <c r="B17" s="117"/>
      <c r="C17" s="117"/>
      <c r="D17" s="118"/>
      <c r="E17" s="118"/>
      <c r="F17" s="118"/>
      <c r="G17" s="68">
        <f t="shared" si="2"/>
        <v>0</v>
      </c>
      <c r="H17" s="97" t="e">
        <f t="shared" si="0"/>
        <v>#DIV/0!</v>
      </c>
      <c r="I17" s="98">
        <f t="shared" si="1"/>
        <v>0</v>
      </c>
    </row>
    <row r="18" spans="1:9" x14ac:dyDescent="0.2">
      <c r="A18" s="66">
        <v>9</v>
      </c>
      <c r="B18" s="117"/>
      <c r="C18" s="117"/>
      <c r="D18" s="118"/>
      <c r="E18" s="118"/>
      <c r="F18" s="118"/>
      <c r="G18" s="68">
        <f t="shared" si="2"/>
        <v>0</v>
      </c>
      <c r="H18" s="97" t="e">
        <f t="shared" si="0"/>
        <v>#DIV/0!</v>
      </c>
      <c r="I18" s="98">
        <f t="shared" si="1"/>
        <v>0</v>
      </c>
    </row>
    <row r="19" spans="1:9" x14ac:dyDescent="0.2">
      <c r="A19" s="66">
        <v>10</v>
      </c>
      <c r="B19" s="117"/>
      <c r="C19" s="117"/>
      <c r="D19" s="118"/>
      <c r="E19" s="118"/>
      <c r="F19" s="118"/>
      <c r="G19" s="68">
        <f t="shared" si="2"/>
        <v>0</v>
      </c>
      <c r="H19" s="97" t="e">
        <f t="shared" si="0"/>
        <v>#DIV/0!</v>
      </c>
      <c r="I19" s="98">
        <f t="shared" si="1"/>
        <v>0</v>
      </c>
    </row>
    <row r="20" spans="1:9" x14ac:dyDescent="0.2">
      <c r="A20" s="66">
        <v>11</v>
      </c>
      <c r="B20" s="117"/>
      <c r="C20" s="117"/>
      <c r="D20" s="118"/>
      <c r="E20" s="118"/>
      <c r="F20" s="118"/>
      <c r="G20" s="68">
        <f t="shared" si="2"/>
        <v>0</v>
      </c>
      <c r="H20" s="97" t="e">
        <f t="shared" si="0"/>
        <v>#DIV/0!</v>
      </c>
      <c r="I20" s="98">
        <f t="shared" si="1"/>
        <v>0</v>
      </c>
    </row>
    <row r="21" spans="1:9" x14ac:dyDescent="0.2">
      <c r="A21" s="66">
        <v>12</v>
      </c>
      <c r="B21" s="117"/>
      <c r="C21" s="117"/>
      <c r="D21" s="118"/>
      <c r="E21" s="118"/>
      <c r="F21" s="118"/>
      <c r="G21" s="68">
        <f t="shared" si="2"/>
        <v>0</v>
      </c>
      <c r="H21" s="97" t="e">
        <f t="shared" si="0"/>
        <v>#DIV/0!</v>
      </c>
      <c r="I21" s="98">
        <f t="shared" si="1"/>
        <v>0</v>
      </c>
    </row>
    <row r="22" spans="1:9" x14ac:dyDescent="0.2">
      <c r="A22" s="66">
        <v>13</v>
      </c>
      <c r="B22" s="117"/>
      <c r="C22" s="117"/>
      <c r="D22" s="118"/>
      <c r="E22" s="118"/>
      <c r="F22" s="118"/>
      <c r="G22" s="68">
        <f t="shared" si="2"/>
        <v>0</v>
      </c>
      <c r="H22" s="97" t="e">
        <f t="shared" si="0"/>
        <v>#DIV/0!</v>
      </c>
      <c r="I22" s="98">
        <f t="shared" si="1"/>
        <v>0</v>
      </c>
    </row>
    <row r="23" spans="1:9" x14ac:dyDescent="0.2">
      <c r="A23" s="66">
        <v>14</v>
      </c>
      <c r="B23" s="117"/>
      <c r="C23" s="117"/>
      <c r="D23" s="118"/>
      <c r="E23" s="118"/>
      <c r="F23" s="118"/>
      <c r="G23" s="68">
        <f t="shared" si="2"/>
        <v>0</v>
      </c>
      <c r="H23" s="97" t="e">
        <f t="shared" si="0"/>
        <v>#DIV/0!</v>
      </c>
      <c r="I23" s="98">
        <f t="shared" si="1"/>
        <v>0</v>
      </c>
    </row>
    <row r="24" spans="1:9" x14ac:dyDescent="0.2">
      <c r="A24" s="66">
        <v>15</v>
      </c>
      <c r="B24" s="117"/>
      <c r="C24" s="117"/>
      <c r="D24" s="118"/>
      <c r="E24" s="118"/>
      <c r="F24" s="118"/>
      <c r="G24" s="68">
        <f t="shared" si="2"/>
        <v>0</v>
      </c>
      <c r="H24" s="97" t="e">
        <f t="shared" si="0"/>
        <v>#DIV/0!</v>
      </c>
      <c r="I24" s="98">
        <f t="shared" si="1"/>
        <v>0</v>
      </c>
    </row>
    <row r="25" spans="1:9" x14ac:dyDescent="0.2">
      <c r="A25" s="66">
        <v>16</v>
      </c>
      <c r="B25" s="117"/>
      <c r="C25" s="117"/>
      <c r="D25" s="118"/>
      <c r="E25" s="118"/>
      <c r="F25" s="118"/>
      <c r="G25" s="68">
        <f t="shared" si="2"/>
        <v>0</v>
      </c>
      <c r="H25" s="97" t="e">
        <f t="shared" si="0"/>
        <v>#DIV/0!</v>
      </c>
      <c r="I25" s="98">
        <f t="shared" si="1"/>
        <v>0</v>
      </c>
    </row>
    <row r="26" spans="1:9" x14ac:dyDescent="0.2">
      <c r="A26" s="66">
        <v>17</v>
      </c>
      <c r="B26" s="117"/>
      <c r="C26" s="117"/>
      <c r="D26" s="118"/>
      <c r="E26" s="118"/>
      <c r="F26" s="118"/>
      <c r="G26" s="68">
        <f t="shared" si="2"/>
        <v>0</v>
      </c>
      <c r="H26" s="97" t="e">
        <f t="shared" si="0"/>
        <v>#DIV/0!</v>
      </c>
      <c r="I26" s="98">
        <f t="shared" si="1"/>
        <v>0</v>
      </c>
    </row>
    <row r="27" spans="1:9" x14ac:dyDescent="0.2">
      <c r="A27" s="66">
        <v>18</v>
      </c>
      <c r="B27" s="117"/>
      <c r="C27" s="117"/>
      <c r="D27" s="118"/>
      <c r="E27" s="118"/>
      <c r="F27" s="118"/>
      <c r="G27" s="68">
        <f t="shared" si="2"/>
        <v>0</v>
      </c>
      <c r="H27" s="97" t="e">
        <f t="shared" si="0"/>
        <v>#DIV/0!</v>
      </c>
      <c r="I27" s="98">
        <f t="shared" si="1"/>
        <v>0</v>
      </c>
    </row>
    <row r="28" spans="1:9" x14ac:dyDescent="0.2">
      <c r="A28" s="66">
        <v>19</v>
      </c>
      <c r="B28" s="117"/>
      <c r="C28" s="117"/>
      <c r="D28" s="118"/>
      <c r="E28" s="118"/>
      <c r="F28" s="118"/>
      <c r="G28" s="68">
        <f t="shared" si="2"/>
        <v>0</v>
      </c>
      <c r="H28" s="97" t="e">
        <f t="shared" si="0"/>
        <v>#DIV/0!</v>
      </c>
      <c r="I28" s="98">
        <f t="shared" si="1"/>
        <v>0</v>
      </c>
    </row>
    <row r="29" spans="1:9" x14ac:dyDescent="0.2">
      <c r="A29" s="66">
        <v>20</v>
      </c>
      <c r="B29" s="117"/>
      <c r="C29" s="117"/>
      <c r="D29" s="118"/>
      <c r="E29" s="118"/>
      <c r="F29" s="118"/>
      <c r="G29" s="68">
        <f t="shared" si="2"/>
        <v>0</v>
      </c>
      <c r="H29" s="97" t="e">
        <f t="shared" si="0"/>
        <v>#DIV/0!</v>
      </c>
      <c r="I29" s="98">
        <f t="shared" si="1"/>
        <v>0</v>
      </c>
    </row>
    <row r="30" spans="1:9" x14ac:dyDescent="0.2">
      <c r="A30" s="66">
        <v>21</v>
      </c>
      <c r="B30" s="117"/>
      <c r="C30" s="117"/>
      <c r="D30" s="118"/>
      <c r="E30" s="118"/>
      <c r="F30" s="118"/>
      <c r="G30" s="68">
        <f t="shared" si="2"/>
        <v>0</v>
      </c>
      <c r="H30" s="97" t="e">
        <f t="shared" si="0"/>
        <v>#DIV/0!</v>
      </c>
      <c r="I30" s="98">
        <f t="shared" si="1"/>
        <v>0</v>
      </c>
    </row>
    <row r="31" spans="1:9" x14ac:dyDescent="0.2">
      <c r="A31" s="66">
        <v>22</v>
      </c>
      <c r="B31" s="117"/>
      <c r="C31" s="117"/>
      <c r="D31" s="118"/>
      <c r="E31" s="118"/>
      <c r="F31" s="118"/>
      <c r="G31" s="68">
        <f t="shared" si="2"/>
        <v>0</v>
      </c>
      <c r="H31" s="97" t="e">
        <f t="shared" si="0"/>
        <v>#DIV/0!</v>
      </c>
      <c r="I31" s="98">
        <f t="shared" si="1"/>
        <v>0</v>
      </c>
    </row>
    <row r="32" spans="1:9" x14ac:dyDescent="0.2">
      <c r="A32" s="66">
        <v>23</v>
      </c>
      <c r="B32" s="117"/>
      <c r="C32" s="117"/>
      <c r="D32" s="118"/>
      <c r="E32" s="118"/>
      <c r="F32" s="118"/>
      <c r="G32" s="68">
        <f t="shared" si="2"/>
        <v>0</v>
      </c>
      <c r="H32" s="97" t="e">
        <f t="shared" si="0"/>
        <v>#DIV/0!</v>
      </c>
      <c r="I32" s="98">
        <f t="shared" si="1"/>
        <v>0</v>
      </c>
    </row>
    <row r="33" spans="1:9" x14ac:dyDescent="0.2">
      <c r="A33" s="66">
        <v>24</v>
      </c>
      <c r="B33" s="117"/>
      <c r="C33" s="117"/>
      <c r="D33" s="118"/>
      <c r="E33" s="118"/>
      <c r="F33" s="118"/>
      <c r="G33" s="68">
        <f t="shared" si="2"/>
        <v>0</v>
      </c>
      <c r="H33" s="97" t="e">
        <f t="shared" si="0"/>
        <v>#DIV/0!</v>
      </c>
      <c r="I33" s="98">
        <f t="shared" si="1"/>
        <v>0</v>
      </c>
    </row>
    <row r="34" spans="1:9" ht="13.5" thickBot="1" x14ac:dyDescent="0.25">
      <c r="A34" s="66">
        <v>25</v>
      </c>
      <c r="B34" s="117"/>
      <c r="C34" s="119"/>
      <c r="D34" s="120"/>
      <c r="E34" s="120"/>
      <c r="F34" s="120"/>
      <c r="G34" s="71">
        <f t="shared" si="2"/>
        <v>0</v>
      </c>
      <c r="H34" s="99" t="e">
        <f t="shared" si="0"/>
        <v>#DIV/0!</v>
      </c>
      <c r="I34" s="100">
        <f t="shared" si="1"/>
        <v>0</v>
      </c>
    </row>
    <row r="35" spans="1:9" ht="15.75" x14ac:dyDescent="0.25">
      <c r="C35" s="74" t="s">
        <v>72</v>
      </c>
      <c r="D35" s="75">
        <f>SUM(D10:D34)</f>
        <v>0</v>
      </c>
      <c r="E35" s="75">
        <f>SUM(E10:E34)</f>
        <v>0</v>
      </c>
      <c r="F35" s="75">
        <f>SUM(F10:F34)</f>
        <v>0</v>
      </c>
      <c r="G35" s="75">
        <f>SUM(D35:F35)</f>
        <v>0</v>
      </c>
      <c r="H35" s="101" t="e">
        <f>(I35-C8)/C8</f>
        <v>#DIV/0!</v>
      </c>
      <c r="I35" s="102">
        <f>C8+G35</f>
        <v>0</v>
      </c>
    </row>
    <row r="36" spans="1:9" x14ac:dyDescent="0.2">
      <c r="D36" s="69"/>
      <c r="E36" s="69"/>
    </row>
    <row r="37" spans="1:9" ht="15.75" x14ac:dyDescent="0.25">
      <c r="A37" s="69"/>
      <c r="C37" s="74"/>
    </row>
    <row r="38" spans="1:9" ht="15.75" x14ac:dyDescent="0.25">
      <c r="C38" s="74"/>
    </row>
  </sheetData>
  <sheetProtection password="CC32" sheet="1" objects="1" scenarios="1"/>
  <mergeCells count="2">
    <mergeCell ref="A1:G1"/>
    <mergeCell ref="A2:I7"/>
  </mergeCells>
  <phoneticPr fontId="0" type="noConversion"/>
  <printOptions horizontalCentered="1"/>
  <pageMargins left="0.2" right="0.2" top="0.35" bottom="0.75" header="0.17"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26"/>
  <sheetViews>
    <sheetView workbookViewId="0">
      <selection activeCell="A7" sqref="A7"/>
    </sheetView>
  </sheetViews>
  <sheetFormatPr defaultRowHeight="15" x14ac:dyDescent="0.25"/>
  <sheetData>
    <row r="2" spans="1:13" x14ac:dyDescent="0.25">
      <c r="A2" s="76" t="s">
        <v>74</v>
      </c>
    </row>
    <row r="3" spans="1:13" x14ac:dyDescent="0.25">
      <c r="A3" s="76" t="s">
        <v>11</v>
      </c>
      <c r="M3" s="132"/>
    </row>
    <row r="4" spans="1:13" x14ac:dyDescent="0.25">
      <c r="A4" s="76" t="s">
        <v>12</v>
      </c>
    </row>
    <row r="5" spans="1:13" x14ac:dyDescent="0.25">
      <c r="A5" s="76" t="s">
        <v>101</v>
      </c>
    </row>
    <row r="6" spans="1:13" s="132" customFormat="1" x14ac:dyDescent="0.25">
      <c r="A6" s="76" t="s">
        <v>103</v>
      </c>
    </row>
    <row r="7" spans="1:13" x14ac:dyDescent="0.25">
      <c r="A7" s="76" t="s">
        <v>13</v>
      </c>
    </row>
    <row r="8" spans="1:13" x14ac:dyDescent="0.25">
      <c r="A8" s="76" t="s">
        <v>14</v>
      </c>
    </row>
    <row r="9" spans="1:13" x14ac:dyDescent="0.25">
      <c r="A9" s="76" t="s">
        <v>15</v>
      </c>
    </row>
    <row r="10" spans="1:13" x14ac:dyDescent="0.25">
      <c r="A10" s="76" t="s">
        <v>16</v>
      </c>
    </row>
    <row r="11" spans="1:13" x14ac:dyDescent="0.25">
      <c r="A11" s="76" t="s">
        <v>17</v>
      </c>
    </row>
    <row r="12" spans="1:13" x14ac:dyDescent="0.25">
      <c r="A12" s="76" t="s">
        <v>18</v>
      </c>
    </row>
    <row r="13" spans="1:13" s="132" customFormat="1" x14ac:dyDescent="0.25">
      <c r="A13" s="76" t="s">
        <v>19</v>
      </c>
    </row>
    <row r="14" spans="1:13" x14ac:dyDescent="0.25">
      <c r="A14" s="76" t="s">
        <v>102</v>
      </c>
    </row>
    <row r="16" spans="1:13" x14ac:dyDescent="0.25">
      <c r="A16" s="76" t="s">
        <v>74</v>
      </c>
    </row>
    <row r="17" spans="1:1" x14ac:dyDescent="0.25">
      <c r="A17" s="76" t="s">
        <v>20</v>
      </c>
    </row>
    <row r="18" spans="1:1" x14ac:dyDescent="0.25">
      <c r="A18" s="76" t="s">
        <v>21</v>
      </c>
    </row>
    <row r="19" spans="1:1" x14ac:dyDescent="0.25">
      <c r="A19" s="76" t="s">
        <v>75</v>
      </c>
    </row>
    <row r="20" spans="1:1" x14ac:dyDescent="0.25">
      <c r="A20" s="76" t="s">
        <v>76</v>
      </c>
    </row>
    <row r="21" spans="1:1" x14ac:dyDescent="0.25">
      <c r="A21" s="76" t="s">
        <v>22</v>
      </c>
    </row>
    <row r="22" spans="1:1" x14ac:dyDescent="0.25">
      <c r="A22" s="76" t="s">
        <v>77</v>
      </c>
    </row>
    <row r="23" spans="1:1" x14ac:dyDescent="0.25">
      <c r="A23" s="76" t="s">
        <v>78</v>
      </c>
    </row>
    <row r="26" spans="1:1" x14ac:dyDescent="0.25">
      <c r="A26" s="76"/>
    </row>
  </sheetData>
  <phoneticPr fontId="0"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Form</vt:lpstr>
      <vt:lpstr>Payment Worksheet</vt:lpstr>
      <vt:lpstr>Dropdown selections</vt:lpstr>
      <vt:lpstr>'Dropdown selections'!IncreaseType</vt:lpstr>
      <vt:lpstr>IncreaseType</vt:lpstr>
      <vt:lpstr>Form!Print_Area</vt:lpstr>
      <vt:lpstr>SalaryCode</vt:lpstr>
    </vt:vector>
  </TitlesOfParts>
  <Company>The University of North Carolina at Chapel Hill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User</dc:creator>
  <cp:lastModifiedBy>Lenovo User</cp:lastModifiedBy>
  <cp:lastPrinted>2011-12-13T19:31:34Z</cp:lastPrinted>
  <dcterms:created xsi:type="dcterms:W3CDTF">2011-08-31T12:25:10Z</dcterms:created>
  <dcterms:modified xsi:type="dcterms:W3CDTF">2012-08-22T13:46:32Z</dcterms:modified>
</cp:coreProperties>
</file>