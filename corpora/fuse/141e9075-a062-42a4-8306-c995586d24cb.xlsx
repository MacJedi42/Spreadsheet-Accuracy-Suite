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1721"/>
  <workbookPr autoCompressPictures="0"/>
  <bookViews>
    <workbookView xWindow="40" yWindow="40" windowWidth="20480" windowHeight="13560"/>
  </bookViews>
  <sheets>
    <sheet name="BS~201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4" i="1" l="1"/>
  <c r="C30" i="1"/>
  <c r="C12" i="1"/>
  <c r="C18" i="1"/>
</calcChain>
</file>

<file path=xl/sharedStrings.xml><?xml version="1.0" encoding="utf-8"?>
<sst xmlns="http://schemas.openxmlformats.org/spreadsheetml/2006/main" count="25" uniqueCount="25">
  <si>
    <t>CITRIX SYSTEMS, INC.</t>
  </si>
  <si>
    <t>BALANCE SHEETS</t>
  </si>
  <si>
    <t>ASSETS</t>
  </si>
  <si>
    <t>Current assets:</t>
  </si>
  <si>
    <t xml:space="preserve">   Cash and cash equivalents</t>
  </si>
  <si>
    <t xml:space="preserve">   Short-term investments</t>
  </si>
  <si>
    <t xml:space="preserve">   Accounts receivable net of allowances</t>
  </si>
  <si>
    <t xml:space="preserve">   Other current assets, net</t>
  </si>
  <si>
    <t xml:space="preserve">          Total current assets</t>
  </si>
  <si>
    <t>Long-term investments</t>
  </si>
  <si>
    <t>Property and equipment, net</t>
  </si>
  <si>
    <t>Goodwill and other intangible assets, net</t>
  </si>
  <si>
    <t>Other long-term assets</t>
  </si>
  <si>
    <t>LIABILITIES AND STOCKHOLDERS' EQUITY</t>
  </si>
  <si>
    <t>Current liabilities:</t>
  </si>
  <si>
    <t xml:space="preserve">   Accounts payable and accrued expenses</t>
  </si>
  <si>
    <t xml:space="preserve">   Current portion of deferred revenues</t>
  </si>
  <si>
    <t xml:space="preserve">          Total current liabilities</t>
  </si>
  <si>
    <t>Long-term portion of deferred revenues</t>
  </si>
  <si>
    <t>Other liabilities</t>
  </si>
  <si>
    <t xml:space="preserve">          Total stockholders' equity</t>
  </si>
  <si>
    <t>Note:  This document should be read in conjunction with the Company's SEC Filings.</t>
  </si>
  <si>
    <t>2011</t>
  </si>
  <si>
    <t>December 31,</t>
  </si>
  <si>
    <t>(In thousands, except par value - unaudited)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</si>
</sst>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</numFmts>
  <fonts count="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Border="1"/>
    <xf numFmtId="49" fontId="3" fillId="0" borderId="0" xfId="0" applyNumberFormat="1" applyFont="1" applyFill="1" applyBorder="1" applyAlignment="1">
      <alignment horizontal="center"/>
    </xf>
    <xf numFmtId="0" fontId="3" fillId="0" borderId="0" xfId="0" applyFont="1" applyBorder="1"/>
    <xf numFmtId="49" fontId="3" fillId="0" borderId="1" xfId="0" applyNumberFormat="1" applyFont="1" applyFill="1" applyBorder="1" applyAlignment="1">
      <alignment horizontal="center"/>
    </xf>
    <xf numFmtId="0" fontId="4" fillId="0" borderId="0" xfId="0" applyFont="1" applyBorder="1"/>
    <xf numFmtId="0" fontId="0" fillId="0" borderId="0" xfId="0" applyFill="1"/>
    <xf numFmtId="0" fontId="4" fillId="0" borderId="0" xfId="0" applyFont="1" applyFill="1"/>
    <xf numFmtId="0" fontId="3" fillId="0" borderId="0" xfId="0" applyFont="1" applyFill="1" applyBorder="1"/>
    <xf numFmtId="0" fontId="4" fillId="0" borderId="0" xfId="0" applyFont="1" applyFill="1" applyBorder="1"/>
    <xf numFmtId="0" fontId="0" fillId="0" borderId="0" xfId="0" applyFill="1" applyBorder="1"/>
    <xf numFmtId="0" fontId="5" fillId="0" borderId="0" xfId="0" applyFont="1"/>
    <xf numFmtId="0" fontId="2" fillId="0" borderId="0" xfId="0" applyFont="1" applyFill="1"/>
    <xf numFmtId="0" fontId="3" fillId="0" borderId="0" xfId="0" applyFont="1"/>
    <xf numFmtId="164" fontId="0" fillId="0" borderId="0" xfId="0" applyNumberFormat="1" applyFill="1" applyAlignment="1">
      <alignment horizontal="right"/>
    </xf>
    <xf numFmtId="41" fontId="0" fillId="0" borderId="0" xfId="0" applyNumberFormat="1" applyFill="1" applyAlignment="1">
      <alignment horizontal="right"/>
    </xf>
    <xf numFmtId="41" fontId="1" fillId="0" borderId="2" xfId="1" applyNumberFormat="1" applyFill="1" applyBorder="1" applyAlignment="1">
      <alignment horizontal="right"/>
    </xf>
    <xf numFmtId="41" fontId="4" fillId="0" borderId="0" xfId="1" applyNumberFormat="1" applyFont="1" applyFill="1" applyBorder="1" applyAlignment="1">
      <alignment horizontal="right"/>
    </xf>
    <xf numFmtId="41" fontId="1" fillId="0" borderId="0" xfId="1" applyNumberFormat="1" applyFont="1" applyFill="1" applyBorder="1" applyAlignment="1"/>
    <xf numFmtId="41" fontId="1" fillId="0" borderId="2" xfId="1" applyNumberFormat="1" applyFill="1" applyBorder="1" applyAlignment="1"/>
    <xf numFmtId="164" fontId="3" fillId="0" borderId="3" xfId="2" applyNumberFormat="1" applyFont="1" applyFill="1" applyBorder="1" applyAlignment="1">
      <alignment horizontal="right"/>
    </xf>
    <xf numFmtId="42" fontId="0" fillId="0" borderId="0" xfId="0" applyNumberFormat="1" applyFill="1" applyAlignment="1"/>
    <xf numFmtId="41" fontId="1" fillId="0" borderId="2" xfId="1" applyNumberFormat="1" applyFont="1" applyFill="1" applyBorder="1" applyAlignment="1"/>
    <xf numFmtId="3" fontId="4" fillId="0" borderId="0" xfId="0" applyNumberFormat="1" applyFont="1" applyFill="1" applyAlignment="1">
      <alignment horizontal="right" vertical="top" wrapText="1"/>
    </xf>
    <xf numFmtId="41" fontId="0" fillId="0" borderId="2" xfId="0" applyNumberFormat="1" applyFill="1" applyBorder="1"/>
    <xf numFmtId="42" fontId="3" fillId="0" borderId="4" xfId="0" applyNumberFormat="1" applyFont="1" applyFill="1" applyBorder="1"/>
    <xf numFmtId="0" fontId="3" fillId="0" borderId="0" xfId="0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38"/>
  <sheetViews>
    <sheetView tabSelected="1" topLeftCell="B1" workbookViewId="0">
      <selection activeCell="B4" sqref="B4"/>
    </sheetView>
  </sheetViews>
  <sheetFormatPr baseColWidth="10" defaultColWidth="8.83203125" defaultRowHeight="12" x14ac:dyDescent="0"/>
  <cols>
    <col min="1" max="1" width="2.5" customWidth="1"/>
    <col min="2" max="2" width="58.33203125" customWidth="1"/>
    <col min="3" max="3" width="16.5" bestFit="1" customWidth="1"/>
    <col min="4" max="4" width="13.33203125" customWidth="1"/>
  </cols>
  <sheetData>
    <row r="1" spans="2:3">
      <c r="B1" s="26" t="s">
        <v>0</v>
      </c>
      <c r="C1" s="26"/>
    </row>
    <row r="2" spans="2:3">
      <c r="B2" s="26" t="s">
        <v>1</v>
      </c>
      <c r="C2" s="26"/>
    </row>
    <row r="3" spans="2:3">
      <c r="B3" s="26" t="s">
        <v>24</v>
      </c>
      <c r="C3" s="26"/>
    </row>
    <row r="4" spans="2:3" ht="12.75" customHeight="1"/>
    <row r="5" spans="2:3">
      <c r="B5" s="1"/>
      <c r="C5" s="2" t="s">
        <v>23</v>
      </c>
    </row>
    <row r="6" spans="2:3" ht="13" thickBot="1">
      <c r="B6" s="3" t="s">
        <v>2</v>
      </c>
      <c r="C6" s="4" t="s">
        <v>22</v>
      </c>
    </row>
    <row r="7" spans="2:3">
      <c r="B7" s="5" t="s">
        <v>3</v>
      </c>
      <c r="C7" s="2"/>
    </row>
    <row r="8" spans="2:3">
      <c r="B8" s="6" t="s">
        <v>4</v>
      </c>
      <c r="C8" s="14">
        <v>333296</v>
      </c>
    </row>
    <row r="9" spans="2:3">
      <c r="B9" s="6" t="s">
        <v>5</v>
      </c>
      <c r="C9" s="15">
        <v>406461</v>
      </c>
    </row>
    <row r="10" spans="2:3">
      <c r="B10" s="6" t="s">
        <v>6</v>
      </c>
      <c r="C10" s="15">
        <v>484431</v>
      </c>
    </row>
    <row r="11" spans="2:3">
      <c r="B11" s="6" t="s">
        <v>7</v>
      </c>
      <c r="C11" s="16">
        <v>148842</v>
      </c>
    </row>
    <row r="12" spans="2:3">
      <c r="B12" s="7" t="s">
        <v>8</v>
      </c>
      <c r="C12" s="17">
        <f>SUM(C8:C11)</f>
        <v>1373030</v>
      </c>
    </row>
    <row r="13" spans="2:3">
      <c r="B13" s="6"/>
      <c r="C13" s="6"/>
    </row>
    <row r="14" spans="2:3">
      <c r="B14" s="6" t="s">
        <v>9</v>
      </c>
      <c r="C14" s="18">
        <v>737844</v>
      </c>
    </row>
    <row r="15" spans="2:3">
      <c r="B15" s="6" t="s">
        <v>10</v>
      </c>
      <c r="C15" s="18">
        <v>277429</v>
      </c>
    </row>
    <row r="16" spans="2:3">
      <c r="B16" s="6" t="s">
        <v>11</v>
      </c>
      <c r="C16" s="18">
        <v>1582492</v>
      </c>
    </row>
    <row r="17" spans="2:3">
      <c r="B17" s="6" t="s">
        <v>12</v>
      </c>
      <c r="C17" s="19">
        <v>128746</v>
      </c>
    </row>
    <row r="18" spans="2:3" ht="13" thickBot="1">
      <c r="B18" s="7"/>
      <c r="C18" s="20">
        <f>C12+SUM(C14:C17)</f>
        <v>4099541</v>
      </c>
    </row>
    <row r="19" spans="2:3" ht="13" thickTop="1">
      <c r="B19" s="6"/>
      <c r="C19" s="6"/>
    </row>
    <row r="20" spans="2:3">
      <c r="B20" s="8" t="s">
        <v>13</v>
      </c>
      <c r="C20" s="6"/>
    </row>
    <row r="21" spans="2:3">
      <c r="B21" s="9" t="s">
        <v>14</v>
      </c>
      <c r="C21" s="6"/>
    </row>
    <row r="22" spans="2:3">
      <c r="B22" s="10" t="s">
        <v>15</v>
      </c>
      <c r="C22" s="21">
        <v>360488</v>
      </c>
    </row>
    <row r="23" spans="2:3">
      <c r="B23" s="10" t="s">
        <v>16</v>
      </c>
      <c r="C23" s="22">
        <v>818642</v>
      </c>
    </row>
    <row r="24" spans="2:3">
      <c r="B24" s="9" t="s">
        <v>17</v>
      </c>
      <c r="C24" s="18">
        <f>SUM(C22:C23)</f>
        <v>1179130</v>
      </c>
    </row>
    <row r="25" spans="2:3">
      <c r="B25" s="9"/>
      <c r="C25" s="18"/>
    </row>
    <row r="26" spans="2:3">
      <c r="B26" s="6" t="s">
        <v>18</v>
      </c>
      <c r="C26" s="23">
        <v>141241</v>
      </c>
    </row>
    <row r="27" spans="2:3">
      <c r="B27" s="6" t="s">
        <v>19</v>
      </c>
      <c r="C27" s="23">
        <v>48680</v>
      </c>
    </row>
    <row r="28" spans="2:3">
      <c r="B28" s="6"/>
      <c r="C28" s="18"/>
    </row>
    <row r="29" spans="2:3">
      <c r="B29" s="9" t="s">
        <v>20</v>
      </c>
      <c r="C29" s="24">
        <v>2730490</v>
      </c>
    </row>
    <row r="30" spans="2:3" ht="13" thickBot="1">
      <c r="C30" s="25">
        <f>SUM(C24,C26:C27,)+C29</f>
        <v>4099541</v>
      </c>
    </row>
    <row r="31" spans="2:3" ht="13" thickTop="1">
      <c r="C31" s="6"/>
    </row>
    <row r="32" spans="2:3">
      <c r="B32" s="11" t="s">
        <v>21</v>
      </c>
    </row>
    <row r="34" spans="2:2">
      <c r="B34" s="12"/>
    </row>
    <row r="36" spans="2:2">
      <c r="B36" s="13"/>
    </row>
    <row r="38" spans="2:2">
      <c r="B38" s="13"/>
    </row>
  </sheetData>
  <mergeCells count="3">
    <mergeCell ref="B2:C2"/>
    <mergeCell ref="B1:C1"/>
    <mergeCell ref="B3:C3"/>
  </mergeCells>
  <phoneticPr fontId="2" type="noConversion"/>
  <pageMargins left="0.75" right="0.75" top="1" bottom="1" header="0.5" footer="0.5"/>
  <pageSetup scale="67"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BS~2011</vt:lpstr>
    </vt:vector>
  </TitlesOfParts>
  <Company>Thomson Financial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frances.aertsen</dc:creator>
  <cp:lastModifiedBy>Bruno D'Amore</cp:lastModifiedBy>
  <dcterms:created xsi:type="dcterms:W3CDTF">2008-01-23T19:37:40Z</dcterms:created>
  <dcterms:modified xsi:type="dcterms:W3CDTF">2012-01-25T18:26:38Z</dcterms:modified>
</cp:coreProperties>
</file>