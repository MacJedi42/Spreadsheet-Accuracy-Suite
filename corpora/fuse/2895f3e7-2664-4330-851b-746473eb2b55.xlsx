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105" yWindow="870" windowWidth="12120" windowHeight="8925"/>
  </bookViews>
  <sheets>
    <sheet name="State Enrollment" sheetId="1" r:id="rId1"/>
  </sheets>
  <definedNames>
    <definedName name="_xlnm.Print_Area" localSheetId="0">'State Enrollment'!$B$1:$K$57</definedName>
  </definedNames>
  <calcPr calcId="145621"/>
</workbook>
</file>

<file path=xl/calcChain.xml><?xml version="1.0" encoding="utf-8"?>
<calcChain xmlns="http://schemas.openxmlformats.org/spreadsheetml/2006/main">
  <c r="E42" i="1" l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43" i="1"/>
  <c r="E43" i="1" s="1"/>
  <c r="H43" i="1"/>
  <c r="I43" i="1" s="1"/>
  <c r="H42" i="1"/>
  <c r="I42" i="1" s="1"/>
  <c r="H41" i="1"/>
  <c r="I41" i="1" s="1"/>
  <c r="H40" i="1"/>
  <c r="I40" i="1" s="1"/>
  <c r="H39" i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H20" i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I39" i="1"/>
  <c r="I38" i="1"/>
  <c r="I21" i="1"/>
  <c r="I20" i="1"/>
  <c r="K43" i="1" l="1"/>
  <c r="K42" i="1"/>
  <c r="K41" i="1"/>
  <c r="D41" i="1"/>
  <c r="E41" i="1" s="1"/>
  <c r="K40" i="1"/>
  <c r="D40" i="1"/>
  <c r="E40" i="1" s="1"/>
  <c r="D39" i="1"/>
  <c r="E39" i="1" s="1"/>
  <c r="K39" i="1"/>
  <c r="K38" i="1"/>
  <c r="D46" i="1"/>
  <c r="E46" i="1" s="1"/>
  <c r="D44" i="1" l="1"/>
  <c r="E44" i="1" s="1"/>
</calcChain>
</file>

<file path=xl/sharedStrings.xml><?xml version="1.0" encoding="utf-8"?>
<sst xmlns="http://schemas.openxmlformats.org/spreadsheetml/2006/main" count="46" uniqueCount="25">
  <si>
    <t>Utah</t>
  </si>
  <si>
    <t>October 1</t>
  </si>
  <si>
    <t>Annual</t>
  </si>
  <si>
    <t>Percent</t>
  </si>
  <si>
    <t>July 1</t>
  </si>
  <si>
    <t>Enrollment/</t>
  </si>
  <si>
    <t>Year</t>
  </si>
  <si>
    <t>Enrollment</t>
  </si>
  <si>
    <t>Change</t>
  </si>
  <si>
    <t>State Pop</t>
  </si>
  <si>
    <t>Population</t>
  </si>
  <si>
    <t>Projected</t>
  </si>
  <si>
    <t>SOURCES</t>
  </si>
  <si>
    <t>State Public School October Enrollment and July Population</t>
  </si>
  <si>
    <t>na</t>
  </si>
  <si>
    <t>http://gomb.utah.gov/wp-content/uploads/sites/7/2013/08/Population-by-Age-and-Area.xlsx (retrieved 12/6/2013)</t>
  </si>
  <si>
    <t>―</t>
  </si>
  <si>
    <t>1976-2013 and Projected 2014,2020</t>
  </si>
  <si>
    <r>
      <rPr>
        <b/>
        <sz val="9"/>
        <rFont val="Calibri"/>
        <family val="2"/>
        <scheme val="minor"/>
      </rPr>
      <t>Enrollment Counts 1976-2013</t>
    </r>
    <r>
      <rPr>
        <sz val="9"/>
        <rFont val="Calibri"/>
        <family val="2"/>
        <scheme val="minor"/>
      </rPr>
      <t>: Utah State Office of Education; 2006, 2012 revised based on figures used by CDC</t>
    </r>
  </si>
  <si>
    <r>
      <rPr>
        <b/>
        <sz val="9"/>
        <rFont val="Calibri"/>
        <family val="2"/>
        <scheme val="minor"/>
      </rPr>
      <t>Enrollment Projection 2014</t>
    </r>
    <r>
      <rPr>
        <sz val="9"/>
        <rFont val="Calibri"/>
        <family val="2"/>
        <scheme val="minor"/>
      </rPr>
      <t>: Common Data Committee (CDC)</t>
    </r>
  </si>
  <si>
    <r>
      <rPr>
        <b/>
        <sz val="9"/>
        <rFont val="Calibri"/>
        <family val="2"/>
        <scheme val="minor"/>
      </rPr>
      <t>Population Counts</t>
    </r>
    <r>
      <rPr>
        <sz val="9"/>
        <rFont val="Calibri"/>
        <family val="2"/>
        <scheme val="minor"/>
      </rPr>
      <t>: Utah Population Estimates Committee; 2001-2009 revised based on 2010 Census</t>
    </r>
  </si>
  <si>
    <r>
      <rPr>
        <b/>
        <sz val="9"/>
        <rFont val="Calibri"/>
        <family val="2"/>
        <scheme val="minor"/>
      </rPr>
      <t>1976-2009</t>
    </r>
    <r>
      <rPr>
        <sz val="9"/>
        <rFont val="Calibri"/>
        <family val="2"/>
        <scheme val="minor"/>
      </rPr>
      <t>: http://gomb.utah.gov/wp-content/uploads/sites/7/2013/11/All-UPEC-Data-2013.11.07.xls (retrieved 12/6/2013)</t>
    </r>
  </si>
  <si>
    <r>
      <rPr>
        <b/>
        <sz val="9"/>
        <rFont val="Calibri"/>
        <family val="2"/>
        <scheme val="minor"/>
      </rPr>
      <t>2010-2012</t>
    </r>
    <r>
      <rPr>
        <sz val="9"/>
        <rFont val="Calibri"/>
        <family val="2"/>
        <scheme val="minor"/>
      </rPr>
      <t>: http://gomb.utah.gov/wp-content/uploads/sites/7/2013/10/13udg07.pdf (retrieved 12/6/2013)</t>
    </r>
  </si>
  <si>
    <r>
      <rPr>
        <b/>
        <sz val="9"/>
        <rFont val="Calibri"/>
        <family val="2"/>
        <scheme val="minor"/>
      </rPr>
      <t>Population Projection 2020</t>
    </r>
    <r>
      <rPr>
        <sz val="9"/>
        <rFont val="Calibri"/>
        <family val="2"/>
        <scheme val="minor"/>
      </rPr>
      <t xml:space="preserve">: Governor's Office of Management and Budget </t>
    </r>
  </si>
  <si>
    <t>[Multiyear population projections by single year are no longer available]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</si>
</sst>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2" fontId="4" fillId="0" borderId="0" applyFont="0" applyFill="0" applyBorder="0" applyAlignment="0" applyProtection="0"/>
  </cellStyleXfs>
  <cellXfs count="41">
    <xf numFmtId="0" fontId="0" fillId="0" borderId="0" xfId="0"/>
    <xf numFmtId="0" fontId="5" fillId="0" borderId="0" xfId="3" applyFont="1" applyFill="1" applyBorder="1" applyAlignment="1"/>
    <xf numFmtId="0" fontId="5" fillId="0" borderId="0" xfId="3" applyFont="1" applyFill="1" applyBorder="1"/>
    <xf numFmtId="0" fontId="6" fillId="0" borderId="0" xfId="3" applyFont="1" applyFill="1" applyBorder="1" applyAlignment="1"/>
    <xf numFmtId="0" fontId="6" fillId="0" borderId="0" xfId="3" applyFont="1" applyFill="1" applyBorder="1" applyAlignment="1">
      <alignment horizontal="center"/>
    </xf>
    <xf numFmtId="49" fontId="6" fillId="0" borderId="0" xfId="3" applyNumberFormat="1" applyFont="1" applyFill="1" applyBorder="1" applyAlignment="1">
      <alignment horizontal="center"/>
    </xf>
    <xf numFmtId="49" fontId="6" fillId="0" borderId="1" xfId="3" applyNumberFormat="1" applyFont="1" applyFill="1" applyBorder="1" applyAlignment="1">
      <alignment horizontal="center"/>
    </xf>
    <xf numFmtId="0" fontId="6" fillId="0" borderId="1" xfId="3" applyFont="1" applyFill="1" applyBorder="1" applyAlignment="1">
      <alignment horizontal="center"/>
    </xf>
    <xf numFmtId="165" fontId="5" fillId="0" borderId="0" xfId="1" applyNumberFormat="1" applyFont="1" applyFill="1" applyBorder="1"/>
    <xf numFmtId="165" fontId="5" fillId="0" borderId="0" xfId="1" applyNumberFormat="1" applyFont="1" applyFill="1" applyBorder="1" applyAlignment="1">
      <alignment horizontal="right"/>
    </xf>
    <xf numFmtId="164" fontId="5" fillId="0" borderId="0" xfId="5" applyNumberFormat="1" applyFont="1" applyFill="1" applyBorder="1"/>
    <xf numFmtId="164" fontId="5" fillId="0" borderId="0" xfId="3" applyNumberFormat="1" applyFont="1" applyFill="1" applyBorder="1" applyAlignment="1">
      <alignment horizontal="right"/>
    </xf>
    <xf numFmtId="164" fontId="5" fillId="0" borderId="0" xfId="3" applyNumberFormat="1" applyFont="1" applyFill="1" applyBorder="1"/>
    <xf numFmtId="37" fontId="5" fillId="0" borderId="0" xfId="0" applyNumberFormat="1" applyFont="1" applyFill="1"/>
    <xf numFmtId="0" fontId="6" fillId="0" borderId="0" xfId="3" applyNumberFormat="1" applyFont="1" applyFill="1" applyBorder="1" applyAlignment="1">
      <alignment horizontal="center"/>
    </xf>
    <xf numFmtId="0" fontId="5" fillId="0" borderId="0" xfId="0" applyFont="1" applyAlignment="1"/>
    <xf numFmtId="0" fontId="5" fillId="0" borderId="0" xfId="0" quotePrefix="1" applyNumberFormat="1" applyFont="1"/>
    <xf numFmtId="0" fontId="5" fillId="0" borderId="0" xfId="0" quotePrefix="1" applyNumberFormat="1" applyFont="1" applyFill="1"/>
    <xf numFmtId="37" fontId="5" fillId="0" borderId="0" xfId="4" quotePrefix="1" applyNumberFormat="1" applyFont="1" applyFill="1" applyBorder="1"/>
    <xf numFmtId="37" fontId="5" fillId="0" borderId="0" xfId="0" quotePrefix="1" applyNumberFormat="1" applyFont="1" applyFill="1"/>
    <xf numFmtId="49" fontId="5" fillId="0" borderId="0" xfId="3" applyNumberFormat="1" applyFont="1" applyFill="1" applyBorder="1" applyAlignment="1">
      <alignment horizontal="center"/>
    </xf>
    <xf numFmtId="164" fontId="5" fillId="0" borderId="0" xfId="0" applyNumberFormat="1" applyFont="1" applyBorder="1"/>
    <xf numFmtId="0" fontId="5" fillId="0" borderId="0" xfId="0" quotePrefix="1" applyNumberFormat="1" applyFont="1" applyAlignment="1"/>
    <xf numFmtId="164" fontId="5" fillId="0" borderId="0" xfId="3" applyNumberFormat="1" applyFont="1" applyFill="1" applyBorder="1" applyAlignment="1"/>
    <xf numFmtId="0" fontId="6" fillId="0" borderId="0" xfId="3" applyFont="1" applyFill="1" applyBorder="1" applyAlignment="1">
      <alignment horizontal="centerContinuous"/>
    </xf>
    <xf numFmtId="0" fontId="7" fillId="0" borderId="0" xfId="3" applyFont="1" applyFill="1" applyBorder="1" applyAlignment="1"/>
    <xf numFmtId="0" fontId="8" fillId="0" borderId="0" xfId="3" applyFont="1" applyFill="1" applyBorder="1" applyAlignment="1">
      <alignment horizontal="centerContinuous" wrapText="1"/>
    </xf>
    <xf numFmtId="0" fontId="7" fillId="0" borderId="0" xfId="3" applyFont="1" applyFill="1" applyBorder="1" applyAlignment="1">
      <alignment horizontal="centerContinuous" vertical="center" wrapText="1"/>
    </xf>
    <xf numFmtId="0" fontId="7" fillId="0" borderId="0" xfId="3" applyFont="1" applyFill="1" applyBorder="1"/>
    <xf numFmtId="0" fontId="8" fillId="0" borderId="0" xfId="3" applyFont="1" applyFill="1" applyBorder="1" applyAlignment="1">
      <alignment horizontal="centerContinuous"/>
    </xf>
    <xf numFmtId="0" fontId="9" fillId="0" borderId="0" xfId="3" applyFont="1" applyFill="1" applyBorder="1"/>
    <xf numFmtId="0" fontId="9" fillId="0" borderId="0" xfId="0" quotePrefix="1" applyNumberFormat="1" applyFont="1"/>
    <xf numFmtId="0" fontId="10" fillId="0" borderId="0" xfId="3" applyFont="1" applyFill="1" applyBorder="1"/>
    <xf numFmtId="0" fontId="11" fillId="0" borderId="0" xfId="3" applyFont="1" applyFill="1" applyBorder="1" applyAlignment="1"/>
    <xf numFmtId="165" fontId="10" fillId="0" borderId="0" xfId="1" applyNumberFormat="1" applyFont="1" applyFill="1" applyBorder="1"/>
    <xf numFmtId="164" fontId="10" fillId="0" borderId="0" xfId="0" applyNumberFormat="1" applyFont="1" applyBorder="1"/>
    <xf numFmtId="0" fontId="10" fillId="0" borderId="0" xfId="3" applyFont="1" applyFill="1" applyBorder="1" applyAlignment="1"/>
    <xf numFmtId="0" fontId="10" fillId="0" borderId="0" xfId="3" applyFont="1" applyFill="1" applyBorder="1" applyAlignment="1">
      <alignment horizontal="left" indent="1"/>
    </xf>
    <xf numFmtId="0" fontId="10" fillId="0" borderId="0" xfId="0" applyFont="1" applyAlignment="1">
      <alignment horizontal="left" indent="2"/>
    </xf>
    <xf numFmtId="0" fontId="10" fillId="0" borderId="0" xfId="0" quotePrefix="1" applyNumberFormat="1" applyFont="1" applyAlignment="1"/>
    <xf numFmtId="0" fontId="10" fillId="0" borderId="0" xfId="3" applyFont="1" applyFill="1" applyBorder="1" applyAlignment="1">
      <alignment horizontal="left" indent="2"/>
    </xf>
  </cellXfs>
  <cellStyles count="7">
    <cellStyle name="Comma_2006 Charts_6" xfId="1"/>
    <cellStyle name="Fixed" xfId="2"/>
    <cellStyle name="Fixed 2" xfId="6"/>
    <cellStyle name="Normal" xfId="0" builtinId="0"/>
    <cellStyle name="Normal_2006 Charts_6" xfId="3"/>
    <cellStyle name="Normal_School Age Pop" xfId="4"/>
    <cellStyle name="Percent_2006 Charts_6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6"/>
  <sheetViews>
    <sheetView tabSelected="1" zoomScaleNormal="100" workbookViewId="0"/>
  </sheetViews>
  <sheetFormatPr defaultColWidth="9.140625" defaultRowHeight="12.75" x14ac:dyDescent="0.2"/>
  <cols>
    <col min="1" max="1" width="7" style="1" customWidth="1"/>
    <col min="2" max="2" width="9.42578125" style="2" customWidth="1"/>
    <col min="3" max="3" width="11.28515625" style="2" bestFit="1" customWidth="1"/>
    <col min="4" max="4" width="11.28515625" style="2" customWidth="1"/>
    <col min="5" max="5" width="9.140625" style="2"/>
    <col min="6" max="6" width="1.7109375" style="2" customWidth="1"/>
    <col min="7" max="7" width="12.85546875" style="2" bestFit="1" customWidth="1"/>
    <col min="8" max="8" width="11.28515625" style="2" customWidth="1"/>
    <col min="9" max="9" width="9.140625" style="2"/>
    <col min="10" max="10" width="1.7109375" style="2" customWidth="1"/>
    <col min="11" max="11" width="12" style="2" customWidth="1"/>
    <col min="12" max="12" width="9.140625" style="1"/>
    <col min="13" max="16384" width="9.140625" style="2"/>
  </cols>
  <sheetData>
    <row r="1" spans="1:12" s="28" customFormat="1" ht="15" x14ac:dyDescent="0.25">
      <c r="A1" s="25"/>
      <c r="B1" s="26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5"/>
    </row>
    <row r="2" spans="1:12" s="28" customFormat="1" ht="15" x14ac:dyDescent="0.25">
      <c r="A2" s="25"/>
      <c r="B2" s="29" t="s">
        <v>13</v>
      </c>
      <c r="C2" s="29"/>
      <c r="D2" s="29"/>
      <c r="E2" s="29"/>
      <c r="F2" s="29"/>
      <c r="G2" s="29"/>
      <c r="H2" s="29"/>
      <c r="I2" s="29"/>
      <c r="J2" s="29"/>
      <c r="K2" s="29"/>
      <c r="L2" s="25"/>
    </row>
    <row r="3" spans="1:12" s="28" customFormat="1" ht="15" x14ac:dyDescent="0.25">
      <c r="A3" s="25"/>
      <c r="B3" s="29" t="s">
        <v>17</v>
      </c>
      <c r="C3" s="29"/>
      <c r="D3" s="29"/>
      <c r="E3" s="29"/>
      <c r="F3" s="29"/>
      <c r="G3" s="29"/>
      <c r="H3" s="29"/>
      <c r="I3" s="29"/>
      <c r="J3" s="29"/>
      <c r="K3" s="29"/>
      <c r="L3" s="25"/>
    </row>
    <row r="4" spans="1:12" x14ac:dyDescent="0.2">
      <c r="A4" s="3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2" x14ac:dyDescent="0.2">
      <c r="A5" s="3"/>
      <c r="B5" s="4"/>
      <c r="C5" s="5" t="s">
        <v>1</v>
      </c>
      <c r="D5" s="4" t="s">
        <v>2</v>
      </c>
      <c r="E5" s="4" t="s">
        <v>3</v>
      </c>
      <c r="F5" s="4"/>
      <c r="G5" s="4" t="s">
        <v>4</v>
      </c>
      <c r="H5" s="4" t="s">
        <v>2</v>
      </c>
      <c r="I5" s="4" t="s">
        <v>3</v>
      </c>
      <c r="J5" s="4"/>
      <c r="K5" s="4" t="s">
        <v>5</v>
      </c>
    </row>
    <row r="6" spans="1:12" x14ac:dyDescent="0.2">
      <c r="A6" s="3"/>
      <c r="B6" s="6" t="s">
        <v>6</v>
      </c>
      <c r="C6" s="7" t="s">
        <v>7</v>
      </c>
      <c r="D6" s="7" t="s">
        <v>8</v>
      </c>
      <c r="E6" s="7" t="s">
        <v>8</v>
      </c>
      <c r="F6" s="7"/>
      <c r="G6" s="7" t="s">
        <v>9</v>
      </c>
      <c r="H6" s="7" t="s">
        <v>8</v>
      </c>
      <c r="I6" s="7" t="s">
        <v>8</v>
      </c>
      <c r="J6" s="7"/>
      <c r="K6" s="7" t="s">
        <v>10</v>
      </c>
    </row>
    <row r="7" spans="1:12" x14ac:dyDescent="0.2">
      <c r="B7" s="5">
        <v>1976</v>
      </c>
      <c r="C7" s="8">
        <v>314471</v>
      </c>
      <c r="D7" s="9" t="s">
        <v>16</v>
      </c>
      <c r="E7" s="9" t="s">
        <v>16</v>
      </c>
      <c r="F7" s="10"/>
      <c r="G7" s="8">
        <v>1272050</v>
      </c>
      <c r="H7" s="9" t="s">
        <v>16</v>
      </c>
      <c r="I7" s="9" t="s">
        <v>16</v>
      </c>
      <c r="J7" s="11"/>
      <c r="K7" s="10">
        <v>0.24721591132424039</v>
      </c>
    </row>
    <row r="8" spans="1:12" x14ac:dyDescent="0.2">
      <c r="B8" s="5">
        <v>1977</v>
      </c>
      <c r="C8" s="8">
        <v>317308</v>
      </c>
      <c r="D8" s="8">
        <v>2837</v>
      </c>
      <c r="E8" s="10">
        <f>D8/C7</f>
        <v>9.021499597737152E-3</v>
      </c>
      <c r="F8" s="10"/>
      <c r="G8" s="8">
        <v>1315950</v>
      </c>
      <c r="H8" s="8">
        <f>G8-G7</f>
        <v>43900</v>
      </c>
      <c r="I8" s="10">
        <f>H8/G7</f>
        <v>3.4511222043158679E-2</v>
      </c>
      <c r="J8" s="12"/>
      <c r="K8" s="10">
        <v>0.24112466279113948</v>
      </c>
    </row>
    <row r="9" spans="1:12" x14ac:dyDescent="0.2">
      <c r="B9" s="5">
        <v>1978</v>
      </c>
      <c r="C9" s="8">
        <v>324468</v>
      </c>
      <c r="D9" s="8">
        <v>7160</v>
      </c>
      <c r="E9" s="10">
        <f t="shared" ref="E9:E44" si="0">D9/C8</f>
        <v>2.2564826603804506E-2</v>
      </c>
      <c r="F9" s="10"/>
      <c r="G9" s="8">
        <v>1363750</v>
      </c>
      <c r="H9" s="8">
        <f t="shared" ref="H9:H43" si="1">G9-G8</f>
        <v>47800</v>
      </c>
      <c r="I9" s="10">
        <f t="shared" ref="I9:I43" si="2">H9/G8</f>
        <v>3.6323568524639992E-2</v>
      </c>
      <c r="J9" s="12"/>
      <c r="K9" s="10">
        <v>0.23792337305224565</v>
      </c>
    </row>
    <row r="10" spans="1:12" x14ac:dyDescent="0.2">
      <c r="B10" s="5">
        <v>1979</v>
      </c>
      <c r="C10" s="8">
        <v>332575</v>
      </c>
      <c r="D10" s="8">
        <v>8107</v>
      </c>
      <c r="E10" s="10">
        <f t="shared" si="0"/>
        <v>2.4985514750298952E-2</v>
      </c>
      <c r="F10" s="10"/>
      <c r="G10" s="8">
        <v>1415950</v>
      </c>
      <c r="H10" s="8">
        <f t="shared" si="1"/>
        <v>52200</v>
      </c>
      <c r="I10" s="10">
        <f t="shared" si="2"/>
        <v>3.827681026581118E-2</v>
      </c>
      <c r="J10" s="12"/>
      <c r="K10" s="10">
        <v>0.23487764398460398</v>
      </c>
    </row>
    <row r="11" spans="1:12" x14ac:dyDescent="0.2">
      <c r="B11" s="5">
        <v>1980</v>
      </c>
      <c r="C11" s="8">
        <v>342885</v>
      </c>
      <c r="D11" s="8">
        <v>10310</v>
      </c>
      <c r="E11" s="10">
        <f t="shared" si="0"/>
        <v>3.1000526197098401E-2</v>
      </c>
      <c r="F11" s="10"/>
      <c r="G11" s="8">
        <v>1474000</v>
      </c>
      <c r="H11" s="8">
        <f t="shared" si="1"/>
        <v>58050</v>
      </c>
      <c r="I11" s="10">
        <f t="shared" si="2"/>
        <v>4.0997210353472931E-2</v>
      </c>
      <c r="J11" s="12"/>
      <c r="K11" s="10">
        <v>0.23262211668928087</v>
      </c>
    </row>
    <row r="12" spans="1:12" x14ac:dyDescent="0.2">
      <c r="B12" s="5">
        <v>1981</v>
      </c>
      <c r="C12" s="8">
        <v>354540</v>
      </c>
      <c r="D12" s="8">
        <v>11655</v>
      </c>
      <c r="E12" s="10">
        <f t="shared" si="0"/>
        <v>3.3990988232206136E-2</v>
      </c>
      <c r="F12" s="10"/>
      <c r="G12" s="8">
        <v>1515000</v>
      </c>
      <c r="H12" s="8">
        <f t="shared" si="1"/>
        <v>41000</v>
      </c>
      <c r="I12" s="10">
        <f t="shared" si="2"/>
        <v>2.7815468113975575E-2</v>
      </c>
      <c r="J12" s="12"/>
      <c r="K12" s="10">
        <v>0.23401980198019803</v>
      </c>
    </row>
    <row r="13" spans="1:12" x14ac:dyDescent="0.2">
      <c r="B13" s="5">
        <v>1982</v>
      </c>
      <c r="C13" s="8">
        <v>369338</v>
      </c>
      <c r="D13" s="8">
        <v>14798</v>
      </c>
      <c r="E13" s="10">
        <f t="shared" si="0"/>
        <v>4.1738590850115644E-2</v>
      </c>
      <c r="F13" s="10"/>
      <c r="G13" s="8">
        <v>1558000</v>
      </c>
      <c r="H13" s="8">
        <f t="shared" si="1"/>
        <v>43000</v>
      </c>
      <c r="I13" s="10">
        <f t="shared" si="2"/>
        <v>2.8382838283828381E-2</v>
      </c>
      <c r="J13" s="12"/>
      <c r="K13" s="10">
        <v>0.23705905006418485</v>
      </c>
    </row>
    <row r="14" spans="1:12" x14ac:dyDescent="0.2">
      <c r="B14" s="5">
        <v>1983</v>
      </c>
      <c r="C14" s="8">
        <v>378208</v>
      </c>
      <c r="D14" s="8">
        <v>8870</v>
      </c>
      <c r="E14" s="10">
        <f t="shared" si="0"/>
        <v>2.4015942036833469E-2</v>
      </c>
      <c r="F14" s="10"/>
      <c r="G14" s="8">
        <v>1595000</v>
      </c>
      <c r="H14" s="8">
        <f t="shared" si="1"/>
        <v>37000</v>
      </c>
      <c r="I14" s="10">
        <f t="shared" si="2"/>
        <v>2.3748395378690629E-2</v>
      </c>
      <c r="J14" s="12"/>
      <c r="K14" s="10">
        <v>0.23712100313479623</v>
      </c>
    </row>
    <row r="15" spans="1:12" x14ac:dyDescent="0.2">
      <c r="B15" s="5">
        <v>1984</v>
      </c>
      <c r="C15" s="8">
        <v>390141</v>
      </c>
      <c r="D15" s="8">
        <v>11933</v>
      </c>
      <c r="E15" s="10">
        <f t="shared" si="0"/>
        <v>3.1551421440054149E-2</v>
      </c>
      <c r="F15" s="10"/>
      <c r="G15" s="8">
        <v>1622000</v>
      </c>
      <c r="H15" s="8">
        <f t="shared" si="1"/>
        <v>27000</v>
      </c>
      <c r="I15" s="10">
        <f t="shared" si="2"/>
        <v>1.6927899686520375E-2</v>
      </c>
      <c r="J15" s="12"/>
      <c r="K15" s="10">
        <v>0.2405308261405672</v>
      </c>
    </row>
    <row r="16" spans="1:12" x14ac:dyDescent="0.2">
      <c r="B16" s="5">
        <v>1985</v>
      </c>
      <c r="C16" s="8">
        <v>403305</v>
      </c>
      <c r="D16" s="8">
        <v>13164</v>
      </c>
      <c r="E16" s="10">
        <f t="shared" si="0"/>
        <v>3.3741647250609394E-2</v>
      </c>
      <c r="F16" s="10"/>
      <c r="G16" s="8">
        <v>1643000</v>
      </c>
      <c r="H16" s="8">
        <f t="shared" si="1"/>
        <v>21000</v>
      </c>
      <c r="I16" s="10">
        <f t="shared" si="2"/>
        <v>1.2946979038224414E-2</v>
      </c>
      <c r="J16" s="12"/>
      <c r="K16" s="10">
        <v>0.24546865489957395</v>
      </c>
    </row>
    <row r="17" spans="2:11" x14ac:dyDescent="0.2">
      <c r="B17" s="5">
        <v>1986</v>
      </c>
      <c r="C17" s="8">
        <v>415994</v>
      </c>
      <c r="D17" s="8">
        <v>12689</v>
      </c>
      <c r="E17" s="10">
        <f t="shared" si="0"/>
        <v>3.1462540756995325E-2</v>
      </c>
      <c r="F17" s="10"/>
      <c r="G17" s="8">
        <v>1663000</v>
      </c>
      <c r="H17" s="8">
        <f t="shared" si="1"/>
        <v>20000</v>
      </c>
      <c r="I17" s="10">
        <f t="shared" si="2"/>
        <v>1.2172854534388313E-2</v>
      </c>
      <c r="J17" s="12"/>
      <c r="K17" s="10">
        <v>0.25014672279013833</v>
      </c>
    </row>
    <row r="18" spans="2:11" x14ac:dyDescent="0.2">
      <c r="B18" s="5">
        <v>1987</v>
      </c>
      <c r="C18" s="8">
        <v>423386</v>
      </c>
      <c r="D18" s="8">
        <v>7392</v>
      </c>
      <c r="E18" s="10">
        <f t="shared" si="0"/>
        <v>1.7769487059909519E-2</v>
      </c>
      <c r="F18" s="10"/>
      <c r="G18" s="8">
        <v>1678000</v>
      </c>
      <c r="H18" s="8">
        <f t="shared" si="1"/>
        <v>15000</v>
      </c>
      <c r="I18" s="10">
        <f t="shared" si="2"/>
        <v>9.0198436560432957E-3</v>
      </c>
      <c r="J18" s="12"/>
      <c r="K18" s="10">
        <v>0.25231585220500596</v>
      </c>
    </row>
    <row r="19" spans="2:11" x14ac:dyDescent="0.2">
      <c r="B19" s="5">
        <v>1988</v>
      </c>
      <c r="C19" s="8">
        <v>429551</v>
      </c>
      <c r="D19" s="8">
        <v>6165</v>
      </c>
      <c r="E19" s="10">
        <f t="shared" si="0"/>
        <v>1.4561180577534449E-2</v>
      </c>
      <c r="F19" s="10"/>
      <c r="G19" s="8">
        <v>1690000</v>
      </c>
      <c r="H19" s="8">
        <f t="shared" si="1"/>
        <v>12000</v>
      </c>
      <c r="I19" s="10">
        <f t="shared" si="2"/>
        <v>7.1513706793802142E-3</v>
      </c>
      <c r="J19" s="12"/>
      <c r="K19" s="10">
        <v>0.2541721893491124</v>
      </c>
    </row>
    <row r="20" spans="2:11" x14ac:dyDescent="0.2">
      <c r="B20" s="5">
        <v>1989</v>
      </c>
      <c r="C20" s="8">
        <v>435762</v>
      </c>
      <c r="D20" s="8">
        <v>6211</v>
      </c>
      <c r="E20" s="10">
        <f t="shared" si="0"/>
        <v>1.4459284229346458E-2</v>
      </c>
      <c r="F20" s="10"/>
      <c r="G20" s="8">
        <v>1706000</v>
      </c>
      <c r="H20" s="8">
        <f t="shared" si="1"/>
        <v>16000</v>
      </c>
      <c r="I20" s="10">
        <f t="shared" si="2"/>
        <v>9.4674556213017753E-3</v>
      </c>
      <c r="J20" s="12"/>
      <c r="K20" s="10">
        <v>0.25542907385697539</v>
      </c>
    </row>
    <row r="21" spans="2:11" x14ac:dyDescent="0.2">
      <c r="B21" s="5">
        <v>1990</v>
      </c>
      <c r="C21" s="8">
        <v>444732</v>
      </c>
      <c r="D21" s="8">
        <v>8970</v>
      </c>
      <c r="E21" s="10">
        <f t="shared" si="0"/>
        <v>2.0584631060074077E-2</v>
      </c>
      <c r="F21" s="10"/>
      <c r="G21" s="8">
        <v>1729227</v>
      </c>
      <c r="H21" s="8">
        <f t="shared" si="1"/>
        <v>23227</v>
      </c>
      <c r="I21" s="10">
        <f t="shared" si="2"/>
        <v>1.3614888628370457E-2</v>
      </c>
      <c r="J21" s="12"/>
      <c r="K21" s="10">
        <v>0.25718543603587035</v>
      </c>
    </row>
    <row r="22" spans="2:11" x14ac:dyDescent="0.2">
      <c r="B22" s="5">
        <v>1991</v>
      </c>
      <c r="C22" s="8">
        <v>454218</v>
      </c>
      <c r="D22" s="8">
        <v>9486</v>
      </c>
      <c r="E22" s="10">
        <f t="shared" si="0"/>
        <v>2.1329699684304256E-2</v>
      </c>
      <c r="F22" s="10"/>
      <c r="G22" s="8">
        <v>1780870</v>
      </c>
      <c r="H22" s="8">
        <f t="shared" si="1"/>
        <v>51643</v>
      </c>
      <c r="I22" s="10">
        <f t="shared" si="2"/>
        <v>2.9864789296026491E-2</v>
      </c>
      <c r="J22" s="12"/>
      <c r="K22" s="10">
        <v>0.25505399046533433</v>
      </c>
    </row>
    <row r="23" spans="2:11" x14ac:dyDescent="0.2">
      <c r="B23" s="5">
        <v>1992</v>
      </c>
      <c r="C23" s="8">
        <v>461259</v>
      </c>
      <c r="D23" s="8">
        <v>7041</v>
      </c>
      <c r="E23" s="10">
        <f t="shared" si="0"/>
        <v>1.5501367184920017E-2</v>
      </c>
      <c r="F23" s="10"/>
      <c r="G23" s="8">
        <v>1838149</v>
      </c>
      <c r="H23" s="8">
        <f t="shared" si="1"/>
        <v>57279</v>
      </c>
      <c r="I23" s="10">
        <f t="shared" si="2"/>
        <v>3.2163493124147187E-2</v>
      </c>
      <c r="J23" s="12"/>
      <c r="K23" s="10">
        <v>0.2509366759713168</v>
      </c>
    </row>
    <row r="24" spans="2:11" x14ac:dyDescent="0.2">
      <c r="B24" s="5">
        <v>1993</v>
      </c>
      <c r="C24" s="8">
        <v>468675</v>
      </c>
      <c r="D24" s="8">
        <v>7416</v>
      </c>
      <c r="E24" s="10">
        <f t="shared" si="0"/>
        <v>1.6077735068584027E-2</v>
      </c>
      <c r="F24" s="10"/>
      <c r="G24" s="8">
        <v>1889393</v>
      </c>
      <c r="H24" s="8">
        <f t="shared" si="1"/>
        <v>51244</v>
      </c>
      <c r="I24" s="10">
        <f t="shared" si="2"/>
        <v>2.7878044706930723E-2</v>
      </c>
      <c r="J24" s="12"/>
      <c r="K24" s="10">
        <v>0.24805585709272768</v>
      </c>
    </row>
    <row r="25" spans="2:11" x14ac:dyDescent="0.2">
      <c r="B25" s="5">
        <v>1994</v>
      </c>
      <c r="C25" s="8">
        <v>471402</v>
      </c>
      <c r="D25" s="8">
        <v>2727</v>
      </c>
      <c r="E25" s="10">
        <f t="shared" si="0"/>
        <v>5.818530964954393E-3</v>
      </c>
      <c r="F25" s="10"/>
      <c r="G25" s="8">
        <v>1946721</v>
      </c>
      <c r="H25" s="8">
        <f t="shared" si="1"/>
        <v>57328</v>
      </c>
      <c r="I25" s="10">
        <f t="shared" si="2"/>
        <v>3.0342019897395617E-2</v>
      </c>
      <c r="J25" s="12"/>
      <c r="K25" s="10">
        <v>0.24215180295481478</v>
      </c>
    </row>
    <row r="26" spans="2:11" x14ac:dyDescent="0.2">
      <c r="B26" s="5">
        <v>1995</v>
      </c>
      <c r="C26" s="8">
        <v>473666</v>
      </c>
      <c r="D26" s="8">
        <v>2264</v>
      </c>
      <c r="E26" s="10">
        <f t="shared" si="0"/>
        <v>4.8026949397753935E-3</v>
      </c>
      <c r="F26" s="10"/>
      <c r="G26" s="8">
        <v>1995228</v>
      </c>
      <c r="H26" s="8">
        <f t="shared" si="1"/>
        <v>48507</v>
      </c>
      <c r="I26" s="10">
        <f t="shared" si="2"/>
        <v>2.4917283986765439E-2</v>
      </c>
      <c r="J26" s="12"/>
      <c r="K26" s="10">
        <v>0.23739943505203415</v>
      </c>
    </row>
    <row r="27" spans="2:11" x14ac:dyDescent="0.2">
      <c r="B27" s="5">
        <v>1996</v>
      </c>
      <c r="C27" s="8">
        <v>478028</v>
      </c>
      <c r="D27" s="8">
        <v>4362</v>
      </c>
      <c r="E27" s="10">
        <f t="shared" si="0"/>
        <v>9.2090207023514462E-3</v>
      </c>
      <c r="F27" s="10"/>
      <c r="G27" s="8">
        <v>2042893</v>
      </c>
      <c r="H27" s="8">
        <f t="shared" si="1"/>
        <v>47665</v>
      </c>
      <c r="I27" s="10">
        <f t="shared" si="2"/>
        <v>2.3889500347829922E-2</v>
      </c>
      <c r="J27" s="12"/>
      <c r="K27" s="10">
        <v>0.23399561308399411</v>
      </c>
    </row>
    <row r="28" spans="2:11" x14ac:dyDescent="0.2">
      <c r="B28" s="5">
        <v>1997</v>
      </c>
      <c r="C28" s="8">
        <v>479151</v>
      </c>
      <c r="D28" s="8">
        <v>1123</v>
      </c>
      <c r="E28" s="10">
        <f t="shared" si="0"/>
        <v>2.3492347728584937E-3</v>
      </c>
      <c r="F28" s="10"/>
      <c r="G28" s="8">
        <v>2099409</v>
      </c>
      <c r="H28" s="8">
        <f t="shared" si="1"/>
        <v>56516</v>
      </c>
      <c r="I28" s="10">
        <f t="shared" si="2"/>
        <v>2.7664689242167848E-2</v>
      </c>
      <c r="J28" s="12"/>
      <c r="K28" s="10">
        <v>0.22823137368659466</v>
      </c>
    </row>
    <row r="29" spans="2:11" x14ac:dyDescent="0.2">
      <c r="B29" s="5">
        <v>1998</v>
      </c>
      <c r="C29" s="8">
        <v>477061</v>
      </c>
      <c r="D29" s="8">
        <v>-2090</v>
      </c>
      <c r="E29" s="10">
        <f t="shared" si="0"/>
        <v>-4.3618817450031414E-3</v>
      </c>
      <c r="F29" s="10"/>
      <c r="G29" s="8">
        <v>2141632</v>
      </c>
      <c r="H29" s="8">
        <f t="shared" si="1"/>
        <v>42223</v>
      </c>
      <c r="I29" s="10">
        <f t="shared" si="2"/>
        <v>2.0111850525552668E-2</v>
      </c>
      <c r="J29" s="12"/>
      <c r="K29" s="10">
        <v>0.22275582359621074</v>
      </c>
    </row>
    <row r="30" spans="2:11" x14ac:dyDescent="0.2">
      <c r="B30" s="5">
        <v>1999</v>
      </c>
      <c r="C30" s="8">
        <v>475974</v>
      </c>
      <c r="D30" s="8">
        <v>-1087</v>
      </c>
      <c r="E30" s="10">
        <f t="shared" si="0"/>
        <v>-2.2785346108778544E-3</v>
      </c>
      <c r="F30" s="10"/>
      <c r="G30" s="8">
        <v>2193014</v>
      </c>
      <c r="H30" s="8">
        <f t="shared" si="1"/>
        <v>51382</v>
      </c>
      <c r="I30" s="10">
        <f t="shared" si="2"/>
        <v>2.3991983683471298E-2</v>
      </c>
      <c r="J30" s="12"/>
      <c r="K30" s="10">
        <v>0.21704102208193837</v>
      </c>
    </row>
    <row r="31" spans="2:11" x14ac:dyDescent="0.2">
      <c r="B31" s="5">
        <v>2000</v>
      </c>
      <c r="C31" s="8">
        <v>475269</v>
      </c>
      <c r="D31" s="8">
        <v>-705</v>
      </c>
      <c r="E31" s="10">
        <f t="shared" si="0"/>
        <v>-1.4811733414010009E-3</v>
      </c>
      <c r="F31" s="10"/>
      <c r="G31" s="8">
        <v>2246553</v>
      </c>
      <c r="H31" s="8">
        <f t="shared" si="1"/>
        <v>53539</v>
      </c>
      <c r="I31" s="10">
        <f t="shared" si="2"/>
        <v>2.4413432837182069E-2</v>
      </c>
      <c r="J31" s="12"/>
      <c r="K31" s="10">
        <v>0.21155476857211916</v>
      </c>
    </row>
    <row r="32" spans="2:11" x14ac:dyDescent="0.2">
      <c r="B32" s="5">
        <v>2001</v>
      </c>
      <c r="C32" s="8">
        <v>477801</v>
      </c>
      <c r="D32" s="8">
        <v>2532</v>
      </c>
      <c r="E32" s="10">
        <f t="shared" si="0"/>
        <v>5.3275092631751703E-3</v>
      </c>
      <c r="F32" s="10"/>
      <c r="G32" s="13">
        <v>2290634</v>
      </c>
      <c r="H32" s="8">
        <f t="shared" si="1"/>
        <v>44081</v>
      </c>
      <c r="I32" s="10">
        <f t="shared" si="2"/>
        <v>1.9621615871070034E-2</v>
      </c>
      <c r="J32" s="12"/>
      <c r="K32" s="10">
        <v>0.20723031923291113</v>
      </c>
    </row>
    <row r="33" spans="1:24" x14ac:dyDescent="0.2">
      <c r="B33" s="5">
        <v>2002</v>
      </c>
      <c r="C33" s="8">
        <v>481143</v>
      </c>
      <c r="D33" s="8">
        <v>3342</v>
      </c>
      <c r="E33" s="10">
        <f t="shared" si="0"/>
        <v>6.9945437535710473E-3</v>
      </c>
      <c r="F33" s="10"/>
      <c r="G33" s="13">
        <v>2331826</v>
      </c>
      <c r="H33" s="8">
        <f t="shared" si="1"/>
        <v>41192</v>
      </c>
      <c r="I33" s="10">
        <f t="shared" si="2"/>
        <v>1.7982794283154795E-2</v>
      </c>
      <c r="J33" s="12"/>
      <c r="K33" s="10">
        <v>0.20401852158094924</v>
      </c>
    </row>
    <row r="34" spans="1:24" x14ac:dyDescent="0.2">
      <c r="B34" s="5">
        <v>2003</v>
      </c>
      <c r="C34" s="8">
        <v>486938</v>
      </c>
      <c r="D34" s="8">
        <v>5795</v>
      </c>
      <c r="E34" s="10">
        <f t="shared" si="0"/>
        <v>1.2044236328908454E-2</v>
      </c>
      <c r="F34" s="10"/>
      <c r="G34" s="13">
        <v>2372458</v>
      </c>
      <c r="H34" s="8">
        <f t="shared" si="1"/>
        <v>40632</v>
      </c>
      <c r="I34" s="10">
        <f t="shared" si="2"/>
        <v>1.7424970816861979E-2</v>
      </c>
      <c r="J34" s="12"/>
      <c r="K34" s="10">
        <v>0.20174609238081587</v>
      </c>
    </row>
    <row r="35" spans="1:24" x14ac:dyDescent="0.2">
      <c r="B35" s="5">
        <v>2004</v>
      </c>
      <c r="C35" s="8">
        <v>495682</v>
      </c>
      <c r="D35" s="8">
        <v>8744</v>
      </c>
      <c r="E35" s="10">
        <f t="shared" si="0"/>
        <v>1.795711158299414E-2</v>
      </c>
      <c r="F35" s="10"/>
      <c r="G35" s="13">
        <v>2430223</v>
      </c>
      <c r="H35" s="8">
        <f t="shared" si="1"/>
        <v>57765</v>
      </c>
      <c r="I35" s="10">
        <f t="shared" si="2"/>
        <v>2.4348165489125623E-2</v>
      </c>
      <c r="J35" s="12"/>
      <c r="K35" s="10">
        <v>0.20074355163350519</v>
      </c>
    </row>
    <row r="36" spans="1:24" x14ac:dyDescent="0.2">
      <c r="B36" s="5">
        <v>2005</v>
      </c>
      <c r="C36" s="8">
        <v>510012</v>
      </c>
      <c r="D36" s="8">
        <v>14330</v>
      </c>
      <c r="E36" s="10">
        <f t="shared" si="0"/>
        <v>2.8909663857069653E-2</v>
      </c>
      <c r="F36" s="10"/>
      <c r="G36" s="13">
        <v>2505843</v>
      </c>
      <c r="H36" s="8">
        <f t="shared" si="1"/>
        <v>75620</v>
      </c>
      <c r="I36" s="10">
        <f t="shared" si="2"/>
        <v>3.1116486017949793E-2</v>
      </c>
      <c r="J36" s="12"/>
      <c r="K36" s="10">
        <v>0.20020970491746648</v>
      </c>
    </row>
    <row r="37" spans="1:24" x14ac:dyDescent="0.2">
      <c r="B37" s="5">
        <v>2006</v>
      </c>
      <c r="C37" s="8">
        <v>524003</v>
      </c>
      <c r="D37" s="8">
        <v>15648</v>
      </c>
      <c r="E37" s="10">
        <f t="shared" si="0"/>
        <v>3.0681631020446579E-2</v>
      </c>
      <c r="F37" s="10"/>
      <c r="G37" s="13">
        <v>2576229</v>
      </c>
      <c r="H37" s="8">
        <f t="shared" si="1"/>
        <v>70386</v>
      </c>
      <c r="I37" s="10">
        <f t="shared" si="2"/>
        <v>2.808875097123004E-2</v>
      </c>
      <c r="J37" s="12"/>
      <c r="K37" s="10">
        <v>0.20100729256568223</v>
      </c>
    </row>
    <row r="38" spans="1:24" x14ac:dyDescent="0.2">
      <c r="B38" s="14">
        <v>2007</v>
      </c>
      <c r="C38" s="8">
        <v>537653</v>
      </c>
      <c r="D38" s="8">
        <v>13650</v>
      </c>
      <c r="E38" s="10">
        <f t="shared" si="0"/>
        <v>2.6049469182428345E-2</v>
      </c>
      <c r="F38" s="10"/>
      <c r="G38" s="13">
        <v>2636075</v>
      </c>
      <c r="H38" s="8">
        <f t="shared" si="1"/>
        <v>59846</v>
      </c>
      <c r="I38" s="10">
        <f t="shared" si="2"/>
        <v>2.3230077760944389E-2</v>
      </c>
      <c r="J38" s="12"/>
      <c r="K38" s="10">
        <f t="shared" ref="K38:K43" si="3">C38/G38</f>
        <v>0.20395967489544115</v>
      </c>
    </row>
    <row r="39" spans="1:24" x14ac:dyDescent="0.2">
      <c r="B39" s="14">
        <v>2008</v>
      </c>
      <c r="C39" s="8">
        <v>551013</v>
      </c>
      <c r="D39" s="8">
        <f>C39-C38</f>
        <v>13360</v>
      </c>
      <c r="E39" s="10">
        <f t="shared" si="0"/>
        <v>2.4848740730545538E-2</v>
      </c>
      <c r="F39" s="10"/>
      <c r="G39" s="13">
        <v>2691122</v>
      </c>
      <c r="H39" s="8">
        <f t="shared" si="1"/>
        <v>55047</v>
      </c>
      <c r="I39" s="10">
        <f t="shared" si="2"/>
        <v>2.0882182790702086E-2</v>
      </c>
      <c r="J39" s="12"/>
      <c r="K39" s="10">
        <f t="shared" si="3"/>
        <v>0.20475214427290922</v>
      </c>
    </row>
    <row r="40" spans="1:24" x14ac:dyDescent="0.2">
      <c r="B40" s="14">
        <v>2009</v>
      </c>
      <c r="C40" s="8">
        <v>563273</v>
      </c>
      <c r="D40" s="8">
        <f>C40-C39</f>
        <v>12260</v>
      </c>
      <c r="E40" s="10">
        <f t="shared" si="0"/>
        <v>2.2249928767560836E-2</v>
      </c>
      <c r="F40" s="10"/>
      <c r="G40" s="13">
        <v>2731560</v>
      </c>
      <c r="H40" s="8">
        <f t="shared" si="1"/>
        <v>40438</v>
      </c>
      <c r="I40" s="10">
        <f t="shared" si="2"/>
        <v>1.5026446218343129E-2</v>
      </c>
      <c r="J40" s="12"/>
      <c r="K40" s="10">
        <f t="shared" si="3"/>
        <v>0.20620927235718783</v>
      </c>
    </row>
    <row r="41" spans="1:24" x14ac:dyDescent="0.2">
      <c r="B41" s="14">
        <v>2010</v>
      </c>
      <c r="C41" s="8">
        <v>576335</v>
      </c>
      <c r="D41" s="8">
        <f>C41-C40</f>
        <v>13062</v>
      </c>
      <c r="E41" s="10">
        <f t="shared" si="0"/>
        <v>2.3189465854035255E-2</v>
      </c>
      <c r="F41" s="10"/>
      <c r="G41" s="13">
        <v>2775093</v>
      </c>
      <c r="H41" s="8">
        <f t="shared" si="1"/>
        <v>43533</v>
      </c>
      <c r="I41" s="10">
        <f t="shared" si="2"/>
        <v>1.5937046962175461E-2</v>
      </c>
      <c r="J41" s="12"/>
      <c r="K41" s="10">
        <f t="shared" si="3"/>
        <v>0.2076813281572906</v>
      </c>
    </row>
    <row r="42" spans="1:24" x14ac:dyDescent="0.2">
      <c r="B42" s="14">
        <v>2011</v>
      </c>
      <c r="C42" s="8">
        <v>587745</v>
      </c>
      <c r="D42" s="8">
        <v>11420</v>
      </c>
      <c r="E42" s="10">
        <f t="shared" si="0"/>
        <v>1.9814864618667962E-2</v>
      </c>
      <c r="F42" s="10"/>
      <c r="G42" s="13">
        <v>2814347</v>
      </c>
      <c r="H42" s="8">
        <f t="shared" si="1"/>
        <v>39254</v>
      </c>
      <c r="I42" s="10">
        <f t="shared" si="2"/>
        <v>1.4145111533199068E-2</v>
      </c>
      <c r="J42" s="12"/>
      <c r="K42" s="10">
        <f t="shared" si="3"/>
        <v>0.2088388532046688</v>
      </c>
    </row>
    <row r="43" spans="1:24" x14ac:dyDescent="0.2">
      <c r="B43" s="5">
        <v>2012</v>
      </c>
      <c r="C43" s="8">
        <v>600970</v>
      </c>
      <c r="D43" s="8">
        <f>C43-C42</f>
        <v>13225</v>
      </c>
      <c r="E43" s="10">
        <f t="shared" si="0"/>
        <v>2.2501254795872359E-2</v>
      </c>
      <c r="F43" s="10"/>
      <c r="G43" s="13">
        <v>2855287</v>
      </c>
      <c r="H43" s="8">
        <f t="shared" si="1"/>
        <v>40940</v>
      </c>
      <c r="I43" s="10">
        <f t="shared" si="2"/>
        <v>1.454689133926982E-2</v>
      </c>
      <c r="J43" s="12"/>
      <c r="K43" s="10">
        <f t="shared" si="3"/>
        <v>0.21047621482533979</v>
      </c>
      <c r="L43" s="15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 x14ac:dyDescent="0.2">
      <c r="B44" s="5">
        <v>2013</v>
      </c>
      <c r="C44" s="8">
        <v>612551</v>
      </c>
      <c r="D44" s="8">
        <f>C44-C43</f>
        <v>11581</v>
      </c>
      <c r="E44" s="10">
        <f t="shared" si="0"/>
        <v>1.927051267118159E-2</v>
      </c>
      <c r="F44" s="10"/>
      <c r="G44" s="9" t="s">
        <v>14</v>
      </c>
      <c r="H44" s="9" t="s">
        <v>16</v>
      </c>
      <c r="I44" s="9" t="s">
        <v>16</v>
      </c>
      <c r="J44" s="12"/>
      <c r="K44" s="9" t="s">
        <v>16</v>
      </c>
      <c r="L44" s="15"/>
      <c r="N44" s="17"/>
      <c r="O44" s="17"/>
      <c r="P44" s="17"/>
      <c r="Q44" s="17"/>
      <c r="R44" s="17"/>
      <c r="S44" s="17"/>
      <c r="T44" s="17"/>
      <c r="U44" s="17"/>
      <c r="V44" s="17"/>
    </row>
    <row r="45" spans="1:24" x14ac:dyDescent="0.2">
      <c r="A45" s="3"/>
      <c r="B45" s="5" t="s">
        <v>11</v>
      </c>
      <c r="C45" s="8"/>
      <c r="D45" s="8"/>
      <c r="E45" s="10"/>
      <c r="F45" s="10"/>
      <c r="G45" s="18"/>
      <c r="H45" s="8"/>
      <c r="I45" s="10"/>
      <c r="J45" s="12"/>
      <c r="K45" s="10"/>
      <c r="L45" s="15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 x14ac:dyDescent="0.2">
      <c r="B46" s="5">
        <v>2014</v>
      </c>
      <c r="C46" s="8">
        <v>622813</v>
      </c>
      <c r="D46" s="8">
        <f>C46-C44</f>
        <v>10262</v>
      </c>
      <c r="E46" s="10">
        <f>D46/C44</f>
        <v>1.6752890779706507E-2</v>
      </c>
      <c r="F46" s="10"/>
      <c r="G46" s="9" t="s">
        <v>14</v>
      </c>
      <c r="H46" s="9" t="s">
        <v>16</v>
      </c>
      <c r="I46" s="9" t="s">
        <v>16</v>
      </c>
      <c r="J46" s="12"/>
      <c r="K46" s="9" t="s">
        <v>16</v>
      </c>
      <c r="L46" s="15"/>
    </row>
    <row r="47" spans="1:24" x14ac:dyDescent="0.2">
      <c r="B47" s="14">
        <v>2020</v>
      </c>
      <c r="C47" s="9" t="s">
        <v>14</v>
      </c>
      <c r="D47" s="9" t="s">
        <v>16</v>
      </c>
      <c r="E47" s="9" t="s">
        <v>16</v>
      </c>
      <c r="F47" s="10"/>
      <c r="G47" s="19">
        <v>3309234</v>
      </c>
      <c r="H47" s="9" t="s">
        <v>16</v>
      </c>
      <c r="I47" s="9" t="s">
        <v>16</v>
      </c>
      <c r="J47" s="12"/>
      <c r="K47" s="9" t="s">
        <v>16</v>
      </c>
      <c r="L47" s="15"/>
    </row>
    <row r="48" spans="1:24" x14ac:dyDescent="0.2">
      <c r="B48" s="20"/>
      <c r="C48" s="8"/>
      <c r="D48" s="8"/>
      <c r="E48" s="21"/>
      <c r="F48" s="10"/>
      <c r="G48" s="8"/>
      <c r="H48" s="8"/>
      <c r="K48" s="10"/>
    </row>
    <row r="49" spans="2:19" ht="11.45" customHeight="1" x14ac:dyDescent="0.2">
      <c r="B49" s="33" t="s">
        <v>12</v>
      </c>
      <c r="C49" s="32"/>
      <c r="D49" s="34"/>
      <c r="E49" s="35"/>
      <c r="F49" s="32"/>
      <c r="G49" s="32"/>
      <c r="H49" s="32"/>
      <c r="I49" s="32"/>
      <c r="J49" s="32"/>
      <c r="K49" s="32"/>
      <c r="L49" s="36"/>
      <c r="M49" s="30"/>
    </row>
    <row r="50" spans="2:19" ht="11.45" customHeight="1" x14ac:dyDescent="0.2">
      <c r="B50" s="37" t="s">
        <v>18</v>
      </c>
      <c r="C50" s="32"/>
      <c r="D50" s="32"/>
      <c r="E50" s="32"/>
      <c r="F50" s="32"/>
      <c r="G50" s="32"/>
      <c r="H50" s="32"/>
      <c r="I50" s="32"/>
      <c r="J50" s="32"/>
      <c r="K50" s="32"/>
      <c r="L50" s="36"/>
      <c r="M50" s="30"/>
    </row>
    <row r="51" spans="2:19" ht="11.45" customHeight="1" x14ac:dyDescent="0.2">
      <c r="B51" s="37" t="s">
        <v>19</v>
      </c>
      <c r="C51" s="32"/>
      <c r="D51" s="32"/>
      <c r="E51" s="32"/>
      <c r="F51" s="32"/>
      <c r="G51" s="32"/>
      <c r="H51" s="32"/>
      <c r="I51" s="32"/>
      <c r="J51" s="32"/>
      <c r="K51" s="32"/>
      <c r="L51" s="36"/>
      <c r="M51" s="30"/>
    </row>
    <row r="52" spans="2:19" ht="11.45" customHeight="1" x14ac:dyDescent="0.2">
      <c r="B52" s="37" t="s">
        <v>20</v>
      </c>
      <c r="C52" s="32"/>
      <c r="D52" s="32"/>
      <c r="E52" s="32"/>
      <c r="F52" s="32"/>
      <c r="G52" s="32"/>
      <c r="H52" s="32"/>
      <c r="I52" s="32"/>
      <c r="J52" s="32"/>
      <c r="K52" s="32"/>
      <c r="L52" s="36"/>
      <c r="M52" s="30"/>
    </row>
    <row r="53" spans="2:19" ht="11.45" customHeight="1" x14ac:dyDescent="0.2">
      <c r="B53" s="38" t="s">
        <v>21</v>
      </c>
      <c r="C53" s="32"/>
      <c r="D53" s="32"/>
      <c r="E53" s="32"/>
      <c r="F53" s="32"/>
      <c r="G53" s="32"/>
      <c r="H53" s="32"/>
      <c r="I53" s="32"/>
      <c r="J53" s="32"/>
      <c r="K53" s="32"/>
      <c r="L53" s="36"/>
      <c r="M53" s="30"/>
    </row>
    <row r="54" spans="2:19" ht="11.45" customHeight="1" x14ac:dyDescent="0.2">
      <c r="B54" s="38" t="s">
        <v>22</v>
      </c>
      <c r="C54" s="32"/>
      <c r="D54" s="32"/>
      <c r="E54" s="32"/>
      <c r="F54" s="32"/>
      <c r="G54" s="32"/>
      <c r="H54" s="32"/>
      <c r="I54" s="32"/>
      <c r="J54" s="32"/>
      <c r="K54" s="32"/>
      <c r="L54" s="36"/>
      <c r="M54" s="30"/>
    </row>
    <row r="55" spans="2:19" ht="11.45" customHeight="1" x14ac:dyDescent="0.2">
      <c r="B55" s="37" t="s">
        <v>23</v>
      </c>
      <c r="C55" s="32"/>
      <c r="D55" s="32"/>
      <c r="E55" s="32"/>
      <c r="F55" s="32"/>
      <c r="G55" s="32"/>
      <c r="H55" s="32"/>
      <c r="I55" s="32"/>
      <c r="J55" s="32"/>
      <c r="K55" s="32"/>
      <c r="L55" s="36"/>
      <c r="M55" s="30"/>
    </row>
    <row r="56" spans="2:19" ht="11.45" customHeight="1" x14ac:dyDescent="0.2">
      <c r="B56" s="38" t="s">
        <v>15</v>
      </c>
      <c r="C56" s="32"/>
      <c r="D56" s="32"/>
      <c r="E56" s="32"/>
      <c r="F56" s="32"/>
      <c r="G56" s="32"/>
      <c r="H56" s="32"/>
      <c r="I56" s="32"/>
      <c r="J56" s="32"/>
      <c r="K56" s="32"/>
      <c r="L56" s="36"/>
      <c r="M56" s="30"/>
    </row>
    <row r="57" spans="2:19" ht="11.45" customHeight="1" x14ac:dyDescent="0.2">
      <c r="B57" s="40" t="s">
        <v>24</v>
      </c>
      <c r="C57" s="32"/>
      <c r="D57" s="32"/>
      <c r="E57" s="32"/>
      <c r="F57" s="32"/>
      <c r="G57" s="32"/>
      <c r="H57" s="32"/>
      <c r="I57" s="32"/>
      <c r="J57" s="32"/>
      <c r="K57" s="32"/>
      <c r="L57" s="39"/>
      <c r="M57" s="31"/>
      <c r="N57" s="16"/>
      <c r="O57" s="16"/>
      <c r="P57" s="16"/>
      <c r="Q57" s="16"/>
      <c r="R57" s="16"/>
      <c r="S57" s="16"/>
    </row>
    <row r="58" spans="2:19" x14ac:dyDescent="0.2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9"/>
      <c r="M58" s="16"/>
      <c r="N58" s="16"/>
      <c r="O58" s="16"/>
      <c r="P58" s="16"/>
      <c r="Q58" s="16"/>
      <c r="R58" s="16"/>
      <c r="S58" s="16"/>
    </row>
    <row r="59" spans="2:19" x14ac:dyDescent="0.2">
      <c r="K59" s="16"/>
      <c r="L59" s="22"/>
      <c r="M59" s="16"/>
      <c r="N59" s="16"/>
      <c r="O59" s="16"/>
      <c r="P59" s="16"/>
      <c r="Q59" s="16"/>
      <c r="R59" s="16"/>
      <c r="S59" s="16"/>
    </row>
    <row r="60" spans="2:19" x14ac:dyDescent="0.2">
      <c r="L60" s="23"/>
      <c r="M60" s="12"/>
      <c r="N60" s="12"/>
      <c r="O60" s="12"/>
      <c r="P60" s="12"/>
      <c r="Q60" s="12"/>
      <c r="R60" s="12"/>
      <c r="S60" s="12"/>
    </row>
    <row r="61" spans="2:19" x14ac:dyDescent="0.2">
      <c r="L61" s="22"/>
      <c r="M61" s="16"/>
      <c r="N61" s="16"/>
      <c r="O61" s="16"/>
      <c r="P61" s="16"/>
      <c r="Q61" s="16"/>
      <c r="R61" s="16"/>
      <c r="S61" s="16"/>
    </row>
    <row r="66" spans="11:11" x14ac:dyDescent="0.2">
      <c r="K66" s="32"/>
    </row>
  </sheetData>
  <sheetProtection password="EB3F" sheet="1" objects="1" scenarios="1"/>
  <phoneticPr fontId="2" type="noConversion"/>
  <printOptions horizontalCentered="1"/>
  <pageMargins left="0.75" right="0.75" top="0.75" bottom="0.75" header="0.5" footer="0.5"/>
  <pageSetup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 Enrollment</vt:lpstr>
      <vt:lpstr>'State Enrollment'!Print_Area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sford</dc:creator>
  <cp:lastModifiedBy>Holt, M'Lissa</cp:lastModifiedBy>
  <cp:lastPrinted>2013-12-12T19:38:34Z</cp:lastPrinted>
  <dcterms:created xsi:type="dcterms:W3CDTF">2007-12-06T21:22:09Z</dcterms:created>
  <dcterms:modified xsi:type="dcterms:W3CDTF">2013-12-17T22:34:57Z</dcterms:modified>
</cp:coreProperties>
</file>