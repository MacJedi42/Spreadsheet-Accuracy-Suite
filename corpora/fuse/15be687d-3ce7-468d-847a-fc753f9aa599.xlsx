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 yWindow="-12" windowWidth="15420" windowHeight="8196" tabRatio="548"/>
  </bookViews>
  <sheets>
    <sheet name="Out-of-country" sheetId="24" r:id="rId1"/>
  </sheets>
  <definedNames>
    <definedName name="_xlnm.Print_Area" localSheetId="0">'Out-of-country'!$A$1:$L$65</definedName>
  </definedNames>
  <calcPr calcId="125725"/>
</workbook>
</file>

<file path=xl/calcChain.xml><?xml version="1.0" encoding="utf-8"?>
<calcChain xmlns="http://schemas.openxmlformats.org/spreadsheetml/2006/main">
  <c r="L63" i="24"/>
  <c r="Y14"/>
  <c r="Y15"/>
  <c r="Y16"/>
  <c r="Y17"/>
  <c r="Y18"/>
  <c r="Y19"/>
  <c r="Y20"/>
  <c r="Y21"/>
  <c r="Y22"/>
  <c r="Y23"/>
  <c r="Y24"/>
  <c r="Y25"/>
  <c r="Y26"/>
  <c r="Y27"/>
  <c r="Y28"/>
  <c r="Y29"/>
  <c r="Y30"/>
  <c r="Y31"/>
  <c r="X14"/>
  <c r="X15"/>
  <c r="X16"/>
  <c r="X17"/>
  <c r="X18"/>
  <c r="X19"/>
  <c r="X20"/>
  <c r="X21"/>
  <c r="X22"/>
  <c r="X23"/>
  <c r="X24"/>
  <c r="X25"/>
  <c r="X26"/>
  <c r="X27"/>
  <c r="X28"/>
  <c r="X29"/>
  <c r="X30"/>
  <c r="X31"/>
  <c r="W14"/>
  <c r="W15"/>
  <c r="W16"/>
  <c r="W17"/>
  <c r="W18"/>
  <c r="W19"/>
  <c r="W20"/>
  <c r="W21"/>
  <c r="W22"/>
  <c r="W23"/>
  <c r="W24"/>
  <c r="W25"/>
  <c r="W26"/>
  <c r="W27"/>
  <c r="W28"/>
  <c r="W29"/>
  <c r="W30"/>
  <c r="W31"/>
  <c r="Y13"/>
  <c r="X13"/>
  <c r="W13"/>
  <c r="J35"/>
  <c r="V20"/>
  <c r="V21"/>
  <c r="V22"/>
  <c r="V23"/>
  <c r="V24"/>
  <c r="V25"/>
  <c r="V26"/>
  <c r="V27"/>
  <c r="V28"/>
  <c r="V29"/>
  <c r="V30"/>
  <c r="V31"/>
  <c r="U29"/>
  <c r="U30"/>
  <c r="U31"/>
  <c r="U27"/>
  <c r="U28"/>
  <c r="U24"/>
  <c r="U25"/>
  <c r="U26"/>
  <c r="U20"/>
  <c r="U21"/>
  <c r="U22"/>
  <c r="U23"/>
  <c r="V14"/>
  <c r="V15"/>
  <c r="V16"/>
  <c r="V17"/>
  <c r="V18"/>
  <c r="V19"/>
  <c r="V13"/>
  <c r="U14"/>
  <c r="U15"/>
  <c r="U16"/>
  <c r="U17"/>
  <c r="U18"/>
  <c r="U19"/>
  <c r="U13"/>
  <c r="I35"/>
  <c r="K35"/>
  <c r="L35"/>
  <c r="N17"/>
  <c r="L36" l="1"/>
  <c r="L38" s="1"/>
</calcChain>
</file>

<file path=xl/sharedStrings.xml><?xml version="1.0" encoding="utf-8"?>
<sst xmlns="http://schemas.openxmlformats.org/spreadsheetml/2006/main" count="92" uniqueCount="84">
  <si>
    <t>State of South Dakota</t>
  </si>
  <si>
    <t>Date</t>
  </si>
  <si>
    <t>Miles</t>
  </si>
  <si>
    <t>Meals</t>
  </si>
  <si>
    <t>Lodging</t>
  </si>
  <si>
    <t>I declare and affirm under the penalties of perjury that this claim has been examined by me, and to the best of my knowledge and belief, is in all things true and correct.</t>
  </si>
  <si>
    <t>Commercial Airfare</t>
  </si>
  <si>
    <t>Car Rental, Shuttle,Taxi</t>
  </si>
  <si>
    <t>Account</t>
  </si>
  <si>
    <t>Claimant Signature</t>
  </si>
  <si>
    <t>Fund</t>
  </si>
  <si>
    <t>Org</t>
  </si>
  <si>
    <t>Amount</t>
  </si>
  <si>
    <t>Office Use Only</t>
  </si>
  <si>
    <t>Apply to Advance</t>
  </si>
  <si>
    <t>Amount Reimbursable</t>
  </si>
  <si>
    <t>I further agree to comply with the provisions of the Civil Rights Act of 1964 and regulations issued thereunder relating to non-discrimination in federally assisted programs.</t>
  </si>
  <si>
    <t>Index</t>
  </si>
  <si>
    <t>Activity</t>
  </si>
  <si>
    <t>06</t>
  </si>
  <si>
    <t>Misc.</t>
  </si>
  <si>
    <t>Expense</t>
  </si>
  <si>
    <t>Trans.</t>
  </si>
  <si>
    <t>Costs</t>
  </si>
  <si>
    <t>Auto</t>
  </si>
  <si>
    <t>Return</t>
  </si>
  <si>
    <t>Leave</t>
  </si>
  <si>
    <t>Time</t>
  </si>
  <si>
    <t>Date/</t>
  </si>
  <si>
    <t>Month</t>
  </si>
  <si>
    <t>Home Station</t>
  </si>
  <si>
    <t>Grand Total</t>
  </si>
  <si>
    <t>Prog</t>
  </si>
  <si>
    <t>Meals Not Overnight</t>
  </si>
  <si>
    <t>Subtotals</t>
  </si>
  <si>
    <t>Coding References</t>
  </si>
  <si>
    <t>Commodity</t>
  </si>
  <si>
    <t>01</t>
  </si>
  <si>
    <t>02</t>
  </si>
  <si>
    <t>03</t>
  </si>
  <si>
    <t>04</t>
  </si>
  <si>
    <t>05</t>
  </si>
  <si>
    <t>07</t>
  </si>
  <si>
    <t>08</t>
  </si>
  <si>
    <t>09</t>
  </si>
  <si>
    <t>Seq.</t>
  </si>
  <si>
    <t>Registration Fees</t>
  </si>
  <si>
    <t>Meal Rates</t>
  </si>
  <si>
    <t>Breakfast</t>
  </si>
  <si>
    <t>Lunch</t>
  </si>
  <si>
    <t>Dinner</t>
  </si>
  <si>
    <t>All Day</t>
  </si>
  <si>
    <t>Room</t>
  </si>
  <si>
    <r>
      <t>NOTE:</t>
    </r>
    <r>
      <rPr>
        <i/>
        <sz val="8"/>
        <color indexed="10"/>
        <rFont val="Arial"/>
        <family val="2"/>
      </rPr>
      <t xml:space="preserve"> Must leave before 5:31 a.m. to claim breakfast; must leave before 11:31 a.m. to claim lunch and must leave before 5:31 p.m.to claim dinner. Must leave before 5:31 a.m. and return after 7 :59 p.m. to claim full day of meals.</t>
    </r>
  </si>
  <si>
    <t>Standard Mileage (low)</t>
  </si>
  <si>
    <t>Mileage POV1 (high)</t>
  </si>
  <si>
    <t>Z1540-</t>
  </si>
  <si>
    <t>Authorizing Signature</t>
  </si>
  <si>
    <t>All Claimant wishes to claim.</t>
  </si>
  <si>
    <t>Banner Invoice #</t>
  </si>
  <si>
    <t>Incidentals</t>
  </si>
  <si>
    <t>Other</t>
  </si>
  <si>
    <t>Meals Overnight</t>
  </si>
  <si>
    <t>10</t>
  </si>
  <si>
    <t>Vendor Invoice #</t>
  </si>
  <si>
    <t>Auto License#</t>
  </si>
  <si>
    <t>Banner Vendor ID</t>
  </si>
  <si>
    <t>Payee Type</t>
  </si>
  <si>
    <t>Payee</t>
  </si>
  <si>
    <t>South Dakota School of Mines &amp; Technology</t>
  </si>
  <si>
    <t>Department Name</t>
  </si>
  <si>
    <t>Account Index(es)</t>
  </si>
  <si>
    <t>POV 1</t>
  </si>
  <si>
    <t>Standard</t>
  </si>
  <si>
    <r>
      <t xml:space="preserve">Purpose of Travel: </t>
    </r>
    <r>
      <rPr>
        <i/>
        <sz val="8"/>
        <rFont val="Arial"/>
        <family val="2"/>
      </rPr>
      <t>(pause on all 3 lines for pop-up help)</t>
    </r>
  </si>
  <si>
    <t>Employee</t>
  </si>
  <si>
    <t>Non-Employee</t>
  </si>
  <si>
    <t>Student</t>
  </si>
  <si>
    <t>Out of Country Travel Payment Detail</t>
  </si>
  <si>
    <t>Original Receipt Required; Out of Country Rate of $150.00 + tax</t>
  </si>
  <si>
    <r>
      <rPr>
        <sz val="10"/>
        <color indexed="10"/>
        <rFont val="Arial"/>
        <family val="2"/>
      </rPr>
      <t>5:01:02:10.01.  Out-of-country per diem rates.</t>
    </r>
    <r>
      <rPr>
        <sz val="11"/>
        <rFont val="Arial"/>
        <family val="2"/>
      </rPr>
      <t xml:space="preserve">  </t>
    </r>
    <r>
      <rPr>
        <sz val="8"/>
        <rFont val="Arial"/>
        <family val="2"/>
      </rPr>
      <t xml:space="preserve">Reimbursement for official state travel outside the United States of America shall be paid in United States dollars.  Prior approval by the department head is required for all out-of-country travel.  Receipts are required for all reimbursemetn of lodging. </t>
    </r>
  </si>
  <si>
    <t>A person designated as having authority to approve out-of-country travel requests may at the person's discretion approve up to 100 additional dollars a day for lodging provided the total amount paid to the employee does not exceed the actual cost of the lodging.</t>
  </si>
  <si>
    <t>Prepared By (if other than Claimant)</t>
  </si>
  <si>
    <t>Description of Travel, Destination</t>
  </si>
</sst>
</file>

<file path=xl/styles.xml><?xml version="1.0" encoding="utf-8"?>
<styleSheet xmlns="http://schemas.openxmlformats.org/spreadsheetml/2006/main">
  <numFmts count="8">
    <numFmt numFmtId="7" formatCode="&quot;$&quot;#,##0.00_);\(&quot;$&quot;#,##0.00\)"/>
    <numFmt numFmtId="8" formatCode="&quot;$&quot;#,##0.00_);[Red]\(&quot;$&quot;#,##0.00\)"/>
    <numFmt numFmtId="44" formatCode="_(&quot;$&quot;* #,##0.00_);_(&quot;$&quot;* \(#,##0.00\);_(&quot;$&quot;* &quot;-&quot;??_);_(@_)"/>
    <numFmt numFmtId="164" formatCode="&quot;$&quot;#,##0.00"/>
    <numFmt numFmtId="165" formatCode="0_);[Red]\(0\)"/>
    <numFmt numFmtId="166" formatCode="m/d/yy;@"/>
    <numFmt numFmtId="167" formatCode="0.0000000000_);\(0.0000000000\)"/>
    <numFmt numFmtId="168" formatCode="&quot;$&quot;#,##0.00;[Red]&quot;$&quot;#,##0.00"/>
  </numFmts>
  <fonts count="31">
    <font>
      <sz val="10"/>
      <name val="Arial"/>
    </font>
    <font>
      <i/>
      <sz val="10"/>
      <name val="Arial"/>
      <family val="2"/>
    </font>
    <font>
      <sz val="10"/>
      <name val="Arial"/>
      <family val="2"/>
    </font>
    <font>
      <sz val="8"/>
      <name val="Arial"/>
      <family val="2"/>
    </font>
    <font>
      <i/>
      <sz val="6"/>
      <name val="Arial"/>
      <family val="2"/>
    </font>
    <font>
      <sz val="10"/>
      <name val="Arial"/>
      <family val="2"/>
    </font>
    <font>
      <b/>
      <sz val="8"/>
      <name val="Arial"/>
      <family val="2"/>
    </font>
    <font>
      <i/>
      <sz val="7"/>
      <name val="Arial"/>
      <family val="2"/>
    </font>
    <font>
      <i/>
      <sz val="11"/>
      <name val="Arial"/>
      <family val="2"/>
    </font>
    <font>
      <sz val="11"/>
      <name val="Arial"/>
      <family val="2"/>
    </font>
    <font>
      <b/>
      <sz val="12"/>
      <name val="Arial"/>
      <family val="2"/>
    </font>
    <font>
      <i/>
      <sz val="8"/>
      <name val="Arial"/>
      <family val="2"/>
    </font>
    <font>
      <b/>
      <i/>
      <sz val="9"/>
      <name val="Arial"/>
      <family val="2"/>
    </font>
    <font>
      <sz val="9"/>
      <name val="Arial"/>
      <family val="2"/>
    </font>
    <font>
      <i/>
      <u/>
      <sz val="11"/>
      <name val="Arial"/>
      <family val="2"/>
    </font>
    <font>
      <b/>
      <sz val="11"/>
      <name val="Arial"/>
      <family val="2"/>
    </font>
    <font>
      <i/>
      <sz val="9"/>
      <name val="Arial"/>
      <family val="2"/>
    </font>
    <font>
      <b/>
      <sz val="10"/>
      <name val="Arial"/>
      <family val="2"/>
    </font>
    <font>
      <b/>
      <u/>
      <sz val="10"/>
      <name val="Arial"/>
      <family val="2"/>
    </font>
    <font>
      <i/>
      <sz val="10"/>
      <name val="Arial"/>
      <family val="2"/>
    </font>
    <font>
      <b/>
      <u/>
      <sz val="8"/>
      <color indexed="10"/>
      <name val="Arial"/>
      <family val="2"/>
    </font>
    <font>
      <sz val="8"/>
      <color indexed="10"/>
      <name val="Arial"/>
      <family val="2"/>
    </font>
    <font>
      <i/>
      <u/>
      <sz val="8"/>
      <color indexed="10"/>
      <name val="Arial"/>
      <family val="2"/>
    </font>
    <font>
      <i/>
      <sz val="8"/>
      <color indexed="10"/>
      <name val="Arial"/>
      <family val="2"/>
    </font>
    <font>
      <b/>
      <sz val="8"/>
      <color indexed="10"/>
      <name val="Arial"/>
      <family val="2"/>
    </font>
    <font>
      <b/>
      <sz val="9"/>
      <name val="Arial"/>
      <family val="2"/>
    </font>
    <font>
      <sz val="8"/>
      <color indexed="10"/>
      <name val="Arial"/>
      <family val="2"/>
    </font>
    <font>
      <b/>
      <sz val="8"/>
      <color indexed="10"/>
      <name val="Arial"/>
      <family val="2"/>
    </font>
    <font>
      <b/>
      <i/>
      <sz val="9"/>
      <color indexed="8"/>
      <name val="Arial"/>
      <family val="2"/>
    </font>
    <font>
      <u/>
      <sz val="9"/>
      <name val="Arial"/>
      <family val="2"/>
    </font>
    <font>
      <sz val="10"/>
      <color indexed="10"/>
      <name val="Arial"/>
      <family val="2"/>
    </font>
  </fonts>
  <fills count="4">
    <fill>
      <patternFill patternType="none"/>
    </fill>
    <fill>
      <patternFill patternType="gray125"/>
    </fill>
    <fill>
      <patternFill patternType="solid">
        <fgColor indexed="26"/>
        <bgColor indexed="64"/>
      </patternFill>
    </fill>
    <fill>
      <patternFill patternType="solid">
        <fgColor indexed="9"/>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top style="thin">
        <color indexed="64"/>
      </top>
      <bottom/>
      <diagonal/>
    </border>
    <border>
      <left/>
      <right style="thin">
        <color indexed="64"/>
      </right>
      <top style="thin">
        <color indexed="64"/>
      </top>
      <bottom/>
      <diagonal/>
    </border>
    <border>
      <left/>
      <right style="medium">
        <color indexed="64"/>
      </right>
      <top/>
      <bottom style="medium">
        <color indexed="64"/>
      </bottom>
      <diagonal/>
    </border>
    <border>
      <left style="medium">
        <color indexed="64"/>
      </left>
      <right/>
      <top style="medium">
        <color indexed="64"/>
      </top>
      <bottom/>
      <diagonal/>
    </border>
  </borders>
  <cellStyleXfs count="2">
    <xf numFmtId="0" fontId="0" fillId="0" borderId="0"/>
    <xf numFmtId="44" fontId="2" fillId="0" borderId="0" applyFont="0" applyFill="0" applyBorder="0" applyAlignment="0" applyProtection="0"/>
  </cellStyleXfs>
  <cellXfs count="283">
    <xf numFmtId="0" fontId="0" fillId="0" borderId="0" xfId="0"/>
    <xf numFmtId="0" fontId="3" fillId="0" borderId="0" xfId="0" applyFont="1" applyProtection="1">
      <protection locked="0"/>
    </xf>
    <xf numFmtId="0" fontId="5" fillId="0" borderId="0" xfId="0" applyFont="1" applyBorder="1" applyAlignment="1" applyProtection="1">
      <alignment horizontal="center"/>
      <protection locked="0"/>
    </xf>
    <xf numFmtId="0" fontId="3" fillId="0" borderId="0" xfId="0" applyFont="1" applyBorder="1" applyProtection="1">
      <protection locked="0"/>
    </xf>
    <xf numFmtId="0" fontId="3" fillId="0" borderId="0" xfId="0" applyFont="1" applyAlignment="1" applyProtection="1">
      <alignment horizontal="center"/>
      <protection locked="0"/>
    </xf>
    <xf numFmtId="0" fontId="6" fillId="0" borderId="0" xfId="0" applyFont="1" applyBorder="1" applyAlignment="1" applyProtection="1">
      <alignment horizontal="center"/>
      <protection locked="0"/>
    </xf>
    <xf numFmtId="4" fontId="3" fillId="0" borderId="0" xfId="0" applyNumberFormat="1" applyFont="1" applyProtection="1">
      <protection locked="0"/>
    </xf>
    <xf numFmtId="4" fontId="3" fillId="0" borderId="0" xfId="0" applyNumberFormat="1" applyFont="1" applyBorder="1" applyProtection="1">
      <protection locked="0"/>
    </xf>
    <xf numFmtId="18" fontId="3" fillId="0" borderId="0" xfId="0" applyNumberFormat="1" applyFont="1" applyBorder="1" applyProtection="1">
      <protection locked="0"/>
    </xf>
    <xf numFmtId="0" fontId="4" fillId="0" borderId="0" xfId="0" applyFont="1" applyProtection="1">
      <protection locked="0"/>
    </xf>
    <xf numFmtId="0" fontId="3" fillId="0" borderId="0" xfId="0" applyFont="1" applyFill="1" applyBorder="1" applyProtection="1">
      <protection locked="0"/>
    </xf>
    <xf numFmtId="18" fontId="3" fillId="0" borderId="0" xfId="0" applyNumberFormat="1" applyFont="1" applyProtection="1">
      <protection locked="0"/>
    </xf>
    <xf numFmtId="0" fontId="9" fillId="0" borderId="0" xfId="0" applyFont="1" applyBorder="1" applyProtection="1">
      <protection locked="0"/>
    </xf>
    <xf numFmtId="0" fontId="9" fillId="0" borderId="1" xfId="0" applyFont="1" applyBorder="1" applyProtection="1">
      <protection locked="0"/>
    </xf>
    <xf numFmtId="0" fontId="9" fillId="0" borderId="0" xfId="0" applyFont="1" applyProtection="1">
      <protection locked="0"/>
    </xf>
    <xf numFmtId="0" fontId="13" fillId="0" borderId="0" xfId="0" applyFont="1" applyBorder="1" applyProtection="1">
      <protection locked="0"/>
    </xf>
    <xf numFmtId="0" fontId="5" fillId="0" borderId="0" xfId="0" applyFont="1" applyFill="1" applyBorder="1" applyAlignment="1" applyProtection="1">
      <alignment horizontal="center"/>
      <protection locked="0"/>
    </xf>
    <xf numFmtId="0" fontId="3" fillId="0" borderId="0" xfId="0" applyFont="1" applyFill="1" applyProtection="1">
      <protection locked="0"/>
    </xf>
    <xf numFmtId="0" fontId="0" fillId="0" borderId="0" xfId="0" applyBorder="1" applyProtection="1">
      <protection locked="0"/>
    </xf>
    <xf numFmtId="0" fontId="9" fillId="0" borderId="0" xfId="0" applyFont="1" applyFill="1" applyBorder="1" applyProtection="1">
      <protection locked="0"/>
    </xf>
    <xf numFmtId="166" fontId="9" fillId="0" borderId="0" xfId="0" applyNumberFormat="1" applyFont="1" applyBorder="1" applyAlignment="1" applyProtection="1">
      <alignment horizontal="center"/>
      <protection locked="0"/>
    </xf>
    <xf numFmtId="165" fontId="9" fillId="0" borderId="0" xfId="0" applyNumberFormat="1" applyFont="1" applyBorder="1" applyAlignment="1" applyProtection="1">
      <alignment horizontal="center"/>
      <protection locked="0"/>
    </xf>
    <xf numFmtId="8" fontId="9" fillId="0" borderId="0" xfId="0" applyNumberFormat="1" applyFont="1" applyBorder="1" applyAlignment="1" applyProtection="1">
      <alignment horizontal="center"/>
      <protection locked="0"/>
    </xf>
    <xf numFmtId="8" fontId="9" fillId="0" borderId="0" xfId="0" applyNumberFormat="1" applyFont="1" applyBorder="1" applyAlignment="1" applyProtection="1">
      <alignment horizontal="right"/>
      <protection locked="0"/>
    </xf>
    <xf numFmtId="164" fontId="9" fillId="0" borderId="0" xfId="0" applyNumberFormat="1" applyFont="1" applyBorder="1" applyAlignment="1" applyProtection="1">
      <alignment horizontal="right"/>
      <protection locked="0"/>
    </xf>
    <xf numFmtId="0" fontId="9" fillId="0" borderId="0" xfId="0" applyFont="1" applyBorder="1" applyAlignment="1" applyProtection="1">
      <alignment horizontal="left" indent="1"/>
      <protection locked="0"/>
    </xf>
    <xf numFmtId="4" fontId="9" fillId="0" borderId="0" xfId="0" applyNumberFormat="1" applyFont="1" applyBorder="1" applyAlignment="1" applyProtection="1">
      <alignment horizontal="right"/>
      <protection locked="0"/>
    </xf>
    <xf numFmtId="4" fontId="9" fillId="0" borderId="0" xfId="0" applyNumberFormat="1" applyFont="1" applyBorder="1" applyAlignment="1" applyProtection="1">
      <alignment horizontal="left"/>
      <protection locked="0"/>
    </xf>
    <xf numFmtId="4" fontId="9" fillId="0" borderId="0" xfId="0" applyNumberFormat="1" applyFont="1" applyBorder="1" applyProtection="1">
      <protection locked="0"/>
    </xf>
    <xf numFmtId="165" fontId="9" fillId="0" borderId="0" xfId="0" applyNumberFormat="1" applyFont="1" applyBorder="1" applyAlignment="1" applyProtection="1">
      <alignment horizontal="left"/>
      <protection locked="0"/>
    </xf>
    <xf numFmtId="0" fontId="9" fillId="0" borderId="0" xfId="0" applyFont="1" applyBorder="1" applyAlignment="1" applyProtection="1">
      <alignment horizontal="right"/>
      <protection locked="0"/>
    </xf>
    <xf numFmtId="18" fontId="9" fillId="0" borderId="0" xfId="0" applyNumberFormat="1" applyFont="1" applyProtection="1">
      <protection locked="0"/>
    </xf>
    <xf numFmtId="0" fontId="9" fillId="0" borderId="0" xfId="0" applyFont="1" applyFill="1" applyProtection="1">
      <protection locked="0"/>
    </xf>
    <xf numFmtId="0" fontId="9" fillId="0" borderId="0" xfId="0" applyFont="1" applyAlignment="1" applyProtection="1">
      <alignment horizontal="center"/>
      <protection locked="0"/>
    </xf>
    <xf numFmtId="166" fontId="5" fillId="0" borderId="0" xfId="0" applyNumberFormat="1" applyFont="1" applyBorder="1" applyAlignment="1" applyProtection="1">
      <alignment horizontal="center"/>
      <protection locked="0"/>
    </xf>
    <xf numFmtId="0" fontId="17" fillId="0" borderId="0" xfId="0" applyFont="1" applyBorder="1" applyAlignment="1" applyProtection="1">
      <alignment horizontal="center"/>
      <protection locked="0"/>
    </xf>
    <xf numFmtId="0" fontId="18" fillId="0" borderId="0" xfId="0" applyFont="1" applyBorder="1" applyAlignment="1" applyProtection="1">
      <protection locked="0"/>
    </xf>
    <xf numFmtId="0" fontId="17" fillId="0" borderId="0" xfId="0" applyFont="1" applyFill="1" applyBorder="1" applyProtection="1">
      <protection locked="0"/>
    </xf>
    <xf numFmtId="0" fontId="9" fillId="0" borderId="0" xfId="0" applyFont="1" applyAlignment="1" applyProtection="1">
      <alignment horizontal="right"/>
      <protection locked="0"/>
    </xf>
    <xf numFmtId="0" fontId="4" fillId="0" borderId="0" xfId="0" applyFont="1" applyBorder="1" applyProtection="1">
      <protection locked="0"/>
    </xf>
    <xf numFmtId="0" fontId="2" fillId="0" borderId="0" xfId="0" applyFont="1" applyBorder="1" applyProtection="1">
      <protection locked="0"/>
    </xf>
    <xf numFmtId="18" fontId="13" fillId="0" borderId="0" xfId="0" applyNumberFormat="1" applyFont="1" applyBorder="1" applyProtection="1">
      <protection locked="0"/>
    </xf>
    <xf numFmtId="164" fontId="21" fillId="0" borderId="2" xfId="0" applyNumberFormat="1" applyFont="1" applyFill="1" applyBorder="1" applyAlignment="1" applyProtection="1">
      <alignment horizontal="right"/>
      <protection locked="0"/>
    </xf>
    <xf numFmtId="0" fontId="21" fillId="0" borderId="0" xfId="0" applyFont="1" applyFill="1" applyBorder="1" applyAlignment="1" applyProtection="1">
      <alignment horizontal="left" indent="1"/>
      <protection locked="0"/>
    </xf>
    <xf numFmtId="164" fontId="21" fillId="0" borderId="2" xfId="0" applyNumberFormat="1" applyFont="1" applyBorder="1" applyAlignment="1" applyProtection="1">
      <alignment horizontal="right"/>
      <protection locked="0"/>
    </xf>
    <xf numFmtId="0" fontId="21" fillId="0" borderId="0" xfId="0" applyFont="1" applyBorder="1" applyAlignment="1" applyProtection="1">
      <alignment horizontal="left" indent="1"/>
      <protection locked="0"/>
    </xf>
    <xf numFmtId="164" fontId="21" fillId="0" borderId="3" xfId="0" applyNumberFormat="1" applyFont="1" applyBorder="1" applyAlignment="1" applyProtection="1">
      <alignment horizontal="right"/>
      <protection locked="0"/>
    </xf>
    <xf numFmtId="0" fontId="21" fillId="0" borderId="4" xfId="0" applyFont="1" applyBorder="1" applyAlignment="1" applyProtection="1">
      <alignment horizontal="left" indent="1"/>
      <protection locked="0"/>
    </xf>
    <xf numFmtId="0" fontId="24" fillId="0" borderId="0" xfId="0" applyFont="1" applyBorder="1" applyProtection="1">
      <protection locked="0"/>
    </xf>
    <xf numFmtId="0" fontId="24" fillId="0" borderId="0" xfId="0" applyFont="1" applyProtection="1">
      <protection locked="0"/>
    </xf>
    <xf numFmtId="0" fontId="9" fillId="0" borderId="1" xfId="0" applyFont="1" applyBorder="1" applyAlignment="1" applyProtection="1">
      <alignment horizontal="center"/>
      <protection locked="0"/>
    </xf>
    <xf numFmtId="0" fontId="9" fillId="0" borderId="5" xfId="0" applyFont="1" applyBorder="1" applyProtection="1">
      <protection locked="0"/>
    </xf>
    <xf numFmtId="0" fontId="11" fillId="0" borderId="2" xfId="0" applyFont="1" applyBorder="1" applyAlignment="1" applyProtection="1">
      <alignment horizontal="left"/>
    </xf>
    <xf numFmtId="0" fontId="9" fillId="0" borderId="8" xfId="0" applyFont="1" applyBorder="1" applyAlignment="1" applyProtection="1">
      <alignment horizontal="center"/>
      <protection locked="0"/>
    </xf>
    <xf numFmtId="0" fontId="9" fillId="0" borderId="0" xfId="0" applyFont="1" applyBorder="1" applyAlignment="1" applyProtection="1">
      <alignment horizontal="left"/>
      <protection locked="0"/>
    </xf>
    <xf numFmtId="0" fontId="3" fillId="0" borderId="0" xfId="0" applyFont="1" applyBorder="1" applyAlignment="1" applyProtection="1">
      <alignment horizontal="center"/>
      <protection locked="0"/>
    </xf>
    <xf numFmtId="18" fontId="3" fillId="0" borderId="0" xfId="0" applyNumberFormat="1" applyFont="1" applyBorder="1" applyAlignment="1" applyProtection="1">
      <alignment horizontal="center"/>
      <protection locked="0"/>
    </xf>
    <xf numFmtId="0" fontId="11" fillId="0" borderId="3" xfId="0" applyFont="1" applyBorder="1" applyAlignment="1" applyProtection="1">
      <alignment horizontal="left"/>
    </xf>
    <xf numFmtId="167" fontId="3" fillId="0" borderId="0" xfId="0" applyNumberFormat="1" applyFont="1" applyProtection="1">
      <protection locked="0"/>
    </xf>
    <xf numFmtId="167" fontId="17" fillId="0" borderId="0" xfId="0" applyNumberFormat="1" applyFont="1" applyFill="1" applyBorder="1" applyProtection="1">
      <protection locked="0"/>
    </xf>
    <xf numFmtId="167" fontId="9" fillId="0" borderId="0" xfId="0" applyNumberFormat="1" applyFont="1" applyBorder="1" applyProtection="1">
      <protection locked="0"/>
    </xf>
    <xf numFmtId="167" fontId="9" fillId="0" borderId="0" xfId="0" applyNumberFormat="1" applyFont="1" applyProtection="1">
      <protection locked="0"/>
    </xf>
    <xf numFmtId="167" fontId="4" fillId="0" borderId="0" xfId="0" applyNumberFormat="1" applyFont="1" applyProtection="1">
      <protection locked="0"/>
    </xf>
    <xf numFmtId="167" fontId="3" fillId="0" borderId="0" xfId="0" applyNumberFormat="1" applyFont="1" applyBorder="1" applyProtection="1">
      <protection locked="0"/>
    </xf>
    <xf numFmtId="167" fontId="3" fillId="0" borderId="0" xfId="0" applyNumberFormat="1" applyFont="1" applyFill="1" applyBorder="1" applyProtection="1">
      <protection locked="0"/>
    </xf>
    <xf numFmtId="167" fontId="2" fillId="0" borderId="0" xfId="0" applyNumberFormat="1" applyFont="1" applyBorder="1" applyProtection="1">
      <protection locked="0"/>
    </xf>
    <xf numFmtId="167" fontId="3" fillId="0" borderId="0" xfId="0" applyNumberFormat="1" applyFont="1" applyBorder="1" applyAlignment="1" applyProtection="1">
      <alignment horizontal="center"/>
      <protection locked="0"/>
    </xf>
    <xf numFmtId="8" fontId="13" fillId="2" borderId="1" xfId="0" applyNumberFormat="1" applyFont="1" applyFill="1" applyBorder="1" applyAlignment="1" applyProtection="1">
      <alignment horizontal="right"/>
      <protection locked="0"/>
    </xf>
    <xf numFmtId="3" fontId="13" fillId="2" borderId="1" xfId="0" applyNumberFormat="1" applyFont="1" applyFill="1" applyBorder="1" applyAlignment="1" applyProtection="1">
      <alignment horizontal="right"/>
      <protection locked="0"/>
    </xf>
    <xf numFmtId="8" fontId="13" fillId="0" borderId="1" xfId="0" applyNumberFormat="1" applyFont="1" applyBorder="1" applyAlignment="1" applyProtection="1">
      <alignment horizontal="right"/>
      <protection locked="0"/>
    </xf>
    <xf numFmtId="8" fontId="13" fillId="0" borderId="8" xfId="0" applyNumberFormat="1" applyFont="1" applyBorder="1" applyAlignment="1" applyProtection="1">
      <alignment horizontal="right"/>
      <protection locked="0"/>
    </xf>
    <xf numFmtId="14" fontId="13" fillId="0" borderId="1" xfId="0" applyNumberFormat="1" applyFont="1" applyBorder="1" applyAlignment="1" applyProtection="1">
      <alignment horizontal="right"/>
      <protection locked="0"/>
    </xf>
    <xf numFmtId="8" fontId="13" fillId="0" borderId="11" xfId="0" applyNumberFormat="1" applyFont="1" applyBorder="1" applyAlignment="1" applyProtection="1">
      <alignment horizontal="center"/>
      <protection locked="0"/>
    </xf>
    <xf numFmtId="3" fontId="13" fillId="0" borderId="8" xfId="0" applyNumberFormat="1" applyFont="1" applyBorder="1" applyAlignment="1" applyProtection="1">
      <alignment horizontal="center"/>
      <protection locked="0"/>
    </xf>
    <xf numFmtId="8" fontId="13" fillId="0" borderId="8" xfId="0" applyNumberFormat="1" applyFont="1" applyBorder="1" applyAlignment="1" applyProtection="1">
      <alignment horizontal="center"/>
      <protection locked="0"/>
    </xf>
    <xf numFmtId="8" fontId="13" fillId="0" borderId="8" xfId="0" applyNumberFormat="1" applyFont="1" applyBorder="1" applyAlignment="1" applyProtection="1">
      <protection locked="0"/>
    </xf>
    <xf numFmtId="3" fontId="13" fillId="0" borderId="1" xfId="0" applyNumberFormat="1" applyFont="1" applyBorder="1" applyAlignment="1" applyProtection="1">
      <protection locked="0"/>
    </xf>
    <xf numFmtId="8" fontId="13" fillId="0" borderId="1" xfId="0" applyNumberFormat="1" applyFont="1" applyBorder="1" applyAlignment="1" applyProtection="1">
      <alignment horizontal="center"/>
      <protection locked="0"/>
    </xf>
    <xf numFmtId="8" fontId="13" fillId="0" borderId="1" xfId="0" applyNumberFormat="1" applyFont="1" applyBorder="1" applyAlignment="1" applyProtection="1">
      <protection locked="0"/>
    </xf>
    <xf numFmtId="3" fontId="13" fillId="0" borderId="1" xfId="0" applyNumberFormat="1" applyFont="1" applyBorder="1" applyProtection="1">
      <protection locked="0"/>
    </xf>
    <xf numFmtId="8" fontId="13" fillId="0" borderId="1" xfId="0" applyNumberFormat="1" applyFont="1" applyBorder="1" applyProtection="1">
      <protection locked="0"/>
    </xf>
    <xf numFmtId="3" fontId="13" fillId="0" borderId="11" xfId="0" applyNumberFormat="1" applyFont="1" applyBorder="1" applyProtection="1">
      <protection locked="0"/>
    </xf>
    <xf numFmtId="8" fontId="13" fillId="0" borderId="11" xfId="0" applyNumberFormat="1" applyFont="1" applyBorder="1" applyProtection="1">
      <protection locked="0"/>
    </xf>
    <xf numFmtId="3" fontId="13" fillId="0" borderId="8" xfId="0" applyNumberFormat="1" applyFont="1" applyBorder="1" applyProtection="1">
      <protection locked="0"/>
    </xf>
    <xf numFmtId="8" fontId="13" fillId="0" borderId="8" xfId="0" applyNumberFormat="1" applyFont="1" applyBorder="1" applyProtection="1">
      <protection locked="0"/>
    </xf>
    <xf numFmtId="14" fontId="13" fillId="2" borderId="1" xfId="0" applyNumberFormat="1" applyFont="1" applyFill="1" applyBorder="1" applyAlignment="1" applyProtection="1">
      <alignment horizontal="right"/>
      <protection locked="0"/>
    </xf>
    <xf numFmtId="14" fontId="29" fillId="0" borderId="8" xfId="0" applyNumberFormat="1" applyFont="1" applyBorder="1" applyAlignment="1" applyProtection="1">
      <alignment horizontal="right"/>
      <protection locked="0"/>
    </xf>
    <xf numFmtId="14" fontId="13" fillId="0" borderId="11" xfId="0" applyNumberFormat="1" applyFont="1" applyBorder="1" applyAlignment="1" applyProtection="1">
      <alignment horizontal="right"/>
      <protection locked="0"/>
    </xf>
    <xf numFmtId="14" fontId="13" fillId="0" borderId="8" xfId="0" applyNumberFormat="1" applyFont="1" applyBorder="1" applyAlignment="1" applyProtection="1">
      <alignment horizontal="right"/>
      <protection locked="0"/>
    </xf>
    <xf numFmtId="166" fontId="13" fillId="0" borderId="11" xfId="0" applyNumberFormat="1" applyFont="1" applyBorder="1" applyProtection="1">
      <protection locked="0"/>
    </xf>
    <xf numFmtId="0" fontId="13" fillId="0" borderId="11" xfId="0" applyFont="1" applyFill="1" applyBorder="1" applyProtection="1">
      <protection locked="0"/>
    </xf>
    <xf numFmtId="0" fontId="13" fillId="0" borderId="11" xfId="0" applyFont="1" applyBorder="1" applyProtection="1">
      <protection locked="0"/>
    </xf>
    <xf numFmtId="14" fontId="13" fillId="2" borderId="11" xfId="0" applyNumberFormat="1" applyFont="1" applyFill="1" applyBorder="1" applyAlignment="1" applyProtection="1">
      <alignment horizontal="right"/>
      <protection locked="0"/>
    </xf>
    <xf numFmtId="3" fontId="13" fillId="2" borderId="11" xfId="0" applyNumberFormat="1" applyFont="1" applyFill="1" applyBorder="1" applyAlignment="1" applyProtection="1">
      <alignment horizontal="right"/>
      <protection locked="0"/>
    </xf>
    <xf numFmtId="8" fontId="13" fillId="2" borderId="11" xfId="0" applyNumberFormat="1" applyFont="1" applyFill="1" applyBorder="1" applyAlignment="1" applyProtection="1">
      <alignment horizontal="right"/>
      <protection locked="0"/>
    </xf>
    <xf numFmtId="14" fontId="13" fillId="2" borderId="8" xfId="0" applyNumberFormat="1" applyFont="1" applyFill="1" applyBorder="1" applyAlignment="1" applyProtection="1">
      <alignment horizontal="right"/>
      <protection locked="0"/>
    </xf>
    <xf numFmtId="3" fontId="13" fillId="2" borderId="8" xfId="0" applyNumberFormat="1" applyFont="1" applyFill="1" applyBorder="1" applyAlignment="1" applyProtection="1">
      <alignment horizontal="right"/>
      <protection locked="0"/>
    </xf>
    <xf numFmtId="8" fontId="13" fillId="2" borderId="8" xfId="0" applyNumberFormat="1" applyFont="1" applyFill="1" applyBorder="1" applyAlignment="1" applyProtection="1">
      <alignment horizontal="right"/>
      <protection locked="0"/>
    </xf>
    <xf numFmtId="3" fontId="13" fillId="2" borderId="11" xfId="0" applyNumberFormat="1" applyFont="1" applyFill="1" applyBorder="1" applyAlignment="1" applyProtection="1">
      <protection locked="0"/>
    </xf>
    <xf numFmtId="8" fontId="13" fillId="2" borderId="11" xfId="0" applyNumberFormat="1" applyFont="1" applyFill="1" applyBorder="1" applyAlignment="1" applyProtection="1">
      <protection locked="0"/>
    </xf>
    <xf numFmtId="0" fontId="26" fillId="0" borderId="0" xfId="0" applyFont="1" applyBorder="1" applyAlignment="1" applyProtection="1">
      <protection locked="0"/>
    </xf>
    <xf numFmtId="7" fontId="26" fillId="0" borderId="0" xfId="0" applyNumberFormat="1" applyFont="1" applyBorder="1" applyAlignment="1" applyProtection="1">
      <protection locked="0"/>
    </xf>
    <xf numFmtId="0" fontId="26" fillId="0" borderId="0" xfId="0" applyFont="1" applyProtection="1">
      <protection locked="0"/>
    </xf>
    <xf numFmtId="7" fontId="26" fillId="0" borderId="0" xfId="0" applyNumberFormat="1" applyFont="1" applyProtection="1">
      <protection locked="0"/>
    </xf>
    <xf numFmtId="8" fontId="9" fillId="2" borderId="0" xfId="0" applyNumberFormat="1" applyFont="1" applyFill="1" applyAlignment="1" applyProtection="1">
      <alignment horizontal="right"/>
      <protection locked="0"/>
    </xf>
    <xf numFmtId="0" fontId="3" fillId="0" borderId="14" xfId="0" applyFont="1" applyFill="1" applyBorder="1" applyProtection="1">
      <protection locked="0"/>
    </xf>
    <xf numFmtId="18" fontId="3" fillId="0" borderId="14" xfId="0" applyNumberFormat="1" applyFont="1" applyFill="1" applyBorder="1" applyProtection="1">
      <protection locked="0"/>
    </xf>
    <xf numFmtId="0" fontId="6" fillId="0" borderId="14" xfId="0" applyFont="1" applyFill="1" applyBorder="1" applyProtection="1">
      <protection locked="0"/>
    </xf>
    <xf numFmtId="0" fontId="3" fillId="0" borderId="14" xfId="0" applyFont="1" applyFill="1" applyBorder="1" applyAlignment="1" applyProtection="1">
      <alignment horizontal="center"/>
      <protection locked="0"/>
    </xf>
    <xf numFmtId="0" fontId="3" fillId="0" borderId="15" xfId="0" applyFont="1" applyFill="1" applyBorder="1" applyProtection="1">
      <protection locked="0"/>
    </xf>
    <xf numFmtId="0" fontId="2" fillId="0" borderId="16" xfId="0" applyFont="1" applyFill="1" applyBorder="1" applyProtection="1">
      <protection locked="0"/>
    </xf>
    <xf numFmtId="0" fontId="2" fillId="0" borderId="17" xfId="0" applyFont="1" applyFill="1" applyBorder="1" applyAlignment="1" applyProtection="1">
      <alignment horizontal="right"/>
      <protection locked="0"/>
    </xf>
    <xf numFmtId="8" fontId="9" fillId="0" borderId="1" xfId="0" applyNumberFormat="1" applyFont="1" applyBorder="1" applyAlignment="1" applyProtection="1">
      <alignment horizontal="center"/>
      <protection locked="0"/>
    </xf>
    <xf numFmtId="8" fontId="9" fillId="0" borderId="5" xfId="0" applyNumberFormat="1" applyFont="1" applyBorder="1" applyAlignment="1" applyProtection="1">
      <alignment horizontal="center"/>
      <protection locked="0"/>
    </xf>
    <xf numFmtId="0" fontId="8" fillId="0" borderId="1" xfId="0" applyFont="1" applyBorder="1" applyAlignment="1" applyProtection="1">
      <alignment vertical="center"/>
      <protection locked="0"/>
    </xf>
    <xf numFmtId="0" fontId="8" fillId="0" borderId="5" xfId="0" applyFont="1" applyBorder="1" applyAlignment="1" applyProtection="1">
      <alignment vertical="center"/>
      <protection locked="0"/>
    </xf>
    <xf numFmtId="0" fontId="19" fillId="0" borderId="1" xfId="0" applyFont="1" applyBorder="1" applyAlignment="1" applyProtection="1">
      <alignment horizontal="center" vertical="center"/>
      <protection locked="0"/>
    </xf>
    <xf numFmtId="8" fontId="13" fillId="0" borderId="8" xfId="0" applyNumberFormat="1" applyFont="1" applyFill="1" applyBorder="1" applyAlignment="1" applyProtection="1">
      <alignment horizontal="right"/>
      <protection locked="0"/>
    </xf>
    <xf numFmtId="8" fontId="13" fillId="0" borderId="1" xfId="0" applyNumberFormat="1" applyFont="1" applyFill="1" applyBorder="1" applyAlignment="1" applyProtection="1">
      <alignment horizontal="right"/>
      <protection locked="0"/>
    </xf>
    <xf numFmtId="8" fontId="13" fillId="0" borderId="11" xfId="0" applyNumberFormat="1" applyFont="1" applyFill="1" applyBorder="1" applyAlignment="1" applyProtection="1">
      <alignment horizontal="right"/>
      <protection locked="0"/>
    </xf>
    <xf numFmtId="0" fontId="9" fillId="0" borderId="0" xfId="0" applyFont="1" applyBorder="1" applyProtection="1"/>
    <xf numFmtId="0" fontId="11" fillId="0" borderId="0" xfId="0" applyFont="1" applyBorder="1" applyAlignment="1" applyProtection="1">
      <alignment horizontal="center" vertical="center"/>
    </xf>
    <xf numFmtId="0" fontId="9" fillId="0" borderId="4" xfId="0" applyFont="1" applyBorder="1" applyProtection="1"/>
    <xf numFmtId="0" fontId="11" fillId="0" borderId="4" xfId="0" applyFont="1" applyBorder="1" applyAlignment="1" applyProtection="1">
      <alignment horizontal="center" vertical="center"/>
    </xf>
    <xf numFmtId="0" fontId="19" fillId="0" borderId="1" xfId="0" applyFont="1" applyBorder="1" applyAlignment="1" applyProtection="1">
      <alignment horizontal="center" vertical="center"/>
    </xf>
    <xf numFmtId="0" fontId="19" fillId="0" borderId="5" xfId="0" applyFont="1" applyBorder="1" applyAlignment="1" applyProtection="1">
      <alignment horizontal="center" vertical="center"/>
    </xf>
    <xf numFmtId="8" fontId="5" fillId="0" borderId="0" xfId="0" applyNumberFormat="1" applyFont="1" applyBorder="1" applyAlignment="1" applyProtection="1">
      <alignment horizontal="center"/>
      <protection locked="0"/>
    </xf>
    <xf numFmtId="0" fontId="13" fillId="2" borderId="1" xfId="0" applyNumberFormat="1" applyFont="1" applyFill="1" applyBorder="1" applyAlignment="1" applyProtection="1">
      <alignment horizontal="right"/>
      <protection locked="0"/>
    </xf>
    <xf numFmtId="0" fontId="13" fillId="2" borderId="11" xfId="0" applyNumberFormat="1" applyFont="1" applyFill="1" applyBorder="1" applyAlignment="1" applyProtection="1">
      <alignment horizontal="right"/>
      <protection locked="0"/>
    </xf>
    <xf numFmtId="0" fontId="13" fillId="2" borderId="8" xfId="0" applyNumberFormat="1" applyFont="1" applyFill="1" applyBorder="1" applyAlignment="1" applyProtection="1">
      <alignment horizontal="right"/>
      <protection locked="0"/>
    </xf>
    <xf numFmtId="0" fontId="13" fillId="2" borderId="11" xfId="0" applyNumberFormat="1" applyFont="1" applyFill="1" applyBorder="1" applyAlignment="1" applyProtection="1">
      <protection locked="0"/>
    </xf>
    <xf numFmtId="0" fontId="13" fillId="0" borderId="8" xfId="0" applyNumberFormat="1" applyFont="1" applyFill="1" applyBorder="1" applyAlignment="1" applyProtection="1">
      <alignment horizontal="center"/>
      <protection locked="0"/>
    </xf>
    <xf numFmtId="0" fontId="13" fillId="0" borderId="8" xfId="0" applyNumberFormat="1" applyFont="1" applyBorder="1" applyAlignment="1" applyProtection="1">
      <alignment horizontal="center"/>
      <protection locked="0"/>
    </xf>
    <xf numFmtId="0" fontId="13" fillId="0" borderId="1" xfId="0" applyNumberFormat="1" applyFont="1" applyBorder="1" applyAlignment="1" applyProtection="1">
      <protection locked="0"/>
    </xf>
    <xf numFmtId="0" fontId="13" fillId="0" borderId="1" xfId="0" applyNumberFormat="1" applyFont="1" applyFill="1" applyBorder="1" applyProtection="1">
      <protection locked="0"/>
    </xf>
    <xf numFmtId="0" fontId="13" fillId="0" borderId="1" xfId="0" applyNumberFormat="1" applyFont="1" applyBorder="1" applyProtection="1">
      <protection locked="0"/>
    </xf>
    <xf numFmtId="0" fontId="13" fillId="0" borderId="11" xfId="0" applyNumberFormat="1" applyFont="1" applyFill="1" applyBorder="1" applyProtection="1">
      <protection locked="0"/>
    </xf>
    <xf numFmtId="0" fontId="13" fillId="0" borderId="11" xfId="0" applyNumberFormat="1" applyFont="1" applyBorder="1" applyProtection="1">
      <protection locked="0"/>
    </xf>
    <xf numFmtId="0" fontId="13" fillId="0" borderId="8" xfId="0" applyNumberFormat="1" applyFont="1" applyFill="1" applyBorder="1" applyProtection="1">
      <protection locked="0"/>
    </xf>
    <xf numFmtId="0" fontId="13" fillId="0" borderId="8" xfId="0" applyNumberFormat="1" applyFont="1" applyBorder="1" applyProtection="1">
      <protection locked="0"/>
    </xf>
    <xf numFmtId="0" fontId="10" fillId="0" borderId="0" xfId="0" applyFont="1" applyBorder="1" applyAlignment="1" applyProtection="1">
      <alignment vertical="top"/>
      <protection locked="0"/>
    </xf>
    <xf numFmtId="0" fontId="11" fillId="0" borderId="0" xfId="0" applyFont="1" applyBorder="1" applyAlignment="1" applyProtection="1">
      <protection locked="0"/>
    </xf>
    <xf numFmtId="0" fontId="5" fillId="0" borderId="0" xfId="0" applyFont="1" applyAlignment="1" applyProtection="1">
      <alignment vertical="center"/>
      <protection locked="0"/>
    </xf>
    <xf numFmtId="0" fontId="5" fillId="0" borderId="0" xfId="0" applyFont="1" applyBorder="1" applyAlignment="1" applyProtection="1">
      <alignment vertical="center"/>
      <protection locked="0"/>
    </xf>
    <xf numFmtId="0" fontId="27" fillId="0" borderId="0" xfId="0" applyFont="1" applyBorder="1" applyAlignment="1" applyProtection="1">
      <alignment vertical="center"/>
      <protection locked="0"/>
    </xf>
    <xf numFmtId="167" fontId="5" fillId="0" borderId="0" xfId="0" applyNumberFormat="1" applyFont="1" applyAlignment="1" applyProtection="1">
      <alignment vertical="center"/>
      <protection locked="0"/>
    </xf>
    <xf numFmtId="0" fontId="9" fillId="0" borderId="2" xfId="0" applyFont="1" applyBorder="1" applyAlignment="1" applyProtection="1">
      <alignment vertical="center"/>
      <protection locked="0"/>
    </xf>
    <xf numFmtId="0" fontId="9" fillId="0" borderId="0" xfId="0" applyFont="1" applyBorder="1" applyAlignment="1" applyProtection="1">
      <alignment vertical="center"/>
      <protection locked="0"/>
    </xf>
    <xf numFmtId="0" fontId="9" fillId="0" borderId="0" xfId="0" applyFont="1" applyAlignment="1" applyProtection="1">
      <alignment vertical="center"/>
      <protection locked="0"/>
    </xf>
    <xf numFmtId="0" fontId="26" fillId="0" borderId="0" xfId="0" applyFont="1" applyBorder="1" applyAlignment="1" applyProtection="1">
      <alignment vertical="center"/>
      <protection locked="0"/>
    </xf>
    <xf numFmtId="0" fontId="3" fillId="0" borderId="0" xfId="0" applyFont="1" applyAlignment="1" applyProtection="1">
      <alignment vertical="center"/>
      <protection locked="0"/>
    </xf>
    <xf numFmtId="167" fontId="9" fillId="0" borderId="0" xfId="0" applyNumberFormat="1" applyFont="1" applyAlignment="1" applyProtection="1">
      <alignment vertical="center"/>
      <protection locked="0"/>
    </xf>
    <xf numFmtId="0" fontId="17" fillId="0" borderId="0" xfId="0" applyFont="1" applyFill="1" applyBorder="1" applyAlignment="1" applyProtection="1">
      <alignment horizontal="center" shrinkToFit="1"/>
      <protection locked="0"/>
    </xf>
    <xf numFmtId="164" fontId="17" fillId="0" borderId="0" xfId="0" applyNumberFormat="1" applyFont="1" applyFill="1" applyBorder="1" applyAlignment="1" applyProtection="1">
      <alignment horizontal="center"/>
      <protection locked="0"/>
    </xf>
    <xf numFmtId="0" fontId="14" fillId="0" borderId="0" xfId="0" applyFont="1" applyBorder="1" applyAlignment="1" applyProtection="1">
      <alignment vertical="center" wrapText="1"/>
      <protection locked="0"/>
    </xf>
    <xf numFmtId="168" fontId="3" fillId="0" borderId="0" xfId="0" applyNumberFormat="1" applyFont="1" applyAlignment="1" applyProtection="1">
      <alignment horizontal="center"/>
      <protection locked="0"/>
    </xf>
    <xf numFmtId="0" fontId="18" fillId="0" borderId="0" xfId="0" applyFont="1" applyBorder="1" applyAlignment="1" applyProtection="1">
      <alignment horizontal="center"/>
      <protection locked="0"/>
    </xf>
    <xf numFmtId="0" fontId="9" fillId="0" borderId="0" xfId="0" applyFont="1" applyBorder="1" applyAlignment="1" applyProtection="1">
      <alignment vertical="center" wrapText="1"/>
      <protection locked="0"/>
    </xf>
    <xf numFmtId="0" fontId="15" fillId="0" borderId="0" xfId="0" applyFont="1" applyBorder="1" applyAlignment="1" applyProtection="1">
      <alignment horizontal="left" vertical="top" wrapText="1"/>
      <protection locked="0"/>
    </xf>
    <xf numFmtId="0" fontId="22" fillId="0" borderId="0" xfId="0" applyFont="1" applyBorder="1" applyAlignment="1" applyProtection="1">
      <alignment vertical="center" wrapText="1"/>
      <protection locked="0"/>
    </xf>
    <xf numFmtId="8" fontId="9" fillId="0" borderId="12" xfId="0" applyNumberFormat="1" applyFont="1" applyBorder="1" applyProtection="1">
      <protection locked="0"/>
    </xf>
    <xf numFmtId="8" fontId="9" fillId="0" borderId="13" xfId="0" applyNumberFormat="1" applyFont="1" applyBorder="1" applyProtection="1">
      <protection locked="0"/>
    </xf>
    <xf numFmtId="8" fontId="9" fillId="0" borderId="6" xfId="0" applyNumberFormat="1" applyFont="1" applyBorder="1" applyProtection="1">
      <protection locked="0"/>
    </xf>
    <xf numFmtId="8" fontId="9" fillId="0" borderId="0" xfId="0" applyNumberFormat="1" applyFont="1" applyAlignment="1" applyProtection="1">
      <alignment horizontal="right"/>
      <protection locked="0"/>
    </xf>
    <xf numFmtId="18" fontId="19" fillId="0" borderId="0" xfId="0" applyNumberFormat="1" applyFont="1" applyBorder="1" applyAlignment="1" applyProtection="1">
      <alignment horizontal="center"/>
      <protection locked="0"/>
    </xf>
    <xf numFmtId="0" fontId="19" fillId="0" borderId="0" xfId="0" applyFont="1" applyBorder="1" applyAlignment="1" applyProtection="1">
      <alignment horizontal="center"/>
      <protection locked="0"/>
    </xf>
    <xf numFmtId="18" fontId="11" fillId="0" borderId="0" xfId="0" applyNumberFormat="1" applyFont="1" applyBorder="1" applyAlignment="1" applyProtection="1">
      <alignment horizontal="center"/>
      <protection locked="0"/>
    </xf>
    <xf numFmtId="0" fontId="11" fillId="0" borderId="0" xfId="0" applyFont="1" applyBorder="1" applyAlignment="1" applyProtection="1">
      <alignment horizontal="center"/>
      <protection locked="0"/>
    </xf>
    <xf numFmtId="0" fontId="2" fillId="0" borderId="17" xfId="0" applyFont="1" applyFill="1" applyBorder="1" applyAlignment="1" applyProtection="1">
      <protection locked="0"/>
    </xf>
    <xf numFmtId="18" fontId="1" fillId="0" borderId="17" xfId="0" applyNumberFormat="1" applyFont="1" applyFill="1" applyBorder="1" applyAlignment="1" applyProtection="1">
      <alignment horizontal="right"/>
      <protection locked="0"/>
    </xf>
    <xf numFmtId="0" fontId="8" fillId="0" borderId="7" xfId="0" applyFont="1" applyBorder="1" applyAlignment="1" applyProtection="1">
      <alignment horizontal="center" vertical="center"/>
      <protection locked="0"/>
    </xf>
    <xf numFmtId="0" fontId="11" fillId="0" borderId="0" xfId="0" applyFont="1" applyBorder="1" applyAlignment="1" applyProtection="1">
      <alignment horizontal="right"/>
      <protection locked="0"/>
    </xf>
    <xf numFmtId="0" fontId="11" fillId="0" borderId="0" xfId="0" applyFont="1" applyBorder="1" applyAlignment="1" applyProtection="1">
      <alignment horizontal="center" vertical="center"/>
      <protection locked="0"/>
    </xf>
    <xf numFmtId="0" fontId="8" fillId="0" borderId="1" xfId="0" quotePrefix="1" applyFont="1" applyBorder="1" applyAlignment="1" applyProtection="1">
      <alignment horizontal="center" vertical="center"/>
      <protection locked="0"/>
    </xf>
    <xf numFmtId="0" fontId="11" fillId="0" borderId="9" xfId="0" applyFont="1" applyBorder="1" applyAlignment="1" applyProtection="1">
      <alignment horizontal="center" vertical="center"/>
      <protection locked="0"/>
    </xf>
    <xf numFmtId="0" fontId="8" fillId="0" borderId="6" xfId="0" quotePrefix="1" applyFont="1" applyBorder="1" applyAlignment="1" applyProtection="1">
      <alignment horizontal="center" vertical="center"/>
      <protection locked="0"/>
    </xf>
    <xf numFmtId="0" fontId="11" fillId="0" borderId="10" xfId="0" applyFont="1" applyBorder="1" applyAlignment="1" applyProtection="1">
      <alignment horizontal="center" vertical="center"/>
      <protection locked="0"/>
    </xf>
    <xf numFmtId="0" fontId="16" fillId="0" borderId="0" xfId="0" applyFont="1" applyBorder="1" applyAlignment="1" applyProtection="1">
      <alignment horizontal="right"/>
      <protection locked="0"/>
    </xf>
    <xf numFmtId="0" fontId="16" fillId="0" borderId="0" xfId="0" applyFont="1" applyBorder="1" applyAlignment="1" applyProtection="1">
      <alignment vertical="center"/>
      <protection locked="0"/>
    </xf>
    <xf numFmtId="7" fontId="9" fillId="0" borderId="8" xfId="1" applyNumberFormat="1" applyFont="1" applyBorder="1" applyAlignment="1" applyProtection="1">
      <alignment horizontal="center"/>
      <protection locked="0"/>
    </xf>
    <xf numFmtId="0" fontId="10" fillId="0" borderId="0" xfId="0" applyFont="1" applyBorder="1" applyAlignment="1" applyProtection="1">
      <alignment horizontal="center" vertical="top"/>
      <protection locked="0"/>
    </xf>
    <xf numFmtId="18" fontId="3" fillId="2" borderId="4" xfId="0" applyNumberFormat="1" applyFont="1" applyFill="1" applyBorder="1" applyAlignment="1" applyProtection="1">
      <alignment horizontal="center"/>
      <protection locked="0"/>
    </xf>
    <xf numFmtId="0" fontId="19" fillId="0" borderId="0" xfId="0" applyFont="1" applyBorder="1" applyAlignment="1" applyProtection="1">
      <alignment horizontal="center"/>
      <protection locked="0"/>
    </xf>
    <xf numFmtId="0" fontId="3" fillId="2" borderId="4" xfId="0" applyFont="1" applyFill="1" applyBorder="1" applyAlignment="1" applyProtection="1">
      <alignment horizontal="center"/>
      <protection locked="0"/>
    </xf>
    <xf numFmtId="8" fontId="26" fillId="0" borderId="0" xfId="0" applyNumberFormat="1" applyFont="1" applyBorder="1" applyAlignment="1" applyProtection="1">
      <alignment horizontal="center"/>
      <protection locked="0"/>
    </xf>
    <xf numFmtId="165" fontId="13" fillId="2" borderId="1" xfId="0" applyNumberFormat="1" applyFont="1" applyFill="1" applyBorder="1" applyAlignment="1" applyProtection="1">
      <alignment horizontal="left"/>
      <protection locked="0"/>
    </xf>
    <xf numFmtId="165" fontId="13" fillId="2" borderId="11" xfId="0" applyNumberFormat="1" applyFont="1" applyFill="1" applyBorder="1" applyAlignment="1" applyProtection="1">
      <alignment horizontal="left"/>
      <protection locked="0"/>
    </xf>
    <xf numFmtId="165" fontId="13" fillId="0" borderId="1" xfId="0" applyNumberFormat="1" applyFont="1" applyBorder="1" applyAlignment="1" applyProtection="1">
      <alignment horizontal="left"/>
      <protection locked="0"/>
    </xf>
    <xf numFmtId="0" fontId="10" fillId="0" borderId="0" xfId="0" applyFont="1" applyBorder="1" applyAlignment="1" applyProtection="1">
      <alignment horizontal="center"/>
      <protection locked="0"/>
    </xf>
    <xf numFmtId="0" fontId="11" fillId="0" borderId="0" xfId="0" applyFont="1" applyBorder="1" applyAlignment="1" applyProtection="1">
      <alignment horizontal="center"/>
      <protection locked="0"/>
    </xf>
    <xf numFmtId="0" fontId="9" fillId="2" borderId="7" xfId="0" applyFont="1" applyFill="1" applyBorder="1" applyAlignment="1" applyProtection="1">
      <alignment horizontal="center" vertical="center"/>
      <protection locked="0"/>
    </xf>
    <xf numFmtId="0" fontId="9" fillId="2" borderId="18" xfId="0" applyFont="1" applyFill="1" applyBorder="1" applyAlignment="1" applyProtection="1">
      <alignment horizontal="center" vertical="center"/>
      <protection locked="0"/>
    </xf>
    <xf numFmtId="0" fontId="9" fillId="2" borderId="19" xfId="0" applyFont="1" applyFill="1" applyBorder="1" applyAlignment="1" applyProtection="1">
      <alignment horizontal="center" vertical="center"/>
      <protection locked="0"/>
    </xf>
    <xf numFmtId="0" fontId="28" fillId="0" borderId="7" xfId="0" applyFont="1" applyBorder="1" applyAlignment="1" applyProtection="1">
      <alignment horizontal="center" vertical="center"/>
      <protection locked="0"/>
    </xf>
    <xf numFmtId="0" fontId="28" fillId="0" borderId="18" xfId="0" applyFont="1" applyBorder="1" applyAlignment="1" applyProtection="1">
      <alignment horizontal="center" vertical="center"/>
      <protection locked="0"/>
    </xf>
    <xf numFmtId="0" fontId="28" fillId="0" borderId="19" xfId="0" applyFont="1" applyBorder="1" applyAlignment="1" applyProtection="1">
      <alignment horizontal="center" vertical="center"/>
      <protection locked="0"/>
    </xf>
    <xf numFmtId="0" fontId="25" fillId="0" borderId="2" xfId="0" applyFont="1" applyBorder="1" applyAlignment="1" applyProtection="1">
      <alignment horizontal="center" vertical="center"/>
      <protection locked="0"/>
    </xf>
    <xf numFmtId="0" fontId="25" fillId="0" borderId="0" xfId="0" applyFont="1" applyBorder="1" applyAlignment="1" applyProtection="1">
      <alignment horizontal="center" vertical="center"/>
      <protection locked="0"/>
    </xf>
    <xf numFmtId="0" fontId="25" fillId="0" borderId="9" xfId="0" applyFont="1" applyBorder="1" applyAlignment="1" applyProtection="1">
      <alignment horizontal="center" vertical="center"/>
      <protection locked="0"/>
    </xf>
    <xf numFmtId="0" fontId="9" fillId="2" borderId="12" xfId="0" applyFont="1" applyFill="1" applyBorder="1" applyAlignment="1" applyProtection="1">
      <alignment horizontal="center" vertical="center"/>
      <protection locked="0"/>
    </xf>
    <xf numFmtId="0" fontId="9" fillId="2" borderId="13" xfId="0" applyFont="1" applyFill="1" applyBorder="1" applyAlignment="1" applyProtection="1">
      <alignment horizontal="center" vertical="center"/>
      <protection locked="0"/>
    </xf>
    <xf numFmtId="0" fontId="9" fillId="2" borderId="6" xfId="0" applyFont="1" applyFill="1" applyBorder="1" applyAlignment="1" applyProtection="1">
      <alignment horizontal="center" vertical="center"/>
      <protection locked="0"/>
    </xf>
    <xf numFmtId="0" fontId="17" fillId="0" borderId="7" xfId="0" applyFont="1" applyBorder="1" applyAlignment="1" applyProtection="1">
      <alignment horizontal="center" vertical="center"/>
      <protection locked="0"/>
    </xf>
    <xf numFmtId="0" fontId="17" fillId="0" borderId="18" xfId="0" applyFont="1" applyBorder="1" applyAlignment="1" applyProtection="1">
      <alignment horizontal="center" vertical="center"/>
      <protection locked="0"/>
    </xf>
    <xf numFmtId="0" fontId="17" fillId="0" borderId="19" xfId="0" applyFont="1" applyBorder="1" applyAlignment="1" applyProtection="1">
      <alignment horizontal="center" vertical="center"/>
      <protection locked="0"/>
    </xf>
    <xf numFmtId="0" fontId="17" fillId="0" borderId="3" xfId="0" applyFont="1" applyBorder="1" applyAlignment="1" applyProtection="1">
      <alignment horizontal="center" vertical="center"/>
      <protection locked="0"/>
    </xf>
    <xf numFmtId="0" fontId="17" fillId="0" borderId="4" xfId="0" applyFont="1" applyBorder="1" applyAlignment="1" applyProtection="1">
      <alignment horizontal="center" vertical="center"/>
      <protection locked="0"/>
    </xf>
    <xf numFmtId="0" fontId="17" fillId="0" borderId="10" xfId="0" applyFont="1" applyBorder="1" applyAlignment="1" applyProtection="1">
      <alignment horizontal="center" vertical="center"/>
      <protection locked="0"/>
    </xf>
    <xf numFmtId="0" fontId="20" fillId="0" borderId="7" xfId="0" applyFont="1" applyBorder="1" applyAlignment="1" applyProtection="1">
      <alignment horizontal="center"/>
      <protection locked="0"/>
    </xf>
    <xf numFmtId="0" fontId="20" fillId="0" borderId="18" xfId="0" applyFont="1" applyBorder="1" applyAlignment="1" applyProtection="1">
      <alignment horizontal="center"/>
      <protection locked="0"/>
    </xf>
    <xf numFmtId="0" fontId="20" fillId="0" borderId="19" xfId="0" applyFont="1" applyBorder="1" applyAlignment="1" applyProtection="1">
      <alignment horizontal="center"/>
      <protection locked="0"/>
    </xf>
    <xf numFmtId="0" fontId="22" fillId="0" borderId="0" xfId="0" applyFont="1" applyBorder="1" applyAlignment="1" applyProtection="1">
      <alignment horizontal="left" vertical="center" wrapText="1"/>
      <protection locked="0"/>
    </xf>
    <xf numFmtId="0" fontId="22" fillId="0" borderId="9" xfId="0" applyFont="1" applyBorder="1" applyAlignment="1" applyProtection="1">
      <alignment horizontal="left" vertical="center" wrapText="1"/>
      <protection locked="0"/>
    </xf>
    <xf numFmtId="0" fontId="22" fillId="0" borderId="4" xfId="0" applyFont="1" applyBorder="1" applyAlignment="1" applyProtection="1">
      <alignment horizontal="left" vertical="center" wrapText="1"/>
      <protection locked="0"/>
    </xf>
    <xf numFmtId="0" fontId="22" fillId="0" borderId="10" xfId="0" applyFont="1" applyBorder="1" applyAlignment="1" applyProtection="1">
      <alignment horizontal="left" vertical="center" wrapText="1"/>
      <protection locked="0"/>
    </xf>
    <xf numFmtId="165" fontId="13" fillId="0" borderId="8" xfId="0" applyNumberFormat="1" applyFont="1" applyBorder="1" applyAlignment="1" applyProtection="1">
      <alignment horizontal="left"/>
      <protection locked="0"/>
    </xf>
    <xf numFmtId="0" fontId="17" fillId="0" borderId="12" xfId="0" applyFont="1" applyFill="1" applyBorder="1" applyAlignment="1" applyProtection="1">
      <alignment horizontal="center"/>
      <protection locked="0"/>
    </xf>
    <xf numFmtId="0" fontId="17" fillId="0" borderId="13" xfId="0" applyFont="1" applyBorder="1" applyAlignment="1" applyProtection="1">
      <alignment horizontal="center"/>
      <protection locked="0"/>
    </xf>
    <xf numFmtId="0" fontId="17" fillId="0" borderId="6" xfId="0" applyFont="1" applyBorder="1" applyAlignment="1" applyProtection="1">
      <alignment horizontal="center"/>
      <protection locked="0"/>
    </xf>
    <xf numFmtId="0" fontId="3" fillId="2" borderId="12" xfId="0" applyFont="1" applyFill="1" applyBorder="1" applyAlignment="1" applyProtection="1">
      <alignment horizontal="center"/>
      <protection locked="0"/>
    </xf>
    <xf numFmtId="0" fontId="0" fillId="2" borderId="13" xfId="0" applyFill="1" applyBorder="1" applyAlignment="1" applyProtection="1">
      <alignment horizontal="center"/>
      <protection locked="0"/>
    </xf>
    <xf numFmtId="0" fontId="0" fillId="2" borderId="6" xfId="0" applyFill="1" applyBorder="1" applyAlignment="1" applyProtection="1">
      <alignment horizontal="center"/>
      <protection locked="0"/>
    </xf>
    <xf numFmtId="0" fontId="17" fillId="0" borderId="12" xfId="0" applyFont="1" applyBorder="1" applyAlignment="1" applyProtection="1">
      <alignment horizontal="center"/>
      <protection locked="0"/>
    </xf>
    <xf numFmtId="0" fontId="3" fillId="2" borderId="12" xfId="0" applyFont="1" applyFill="1" applyBorder="1" applyAlignment="1" applyProtection="1">
      <protection locked="0"/>
    </xf>
    <xf numFmtId="0" fontId="0" fillId="2" borderId="6" xfId="0" applyFill="1" applyBorder="1" applyAlignment="1" applyProtection="1">
      <protection locked="0"/>
    </xf>
    <xf numFmtId="8" fontId="5" fillId="0" borderId="0" xfId="0" applyNumberFormat="1" applyFont="1" applyBorder="1" applyAlignment="1" applyProtection="1">
      <alignment horizontal="center"/>
      <protection locked="0"/>
    </xf>
    <xf numFmtId="165" fontId="5" fillId="0" borderId="0" xfId="0" applyNumberFormat="1" applyFont="1" applyBorder="1" applyAlignment="1" applyProtection="1">
      <alignment horizontal="center"/>
      <protection locked="0"/>
    </xf>
    <xf numFmtId="0" fontId="17" fillId="3" borderId="12" xfId="0" applyFont="1" applyFill="1" applyBorder="1" applyAlignment="1" applyProtection="1">
      <alignment horizontal="center"/>
      <protection locked="0"/>
    </xf>
    <xf numFmtId="0" fontId="17" fillId="3" borderId="6" xfId="0" applyFont="1" applyFill="1" applyBorder="1" applyAlignment="1" applyProtection="1">
      <alignment horizontal="center"/>
      <protection locked="0"/>
    </xf>
    <xf numFmtId="0" fontId="5" fillId="2" borderId="12" xfId="0" applyFont="1" applyFill="1" applyBorder="1" applyAlignment="1" applyProtection="1">
      <protection locked="0"/>
    </xf>
    <xf numFmtId="0" fontId="0" fillId="2" borderId="13" xfId="0" applyFill="1" applyBorder="1" applyAlignment="1" applyProtection="1">
      <protection locked="0"/>
    </xf>
    <xf numFmtId="0" fontId="21" fillId="0" borderId="2" xfId="0" applyFont="1" applyBorder="1" applyAlignment="1" applyProtection="1">
      <alignment horizontal="left" vertical="center" wrapText="1"/>
      <protection locked="0"/>
    </xf>
    <xf numFmtId="0" fontId="21" fillId="0" borderId="0" xfId="0" applyFont="1" applyBorder="1" applyAlignment="1" applyProtection="1">
      <alignment horizontal="left" vertical="center" wrapText="1"/>
      <protection locked="0"/>
    </xf>
    <xf numFmtId="0" fontId="21" fillId="0" borderId="9" xfId="0" applyFont="1" applyBorder="1" applyAlignment="1" applyProtection="1">
      <alignment horizontal="left" vertical="center" wrapText="1"/>
      <protection locked="0"/>
    </xf>
    <xf numFmtId="165" fontId="13" fillId="2" borderId="8" xfId="0" applyNumberFormat="1" applyFont="1" applyFill="1" applyBorder="1" applyAlignment="1" applyProtection="1">
      <alignment horizontal="left"/>
      <protection locked="0"/>
    </xf>
    <xf numFmtId="0" fontId="2" fillId="0" borderId="17" xfId="0" applyFont="1" applyFill="1" applyBorder="1" applyAlignment="1" applyProtection="1">
      <alignment horizontal="center"/>
      <protection locked="0"/>
    </xf>
    <xf numFmtId="0" fontId="2" fillId="0" borderId="20" xfId="0" applyFont="1" applyFill="1" applyBorder="1" applyAlignment="1" applyProtection="1">
      <alignment horizontal="center"/>
      <protection locked="0"/>
    </xf>
    <xf numFmtId="0" fontId="7" fillId="0" borderId="0" xfId="0" applyFont="1" applyBorder="1" applyAlignment="1" applyProtection="1">
      <alignment horizontal="center"/>
      <protection locked="0"/>
    </xf>
    <xf numFmtId="18" fontId="5" fillId="0" borderId="17" xfId="0" applyNumberFormat="1" applyFont="1" applyFill="1" applyBorder="1" applyAlignment="1" applyProtection="1">
      <alignment horizontal="center"/>
      <protection locked="0"/>
    </xf>
    <xf numFmtId="18" fontId="1" fillId="0" borderId="17" xfId="0" applyNumberFormat="1" applyFont="1" applyFill="1" applyBorder="1" applyAlignment="1" applyProtection="1">
      <alignment horizontal="center"/>
      <protection locked="0"/>
    </xf>
    <xf numFmtId="0" fontId="12" fillId="0" borderId="21" xfId="0" applyFont="1" applyFill="1" applyBorder="1" applyAlignment="1" applyProtection="1">
      <alignment horizontal="left"/>
      <protection locked="0"/>
    </xf>
    <xf numFmtId="0" fontId="12" fillId="0" borderId="14" xfId="0" applyFont="1" applyFill="1" applyBorder="1" applyAlignment="1" applyProtection="1">
      <alignment horizontal="left"/>
      <protection locked="0"/>
    </xf>
    <xf numFmtId="0" fontId="9" fillId="2" borderId="4" xfId="0" applyFont="1" applyFill="1" applyBorder="1" applyAlignment="1" applyProtection="1">
      <alignment horizontal="left"/>
      <protection locked="0"/>
    </xf>
    <xf numFmtId="4" fontId="9" fillId="0" borderId="7" xfId="0" applyNumberFormat="1" applyFont="1" applyBorder="1" applyAlignment="1" applyProtection="1">
      <alignment horizontal="center" wrapText="1"/>
      <protection locked="0"/>
    </xf>
    <xf numFmtId="4" fontId="9" fillId="0" borderId="18" xfId="0" applyNumberFormat="1" applyFont="1" applyBorder="1" applyAlignment="1" applyProtection="1">
      <alignment horizontal="center" wrapText="1"/>
      <protection locked="0"/>
    </xf>
    <xf numFmtId="4" fontId="9" fillId="0" borderId="19" xfId="0" applyNumberFormat="1" applyFont="1" applyBorder="1" applyAlignment="1" applyProtection="1">
      <alignment horizontal="center" wrapText="1"/>
      <protection locked="0"/>
    </xf>
    <xf numFmtId="4" fontId="9" fillId="0" borderId="2" xfId="0" applyNumberFormat="1" applyFont="1" applyBorder="1" applyAlignment="1" applyProtection="1">
      <alignment horizontal="center" wrapText="1"/>
      <protection locked="0"/>
    </xf>
    <xf numFmtId="4" fontId="9" fillId="0" borderId="0" xfId="0" applyNumberFormat="1" applyFont="1" applyBorder="1" applyAlignment="1" applyProtection="1">
      <alignment horizontal="center" wrapText="1"/>
      <protection locked="0"/>
    </xf>
    <xf numFmtId="4" fontId="9" fillId="0" borderId="9" xfId="0" applyNumberFormat="1" applyFont="1" applyBorder="1" applyAlignment="1" applyProtection="1">
      <alignment horizontal="center" wrapText="1"/>
      <protection locked="0"/>
    </xf>
    <xf numFmtId="4" fontId="9" fillId="0" borderId="3" xfId="0" applyNumberFormat="1" applyFont="1" applyBorder="1" applyAlignment="1" applyProtection="1">
      <alignment horizontal="center" wrapText="1"/>
      <protection locked="0"/>
    </xf>
    <xf numFmtId="4" fontId="9" fillId="0" borderId="4" xfId="0" applyNumberFormat="1" applyFont="1" applyBorder="1" applyAlignment="1" applyProtection="1">
      <alignment horizontal="center" wrapText="1"/>
      <protection locked="0"/>
    </xf>
    <xf numFmtId="4" fontId="9" fillId="0" borderId="10" xfId="0" applyNumberFormat="1" applyFont="1" applyBorder="1" applyAlignment="1" applyProtection="1">
      <alignment horizontal="center" wrapText="1"/>
      <protection locked="0"/>
    </xf>
    <xf numFmtId="0" fontId="3" fillId="0" borderId="7" xfId="0" applyFont="1" applyBorder="1" applyAlignment="1" applyProtection="1">
      <alignment horizontal="center" wrapText="1"/>
      <protection locked="0"/>
    </xf>
    <xf numFmtId="0" fontId="3" fillId="0" borderId="18" xfId="0" applyFont="1" applyBorder="1" applyAlignment="1" applyProtection="1">
      <alignment horizontal="center" wrapText="1"/>
      <protection locked="0"/>
    </xf>
    <xf numFmtId="0" fontId="3" fillId="0" borderId="19" xfId="0" applyFont="1" applyBorder="1" applyAlignment="1" applyProtection="1">
      <alignment horizontal="center" wrapText="1"/>
      <protection locked="0"/>
    </xf>
    <xf numFmtId="0" fontId="3" fillId="0" borderId="2" xfId="0" applyFont="1" applyBorder="1" applyAlignment="1" applyProtection="1">
      <alignment horizontal="center" wrapText="1"/>
      <protection locked="0"/>
    </xf>
    <xf numFmtId="0" fontId="3" fillId="0" borderId="0" xfId="0" applyFont="1" applyBorder="1" applyAlignment="1" applyProtection="1">
      <alignment horizontal="center" wrapText="1"/>
      <protection locked="0"/>
    </xf>
    <xf numFmtId="0" fontId="3" fillId="0" borderId="9" xfId="0" applyFont="1" applyBorder="1" applyAlignment="1" applyProtection="1">
      <alignment horizontal="center" wrapText="1"/>
      <protection locked="0"/>
    </xf>
    <xf numFmtId="0" fontId="3" fillId="0" borderId="3" xfId="0" applyFont="1" applyBorder="1" applyAlignment="1" applyProtection="1">
      <alignment horizontal="center" wrapText="1"/>
      <protection locked="0"/>
    </xf>
    <xf numFmtId="0" fontId="3" fillId="0" borderId="4" xfId="0" applyFont="1" applyBorder="1" applyAlignment="1" applyProtection="1">
      <alignment horizontal="center" wrapText="1"/>
      <protection locked="0"/>
    </xf>
    <xf numFmtId="0" fontId="3" fillId="0" borderId="10" xfId="0" applyFont="1" applyBorder="1" applyAlignment="1" applyProtection="1">
      <alignment horizontal="center" wrapText="1"/>
      <protection locked="0"/>
    </xf>
    <xf numFmtId="165" fontId="25" fillId="0" borderId="11" xfId="0" applyNumberFormat="1" applyFont="1" applyBorder="1" applyAlignment="1" applyProtection="1">
      <alignment horizontal="left"/>
      <protection locked="0"/>
    </xf>
    <xf numFmtId="0" fontId="9" fillId="2" borderId="13" xfId="0" applyFont="1" applyFill="1" applyBorder="1" applyAlignment="1" applyProtection="1">
      <alignment horizontal="left"/>
      <protection locked="0"/>
    </xf>
    <xf numFmtId="0" fontId="5" fillId="2" borderId="12" xfId="0" applyFont="1" applyFill="1" applyBorder="1" applyAlignment="1" applyProtection="1">
      <alignment horizontal="center" vertical="center"/>
      <protection locked="0"/>
    </xf>
    <xf numFmtId="0" fontId="5" fillId="2" borderId="13" xfId="0" applyFont="1" applyFill="1" applyBorder="1" applyAlignment="1" applyProtection="1">
      <alignment horizontal="center" vertical="center"/>
      <protection locked="0"/>
    </xf>
    <xf numFmtId="0" fontId="5" fillId="2" borderId="6" xfId="0" applyFont="1" applyFill="1" applyBorder="1" applyAlignment="1" applyProtection="1">
      <alignment horizontal="center" vertical="center"/>
      <protection locked="0"/>
    </xf>
    <xf numFmtId="0" fontId="9" fillId="2" borderId="3" xfId="0" applyFont="1" applyFill="1" applyBorder="1" applyAlignment="1" applyProtection="1">
      <alignment horizontal="center" vertical="center"/>
      <protection locked="0"/>
    </xf>
    <xf numFmtId="0" fontId="9" fillId="2" borderId="4" xfId="0" applyFont="1" applyFill="1" applyBorder="1" applyAlignment="1" applyProtection="1">
      <alignment horizontal="center" vertical="center"/>
      <protection locked="0"/>
    </xf>
    <xf numFmtId="0" fontId="9" fillId="2" borderId="10" xfId="0" applyFont="1" applyFill="1" applyBorder="1" applyAlignment="1" applyProtection="1">
      <alignment horizontal="center" vertical="center"/>
      <protection locked="0"/>
    </xf>
    <xf numFmtId="164" fontId="17" fillId="3" borderId="12" xfId="0" applyNumberFormat="1" applyFont="1" applyFill="1" applyBorder="1" applyAlignment="1" applyProtection="1">
      <alignment horizontal="center"/>
      <protection locked="0"/>
    </xf>
    <xf numFmtId="0" fontId="17" fillId="3" borderId="13" xfId="0" applyFont="1" applyFill="1" applyBorder="1" applyAlignment="1" applyProtection="1">
      <protection locked="0"/>
    </xf>
    <xf numFmtId="0" fontId="17" fillId="3" borderId="6" xfId="0" applyFont="1" applyFill="1" applyBorder="1" applyAlignment="1" applyProtection="1">
      <protection locked="0"/>
    </xf>
    <xf numFmtId="165" fontId="13" fillId="2" borderId="12" xfId="0" applyNumberFormat="1" applyFont="1" applyFill="1" applyBorder="1" applyAlignment="1" applyProtection="1">
      <alignment horizontal="left"/>
      <protection locked="0"/>
    </xf>
    <xf numFmtId="165" fontId="13" fillId="2" borderId="13" xfId="0" applyNumberFormat="1" applyFont="1" applyFill="1" applyBorder="1" applyAlignment="1" applyProtection="1">
      <alignment horizontal="left"/>
      <protection locked="0"/>
    </xf>
    <xf numFmtId="165" fontId="13" fillId="2" borderId="6" xfId="0" applyNumberFormat="1" applyFont="1" applyFill="1" applyBorder="1" applyAlignment="1" applyProtection="1">
      <alignment horizontal="left"/>
      <protection locked="0"/>
    </xf>
    <xf numFmtId="0" fontId="13" fillId="2" borderId="12" xfId="0" applyFont="1" applyFill="1" applyBorder="1" applyAlignment="1" applyProtection="1">
      <alignment horizontal="center"/>
      <protection locked="0"/>
    </xf>
    <xf numFmtId="0" fontId="3" fillId="2" borderId="6" xfId="0" applyFont="1" applyFill="1" applyBorder="1" applyAlignment="1" applyProtection="1">
      <alignment horizontal="center"/>
      <protection locked="0"/>
    </xf>
    <xf numFmtId="18" fontId="1" fillId="0" borderId="0" xfId="0" applyNumberFormat="1" applyFont="1" applyBorder="1" applyAlignment="1" applyProtection="1">
      <alignment horizontal="center"/>
      <protection locked="0"/>
    </xf>
    <xf numFmtId="18" fontId="19" fillId="0" borderId="0" xfId="0" applyNumberFormat="1" applyFont="1" applyBorder="1" applyAlignment="1" applyProtection="1">
      <alignment horizontal="center"/>
      <protection locked="0"/>
    </xf>
    <xf numFmtId="0" fontId="19" fillId="0" borderId="8" xfId="0" applyFont="1" applyBorder="1" applyAlignment="1" applyProtection="1">
      <alignment horizontal="center"/>
      <protection locked="0"/>
    </xf>
    <xf numFmtId="165" fontId="13" fillId="0" borderId="11" xfId="0" applyNumberFormat="1" applyFont="1" applyBorder="1" applyAlignment="1" applyProtection="1">
      <alignment horizontal="left"/>
      <protection locked="0"/>
    </xf>
    <xf numFmtId="0" fontId="2" fillId="0" borderId="17" xfId="0" applyFont="1" applyFill="1" applyBorder="1" applyAlignment="1" applyProtection="1">
      <alignment horizontal="left"/>
      <protection locked="0"/>
    </xf>
    <xf numFmtId="165" fontId="2" fillId="0" borderId="0" xfId="0" applyNumberFormat="1" applyFont="1" applyBorder="1" applyAlignment="1" applyProtection="1">
      <alignment horizontal="center"/>
      <protection locked="0"/>
    </xf>
  </cellXfs>
  <cellStyles count="2">
    <cellStyle name="Currency" xfId="1" builtinId="4"/>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Y75"/>
  <sheetViews>
    <sheetView tabSelected="1" zoomScaleNormal="100" workbookViewId="0">
      <selection activeCell="L29" sqref="L29"/>
    </sheetView>
  </sheetViews>
  <sheetFormatPr defaultColWidth="9.109375" defaultRowHeight="10.199999999999999"/>
  <cols>
    <col min="1" max="1" width="9.6640625" style="1" customWidth="1"/>
    <col min="2" max="2" width="9.109375" style="1"/>
    <col min="3" max="3" width="7.5546875" style="1" customWidth="1"/>
    <col min="4" max="4" width="10.5546875" style="1" customWidth="1"/>
    <col min="5" max="5" width="7.88671875" style="11" customWidth="1"/>
    <col min="6" max="6" width="11.88671875" style="17" customWidth="1"/>
    <col min="7" max="7" width="12" style="1" customWidth="1"/>
    <col min="8" max="11" width="10.6640625" style="1" customWidth="1"/>
    <col min="12" max="12" width="9.6640625" style="4" customWidth="1"/>
    <col min="13" max="13" width="9.109375" style="3"/>
    <col min="14" max="18" width="9.109375" style="1"/>
    <col min="19" max="19" width="15.33203125" style="1" customWidth="1"/>
    <col min="20" max="20" width="9.109375" style="1"/>
    <col min="21" max="21" width="13.33203125" style="58" bestFit="1" customWidth="1"/>
    <col min="22" max="22" width="11.44140625" style="58" bestFit="1" customWidth="1"/>
    <col min="23" max="16384" width="9.109375" style="1"/>
  </cols>
  <sheetData>
    <row r="1" spans="1:25" ht="15.6">
      <c r="A1" s="180" t="s">
        <v>0</v>
      </c>
      <c r="B1" s="180"/>
      <c r="C1" s="180"/>
      <c r="D1" s="180"/>
      <c r="E1" s="180"/>
      <c r="F1" s="180"/>
      <c r="H1" s="188" t="s">
        <v>78</v>
      </c>
      <c r="I1" s="188"/>
      <c r="J1" s="188"/>
      <c r="K1" s="188"/>
      <c r="L1" s="188"/>
      <c r="O1" s="3"/>
    </row>
    <row r="2" spans="1:25" ht="3.75" customHeight="1">
      <c r="A2" s="140"/>
      <c r="B2" s="140"/>
      <c r="C2" s="140"/>
      <c r="D2" s="140"/>
      <c r="E2" s="140"/>
      <c r="F2" s="140"/>
      <c r="H2" s="189"/>
      <c r="I2" s="189"/>
      <c r="J2" s="189"/>
      <c r="K2" s="189"/>
      <c r="L2" s="189"/>
      <c r="M2" s="141"/>
      <c r="O2" s="3"/>
    </row>
    <row r="3" spans="1:25" ht="3.75" customHeight="1">
      <c r="A3" s="2"/>
      <c r="B3" s="2"/>
      <c r="C3" s="2"/>
      <c r="D3" s="2"/>
      <c r="E3" s="2"/>
      <c r="F3" s="16"/>
      <c r="G3" s="2"/>
      <c r="H3" s="2"/>
      <c r="I3" s="2"/>
      <c r="J3" s="2"/>
      <c r="K3" s="2"/>
      <c r="L3" s="2"/>
      <c r="O3" s="3"/>
    </row>
    <row r="4" spans="1:25" s="142" customFormat="1" ht="13.2">
      <c r="A4" s="202" t="s">
        <v>68</v>
      </c>
      <c r="B4" s="203"/>
      <c r="C4" s="203"/>
      <c r="D4" s="203"/>
      <c r="E4" s="203"/>
      <c r="F4" s="204"/>
      <c r="H4" s="193" t="s">
        <v>69</v>
      </c>
      <c r="I4" s="194"/>
      <c r="J4" s="194"/>
      <c r="K4" s="194"/>
      <c r="L4" s="195"/>
      <c r="M4" s="143"/>
      <c r="O4" s="144"/>
      <c r="U4" s="145"/>
      <c r="V4" s="145"/>
    </row>
    <row r="5" spans="1:25" s="148" customFormat="1" ht="13.8">
      <c r="A5" s="205"/>
      <c r="B5" s="206"/>
      <c r="C5" s="206"/>
      <c r="D5" s="206"/>
      <c r="E5" s="206"/>
      <c r="F5" s="207"/>
      <c r="G5" s="146"/>
      <c r="H5" s="196" t="s">
        <v>70</v>
      </c>
      <c r="I5" s="197"/>
      <c r="J5" s="197"/>
      <c r="K5" s="197"/>
      <c r="L5" s="198"/>
      <c r="M5" s="147"/>
      <c r="O5" s="149"/>
      <c r="R5" s="150" t="s">
        <v>75</v>
      </c>
      <c r="U5" s="151"/>
      <c r="V5" s="151"/>
    </row>
    <row r="6" spans="1:25" s="148" customFormat="1" ht="13.8">
      <c r="A6" s="190"/>
      <c r="B6" s="191"/>
      <c r="C6" s="191"/>
      <c r="D6" s="191"/>
      <c r="E6" s="191"/>
      <c r="F6" s="192"/>
      <c r="G6" s="146"/>
      <c r="H6" s="199"/>
      <c r="I6" s="200"/>
      <c r="J6" s="200"/>
      <c r="K6" s="200"/>
      <c r="L6" s="201"/>
      <c r="M6" s="147"/>
      <c r="N6" s="147"/>
      <c r="O6" s="149"/>
      <c r="R6" s="150" t="s">
        <v>76</v>
      </c>
      <c r="U6" s="151"/>
      <c r="V6" s="151"/>
    </row>
    <row r="7" spans="1:25" s="142" customFormat="1" ht="13.2">
      <c r="A7" s="263"/>
      <c r="B7" s="264"/>
      <c r="C7" s="264"/>
      <c r="D7" s="264"/>
      <c r="E7" s="264"/>
      <c r="F7" s="265"/>
      <c r="G7" s="143"/>
      <c r="H7" s="196" t="s">
        <v>71</v>
      </c>
      <c r="I7" s="197"/>
      <c r="J7" s="197"/>
      <c r="K7" s="197"/>
      <c r="L7" s="198"/>
      <c r="M7" s="143"/>
      <c r="O7" s="149"/>
      <c r="R7" s="150" t="s">
        <v>77</v>
      </c>
      <c r="U7" s="145"/>
      <c r="V7" s="145"/>
    </row>
    <row r="8" spans="1:25" s="148" customFormat="1" ht="13.8">
      <c r="A8" s="266"/>
      <c r="B8" s="267"/>
      <c r="C8" s="267"/>
      <c r="D8" s="267"/>
      <c r="E8" s="267"/>
      <c r="F8" s="268"/>
      <c r="G8" s="146"/>
      <c r="H8" s="199"/>
      <c r="I8" s="200"/>
      <c r="J8" s="200"/>
      <c r="K8" s="200"/>
      <c r="L8" s="201"/>
      <c r="M8" s="147"/>
      <c r="O8" s="147"/>
      <c r="U8" s="151"/>
      <c r="V8" s="151"/>
    </row>
    <row r="9" spans="1:25" s="142" customFormat="1" ht="7.5" customHeight="1">
      <c r="A9" s="143"/>
      <c r="B9" s="143"/>
      <c r="C9" s="143"/>
      <c r="D9" s="143"/>
      <c r="E9" s="143"/>
      <c r="F9" s="143"/>
      <c r="G9" s="143"/>
      <c r="H9" s="143"/>
      <c r="I9" s="143"/>
      <c r="J9" s="143"/>
      <c r="K9" s="143"/>
      <c r="L9" s="143"/>
      <c r="M9" s="143"/>
      <c r="U9" s="145"/>
      <c r="V9" s="145"/>
    </row>
    <row r="10" spans="1:25" s="37" customFormat="1" ht="15.75" customHeight="1">
      <c r="A10" s="216" t="s">
        <v>66</v>
      </c>
      <c r="B10" s="217"/>
      <c r="C10" s="218"/>
      <c r="D10" s="152"/>
      <c r="E10" s="269" t="s">
        <v>65</v>
      </c>
      <c r="F10" s="270"/>
      <c r="G10" s="271"/>
      <c r="H10" s="153"/>
      <c r="I10" s="222" t="s">
        <v>30</v>
      </c>
      <c r="J10" s="218"/>
      <c r="K10" s="227" t="s">
        <v>67</v>
      </c>
      <c r="L10" s="228"/>
      <c r="M10" s="36"/>
      <c r="N10" s="100" t="s">
        <v>72</v>
      </c>
      <c r="O10" s="101">
        <v>0.37</v>
      </c>
      <c r="P10" s="36"/>
      <c r="Q10" s="36"/>
      <c r="R10" s="36"/>
      <c r="U10" s="59"/>
      <c r="V10" s="59"/>
    </row>
    <row r="11" spans="1:25" ht="15.75" customHeight="1">
      <c r="A11" s="219"/>
      <c r="B11" s="220"/>
      <c r="C11" s="221"/>
      <c r="D11" s="55"/>
      <c r="E11" s="229"/>
      <c r="F11" s="230"/>
      <c r="G11" s="224"/>
      <c r="H11" s="56"/>
      <c r="I11" s="223"/>
      <c r="J11" s="224"/>
      <c r="K11" s="275"/>
      <c r="L11" s="276"/>
      <c r="N11" s="102" t="s">
        <v>73</v>
      </c>
      <c r="O11" s="103">
        <v>0.2</v>
      </c>
    </row>
    <row r="12" spans="1:25" s="12" customFormat="1" ht="11.25" customHeight="1">
      <c r="A12" s="20"/>
      <c r="B12" s="21"/>
      <c r="C12" s="21"/>
      <c r="D12" s="22"/>
      <c r="E12" s="23"/>
      <c r="F12" s="23"/>
      <c r="G12" s="23"/>
      <c r="H12" s="23"/>
      <c r="I12" s="23"/>
      <c r="J12" s="23"/>
      <c r="K12" s="184"/>
      <c r="L12" s="184"/>
      <c r="M12" s="24"/>
      <c r="N12" s="25"/>
      <c r="O12" s="154"/>
      <c r="P12" s="154"/>
      <c r="Q12" s="154"/>
      <c r="R12" s="154"/>
      <c r="U12" s="66" t="s">
        <v>26</v>
      </c>
      <c r="V12" s="66" t="s">
        <v>25</v>
      </c>
      <c r="W12" s="55" t="s">
        <v>48</v>
      </c>
      <c r="X12" s="55" t="s">
        <v>49</v>
      </c>
      <c r="Y12" s="55" t="s">
        <v>50</v>
      </c>
    </row>
    <row r="13" spans="1:25" s="2" customFormat="1" ht="13.2">
      <c r="A13" s="34" t="s">
        <v>28</v>
      </c>
      <c r="F13" s="225" t="s">
        <v>27</v>
      </c>
      <c r="G13" s="225"/>
      <c r="H13" s="126" t="s">
        <v>24</v>
      </c>
      <c r="I13" s="126" t="s">
        <v>22</v>
      </c>
      <c r="J13" s="126"/>
      <c r="K13" s="126"/>
      <c r="L13" s="126" t="s">
        <v>20</v>
      </c>
      <c r="M13" s="35"/>
      <c r="N13" s="208" t="s">
        <v>47</v>
      </c>
      <c r="O13" s="209"/>
      <c r="P13" s="209"/>
      <c r="Q13" s="209"/>
      <c r="R13" s="209"/>
      <c r="S13" s="210"/>
      <c r="U13" s="66">
        <f>+F15</f>
        <v>0</v>
      </c>
      <c r="V13" s="66">
        <f>+G15</f>
        <v>0</v>
      </c>
      <c r="W13" s="155">
        <f>IF(AND(F15&lt;0.229861,OR(G15=0,G15&gt;0.047862)),7,0)</f>
        <v>7</v>
      </c>
      <c r="X13" s="155">
        <f>IF(AND(F15&lt;0.479861,OR(G15=0,G15&gt;0.540973)),18,0)</f>
        <v>18</v>
      </c>
      <c r="Y13" s="155">
        <f>IF(AND(F15&lt;0.729861,OR(G15=0,G15&gt;0.832639)),25,0)</f>
        <v>25</v>
      </c>
    </row>
    <row r="14" spans="1:25" s="2" customFormat="1" ht="15.9" customHeight="1">
      <c r="A14" s="34" t="s">
        <v>29</v>
      </c>
      <c r="B14" s="282" t="s">
        <v>83</v>
      </c>
      <c r="C14" s="226"/>
      <c r="D14" s="226"/>
      <c r="E14" s="226"/>
      <c r="F14" s="126" t="s">
        <v>26</v>
      </c>
      <c r="G14" s="126" t="s">
        <v>25</v>
      </c>
      <c r="H14" s="126" t="s">
        <v>2</v>
      </c>
      <c r="I14" s="126" t="s">
        <v>23</v>
      </c>
      <c r="J14" s="126" t="s">
        <v>3</v>
      </c>
      <c r="K14" s="126" t="s">
        <v>4</v>
      </c>
      <c r="L14" s="126" t="s">
        <v>21</v>
      </c>
      <c r="M14" s="156"/>
      <c r="N14" s="42">
        <v>7</v>
      </c>
      <c r="O14" s="43" t="s">
        <v>48</v>
      </c>
      <c r="P14" s="211" t="s">
        <v>53</v>
      </c>
      <c r="Q14" s="211"/>
      <c r="R14" s="211"/>
      <c r="S14" s="212"/>
      <c r="U14" s="66">
        <f t="shared" ref="U14:U31" si="0">+F16</f>
        <v>0</v>
      </c>
      <c r="V14" s="66">
        <f t="shared" ref="V14:V31" si="1">+G16</f>
        <v>0</v>
      </c>
      <c r="W14" s="155">
        <f t="shared" ref="W14:W31" si="2">IF(AND(F16&lt;0.229861,OR(G16=0,G16&gt;0.047862)),7,0)</f>
        <v>7</v>
      </c>
      <c r="X14" s="155">
        <f t="shared" ref="X14:X31" si="3">IF(AND(F16&lt;0.479861,OR(G16=0,G16&gt;0.540973)),18,0)</f>
        <v>18</v>
      </c>
      <c r="Y14" s="155">
        <f t="shared" ref="Y14:Y31" si="4">IF(AND(F16&lt;0.729861,OR(G16=0,G16&gt;0.832639)),25,0)</f>
        <v>25</v>
      </c>
    </row>
    <row r="15" spans="1:25" s="12" customFormat="1" ht="15.9" customHeight="1">
      <c r="A15" s="85"/>
      <c r="B15" s="185"/>
      <c r="C15" s="185"/>
      <c r="D15" s="185"/>
      <c r="E15" s="185"/>
      <c r="F15" s="127"/>
      <c r="G15" s="127"/>
      <c r="H15" s="68"/>
      <c r="I15" s="67"/>
      <c r="J15" s="67"/>
      <c r="K15" s="67"/>
      <c r="L15" s="67"/>
      <c r="M15" s="157"/>
      <c r="N15" s="44">
        <v>18</v>
      </c>
      <c r="O15" s="45" t="s">
        <v>49</v>
      </c>
      <c r="P15" s="211"/>
      <c r="Q15" s="211"/>
      <c r="R15" s="211"/>
      <c r="S15" s="212"/>
      <c r="U15" s="66">
        <f t="shared" si="0"/>
        <v>0</v>
      </c>
      <c r="V15" s="66">
        <f t="shared" si="1"/>
        <v>0</v>
      </c>
      <c r="W15" s="155">
        <f t="shared" si="2"/>
        <v>7</v>
      </c>
      <c r="X15" s="155">
        <f t="shared" si="3"/>
        <v>18</v>
      </c>
      <c r="Y15" s="155">
        <f t="shared" si="4"/>
        <v>25</v>
      </c>
    </row>
    <row r="16" spans="1:25" s="12" customFormat="1" ht="15.9" customHeight="1">
      <c r="A16" s="85"/>
      <c r="B16" s="185"/>
      <c r="C16" s="185"/>
      <c r="D16" s="185"/>
      <c r="E16" s="185"/>
      <c r="F16" s="127"/>
      <c r="G16" s="127"/>
      <c r="H16" s="68"/>
      <c r="I16" s="67"/>
      <c r="J16" s="67"/>
      <c r="K16" s="67"/>
      <c r="L16" s="67"/>
      <c r="M16" s="157"/>
      <c r="N16" s="46">
        <v>25</v>
      </c>
      <c r="O16" s="45" t="s">
        <v>50</v>
      </c>
      <c r="P16" s="211"/>
      <c r="Q16" s="211"/>
      <c r="R16" s="211"/>
      <c r="S16" s="212"/>
      <c r="U16" s="66">
        <f t="shared" si="0"/>
        <v>0</v>
      </c>
      <c r="V16" s="66">
        <f t="shared" si="1"/>
        <v>0</v>
      </c>
      <c r="W16" s="155">
        <f t="shared" si="2"/>
        <v>7</v>
      </c>
      <c r="X16" s="155">
        <f t="shared" si="3"/>
        <v>18</v>
      </c>
      <c r="Y16" s="155">
        <f t="shared" si="4"/>
        <v>25</v>
      </c>
    </row>
    <row r="17" spans="1:25" s="12" customFormat="1" ht="15.9" customHeight="1">
      <c r="A17" s="85"/>
      <c r="B17" s="272"/>
      <c r="C17" s="273"/>
      <c r="D17" s="273"/>
      <c r="E17" s="274"/>
      <c r="F17" s="127"/>
      <c r="G17" s="127"/>
      <c r="H17" s="68"/>
      <c r="I17" s="67"/>
      <c r="J17" s="67"/>
      <c r="K17" s="67"/>
      <c r="L17" s="67"/>
      <c r="M17" s="157"/>
      <c r="N17" s="46">
        <f>SUM(N14:N16)</f>
        <v>50</v>
      </c>
      <c r="O17" s="47" t="s">
        <v>51</v>
      </c>
      <c r="P17" s="213"/>
      <c r="Q17" s="213"/>
      <c r="R17" s="213"/>
      <c r="S17" s="214"/>
      <c r="U17" s="66">
        <f t="shared" si="0"/>
        <v>0</v>
      </c>
      <c r="V17" s="66">
        <f t="shared" si="1"/>
        <v>0</v>
      </c>
      <c r="W17" s="155">
        <f t="shared" si="2"/>
        <v>7</v>
      </c>
      <c r="X17" s="155">
        <f t="shared" si="3"/>
        <v>18</v>
      </c>
      <c r="Y17" s="155">
        <f t="shared" si="4"/>
        <v>25</v>
      </c>
    </row>
    <row r="18" spans="1:25" s="12" customFormat="1" ht="15.9" customHeight="1">
      <c r="A18" s="85"/>
      <c r="B18" s="185"/>
      <c r="C18" s="185"/>
      <c r="D18" s="185"/>
      <c r="E18" s="185"/>
      <c r="F18" s="127"/>
      <c r="G18" s="127"/>
      <c r="H18" s="68"/>
      <c r="I18" s="67"/>
      <c r="J18" s="67"/>
      <c r="K18" s="67"/>
      <c r="L18" s="67"/>
      <c r="M18" s="158"/>
      <c r="N18" s="48"/>
      <c r="O18" s="48"/>
      <c r="P18" s="48"/>
      <c r="Q18" s="49"/>
      <c r="R18" s="159"/>
      <c r="S18" s="159"/>
      <c r="U18" s="66">
        <f t="shared" si="0"/>
        <v>0</v>
      </c>
      <c r="V18" s="66">
        <f t="shared" si="1"/>
        <v>0</v>
      </c>
      <c r="W18" s="155">
        <f t="shared" si="2"/>
        <v>7</v>
      </c>
      <c r="X18" s="155">
        <f t="shared" si="3"/>
        <v>18</v>
      </c>
      <c r="Y18" s="155">
        <f t="shared" si="4"/>
        <v>25</v>
      </c>
    </row>
    <row r="19" spans="1:25" s="12" customFormat="1" ht="15.9" customHeight="1" thickBot="1">
      <c r="A19" s="92"/>
      <c r="B19" s="186"/>
      <c r="C19" s="186"/>
      <c r="D19" s="186"/>
      <c r="E19" s="186"/>
      <c r="F19" s="128"/>
      <c r="G19" s="128"/>
      <c r="H19" s="93"/>
      <c r="I19" s="94"/>
      <c r="J19" s="94"/>
      <c r="K19" s="94"/>
      <c r="L19" s="94"/>
      <c r="M19" s="26"/>
      <c r="N19" s="208" t="s">
        <v>52</v>
      </c>
      <c r="O19" s="209"/>
      <c r="P19" s="209"/>
      <c r="Q19" s="209"/>
      <c r="R19" s="209"/>
      <c r="S19" s="210"/>
      <c r="U19" s="66">
        <f t="shared" si="0"/>
        <v>0</v>
      </c>
      <c r="V19" s="66">
        <f t="shared" si="1"/>
        <v>0</v>
      </c>
      <c r="W19" s="155">
        <f t="shared" si="2"/>
        <v>7</v>
      </c>
      <c r="X19" s="155">
        <f t="shared" si="3"/>
        <v>18</v>
      </c>
      <c r="Y19" s="155">
        <f t="shared" si="4"/>
        <v>25</v>
      </c>
    </row>
    <row r="20" spans="1:25" s="12" customFormat="1" ht="15.9" customHeight="1">
      <c r="A20" s="95"/>
      <c r="B20" s="234"/>
      <c r="C20" s="234"/>
      <c r="D20" s="234"/>
      <c r="E20" s="234"/>
      <c r="F20" s="129"/>
      <c r="G20" s="129"/>
      <c r="H20" s="96"/>
      <c r="I20" s="97"/>
      <c r="J20" s="97"/>
      <c r="K20" s="97"/>
      <c r="L20" s="97"/>
      <c r="M20" s="26"/>
      <c r="N20" s="231" t="s">
        <v>79</v>
      </c>
      <c r="O20" s="232"/>
      <c r="P20" s="232"/>
      <c r="Q20" s="232"/>
      <c r="R20" s="232"/>
      <c r="S20" s="233"/>
      <c r="U20" s="66">
        <f t="shared" si="0"/>
        <v>0</v>
      </c>
      <c r="V20" s="66">
        <f t="shared" si="1"/>
        <v>0</v>
      </c>
      <c r="W20" s="155">
        <f t="shared" si="2"/>
        <v>7</v>
      </c>
      <c r="X20" s="155">
        <f t="shared" si="3"/>
        <v>18</v>
      </c>
      <c r="Y20" s="155">
        <f t="shared" si="4"/>
        <v>25</v>
      </c>
    </row>
    <row r="21" spans="1:25" s="12" customFormat="1" ht="15.9" customHeight="1">
      <c r="A21" s="85"/>
      <c r="B21" s="185"/>
      <c r="C21" s="185"/>
      <c r="D21" s="185"/>
      <c r="E21" s="185"/>
      <c r="F21" s="127"/>
      <c r="G21" s="127"/>
      <c r="H21" s="68"/>
      <c r="I21" s="67"/>
      <c r="J21" s="67"/>
      <c r="K21" s="67"/>
      <c r="L21" s="67"/>
      <c r="M21" s="26"/>
      <c r="N21" s="252" t="s">
        <v>81</v>
      </c>
      <c r="O21" s="253"/>
      <c r="P21" s="253"/>
      <c r="Q21" s="253"/>
      <c r="R21" s="253"/>
      <c r="S21" s="254"/>
      <c r="U21" s="66">
        <f t="shared" si="0"/>
        <v>0</v>
      </c>
      <c r="V21" s="66">
        <f t="shared" si="1"/>
        <v>0</v>
      </c>
      <c r="W21" s="155">
        <f t="shared" si="2"/>
        <v>7</v>
      </c>
      <c r="X21" s="155">
        <f t="shared" si="3"/>
        <v>18</v>
      </c>
      <c r="Y21" s="155">
        <f t="shared" si="4"/>
        <v>25</v>
      </c>
    </row>
    <row r="22" spans="1:25" s="12" customFormat="1" ht="15.9" customHeight="1">
      <c r="A22" s="85"/>
      <c r="B22" s="185"/>
      <c r="C22" s="185"/>
      <c r="D22" s="185"/>
      <c r="E22" s="185"/>
      <c r="F22" s="127"/>
      <c r="G22" s="127"/>
      <c r="H22" s="68"/>
      <c r="I22" s="67"/>
      <c r="J22" s="67"/>
      <c r="K22" s="67"/>
      <c r="L22" s="67"/>
      <c r="M22" s="26"/>
      <c r="N22" s="255"/>
      <c r="O22" s="256"/>
      <c r="P22" s="256"/>
      <c r="Q22" s="256"/>
      <c r="R22" s="256"/>
      <c r="S22" s="257"/>
      <c r="U22" s="66">
        <f t="shared" si="0"/>
        <v>0</v>
      </c>
      <c r="V22" s="66">
        <f t="shared" si="1"/>
        <v>0</v>
      </c>
      <c r="W22" s="155">
        <f t="shared" si="2"/>
        <v>7</v>
      </c>
      <c r="X22" s="155">
        <f t="shared" si="3"/>
        <v>18</v>
      </c>
      <c r="Y22" s="155">
        <f t="shared" si="4"/>
        <v>25</v>
      </c>
    </row>
    <row r="23" spans="1:25" s="30" customFormat="1" ht="15" customHeight="1">
      <c r="A23" s="85"/>
      <c r="B23" s="185"/>
      <c r="C23" s="185"/>
      <c r="D23" s="185"/>
      <c r="E23" s="185"/>
      <c r="F23" s="127"/>
      <c r="G23" s="127"/>
      <c r="H23" s="68"/>
      <c r="I23" s="67"/>
      <c r="J23" s="67"/>
      <c r="K23" s="67"/>
      <c r="L23" s="67"/>
      <c r="M23" s="27"/>
      <c r="N23" s="258"/>
      <c r="O23" s="259"/>
      <c r="P23" s="259"/>
      <c r="Q23" s="259"/>
      <c r="R23" s="259"/>
      <c r="S23" s="260"/>
      <c r="U23" s="66">
        <f t="shared" si="0"/>
        <v>0</v>
      </c>
      <c r="V23" s="66">
        <f t="shared" si="1"/>
        <v>0</v>
      </c>
      <c r="W23" s="155">
        <f t="shared" si="2"/>
        <v>7</v>
      </c>
      <c r="X23" s="155">
        <f t="shared" si="3"/>
        <v>18</v>
      </c>
      <c r="Y23" s="155">
        <f t="shared" si="4"/>
        <v>25</v>
      </c>
    </row>
    <row r="24" spans="1:25" s="12" customFormat="1" ht="14.4" thickBot="1">
      <c r="A24" s="92"/>
      <c r="B24" s="186"/>
      <c r="C24" s="186"/>
      <c r="D24" s="186"/>
      <c r="E24" s="186"/>
      <c r="F24" s="130"/>
      <c r="G24" s="130"/>
      <c r="H24" s="98"/>
      <c r="I24" s="99"/>
      <c r="J24" s="94"/>
      <c r="K24" s="94"/>
      <c r="L24" s="99"/>
      <c r="M24" s="28"/>
      <c r="N24" s="243" t="s">
        <v>80</v>
      </c>
      <c r="O24" s="244"/>
      <c r="P24" s="244"/>
      <c r="Q24" s="244"/>
      <c r="R24" s="244"/>
      <c r="S24" s="245"/>
      <c r="U24" s="66">
        <f t="shared" si="0"/>
        <v>0</v>
      </c>
      <c r="V24" s="66">
        <f t="shared" si="1"/>
        <v>0</v>
      </c>
      <c r="W24" s="155">
        <f t="shared" si="2"/>
        <v>7</v>
      </c>
      <c r="X24" s="155">
        <f t="shared" si="3"/>
        <v>18</v>
      </c>
      <c r="Y24" s="155">
        <f t="shared" si="4"/>
        <v>25</v>
      </c>
    </row>
    <row r="25" spans="1:25" s="12" customFormat="1" ht="13.8">
      <c r="A25" s="86"/>
      <c r="B25" s="215"/>
      <c r="C25" s="215"/>
      <c r="D25" s="215"/>
      <c r="E25" s="215"/>
      <c r="F25" s="131"/>
      <c r="G25" s="132"/>
      <c r="H25" s="73"/>
      <c r="I25" s="74"/>
      <c r="J25" s="117"/>
      <c r="K25" s="70"/>
      <c r="L25" s="75"/>
      <c r="M25" s="28"/>
      <c r="N25" s="246"/>
      <c r="O25" s="247"/>
      <c r="P25" s="247"/>
      <c r="Q25" s="247"/>
      <c r="R25" s="247"/>
      <c r="S25" s="248"/>
      <c r="U25" s="66">
        <f t="shared" si="0"/>
        <v>0</v>
      </c>
      <c r="V25" s="66">
        <f t="shared" si="1"/>
        <v>0</v>
      </c>
      <c r="W25" s="155">
        <f t="shared" si="2"/>
        <v>7</v>
      </c>
      <c r="X25" s="155">
        <f t="shared" si="3"/>
        <v>18</v>
      </c>
      <c r="Y25" s="155">
        <f t="shared" si="4"/>
        <v>25</v>
      </c>
    </row>
    <row r="26" spans="1:25" s="12" customFormat="1" ht="15.75" customHeight="1">
      <c r="A26" s="71"/>
      <c r="B26" s="187"/>
      <c r="C26" s="187"/>
      <c r="D26" s="187"/>
      <c r="E26" s="187"/>
      <c r="F26" s="133"/>
      <c r="G26" s="133"/>
      <c r="H26" s="76"/>
      <c r="I26" s="77"/>
      <c r="J26" s="118"/>
      <c r="K26" s="69"/>
      <c r="L26" s="78"/>
      <c r="M26" s="28"/>
      <c r="N26" s="249"/>
      <c r="O26" s="250"/>
      <c r="P26" s="250"/>
      <c r="Q26" s="250"/>
      <c r="R26" s="250"/>
      <c r="S26" s="251"/>
      <c r="U26" s="66">
        <f t="shared" si="0"/>
        <v>0</v>
      </c>
      <c r="V26" s="66">
        <f t="shared" si="1"/>
        <v>0</v>
      </c>
      <c r="W26" s="155">
        <f t="shared" si="2"/>
        <v>7</v>
      </c>
      <c r="X26" s="155">
        <f t="shared" si="3"/>
        <v>18</v>
      </c>
      <c r="Y26" s="155">
        <f t="shared" si="4"/>
        <v>25</v>
      </c>
    </row>
    <row r="27" spans="1:25" s="14" customFormat="1" ht="13.8">
      <c r="A27" s="71"/>
      <c r="B27" s="187"/>
      <c r="C27" s="187"/>
      <c r="D27" s="187"/>
      <c r="E27" s="187"/>
      <c r="F27" s="134"/>
      <c r="G27" s="135"/>
      <c r="H27" s="79"/>
      <c r="I27" s="80"/>
      <c r="J27" s="118"/>
      <c r="K27" s="80"/>
      <c r="L27" s="77"/>
      <c r="M27" s="12"/>
      <c r="U27" s="66">
        <f t="shared" si="0"/>
        <v>0</v>
      </c>
      <c r="V27" s="66">
        <f t="shared" si="1"/>
        <v>0</v>
      </c>
      <c r="W27" s="155">
        <f t="shared" si="2"/>
        <v>7</v>
      </c>
      <c r="X27" s="155">
        <f t="shared" si="3"/>
        <v>18</v>
      </c>
      <c r="Y27" s="155">
        <f t="shared" si="4"/>
        <v>25</v>
      </c>
    </row>
    <row r="28" spans="1:25" s="14" customFormat="1" ht="13.8">
      <c r="A28" s="71"/>
      <c r="B28" s="187"/>
      <c r="C28" s="187"/>
      <c r="D28" s="187"/>
      <c r="E28" s="187"/>
      <c r="F28" s="134"/>
      <c r="G28" s="135"/>
      <c r="H28" s="79"/>
      <c r="I28" s="80"/>
      <c r="J28" s="118"/>
      <c r="K28" s="80"/>
      <c r="L28" s="77"/>
      <c r="M28" s="12"/>
      <c r="U28" s="66">
        <f t="shared" si="0"/>
        <v>0</v>
      </c>
      <c r="V28" s="66">
        <f t="shared" si="1"/>
        <v>0</v>
      </c>
      <c r="W28" s="155">
        <f t="shared" si="2"/>
        <v>7</v>
      </c>
      <c r="X28" s="155">
        <f t="shared" si="3"/>
        <v>18</v>
      </c>
      <c r="Y28" s="155">
        <f t="shared" si="4"/>
        <v>25</v>
      </c>
    </row>
    <row r="29" spans="1:25" s="12" customFormat="1" ht="14.4" thickBot="1">
      <c r="A29" s="87"/>
      <c r="B29" s="280"/>
      <c r="C29" s="280"/>
      <c r="D29" s="280"/>
      <c r="E29" s="280"/>
      <c r="F29" s="136"/>
      <c r="G29" s="137"/>
      <c r="H29" s="81"/>
      <c r="I29" s="82"/>
      <c r="J29" s="119"/>
      <c r="K29" s="82"/>
      <c r="L29" s="72"/>
      <c r="U29" s="66">
        <f t="shared" si="0"/>
        <v>0</v>
      </c>
      <c r="V29" s="66">
        <f t="shared" si="1"/>
        <v>0</v>
      </c>
      <c r="W29" s="155">
        <f t="shared" si="2"/>
        <v>7</v>
      </c>
      <c r="X29" s="155">
        <f t="shared" si="3"/>
        <v>18</v>
      </c>
      <c r="Y29" s="155">
        <f t="shared" si="4"/>
        <v>25</v>
      </c>
    </row>
    <row r="30" spans="1:25" s="12" customFormat="1" ht="13.8">
      <c r="A30" s="88"/>
      <c r="B30" s="215"/>
      <c r="C30" s="215"/>
      <c r="D30" s="215"/>
      <c r="E30" s="215"/>
      <c r="F30" s="138"/>
      <c r="G30" s="139"/>
      <c r="H30" s="83"/>
      <c r="I30" s="84"/>
      <c r="J30" s="117"/>
      <c r="K30" s="84"/>
      <c r="L30" s="74"/>
      <c r="U30" s="66">
        <f t="shared" si="0"/>
        <v>0</v>
      </c>
      <c r="V30" s="66">
        <f t="shared" si="1"/>
        <v>0</v>
      </c>
      <c r="W30" s="155">
        <f t="shared" si="2"/>
        <v>7</v>
      </c>
      <c r="X30" s="155">
        <f t="shared" si="3"/>
        <v>18</v>
      </c>
      <c r="Y30" s="155">
        <f t="shared" si="4"/>
        <v>25</v>
      </c>
    </row>
    <row r="31" spans="1:25" s="14" customFormat="1" ht="13.8">
      <c r="A31" s="71"/>
      <c r="B31" s="187"/>
      <c r="C31" s="187"/>
      <c r="D31" s="187"/>
      <c r="E31" s="187"/>
      <c r="F31" s="134"/>
      <c r="G31" s="135"/>
      <c r="H31" s="79"/>
      <c r="I31" s="80"/>
      <c r="J31" s="118"/>
      <c r="K31" s="80"/>
      <c r="L31" s="77"/>
      <c r="M31" s="12"/>
      <c r="U31" s="66">
        <f t="shared" si="0"/>
        <v>0</v>
      </c>
      <c r="V31" s="66">
        <f t="shared" si="1"/>
        <v>0</v>
      </c>
      <c r="W31" s="155">
        <f t="shared" si="2"/>
        <v>7</v>
      </c>
      <c r="X31" s="155">
        <f t="shared" si="3"/>
        <v>18</v>
      </c>
      <c r="Y31" s="155">
        <f t="shared" si="4"/>
        <v>25</v>
      </c>
    </row>
    <row r="32" spans="1:25" s="14" customFormat="1" ht="13.8">
      <c r="A32" s="71"/>
      <c r="B32" s="187"/>
      <c r="C32" s="187"/>
      <c r="D32" s="187"/>
      <c r="E32" s="187"/>
      <c r="F32" s="134"/>
      <c r="G32" s="135"/>
      <c r="H32" s="79"/>
      <c r="I32" s="80"/>
      <c r="J32" s="118"/>
      <c r="K32" s="80"/>
      <c r="L32" s="77"/>
      <c r="M32" s="12"/>
      <c r="U32" s="61"/>
      <c r="V32" s="61"/>
    </row>
    <row r="33" spans="1:22" s="14" customFormat="1" ht="13.8">
      <c r="A33" s="71"/>
      <c r="B33" s="187"/>
      <c r="C33" s="187"/>
      <c r="D33" s="187"/>
      <c r="E33" s="187"/>
      <c r="F33" s="134"/>
      <c r="G33" s="135"/>
      <c r="H33" s="79"/>
      <c r="I33" s="80"/>
      <c r="J33" s="118"/>
      <c r="K33" s="80"/>
      <c r="L33" s="77"/>
      <c r="M33" s="12"/>
      <c r="U33" s="61"/>
      <c r="V33" s="61"/>
    </row>
    <row r="34" spans="1:22" s="12" customFormat="1" ht="14.4" thickBot="1">
      <c r="A34" s="89"/>
      <c r="B34" s="261" t="s">
        <v>58</v>
      </c>
      <c r="C34" s="261"/>
      <c r="D34" s="261"/>
      <c r="E34" s="261"/>
      <c r="F34" s="90"/>
      <c r="G34" s="91"/>
      <c r="H34" s="81"/>
      <c r="I34" s="82"/>
      <c r="J34" s="82"/>
      <c r="K34" s="82"/>
      <c r="L34" s="82"/>
      <c r="U34" s="60"/>
      <c r="V34" s="60"/>
    </row>
    <row r="35" spans="1:22" s="12" customFormat="1" ht="13.8">
      <c r="B35" s="29"/>
      <c r="C35" s="29"/>
      <c r="D35" s="29"/>
      <c r="E35" s="29"/>
      <c r="F35" s="19"/>
      <c r="H35" s="30" t="s">
        <v>34</v>
      </c>
      <c r="I35" s="160">
        <f>SUM(I15:I34)</f>
        <v>0</v>
      </c>
      <c r="J35" s="161">
        <f>SUM(J15:J34)</f>
        <v>0</v>
      </c>
      <c r="K35" s="161">
        <f>SUM(K15:K34)</f>
        <v>0</v>
      </c>
      <c r="L35" s="162">
        <f>SUM(L15:L34)</f>
        <v>0</v>
      </c>
      <c r="U35" s="60"/>
      <c r="V35" s="60"/>
    </row>
    <row r="36" spans="1:22" s="14" customFormat="1" ht="13.8">
      <c r="A36" s="14" t="s">
        <v>74</v>
      </c>
      <c r="E36" s="31"/>
      <c r="F36" s="32"/>
      <c r="K36" s="38" t="s">
        <v>31</v>
      </c>
      <c r="L36" s="163">
        <f>SUM(I35:L35)</f>
        <v>0</v>
      </c>
      <c r="M36" s="12"/>
      <c r="N36" s="12"/>
      <c r="O36" s="12"/>
      <c r="P36" s="12"/>
      <c r="Q36" s="12"/>
      <c r="R36" s="12"/>
      <c r="S36" s="12"/>
      <c r="T36" s="12"/>
      <c r="U36" s="60"/>
      <c r="V36" s="61"/>
    </row>
    <row r="37" spans="1:22" s="14" customFormat="1" ht="13.8">
      <c r="A37" s="242"/>
      <c r="B37" s="242"/>
      <c r="C37" s="242"/>
      <c r="D37" s="242"/>
      <c r="E37" s="242"/>
      <c r="F37" s="242"/>
      <c r="G37" s="242"/>
      <c r="H37" s="242"/>
      <c r="K37" s="38" t="s">
        <v>14</v>
      </c>
      <c r="L37" s="104">
        <v>0</v>
      </c>
      <c r="M37" s="12"/>
      <c r="U37" s="61"/>
      <c r="V37" s="61"/>
    </row>
    <row r="38" spans="1:22" s="14" customFormat="1" ht="13.8">
      <c r="A38" s="262"/>
      <c r="B38" s="262"/>
      <c r="C38" s="262"/>
      <c r="D38" s="262"/>
      <c r="E38" s="262"/>
      <c r="F38" s="262"/>
      <c r="G38" s="262"/>
      <c r="H38" s="262"/>
      <c r="K38" s="38" t="s">
        <v>15</v>
      </c>
      <c r="L38" s="163">
        <f>L36-L37</f>
        <v>0</v>
      </c>
      <c r="M38" s="12"/>
      <c r="U38" s="61"/>
      <c r="V38" s="61"/>
    </row>
    <row r="39" spans="1:22" s="14" customFormat="1" ht="13.8">
      <c r="A39" s="262"/>
      <c r="B39" s="262"/>
      <c r="C39" s="262"/>
      <c r="D39" s="262"/>
      <c r="E39" s="262"/>
      <c r="F39" s="262"/>
      <c r="G39" s="262"/>
      <c r="H39" s="262"/>
      <c r="L39" s="33"/>
      <c r="M39" s="12"/>
      <c r="U39" s="61"/>
      <c r="V39" s="61"/>
    </row>
    <row r="40" spans="1:22" s="14" customFormat="1" ht="9" customHeight="1">
      <c r="A40" s="54"/>
      <c r="B40" s="54"/>
      <c r="C40" s="54"/>
      <c r="D40" s="54"/>
      <c r="E40" s="54"/>
      <c r="F40" s="54"/>
      <c r="G40" s="54"/>
      <c r="H40" s="54"/>
      <c r="L40" s="33"/>
      <c r="M40" s="12"/>
      <c r="U40" s="61"/>
      <c r="V40" s="61"/>
    </row>
    <row r="41" spans="1:22" ht="9" customHeight="1">
      <c r="A41" s="237" t="s">
        <v>5</v>
      </c>
      <c r="B41" s="237"/>
      <c r="C41" s="237"/>
      <c r="D41" s="237"/>
      <c r="E41" s="237"/>
      <c r="F41" s="237"/>
      <c r="G41" s="237"/>
      <c r="H41" s="237"/>
      <c r="I41" s="237"/>
      <c r="J41" s="237"/>
      <c r="K41" s="237"/>
      <c r="L41" s="7"/>
      <c r="M41" s="7"/>
      <c r="N41" s="6"/>
      <c r="O41" s="6"/>
      <c r="P41" s="6"/>
      <c r="Q41" s="6"/>
    </row>
    <row r="42" spans="1:22" s="9" customFormat="1" ht="8.4">
      <c r="A42" s="237" t="s">
        <v>16</v>
      </c>
      <c r="B42" s="237"/>
      <c r="C42" s="237"/>
      <c r="D42" s="237"/>
      <c r="E42" s="237"/>
      <c r="F42" s="237"/>
      <c r="G42" s="237"/>
      <c r="H42" s="237"/>
      <c r="I42" s="237"/>
      <c r="J42" s="237"/>
      <c r="K42" s="237"/>
      <c r="L42" s="39"/>
      <c r="M42" s="39"/>
      <c r="U42" s="62"/>
      <c r="V42" s="62"/>
    </row>
    <row r="43" spans="1:22" s="3" customFormat="1" ht="22.5" customHeight="1">
      <c r="A43" s="181"/>
      <c r="B43" s="181"/>
      <c r="C43" s="181"/>
      <c r="D43" s="181"/>
      <c r="E43" s="181"/>
      <c r="F43" s="181"/>
      <c r="G43" s="181"/>
      <c r="H43" s="181"/>
      <c r="J43" s="183"/>
      <c r="K43" s="183"/>
      <c r="L43" s="183"/>
      <c r="U43" s="63"/>
      <c r="V43" s="63"/>
    </row>
    <row r="44" spans="1:22" s="3" customFormat="1" ht="12.75" customHeight="1">
      <c r="A44" s="278" t="s">
        <v>9</v>
      </c>
      <c r="B44" s="278"/>
      <c r="C44" s="278"/>
      <c r="D44" s="278"/>
      <c r="E44" s="278"/>
      <c r="F44" s="278"/>
      <c r="G44" s="278"/>
      <c r="H44" s="278"/>
      <c r="J44" s="182" t="s">
        <v>1</v>
      </c>
      <c r="K44" s="182"/>
      <c r="L44" s="182"/>
      <c r="U44" s="63"/>
      <c r="V44" s="63"/>
    </row>
    <row r="45" spans="1:22" s="3" customFormat="1" ht="22.5" customHeight="1">
      <c r="A45" s="181"/>
      <c r="B45" s="181"/>
      <c r="C45" s="181"/>
      <c r="D45" s="181"/>
      <c r="E45" s="181"/>
      <c r="F45" s="181"/>
      <c r="G45" s="181"/>
      <c r="H45" s="181"/>
      <c r="J45" s="183"/>
      <c r="K45" s="183"/>
      <c r="L45" s="183"/>
      <c r="U45" s="63"/>
      <c r="V45" s="63"/>
    </row>
    <row r="46" spans="1:22" s="3" customFormat="1" ht="12.75" customHeight="1">
      <c r="A46" s="278" t="s">
        <v>57</v>
      </c>
      <c r="B46" s="278"/>
      <c r="C46" s="278"/>
      <c r="D46" s="278"/>
      <c r="E46" s="278"/>
      <c r="F46" s="278"/>
      <c r="G46" s="278"/>
      <c r="H46" s="278"/>
      <c r="J46" s="182" t="s">
        <v>1</v>
      </c>
      <c r="K46" s="182"/>
      <c r="L46" s="182"/>
      <c r="U46" s="63"/>
      <c r="V46" s="63"/>
    </row>
    <row r="47" spans="1:22" s="3" customFormat="1" ht="6.9" customHeight="1">
      <c r="A47" s="164"/>
      <c r="B47" s="164"/>
      <c r="C47" s="164"/>
      <c r="D47" s="164"/>
      <c r="E47" s="164"/>
      <c r="F47" s="164"/>
      <c r="G47" s="164"/>
      <c r="H47" s="164"/>
      <c r="J47" s="165"/>
      <c r="K47" s="165"/>
      <c r="L47" s="165"/>
      <c r="U47" s="63"/>
      <c r="V47" s="63"/>
    </row>
    <row r="48" spans="1:22" s="3" customFormat="1" ht="6.9" customHeight="1" thickBot="1">
      <c r="A48" s="166"/>
      <c r="B48" s="166"/>
      <c r="C48" s="166"/>
      <c r="D48" s="166"/>
      <c r="E48" s="166"/>
      <c r="F48" s="166"/>
      <c r="G48" s="166"/>
      <c r="H48" s="166"/>
      <c r="I48" s="167"/>
      <c r="J48" s="18"/>
      <c r="K48" s="55"/>
      <c r="L48" s="55"/>
      <c r="U48" s="63"/>
      <c r="V48" s="63"/>
    </row>
    <row r="49" spans="1:22" s="10" customFormat="1" ht="11.4">
      <c r="A49" s="240" t="s">
        <v>13</v>
      </c>
      <c r="B49" s="241"/>
      <c r="C49" s="105"/>
      <c r="D49" s="106"/>
      <c r="E49" s="105"/>
      <c r="F49" s="107"/>
      <c r="G49" s="105"/>
      <c r="H49" s="105"/>
      <c r="I49" s="105"/>
      <c r="J49" s="105"/>
      <c r="K49" s="108"/>
      <c r="L49" s="109"/>
      <c r="U49" s="64"/>
      <c r="V49" s="64"/>
    </row>
    <row r="50" spans="1:22" s="40" customFormat="1" ht="15.75" customHeight="1" thickBot="1">
      <c r="A50" s="110"/>
      <c r="B50" s="111" t="s">
        <v>64</v>
      </c>
      <c r="C50" s="281" t="s">
        <v>56</v>
      </c>
      <c r="D50" s="281"/>
      <c r="E50" s="168"/>
      <c r="F50" s="111"/>
      <c r="G50" s="238" t="s">
        <v>59</v>
      </c>
      <c r="H50" s="239"/>
      <c r="I50" s="169"/>
      <c r="J50" s="111"/>
      <c r="K50" s="235"/>
      <c r="L50" s="236"/>
      <c r="U50" s="65"/>
      <c r="V50" s="65"/>
    </row>
    <row r="51" spans="1:22" s="12" customFormat="1" ht="13.8">
      <c r="A51" s="279" t="s">
        <v>35</v>
      </c>
      <c r="B51" s="279"/>
      <c r="C51" s="279"/>
      <c r="D51" s="279"/>
      <c r="E51" s="53" t="s">
        <v>45</v>
      </c>
      <c r="F51" s="53" t="s">
        <v>17</v>
      </c>
      <c r="G51" s="53" t="s">
        <v>10</v>
      </c>
      <c r="H51" s="53" t="s">
        <v>11</v>
      </c>
      <c r="I51" s="53" t="s">
        <v>8</v>
      </c>
      <c r="J51" s="53" t="s">
        <v>32</v>
      </c>
      <c r="K51" s="53" t="s">
        <v>18</v>
      </c>
      <c r="L51" s="53" t="s">
        <v>12</v>
      </c>
      <c r="U51" s="60"/>
      <c r="V51" s="60"/>
    </row>
    <row r="52" spans="1:22" s="12" customFormat="1" ht="9.9" customHeight="1">
      <c r="A52" s="170"/>
      <c r="B52" s="5"/>
      <c r="C52" s="171" t="s">
        <v>36</v>
      </c>
      <c r="D52" s="172"/>
      <c r="E52" s="173"/>
      <c r="F52" s="114"/>
      <c r="G52" s="114"/>
      <c r="H52" s="114"/>
      <c r="I52" s="114"/>
      <c r="J52" s="13"/>
      <c r="K52" s="13"/>
      <c r="L52" s="50"/>
      <c r="U52" s="60"/>
      <c r="V52" s="60"/>
    </row>
    <row r="53" spans="1:22" s="14" customFormat="1" ht="15.75" customHeight="1">
      <c r="A53" s="52" t="s">
        <v>54</v>
      </c>
      <c r="B53" s="120"/>
      <c r="C53" s="121">
        <v>75500</v>
      </c>
      <c r="D53" s="172"/>
      <c r="E53" s="173" t="s">
        <v>37</v>
      </c>
      <c r="F53" s="114"/>
      <c r="G53" s="114"/>
      <c r="H53" s="114"/>
      <c r="I53" s="124">
        <v>733220</v>
      </c>
      <c r="J53" s="13"/>
      <c r="K53" s="13"/>
      <c r="L53" s="112"/>
      <c r="M53" s="12"/>
      <c r="U53" s="61"/>
      <c r="V53" s="61"/>
    </row>
    <row r="54" spans="1:22" s="14" customFormat="1" ht="15.75" customHeight="1">
      <c r="A54" s="52" t="s">
        <v>55</v>
      </c>
      <c r="B54" s="120"/>
      <c r="C54" s="121">
        <v>75500</v>
      </c>
      <c r="D54" s="172"/>
      <c r="E54" s="173" t="s">
        <v>38</v>
      </c>
      <c r="F54" s="114"/>
      <c r="G54" s="114"/>
      <c r="H54" s="114"/>
      <c r="I54" s="124">
        <v>733230</v>
      </c>
      <c r="J54" s="13"/>
      <c r="K54" s="13"/>
      <c r="L54" s="112"/>
      <c r="M54" s="12"/>
      <c r="U54" s="61"/>
      <c r="V54" s="61"/>
    </row>
    <row r="55" spans="1:22" s="14" customFormat="1" ht="15.75" customHeight="1">
      <c r="A55" s="52" t="s">
        <v>4</v>
      </c>
      <c r="B55" s="120"/>
      <c r="C55" s="121">
        <v>48500</v>
      </c>
      <c r="D55" s="172"/>
      <c r="E55" s="173" t="s">
        <v>39</v>
      </c>
      <c r="F55" s="114"/>
      <c r="G55" s="114"/>
      <c r="H55" s="114"/>
      <c r="I55" s="124">
        <v>733360</v>
      </c>
      <c r="J55" s="13"/>
      <c r="K55" s="13"/>
      <c r="L55" s="112"/>
      <c r="M55" s="12"/>
      <c r="U55" s="61"/>
      <c r="V55" s="61"/>
    </row>
    <row r="56" spans="1:22" s="14" customFormat="1" ht="15.75" customHeight="1">
      <c r="A56" s="52" t="s">
        <v>62</v>
      </c>
      <c r="B56" s="120"/>
      <c r="C56" s="121">
        <v>48500</v>
      </c>
      <c r="D56" s="172"/>
      <c r="E56" s="173" t="s">
        <v>40</v>
      </c>
      <c r="F56" s="114"/>
      <c r="G56" s="114"/>
      <c r="H56" s="114"/>
      <c r="I56" s="124">
        <v>733370</v>
      </c>
      <c r="J56" s="13"/>
      <c r="K56" s="13"/>
      <c r="L56" s="112"/>
      <c r="M56" s="12"/>
      <c r="U56" s="61"/>
      <c r="V56" s="61"/>
    </row>
    <row r="57" spans="1:22" s="14" customFormat="1" ht="15.75" customHeight="1">
      <c r="A57" s="52" t="s">
        <v>33</v>
      </c>
      <c r="B57" s="120"/>
      <c r="C57" s="121">
        <v>48500</v>
      </c>
      <c r="D57" s="172"/>
      <c r="E57" s="173" t="s">
        <v>41</v>
      </c>
      <c r="F57" s="114"/>
      <c r="G57" s="114"/>
      <c r="H57" s="114"/>
      <c r="I57" s="124">
        <v>733340</v>
      </c>
      <c r="J57" s="13"/>
      <c r="K57" s="13"/>
      <c r="L57" s="112"/>
      <c r="M57" s="12"/>
      <c r="U57" s="61"/>
      <c r="V57" s="61"/>
    </row>
    <row r="58" spans="1:22" s="14" customFormat="1" ht="15.75" customHeight="1">
      <c r="A58" s="52" t="s">
        <v>7</v>
      </c>
      <c r="B58" s="120"/>
      <c r="C58" s="121">
        <v>75500</v>
      </c>
      <c r="D58" s="172"/>
      <c r="E58" s="173" t="s">
        <v>19</v>
      </c>
      <c r="F58" s="114"/>
      <c r="G58" s="114"/>
      <c r="H58" s="114"/>
      <c r="I58" s="124">
        <v>733280</v>
      </c>
      <c r="J58" s="13"/>
      <c r="K58" s="13"/>
      <c r="L58" s="112"/>
      <c r="M58" s="12"/>
      <c r="U58" s="61"/>
      <c r="V58" s="61"/>
    </row>
    <row r="59" spans="1:22" s="14" customFormat="1" ht="15.75" customHeight="1">
      <c r="A59" s="52" t="s">
        <v>60</v>
      </c>
      <c r="B59" s="120"/>
      <c r="C59" s="121">
        <v>75500</v>
      </c>
      <c r="D59" s="172"/>
      <c r="E59" s="173" t="s">
        <v>42</v>
      </c>
      <c r="F59" s="114"/>
      <c r="G59" s="114"/>
      <c r="H59" s="114"/>
      <c r="I59" s="124">
        <v>733390</v>
      </c>
      <c r="J59" s="13"/>
      <c r="K59" s="13"/>
      <c r="L59" s="112"/>
      <c r="M59" s="12"/>
      <c r="U59" s="61"/>
      <c r="V59" s="61"/>
    </row>
    <row r="60" spans="1:22" s="14" customFormat="1" ht="15.75" customHeight="1">
      <c r="A60" s="52" t="s">
        <v>6</v>
      </c>
      <c r="B60" s="120"/>
      <c r="C60" s="121">
        <v>75500</v>
      </c>
      <c r="D60" s="172"/>
      <c r="E60" s="173" t="s">
        <v>43</v>
      </c>
      <c r="F60" s="115"/>
      <c r="G60" s="115"/>
      <c r="H60" s="115"/>
      <c r="I60" s="125">
        <v>733380</v>
      </c>
      <c r="J60" s="51"/>
      <c r="K60" s="51"/>
      <c r="L60" s="113"/>
      <c r="M60" s="12"/>
      <c r="U60" s="61"/>
      <c r="V60" s="61"/>
    </row>
    <row r="61" spans="1:22" s="14" customFormat="1" ht="15.75" customHeight="1">
      <c r="A61" s="52" t="s">
        <v>46</v>
      </c>
      <c r="B61" s="120"/>
      <c r="C61" s="121">
        <v>70000</v>
      </c>
      <c r="D61" s="174"/>
      <c r="E61" s="175" t="s">
        <v>44</v>
      </c>
      <c r="F61" s="114"/>
      <c r="G61" s="114"/>
      <c r="H61" s="114"/>
      <c r="I61" s="124">
        <v>744160</v>
      </c>
      <c r="J61" s="13"/>
      <c r="K61" s="13"/>
      <c r="L61" s="112"/>
      <c r="M61" s="12"/>
      <c r="U61" s="61"/>
      <c r="V61" s="61"/>
    </row>
    <row r="62" spans="1:22" s="14" customFormat="1" ht="15.75" customHeight="1">
      <c r="A62" s="57" t="s">
        <v>61</v>
      </c>
      <c r="B62" s="122"/>
      <c r="C62" s="123">
        <v>75500</v>
      </c>
      <c r="D62" s="176"/>
      <c r="E62" s="173" t="s">
        <v>63</v>
      </c>
      <c r="F62" s="114"/>
      <c r="G62" s="114"/>
      <c r="H62" s="114"/>
      <c r="I62" s="116"/>
      <c r="J62" s="13"/>
      <c r="K62" s="13"/>
      <c r="L62" s="112"/>
      <c r="M62" s="12"/>
      <c r="U62" s="61"/>
      <c r="V62" s="61"/>
    </row>
    <row r="63" spans="1:22" s="14" customFormat="1" ht="13.8">
      <c r="A63" s="15"/>
      <c r="B63" s="15"/>
      <c r="C63" s="177"/>
      <c r="D63" s="178"/>
      <c r="E63" s="41"/>
      <c r="F63" s="178"/>
      <c r="L63" s="179">
        <f>SUM(L53:L62)</f>
        <v>0</v>
      </c>
      <c r="M63" s="12"/>
      <c r="U63" s="61"/>
      <c r="V63" s="61"/>
    </row>
    <row r="64" spans="1:22" s="14" customFormat="1" ht="26.4" customHeight="1">
      <c r="A64" s="181"/>
      <c r="B64" s="181"/>
      <c r="C64" s="181"/>
      <c r="D64" s="181"/>
      <c r="E64" s="181"/>
      <c r="F64" s="181"/>
      <c r="G64" s="181"/>
      <c r="H64" s="181"/>
      <c r="I64" s="3"/>
      <c r="J64" s="183"/>
      <c r="K64" s="183"/>
      <c r="L64" s="183"/>
      <c r="M64" s="12"/>
      <c r="U64" s="61"/>
      <c r="V64" s="61"/>
    </row>
    <row r="65" spans="1:12" ht="13.2">
      <c r="A65" s="277" t="s">
        <v>82</v>
      </c>
      <c r="B65" s="278"/>
      <c r="C65" s="278"/>
      <c r="D65" s="278"/>
      <c r="E65" s="278"/>
      <c r="F65" s="278"/>
      <c r="G65" s="278"/>
      <c r="H65" s="278"/>
      <c r="I65" s="3"/>
      <c r="J65" s="182" t="s">
        <v>1</v>
      </c>
      <c r="K65" s="182"/>
      <c r="L65" s="182"/>
    </row>
    <row r="66" spans="1:12" ht="11.4">
      <c r="A66" s="15"/>
      <c r="B66" s="15"/>
      <c r="C66" s="177"/>
      <c r="D66" s="178"/>
      <c r="E66" s="41"/>
      <c r="F66" s="178"/>
    </row>
    <row r="67" spans="1:12" ht="11.4">
      <c r="A67" s="15"/>
      <c r="B67" s="15"/>
      <c r="C67" s="177"/>
      <c r="D67" s="178"/>
      <c r="E67" s="41"/>
      <c r="F67" s="178"/>
    </row>
    <row r="68" spans="1:12" ht="11.4">
      <c r="A68" s="15"/>
      <c r="B68" s="15"/>
      <c r="C68" s="177"/>
      <c r="D68" s="178"/>
      <c r="E68" s="41"/>
      <c r="F68" s="178"/>
    </row>
    <row r="69" spans="1:12" ht="11.4">
      <c r="A69" s="15"/>
      <c r="B69" s="15"/>
      <c r="C69" s="177"/>
      <c r="D69" s="178"/>
      <c r="E69" s="41"/>
      <c r="F69" s="178"/>
    </row>
    <row r="70" spans="1:12">
      <c r="A70" s="3"/>
      <c r="B70" s="3"/>
      <c r="C70" s="3"/>
      <c r="D70" s="3"/>
      <c r="E70" s="8"/>
      <c r="F70" s="10"/>
    </row>
    <row r="71" spans="1:12">
      <c r="A71" s="3"/>
      <c r="B71" s="3"/>
      <c r="C71" s="3"/>
      <c r="D71" s="3"/>
      <c r="E71" s="8"/>
      <c r="F71" s="10"/>
    </row>
    <row r="72" spans="1:12">
      <c r="A72" s="3"/>
      <c r="B72" s="3"/>
      <c r="C72" s="3"/>
      <c r="D72" s="3"/>
      <c r="E72" s="8"/>
      <c r="F72" s="10"/>
    </row>
    <row r="73" spans="1:12">
      <c r="A73" s="3"/>
      <c r="B73" s="3"/>
      <c r="C73" s="3"/>
      <c r="D73" s="3"/>
      <c r="E73" s="8"/>
      <c r="F73" s="10"/>
    </row>
    <row r="74" spans="1:12">
      <c r="A74" s="3"/>
      <c r="B74" s="3"/>
      <c r="C74" s="3"/>
      <c r="D74" s="3"/>
      <c r="E74" s="8"/>
      <c r="F74" s="10"/>
    </row>
    <row r="75" spans="1:12">
      <c r="A75" s="3"/>
      <c r="B75" s="3"/>
      <c r="C75" s="3"/>
      <c r="D75" s="3"/>
      <c r="E75" s="8"/>
      <c r="F75" s="10"/>
    </row>
  </sheetData>
  <sheetProtection password="DCA5" sheet="1" scenarios="1" formatCells="0" formatColumns="0" formatRows="0"/>
  <mergeCells count="71">
    <mergeCell ref="J64:L64"/>
    <mergeCell ref="A65:H65"/>
    <mergeCell ref="J65:L65"/>
    <mergeCell ref="A51:D51"/>
    <mergeCell ref="B27:E27"/>
    <mergeCell ref="B28:E28"/>
    <mergeCell ref="B29:E29"/>
    <mergeCell ref="B30:E30"/>
    <mergeCell ref="C50:D50"/>
    <mergeCell ref="A44:H44"/>
    <mergeCell ref="A45:H45"/>
    <mergeCell ref="A46:H46"/>
    <mergeCell ref="A64:H64"/>
    <mergeCell ref="B17:E17"/>
    <mergeCell ref="K11:L11"/>
    <mergeCell ref="A38:H38"/>
    <mergeCell ref="B32:E32"/>
    <mergeCell ref="B31:E31"/>
    <mergeCell ref="H8:L8"/>
    <mergeCell ref="A7:F7"/>
    <mergeCell ref="A8:F8"/>
    <mergeCell ref="E10:G10"/>
    <mergeCell ref="H7:L7"/>
    <mergeCell ref="N20:S20"/>
    <mergeCell ref="B20:E20"/>
    <mergeCell ref="K50:L50"/>
    <mergeCell ref="J45:L45"/>
    <mergeCell ref="J46:L46"/>
    <mergeCell ref="A42:K42"/>
    <mergeCell ref="G50:H50"/>
    <mergeCell ref="A41:K41"/>
    <mergeCell ref="A49:B49"/>
    <mergeCell ref="A37:H37"/>
    <mergeCell ref="N24:S26"/>
    <mergeCell ref="N21:S23"/>
    <mergeCell ref="B21:E21"/>
    <mergeCell ref="B33:E33"/>
    <mergeCell ref="B34:E34"/>
    <mergeCell ref="A39:H39"/>
    <mergeCell ref="N13:S13"/>
    <mergeCell ref="P14:S17"/>
    <mergeCell ref="N19:S19"/>
    <mergeCell ref="B25:E25"/>
    <mergeCell ref="A10:C10"/>
    <mergeCell ref="A11:C11"/>
    <mergeCell ref="I10:J10"/>
    <mergeCell ref="I11:J11"/>
    <mergeCell ref="F13:G13"/>
    <mergeCell ref="B14:E14"/>
    <mergeCell ref="B15:E15"/>
    <mergeCell ref="B18:E18"/>
    <mergeCell ref="B19:E19"/>
    <mergeCell ref="B16:E16"/>
    <mergeCell ref="K10:L10"/>
    <mergeCell ref="E11:G11"/>
    <mergeCell ref="A1:F1"/>
    <mergeCell ref="A43:H43"/>
    <mergeCell ref="J44:L44"/>
    <mergeCell ref="J43:L43"/>
    <mergeCell ref="K12:L12"/>
    <mergeCell ref="B23:E23"/>
    <mergeCell ref="B24:E24"/>
    <mergeCell ref="B22:E22"/>
    <mergeCell ref="B26:E26"/>
    <mergeCell ref="H1:L1"/>
    <mergeCell ref="H2:L2"/>
    <mergeCell ref="A6:F6"/>
    <mergeCell ref="H4:L4"/>
    <mergeCell ref="H5:L5"/>
    <mergeCell ref="H6:L6"/>
    <mergeCell ref="A4:F5"/>
  </mergeCells>
  <phoneticPr fontId="0" type="noConversion"/>
  <dataValidations xWindow="476" yWindow="452" count="23">
    <dataValidation allowBlank="1" showInputMessage="1" showErrorMessage="1" promptTitle="Payee Signature" prompt="Sign &amp; Date this form before submitting." sqref="A64:H64 A43:H43"/>
    <dataValidation allowBlank="1" showInputMessage="1" showErrorMessage="1" promptTitle="Authorizing Signature(s)" prompt="A person authorized to commit funds for each Index used must sign and date this form." sqref="A45:H45"/>
    <dataValidation errorStyle="information" allowBlank="1" showInputMessage="1" showErrorMessage="1" errorTitle="Plate#" error="Enter vehicle plate#." promptTitle="Enter State/Personal Plate#" prompt="Enter license of personal vehicle used IF claiming approved vehicle-related expenses.  The higher mileage rate (.37) is used for Out-of-Country." sqref="E11:G11"/>
    <dataValidation allowBlank="1" showInputMessage="1" showErrorMessage="1" promptTitle="Date Format" prompt="Date format is mm/dd/yyyy" sqref="A15"/>
    <dataValidation allowBlank="1" showInputMessage="1" showErrorMessage="1" promptTitle="A-ID#" prompt="Your 9-digit Banner # that starts with 'A'." sqref="A11:C11"/>
    <dataValidation allowBlank="1" showInputMessage="1" showErrorMessage="1" promptTitle="City-State" prompt="Employees or SDSM&amp;T Student enter:  Rapid City, SD; Lead, SD or Sioux Falls, SD.  Non-Employees enter your work or home city &amp; state." sqref="I11:J11"/>
    <dataValidation allowBlank="1" showInputMessage="1" showErrorMessage="1" promptTitle="Purpose" prompt="Enter the purpose of the trip (ie:  Class/Training name, Interview with --, Football game at --, etc.)" sqref="A37:H37"/>
    <dataValidation allowBlank="1" showInputMessage="1" showErrorMessage="1" promptTitle="Travel Time" prompt="Include the City(s), Country(s) and Date(s) of the trip.  Note - show only the time of actual participation, not travel." sqref="A38:H38"/>
    <dataValidation allowBlank="1" showInputMessage="1" showErrorMessage="1" promptTitle="Additional Info" prompt="Include any additional supporting information." sqref="A39:H39"/>
    <dataValidation allowBlank="1" showInputMessage="1" showErrorMessage="1" promptTitle="Dept Name" prompt="Enter Payee's department name." sqref="H6:L6"/>
    <dataValidation allowBlank="1" showInputMessage="1" showErrorMessage="1" promptTitle="Index(es)" prompt="Enter the Index(es) responsible for the expenses.  If more than one Index is used, include the breakdown of percentages, amounts or directions like 'remaining balance' for each Index." sqref="H8:L8"/>
    <dataValidation allowBlank="1" showInputMessage="1" showErrorMessage="1" promptTitle="Payee Address" prompt="If Non-Employee, your address, city, state and zip are required." sqref="A7:F7"/>
    <dataValidation allowBlank="1" showInputMessage="1" showErrorMessage="1" promptTitle="Leave Time" prompt="Enter time format like 7:00 AM or 1:00 PM.  You must account for any on/off duty time by listing it." sqref="F15"/>
    <dataValidation allowBlank="1" showInputMessage="1" showErrorMessage="1" promptTitle="Return Time" prompt="Enter time format like 7:00 AM or 1:00 PM. You must account for any on/off duty time by listing it." sqref="G15"/>
    <dataValidation type="list" allowBlank="1" showInputMessage="1" showErrorMessage="1" promptTitle="List" prompt="Use drop-down arrow to select." sqref="K11:L11">
      <formula1>$R$5:$R$7</formula1>
    </dataValidation>
    <dataValidation allowBlank="1" showInputMessage="1" showErrorMessage="1" promptTitle="Lodging" prompt="Original receipt required; Out-of-Country rate up to $250.00, plus tax.  **Cannot pay over Out-of-Country rate.** " sqref="K15"/>
    <dataValidation allowBlank="1" showInputMessage="1" showErrorMessage="1" promptTitle="Misc Expense" prompt="Examples are: gas, baggage claim, parking, internet, office supplies, printing, tolls etc." sqref="L15"/>
    <dataValidation allowBlank="1" showInputMessage="1" showErrorMessage="1" promptTitle="Trans Costs" prompt="Examples are:  subway, taxi, shuttle, airline tickets, change fee (when change is business related), bus, train, rental car - a physical means to transport YOU." sqref="I15"/>
    <dataValidation allowBlank="1" showInputMessage="1" showErrorMessage="1" promptTitle="Advanced Amt" prompt="Enter any SDSM&amp;T cash advance amount received." sqref="L37"/>
    <dataValidation allowBlank="1" showInputMessage="1" showErrorMessage="1" promptTitle="Payee Name" prompt="Enter payee name." sqref="A6:F6"/>
    <dataValidation allowBlank="1" showInputMessage="1" showErrorMessage="1" promptTitle="Auto Miles" prompt="Complete only if personal vehicle used.  Note - authorized for direct route only and mileage rate allowed by State Auditor (.37 per mile)." sqref="H15"/>
    <dataValidation allowBlank="1" showInputMessage="1" showErrorMessage="1" promptTitle="Out of Country" prompt="DO NOT EDIT TITLE - use for Out of Country Travel Payment Detail Only!" sqref="H1:L1"/>
    <dataValidation allowBlank="1" showInputMessage="1" showErrorMessage="1" promptTitle="Meals" prompt="$7 Breakfast-MUST leave before 5:31am to claim_x000a_$18 Lunch-MUST leave before 11:31 am to claim_x000a_$25 Dinner-MUST leave before 5:31pm to claim_x000a_$50 All Day-MUST leave before 5:31am &amp; return after 7:59pm to claim" sqref="J15"/>
  </dataValidations>
  <printOptions horizontalCentered="1"/>
  <pageMargins left="0.1" right="0.1" top="0.5" bottom="0.2" header="0" footer="0"/>
  <pageSetup scale="85"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Out-of-country</vt:lpstr>
      <vt:lpstr>'Out-of-country'!Print_Area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Radomski, Deborah G.</dc:creator>
  <cp:lastModifiedBy>dradomsk</cp:lastModifiedBy>
  <cp:lastPrinted>2011-10-31T15:06:25Z</cp:lastPrinted>
  <dcterms:created xsi:type="dcterms:W3CDTF">1996-08-26T16:10:32Z</dcterms:created>
  <dcterms:modified xsi:type="dcterms:W3CDTF">2014-02-24T21:14:15Z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52374430</vt:i4>
  </property>
  <property fmtid="{D5CDD505-2E9C-101B-9397-08002B2CF9AE}" pid="3" name="_NewReviewCycle">
    <vt:lpwstr/>
  </property>
  <property fmtid="{D5CDD505-2E9C-101B-9397-08002B2CF9AE}" pid="4" name="_EmailSubject">
    <vt:lpwstr>Banner Common Trav Vchr_FY07_Final.xls</vt:lpwstr>
  </property>
  <property fmtid="{D5CDD505-2E9C-101B-9397-08002B2CF9AE}" pid="5" name="_AuthorEmail">
    <vt:lpwstr>Debra.Rowse@sdsmt.edu</vt:lpwstr>
  </property>
  <property fmtid="{D5CDD505-2E9C-101B-9397-08002B2CF9AE}" pid="6" name="_AuthorEmailDisplayName">
    <vt:lpwstr>Rowse, Debra K.</vt:lpwstr>
  </property>
  <property fmtid="{D5CDD505-2E9C-101B-9397-08002B2CF9AE}" pid="7" name="_ReviewingToolsShownOnce">
    <vt:lpwstr/>
  </property>
</Properties>
</file>