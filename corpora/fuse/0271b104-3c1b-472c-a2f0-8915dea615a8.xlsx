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4110" windowWidth="15420" windowHeight="4170" activeTab="1"/>
  </bookViews>
  <sheets>
    <sheet name="Instructions" sheetId="7" r:id="rId1"/>
    <sheet name="Oil Billing Data" sheetId="6" r:id="rId2"/>
    <sheet name="Calculator" sheetId="4" r:id="rId3"/>
    <sheet name="Reference Values" sheetId="3" state="hidden" r:id="rId4"/>
    <sheet name="Assumptions" sheetId="1" state="hidden" r:id="rId5"/>
  </sheets>
  <definedNames>
    <definedName name="Actual">#REF!</definedName>
    <definedName name="ContractLength">'Reference Values'!#REF!</definedName>
    <definedName name="FuelTypes">'Reference Values'!$A$3:$A$6</definedName>
    <definedName name="FuelTypes2">'Reference Values'!$A$3:$A$7</definedName>
  </definedNames>
  <calcPr calcId="125725"/>
</workbook>
</file>

<file path=xl/calcChain.xml><?xml version="1.0" encoding="utf-8"?>
<calcChain xmlns="http://schemas.openxmlformats.org/spreadsheetml/2006/main">
  <c r="N45" i="6"/>
  <c r="N44"/>
  <c r="N43"/>
  <c r="N42"/>
  <c r="N41"/>
  <c r="N40"/>
  <c r="N39"/>
  <c r="N38"/>
  <c r="N37"/>
  <c r="N36"/>
  <c r="N35"/>
  <c r="N34"/>
  <c r="N33"/>
  <c r="N32"/>
  <c r="N31"/>
  <c r="N30"/>
  <c r="N29"/>
  <c r="N28"/>
  <c r="N27"/>
  <c r="N26"/>
  <c r="N25"/>
  <c r="N24"/>
  <c r="N23"/>
  <c r="N22"/>
  <c r="N21"/>
  <c r="N20"/>
  <c r="N19"/>
  <c r="N18"/>
  <c r="N17"/>
  <c r="N16"/>
  <c r="N15"/>
  <c r="N14"/>
  <c r="N13"/>
  <c r="N12"/>
  <c r="N11"/>
  <c r="I45"/>
  <c r="I44"/>
  <c r="I43"/>
  <c r="I42"/>
  <c r="I41"/>
  <c r="I40"/>
  <c r="I39"/>
  <c r="I38"/>
  <c r="I37"/>
  <c r="I36"/>
  <c r="I35"/>
  <c r="I34"/>
  <c r="I33"/>
  <c r="I32"/>
  <c r="I31"/>
  <c r="I30"/>
  <c r="I29"/>
  <c r="I28"/>
  <c r="I27"/>
  <c r="I26"/>
  <c r="I25"/>
  <c r="I24"/>
  <c r="I23"/>
  <c r="I22"/>
  <c r="I21"/>
  <c r="I20"/>
  <c r="I19"/>
  <c r="I18"/>
  <c r="I17"/>
  <c r="I16"/>
  <c r="I15"/>
  <c r="I14"/>
  <c r="I13"/>
  <c r="I12"/>
  <c r="I11"/>
  <c r="I46" s="1"/>
  <c r="D12"/>
  <c r="D13"/>
  <c r="D14"/>
  <c r="D15"/>
  <c r="D16"/>
  <c r="D17"/>
  <c r="D18"/>
  <c r="D19"/>
  <c r="D20"/>
  <c r="D21"/>
  <c r="D22"/>
  <c r="D23"/>
  <c r="D24"/>
  <c r="D25"/>
  <c r="D26"/>
  <c r="D27"/>
  <c r="D28"/>
  <c r="D29"/>
  <c r="D30"/>
  <c r="D31"/>
  <c r="D32"/>
  <c r="D33"/>
  <c r="D34"/>
  <c r="D35"/>
  <c r="D36"/>
  <c r="D37"/>
  <c r="D38"/>
  <c r="D39"/>
  <c r="D40"/>
  <c r="D41"/>
  <c r="D42"/>
  <c r="D43"/>
  <c r="D44"/>
  <c r="D45"/>
  <c r="D11"/>
  <c r="F23"/>
  <c r="O46"/>
  <c r="P46" s="1"/>
  <c r="P45"/>
  <c r="P44"/>
  <c r="P43"/>
  <c r="P42"/>
  <c r="P41"/>
  <c r="P40"/>
  <c r="P39"/>
  <c r="P38"/>
  <c r="P37"/>
  <c r="P36"/>
  <c r="P35"/>
  <c r="P34"/>
  <c r="P33"/>
  <c r="P32"/>
  <c r="P31"/>
  <c r="P30"/>
  <c r="P29"/>
  <c r="P28"/>
  <c r="P27"/>
  <c r="P26"/>
  <c r="P25"/>
  <c r="P24"/>
  <c r="P23"/>
  <c r="P22"/>
  <c r="P21"/>
  <c r="P20"/>
  <c r="P19"/>
  <c r="P18"/>
  <c r="P17"/>
  <c r="P16"/>
  <c r="P15"/>
  <c r="P14"/>
  <c r="P13"/>
  <c r="P12"/>
  <c r="P11"/>
  <c r="N46"/>
  <c r="P10"/>
  <c r="J46"/>
  <c r="K46" s="1"/>
  <c r="K45"/>
  <c r="K44"/>
  <c r="K43"/>
  <c r="K42"/>
  <c r="K41"/>
  <c r="K40"/>
  <c r="K39"/>
  <c r="K38"/>
  <c r="K37"/>
  <c r="K36"/>
  <c r="K35"/>
  <c r="K34"/>
  <c r="K33"/>
  <c r="K32"/>
  <c r="K31"/>
  <c r="K30"/>
  <c r="K29"/>
  <c r="K28"/>
  <c r="K27"/>
  <c r="K26"/>
  <c r="K25"/>
  <c r="K24"/>
  <c r="K23"/>
  <c r="K22"/>
  <c r="K21"/>
  <c r="K20"/>
  <c r="K19"/>
  <c r="K18"/>
  <c r="K17"/>
  <c r="K16"/>
  <c r="K15"/>
  <c r="K14"/>
  <c r="K13"/>
  <c r="K12"/>
  <c r="K11"/>
  <c r="K10"/>
  <c r="E46"/>
  <c r="F10"/>
  <c r="F11"/>
  <c r="F12"/>
  <c r="F13"/>
  <c r="F14"/>
  <c r="F15"/>
  <c r="F16"/>
  <c r="F17"/>
  <c r="F18"/>
  <c r="F19"/>
  <c r="F20"/>
  <c r="F21"/>
  <c r="F22"/>
  <c r="F24"/>
  <c r="F25"/>
  <c r="F26"/>
  <c r="F27"/>
  <c r="F28"/>
  <c r="F29"/>
  <c r="F30"/>
  <c r="F31"/>
  <c r="F32"/>
  <c r="F33"/>
  <c r="F34"/>
  <c r="F35"/>
  <c r="F36"/>
  <c r="F37"/>
  <c r="F38"/>
  <c r="F39"/>
  <c r="F40"/>
  <c r="F41"/>
  <c r="F42"/>
  <c r="F43"/>
  <c r="F44"/>
  <c r="F45"/>
  <c r="B20" i="3"/>
  <c r="B19"/>
  <c r="D12" i="1"/>
  <c r="D9"/>
  <c r="C28"/>
  <c r="D7"/>
  <c r="C12"/>
  <c r="C10"/>
  <c r="B9"/>
  <c r="D43" i="3"/>
  <c r="C26"/>
  <c r="A28" s="1"/>
  <c r="D11" i="4"/>
  <c r="D8"/>
  <c r="D37" i="3"/>
  <c r="C23" i="4"/>
  <c r="A17" i="3"/>
  <c r="A19"/>
  <c r="A16"/>
  <c r="C11" i="1"/>
  <c r="C9"/>
  <c r="C25"/>
  <c r="C26"/>
  <c r="C24"/>
  <c r="C7"/>
  <c r="C8"/>
  <c r="D8"/>
  <c r="C6"/>
  <c r="C27"/>
  <c r="B27"/>
  <c r="D10"/>
  <c r="B17" i="3"/>
  <c r="B16"/>
  <c r="B18"/>
  <c r="B10" i="1"/>
  <c r="A29" i="3"/>
  <c r="A31" l="1"/>
  <c r="C19" i="4"/>
  <c r="C21" s="1"/>
  <c r="A32" i="3"/>
  <c r="E1" i="6"/>
  <c r="E2" s="1"/>
  <c r="E14" i="4" s="1"/>
  <c r="D46" i="6"/>
  <c r="F46"/>
  <c r="C14" i="4" l="1"/>
  <c r="C25"/>
</calcChain>
</file>

<file path=xl/comments1.xml><?xml version="1.0" encoding="utf-8"?>
<comments xmlns="http://schemas.openxmlformats.org/spreadsheetml/2006/main">
  <authors>
    <author>Emily Denman</author>
  </authors>
  <commentList>
    <comment ref="B8" authorId="0">
      <text>
        <r>
          <rPr>
            <b/>
            <sz val="8"/>
            <color indexed="81"/>
            <rFont val="Tahoma"/>
            <family val="2"/>
          </rPr>
          <t>Emily Denman:</t>
        </r>
        <r>
          <rPr>
            <sz val="8"/>
            <color indexed="81"/>
            <rFont val="Tahoma"/>
            <family val="2"/>
          </rPr>
          <t xml:space="preserve">
Since there was no #6 value for the residential sector, the commercial sector value was used.</t>
        </r>
      </text>
    </comment>
  </commentList>
</comments>
</file>

<file path=xl/sharedStrings.xml><?xml version="1.0" encoding="utf-8"?>
<sst xmlns="http://schemas.openxmlformats.org/spreadsheetml/2006/main" count="149" uniqueCount="114">
  <si>
    <t>Inputs</t>
  </si>
  <si>
    <t>Outputs</t>
  </si>
  <si>
    <t>Emission Factors</t>
  </si>
  <si>
    <t>Fuel Type</t>
  </si>
  <si>
    <t>Emission Factor</t>
  </si>
  <si>
    <t>Heating Values</t>
  </si>
  <si>
    <r>
      <t xml:space="preserve">   Represent aggregate CO</t>
    </r>
    <r>
      <rPr>
        <i/>
        <vertAlign val="subscript"/>
        <sz val="9"/>
        <color indexed="8"/>
        <rFont val="Arial"/>
        <family val="2"/>
      </rPr>
      <t>2</t>
    </r>
    <r>
      <rPr>
        <i/>
        <sz val="9"/>
        <color indexed="8"/>
        <rFont val="Arial"/>
        <family val="2"/>
      </rPr>
      <t>, CH</t>
    </r>
    <r>
      <rPr>
        <i/>
        <vertAlign val="subscript"/>
        <sz val="9"/>
        <color indexed="8"/>
        <rFont val="Arial"/>
        <family val="2"/>
      </rPr>
      <t>4</t>
    </r>
    <r>
      <rPr>
        <i/>
        <sz val="9"/>
        <color indexed="8"/>
        <rFont val="Arial"/>
        <family val="2"/>
      </rPr>
      <t xml:space="preserve"> and N</t>
    </r>
    <r>
      <rPr>
        <i/>
        <vertAlign val="subscript"/>
        <sz val="9"/>
        <color indexed="8"/>
        <rFont val="Arial"/>
        <family val="2"/>
      </rPr>
      <t>2</t>
    </r>
    <r>
      <rPr>
        <i/>
        <sz val="9"/>
        <color indexed="8"/>
        <rFont val="Arial"/>
        <family val="2"/>
      </rPr>
      <t>O emissions for the residential sector</t>
    </r>
  </si>
  <si>
    <t xml:space="preserve">   Represent higher heating values for each fuel type</t>
  </si>
  <si>
    <t>Conversion Factor</t>
  </si>
  <si>
    <t>(MMBtu/gal)</t>
  </si>
  <si>
    <t>(MMBtu/barrel)</t>
  </si>
  <si>
    <t>Sources:</t>
  </si>
  <si>
    <t>B100 Carbon Savings</t>
  </si>
  <si>
    <t xml:space="preserve"> ---</t>
  </si>
  <si>
    <t>New fuel type:</t>
  </si>
  <si>
    <t>% biodiesel for biodiesel blends:</t>
  </si>
  <si>
    <t>%</t>
  </si>
  <si>
    <r>
      <t>tons CO</t>
    </r>
    <r>
      <rPr>
        <b/>
        <vertAlign val="subscript"/>
        <sz val="10"/>
        <color indexed="8"/>
        <rFont val="Arial"/>
        <family val="2"/>
      </rPr>
      <t>2</t>
    </r>
    <r>
      <rPr>
        <b/>
        <sz val="10"/>
        <color indexed="8"/>
        <rFont val="Arial"/>
        <family val="2"/>
      </rPr>
      <t>e</t>
    </r>
  </si>
  <si>
    <t>Incentive level:</t>
  </si>
  <si>
    <t>Total incentive:</t>
  </si>
  <si>
    <t>B100</t>
  </si>
  <si>
    <t>Fuel Types</t>
  </si>
  <si>
    <t>Natural gas</t>
  </si>
  <si>
    <t>Biodiesel blend</t>
  </si>
  <si>
    <t>Steam</t>
  </si>
  <si>
    <r>
      <t xml:space="preserve">Natural Gas </t>
    </r>
    <r>
      <rPr>
        <vertAlign val="superscript"/>
        <sz val="10"/>
        <rFont val="Arial"/>
        <family val="2"/>
      </rPr>
      <t>a</t>
    </r>
  </si>
  <si>
    <r>
      <t xml:space="preserve">#2 / Distillate </t>
    </r>
    <r>
      <rPr>
        <vertAlign val="superscript"/>
        <sz val="10"/>
        <rFont val="Arial"/>
        <family val="2"/>
      </rPr>
      <t>a</t>
    </r>
  </si>
  <si>
    <r>
      <t xml:space="preserve">#6 / Residual </t>
    </r>
    <r>
      <rPr>
        <vertAlign val="superscript"/>
        <sz val="10"/>
        <rFont val="Arial"/>
        <family val="2"/>
      </rPr>
      <t>a</t>
    </r>
  </si>
  <si>
    <r>
      <t xml:space="preserve">B100 </t>
    </r>
    <r>
      <rPr>
        <vertAlign val="superscript"/>
        <sz val="10"/>
        <rFont val="Arial"/>
        <family val="2"/>
      </rPr>
      <t>b</t>
    </r>
  </si>
  <si>
    <r>
      <t xml:space="preserve">B2 #6 / Residual </t>
    </r>
    <r>
      <rPr>
        <vertAlign val="superscript"/>
        <sz val="10"/>
        <rFont val="Arial"/>
        <family val="2"/>
      </rPr>
      <t>c</t>
    </r>
  </si>
  <si>
    <r>
      <t xml:space="preserve">Steam </t>
    </r>
    <r>
      <rPr>
        <vertAlign val="superscript"/>
        <sz val="10"/>
        <rFont val="Arial"/>
        <family val="2"/>
      </rPr>
      <t>d</t>
    </r>
  </si>
  <si>
    <r>
      <t>(lb CO</t>
    </r>
    <r>
      <rPr>
        <b/>
        <vertAlign val="subscript"/>
        <sz val="10"/>
        <color indexed="8"/>
        <rFont val="Arial"/>
        <family val="2"/>
      </rPr>
      <t>2</t>
    </r>
    <r>
      <rPr>
        <b/>
        <sz val="10"/>
        <color indexed="8"/>
        <rFont val="Arial"/>
        <family val="2"/>
      </rPr>
      <t>e/MMBtu)</t>
    </r>
  </si>
  <si>
    <r>
      <t>(short ton CO</t>
    </r>
    <r>
      <rPr>
        <b/>
        <vertAlign val="subscript"/>
        <sz val="10"/>
        <color indexed="8"/>
        <rFont val="Arial"/>
        <family val="2"/>
      </rPr>
      <t>2</t>
    </r>
    <r>
      <rPr>
        <b/>
        <sz val="10"/>
        <color indexed="8"/>
        <rFont val="Arial"/>
        <family val="2"/>
      </rPr>
      <t>e/MMBtu)</t>
    </r>
  </si>
  <si>
    <r>
      <t>(short ton CO</t>
    </r>
    <r>
      <rPr>
        <b/>
        <vertAlign val="subscript"/>
        <sz val="10"/>
        <color indexed="8"/>
        <rFont val="Arial"/>
        <family val="2"/>
      </rPr>
      <t>2</t>
    </r>
    <r>
      <rPr>
        <b/>
        <sz val="10"/>
        <color indexed="8"/>
        <rFont val="Arial"/>
        <family val="2"/>
      </rPr>
      <t>e/gal)</t>
    </r>
  </si>
  <si>
    <r>
      <t xml:space="preserve">#2 / Distillate Fuel Oil </t>
    </r>
    <r>
      <rPr>
        <vertAlign val="superscript"/>
        <sz val="10"/>
        <rFont val="Arial"/>
        <family val="2"/>
      </rPr>
      <t>a</t>
    </r>
  </si>
  <si>
    <r>
      <t xml:space="preserve">#6 / Residual Fuel Oil </t>
    </r>
    <r>
      <rPr>
        <vertAlign val="superscript"/>
        <sz val="10"/>
        <rFont val="Arial"/>
        <family val="2"/>
      </rPr>
      <t>a</t>
    </r>
  </si>
  <si>
    <r>
      <t xml:space="preserve">B2 #6 / Residual Fuel Oil </t>
    </r>
    <r>
      <rPr>
        <vertAlign val="superscript"/>
        <sz val="10"/>
        <rFont val="Arial"/>
        <family val="2"/>
      </rPr>
      <t>c</t>
    </r>
  </si>
  <si>
    <r>
      <rPr>
        <vertAlign val="superscript"/>
        <sz val="8"/>
        <color indexed="8"/>
        <rFont val="Arial"/>
        <family val="2"/>
      </rPr>
      <t xml:space="preserve">a </t>
    </r>
    <r>
      <rPr>
        <sz val="8"/>
        <color indexed="8"/>
        <rFont val="Arial"/>
        <family val="2"/>
      </rPr>
      <t>EPA's Inventory of U.S. Greenhouse Gas Emissions and Sinks: 1990 - 2006, Annexes 2 &amp; 3</t>
    </r>
  </si>
  <si>
    <r>
      <rPr>
        <vertAlign val="superscript"/>
        <sz val="8"/>
        <color indexed="8"/>
        <rFont val="Arial"/>
        <family val="2"/>
      </rPr>
      <t xml:space="preserve">d </t>
    </r>
    <r>
      <rPr>
        <sz val="8"/>
        <color indexed="8"/>
        <rFont val="Arial"/>
        <family val="2"/>
      </rPr>
      <t>PlaNYC's Inventory of New York City Greenhouse Gas Emissions: September 2010</t>
    </r>
  </si>
  <si>
    <t>Assumed emission reduction relative to #2 / distillate fuel oil:</t>
  </si>
  <si>
    <r>
      <rPr>
        <vertAlign val="superscript"/>
        <sz val="8"/>
        <color indexed="8"/>
        <rFont val="Arial"/>
        <family val="2"/>
      </rPr>
      <t>a</t>
    </r>
    <r>
      <rPr>
        <sz val="8"/>
        <color indexed="8"/>
        <rFont val="Arial"/>
        <family val="2"/>
      </rPr>
      <t xml:space="preserve"> EIA Monthly Energy Review - Thermal Conversion Factor Source Documentation  http://www.eia.doe.gov/mer/pdf/pages/sec12_a_doc.pdf</t>
    </r>
  </si>
  <si>
    <r>
      <rPr>
        <vertAlign val="superscript"/>
        <sz val="8"/>
        <color indexed="8"/>
        <rFont val="Arial"/>
        <family val="2"/>
      </rPr>
      <t>b</t>
    </r>
    <r>
      <rPr>
        <sz val="8"/>
        <color indexed="8"/>
        <rFont val="Arial"/>
        <family val="2"/>
      </rPr>
      <t xml:space="preserve"> EIA's Annual Energy Review 2008 - Thermal Conversion Factor Source Documentation  http://www.eia.doe.gov/aer/pdf/pages/secnote13.pdf</t>
    </r>
  </si>
  <si>
    <r>
      <rPr>
        <vertAlign val="superscript"/>
        <sz val="8"/>
        <color indexed="8"/>
        <rFont val="Arial"/>
        <family val="2"/>
      </rPr>
      <t xml:space="preserve">b </t>
    </r>
    <r>
      <rPr>
        <sz val="8"/>
        <color indexed="8"/>
        <rFont val="Arial"/>
        <family val="2"/>
      </rPr>
      <t>Emission factors were derived from the #2 / Distillate Fuel Oil emission factors using the assumption outlined below on the worksheet.</t>
    </r>
  </si>
  <si>
    <r>
      <t>c</t>
    </r>
    <r>
      <rPr>
        <sz val="8"/>
        <rFont val="Arial"/>
        <family val="2"/>
      </rPr>
      <t xml:space="preserve"> Emission factors were derived from the B100 and #6 / Residual Fuel Oil emission factors.</t>
    </r>
  </si>
  <si>
    <r>
      <t>c</t>
    </r>
    <r>
      <rPr>
        <sz val="8"/>
        <rFont val="Arial"/>
        <family val="2"/>
      </rPr>
      <t xml:space="preserve"> Conversion factors were derived from the B100 and #6 / Residual Fuel Oil conversion factors.</t>
    </r>
  </si>
  <si>
    <t xml:space="preserve">   Relative to a baseline of B2 #6 / Residual Fuel Oil </t>
  </si>
  <si>
    <t>Emission Factor "Savings"</t>
  </si>
  <si>
    <r>
      <t>(ton CO</t>
    </r>
    <r>
      <rPr>
        <b/>
        <vertAlign val="subscript"/>
        <sz val="10"/>
        <color indexed="8"/>
        <rFont val="Arial"/>
        <family val="2"/>
      </rPr>
      <t>2</t>
    </r>
    <r>
      <rPr>
        <b/>
        <sz val="10"/>
        <color indexed="8"/>
        <rFont val="Arial"/>
        <family val="2"/>
      </rPr>
      <t>e/MMBtu)</t>
    </r>
  </si>
  <si>
    <t>Emission Factor "Savings" for Fuel Switch</t>
  </si>
  <si>
    <t>#2 / distillate fuel oil</t>
  </si>
  <si>
    <t>Calculation of Biodiesel Volumetric Breakdown</t>
  </si>
  <si>
    <t>% B100 in biodiesel blend (by volume):</t>
  </si>
  <si>
    <t>B100 on an MMBtu basis</t>
  </si>
  <si>
    <t>MMBtu B100 per gallon of biodiesel blend</t>
  </si>
  <si>
    <t>MMBtu #2 / distillate fuel oil per gallon of biodiesel blend</t>
  </si>
  <si>
    <t>#2 / distillate fuel oil on an MMBtu basis</t>
  </si>
  <si>
    <t>Length of contract for biodiesel blends:</t>
  </si>
  <si>
    <t>Source: EPA RFS2 Threshold Determination: http://www.epa.gov/otaq/renewablefuels/420f10006.htm</t>
  </si>
  <si>
    <t>Rule for Biodiesel Blend Incentive Level Designation</t>
  </si>
  <si>
    <t>biodiesel</t>
  </si>
  <si>
    <t>Threshold at or above which the $50/ton CO2e incentive level applies:</t>
  </si>
  <si>
    <t>% biodiesel</t>
  </si>
  <si>
    <t>MMBtu/yr</t>
  </si>
  <si>
    <t>Total carbon savings over 10 years:</t>
  </si>
  <si>
    <t>Ex: For B20, the correct input would be 20</t>
  </si>
  <si>
    <t xml:space="preserve">Carbon Savings and Incentives Calculator </t>
  </si>
  <si>
    <t>NOTE: Contract length should be &lt;= 10 years, as program incentive is based on a 10-year timeframe</t>
  </si>
  <si>
    <t>NOTE: Total incentive is capped at $175,000 per project</t>
  </si>
  <si>
    <t>cars</t>
  </si>
  <si>
    <t>Equivalent number of cars taken off the road during the 10 year period:</t>
  </si>
  <si>
    <t>Vehicle Emissions</t>
  </si>
  <si>
    <t>tons/yr</t>
  </si>
  <si>
    <r>
      <t>Estimated annual tons of CO</t>
    </r>
    <r>
      <rPr>
        <vertAlign val="subscript"/>
        <sz val="10"/>
        <color indexed="8"/>
        <rFont val="Arial"/>
        <family val="2"/>
      </rPr>
      <t>2</t>
    </r>
    <r>
      <rPr>
        <sz val="10"/>
        <color theme="1"/>
        <rFont val="Arial"/>
        <family val="2"/>
      </rPr>
      <t>e emitted by a car:</t>
    </r>
  </si>
  <si>
    <r>
      <t>/ton CO</t>
    </r>
    <r>
      <rPr>
        <b/>
        <vertAlign val="subscript"/>
        <sz val="10"/>
        <color indexed="8"/>
        <rFont val="Arial"/>
        <family val="2"/>
      </rPr>
      <t>2</t>
    </r>
    <r>
      <rPr>
        <b/>
        <sz val="10"/>
        <color indexed="8"/>
        <rFont val="Arial"/>
        <family val="2"/>
      </rPr>
      <t>e</t>
    </r>
  </si>
  <si>
    <r>
      <t>Threshold at or above which the $50/ton CO</t>
    </r>
    <r>
      <rPr>
        <vertAlign val="subscript"/>
        <sz val="10"/>
        <color indexed="8"/>
        <rFont val="Arial"/>
        <family val="2"/>
      </rPr>
      <t>2</t>
    </r>
    <r>
      <rPr>
        <sz val="10"/>
        <color theme="1"/>
        <rFont val="Arial"/>
        <family val="2"/>
      </rPr>
      <t>e incentive level applies:</t>
    </r>
  </si>
  <si>
    <t>Propane</t>
  </si>
  <si>
    <r>
      <t xml:space="preserve">Propane </t>
    </r>
    <r>
      <rPr>
        <vertAlign val="superscript"/>
        <sz val="10"/>
        <rFont val="Arial"/>
        <family val="2"/>
      </rPr>
      <t>a</t>
    </r>
  </si>
  <si>
    <t>No. 6</t>
  </si>
  <si>
    <t>No. 4</t>
  </si>
  <si>
    <t>No. 2</t>
  </si>
  <si>
    <t>MMBtu/gallon</t>
  </si>
  <si>
    <t>Type:</t>
  </si>
  <si>
    <t>Oil MMBtu Consumption</t>
  </si>
  <si>
    <t>Oil Delivery (Gallons)</t>
  </si>
  <si>
    <t>Days in Billing Period</t>
  </si>
  <si>
    <t>Delivery Date</t>
  </si>
  <si>
    <t>Account #:</t>
  </si>
  <si>
    <t>Common Area</t>
  </si>
  <si>
    <t>Oil Type:</t>
  </si>
  <si>
    <t>Annual Average Use in MMBtus</t>
  </si>
  <si>
    <t>Annual Average Use in Gallons</t>
  </si>
  <si>
    <t xml:space="preserve">   Green shading indicates required customer inputs</t>
  </si>
  <si>
    <t xml:space="preserve">   Blue Shading Indicates auto-generated Value</t>
  </si>
  <si>
    <t>Welcome to the Multifamily Carbon Emissions Reduction Program</t>
  </si>
  <si>
    <t>This is the Carbon Reduction Incentive Calculator</t>
  </si>
  <si>
    <t>It's very easy to use. Here's how it works</t>
  </si>
  <si>
    <t xml:space="preserve">   Input all of the oil use data from your oil bills into the "Oil Billing Data" tab of this Workbook </t>
  </si>
  <si>
    <t xml:space="preserve">   The tool will automatically average your annual oil use over the three years as long as you have entered oil use for each year, which is required by the program. </t>
  </si>
  <si>
    <t xml:space="preserve">   After you have entered your oil use data, proceed to the "Calculator" tab. </t>
  </si>
  <si>
    <r>
      <t xml:space="preserve">   You will see that your annual average #6 oil use is already filled in on the Calculator tab in the </t>
    </r>
    <r>
      <rPr>
        <sz val="10"/>
        <color indexed="62"/>
        <rFont val="Arial"/>
        <family val="2"/>
      </rPr>
      <t>Blue</t>
    </r>
    <r>
      <rPr>
        <sz val="10"/>
        <color theme="1"/>
        <rFont val="Arial"/>
        <family val="2"/>
      </rPr>
      <t xml:space="preserve"> colored cell. This value is expressed in MMBtus, not gallons.</t>
    </r>
  </si>
  <si>
    <t xml:space="preserve">   If you are converting to #2 fuel oil with a biofuel blend, you will need to fill out information about the % biofuel content and the duration of any long-term purchasing contract you have for the biofuel blend</t>
  </si>
  <si>
    <t>This will allow the tool to calculate the correct incentive based on the term of your boifuel contracts</t>
  </si>
  <si>
    <t xml:space="preserve">   After completing steps 1 and 2 above, the calculator tab will generate your projected carbon emissions reduction resulting from your fuel conversion and it will tell you the NYSERDA incentive you can receive!</t>
  </si>
  <si>
    <t xml:space="preserve">   It really is just that simple</t>
  </si>
  <si>
    <t xml:space="preserve">   Enter the date of each delivery, the number of days that elapsed between each delivery, and the amount of oil delivered in gallons for each delivery over the three year period.</t>
  </si>
  <si>
    <t xml:space="preserve">   The tool will automatically sum these values. It will track the number of days that you are reporting for the year of deliveries to ensure you have 365 days (within +/- 4 Days) worth of use in each year. </t>
  </si>
  <si>
    <t xml:space="preserve">   Click on the Green Cell (6C) entitled "New Fuel Type". A Dropdown list will appear allowing you to choose the fuel type that your building is converting to.</t>
  </si>
  <si>
    <t>Annual usage:</t>
  </si>
  <si>
    <t>gal/yr</t>
  </si>
  <si>
    <t>NA</t>
  </si>
  <si>
    <t>TOTALS</t>
  </si>
  <si>
    <t>OIL USE YEAR ONE</t>
  </si>
  <si>
    <t>OIL USE YEAR TWO</t>
  </si>
  <si>
    <t>OIL USE YEAR THREE</t>
  </si>
</sst>
</file>

<file path=xl/styles.xml><?xml version="1.0" encoding="utf-8"?>
<styleSheet xmlns="http://schemas.openxmlformats.org/spreadsheetml/2006/main">
  <numFmts count="7">
    <numFmt numFmtId="164" formatCode="0.0000"/>
    <numFmt numFmtId="165" formatCode="0.000"/>
    <numFmt numFmtId="166" formatCode="&quot;$&quot;#,##0"/>
    <numFmt numFmtId="167" formatCode="0.0%"/>
    <numFmt numFmtId="168" formatCode="0.0"/>
    <numFmt numFmtId="169" formatCode="m/d/yy;@"/>
    <numFmt numFmtId="170" formatCode="mm/dd/yy;@"/>
  </numFmts>
  <fonts count="34">
    <font>
      <sz val="10"/>
      <color theme="1"/>
      <name val="Arial"/>
      <family val="2"/>
    </font>
    <font>
      <b/>
      <sz val="10"/>
      <color indexed="8"/>
      <name val="Arial"/>
      <family val="2"/>
    </font>
    <font>
      <i/>
      <sz val="9"/>
      <color indexed="8"/>
      <name val="Arial"/>
      <family val="2"/>
    </font>
    <font>
      <i/>
      <vertAlign val="subscript"/>
      <sz val="9"/>
      <color indexed="8"/>
      <name val="Arial"/>
      <family val="2"/>
    </font>
    <font>
      <sz val="12"/>
      <name val="Arial"/>
      <family val="2"/>
    </font>
    <font>
      <sz val="8"/>
      <color indexed="81"/>
      <name val="Tahoma"/>
      <family val="2"/>
    </font>
    <font>
      <b/>
      <sz val="8"/>
      <color indexed="81"/>
      <name val="Tahoma"/>
      <family val="2"/>
    </font>
    <font>
      <sz val="10"/>
      <name val="Arial"/>
      <family val="2"/>
    </font>
    <font>
      <sz val="8"/>
      <color indexed="8"/>
      <name val="Arial"/>
      <family val="2"/>
    </font>
    <font>
      <b/>
      <vertAlign val="subscript"/>
      <sz val="10"/>
      <color indexed="8"/>
      <name val="Arial"/>
      <family val="2"/>
    </font>
    <font>
      <vertAlign val="superscript"/>
      <sz val="8"/>
      <color indexed="8"/>
      <name val="Arial"/>
      <family val="2"/>
    </font>
    <font>
      <vertAlign val="superscript"/>
      <sz val="10"/>
      <name val="Arial"/>
      <family val="2"/>
    </font>
    <font>
      <vertAlign val="superscript"/>
      <sz val="8"/>
      <name val="Arial"/>
      <family val="2"/>
    </font>
    <font>
      <sz val="8"/>
      <name val="Arial"/>
      <family val="2"/>
    </font>
    <font>
      <i/>
      <sz val="8"/>
      <name val="Arial"/>
      <family val="2"/>
    </font>
    <font>
      <vertAlign val="subscript"/>
      <sz val="10"/>
      <color indexed="8"/>
      <name val="Arial"/>
      <family val="2"/>
    </font>
    <font>
      <b/>
      <sz val="10"/>
      <name val="Arial"/>
      <family val="2"/>
    </font>
    <font>
      <sz val="10"/>
      <color indexed="62"/>
      <name val="Arial"/>
      <family val="2"/>
    </font>
    <font>
      <sz val="11"/>
      <color theme="1"/>
      <name val="Calibri"/>
      <family val="2"/>
      <scheme val="minor"/>
    </font>
    <font>
      <u/>
      <sz val="10"/>
      <color theme="10"/>
      <name val="Arial"/>
      <family val="2"/>
    </font>
    <font>
      <b/>
      <sz val="14"/>
      <color theme="1"/>
      <name val="Arial"/>
      <family val="2"/>
    </font>
    <font>
      <b/>
      <i/>
      <sz val="10"/>
      <color theme="1"/>
      <name val="Arial"/>
      <family val="2"/>
    </font>
    <font>
      <i/>
      <sz val="9"/>
      <color theme="1"/>
      <name val="Arial"/>
      <family val="2"/>
    </font>
    <font>
      <b/>
      <sz val="10"/>
      <color theme="1"/>
      <name val="Arial"/>
      <family val="2"/>
    </font>
    <font>
      <sz val="8"/>
      <color theme="1"/>
      <name val="Arial"/>
      <family val="2"/>
    </font>
    <font>
      <i/>
      <sz val="8"/>
      <color theme="1"/>
      <name val="Arial"/>
      <family val="2"/>
    </font>
    <font>
      <b/>
      <sz val="10"/>
      <color rgb="FFFF0000"/>
      <name val="Arial"/>
      <family val="2"/>
    </font>
    <font>
      <sz val="10"/>
      <color rgb="FFFF0000"/>
      <name val="Arial"/>
      <family val="2"/>
    </font>
    <font>
      <sz val="9"/>
      <color theme="1"/>
      <name val="Calibri"/>
      <family val="2"/>
      <scheme val="minor"/>
    </font>
    <font>
      <b/>
      <sz val="9"/>
      <color theme="1"/>
      <name val="Calibri"/>
      <family val="2"/>
      <scheme val="minor"/>
    </font>
    <font>
      <b/>
      <sz val="9"/>
      <color theme="0"/>
      <name val="Calibri"/>
      <family val="2"/>
      <scheme val="minor"/>
    </font>
    <font>
      <i/>
      <sz val="10"/>
      <color theme="6" tint="-0.249977111117893"/>
      <name val="Arial"/>
      <family val="2"/>
    </font>
    <font>
      <i/>
      <sz val="10"/>
      <color theme="3" tint="0.39997558519241921"/>
      <name val="Arial"/>
      <family val="2"/>
    </font>
    <font>
      <b/>
      <i/>
      <sz val="9"/>
      <color theme="1"/>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6" tint="0.59999389629810485"/>
        <bgColor indexed="64"/>
      </patternFill>
    </fill>
    <fill>
      <patternFill patternType="solid">
        <fgColor theme="6" tint="0.79998168889431442"/>
        <bgColor indexed="64"/>
      </patternFill>
    </fill>
  </fills>
  <borders count="36">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4">
    <xf numFmtId="0" fontId="0" fillId="0" borderId="0"/>
    <xf numFmtId="0" fontId="19" fillId="0" borderId="0" applyNumberFormat="0" applyFill="0" applyBorder="0" applyAlignment="0" applyProtection="0">
      <alignment vertical="top"/>
      <protection locked="0"/>
    </xf>
    <xf numFmtId="0" fontId="4" fillId="0" borderId="0"/>
    <xf numFmtId="0" fontId="18" fillId="0" borderId="0"/>
  </cellStyleXfs>
  <cellXfs count="155">
    <xf numFmtId="0" fontId="0" fillId="0" borderId="0" xfId="0"/>
    <xf numFmtId="0" fontId="20" fillId="0" borderId="27" xfId="0" applyFont="1" applyBorder="1"/>
    <xf numFmtId="0" fontId="0" fillId="0" borderId="27" xfId="0" applyBorder="1"/>
    <xf numFmtId="0" fontId="0" fillId="0" borderId="28" xfId="0" applyBorder="1"/>
    <xf numFmtId="0" fontId="21" fillId="0" borderId="27" xfId="0" applyFont="1" applyBorder="1"/>
    <xf numFmtId="0" fontId="22" fillId="0" borderId="27" xfId="0" applyFont="1" applyBorder="1"/>
    <xf numFmtId="0" fontId="23" fillId="0" borderId="27" xfId="0" applyFont="1" applyBorder="1"/>
    <xf numFmtId="0" fontId="0" fillId="0" borderId="27" xfId="0" applyBorder="1" applyAlignment="1">
      <alignment horizontal="center"/>
    </xf>
    <xf numFmtId="0" fontId="0" fillId="0" borderId="29" xfId="0" applyBorder="1"/>
    <xf numFmtId="0" fontId="0" fillId="0" borderId="30" xfId="0" applyBorder="1"/>
    <xf numFmtId="0" fontId="0" fillId="0" borderId="29" xfId="0" applyBorder="1" applyAlignment="1">
      <alignment horizontal="center"/>
    </xf>
    <xf numFmtId="0" fontId="0" fillId="0" borderId="30" xfId="0" applyBorder="1" applyAlignment="1">
      <alignment horizontal="center"/>
    </xf>
    <xf numFmtId="0" fontId="23" fillId="2" borderId="31" xfId="0" applyFont="1" applyFill="1" applyBorder="1"/>
    <xf numFmtId="0" fontId="23" fillId="2" borderId="31" xfId="0" applyFont="1" applyFill="1" applyBorder="1" applyAlignment="1">
      <alignment horizontal="center"/>
    </xf>
    <xf numFmtId="0" fontId="23" fillId="2" borderId="32" xfId="0" applyFont="1" applyFill="1" applyBorder="1"/>
    <xf numFmtId="0" fontId="23" fillId="2" borderId="32" xfId="0" applyFont="1" applyFill="1" applyBorder="1" applyAlignment="1">
      <alignment horizontal="center"/>
    </xf>
    <xf numFmtId="0" fontId="7" fillId="0" borderId="1" xfId="2" applyFont="1" applyBorder="1" applyAlignment="1">
      <alignment horizontal="left"/>
    </xf>
    <xf numFmtId="2" fontId="7" fillId="0" borderId="1" xfId="2" applyNumberFormat="1" applyFont="1" applyBorder="1" applyAlignment="1">
      <alignment horizontal="center"/>
    </xf>
    <xf numFmtId="164" fontId="7" fillId="0" borderId="1" xfId="2" applyNumberFormat="1" applyFont="1" applyBorder="1" applyAlignment="1">
      <alignment horizontal="center"/>
    </xf>
    <xf numFmtId="0" fontId="7" fillId="0" borderId="2" xfId="2" applyFont="1" applyBorder="1" applyAlignment="1">
      <alignment horizontal="left"/>
    </xf>
    <xf numFmtId="2" fontId="7" fillId="0" borderId="2" xfId="2" applyNumberFormat="1" applyFont="1" applyBorder="1" applyAlignment="1">
      <alignment horizontal="center"/>
    </xf>
    <xf numFmtId="164" fontId="7" fillId="0" borderId="2" xfId="2" applyNumberFormat="1" applyFont="1" applyBorder="1" applyAlignment="1">
      <alignment horizontal="center"/>
    </xf>
    <xf numFmtId="0" fontId="7" fillId="0" borderId="3" xfId="2" applyFont="1" applyBorder="1" applyAlignment="1">
      <alignment horizontal="left"/>
    </xf>
    <xf numFmtId="2" fontId="7" fillId="0" borderId="3" xfId="2" applyNumberFormat="1" applyFont="1" applyBorder="1" applyAlignment="1">
      <alignment horizontal="center"/>
    </xf>
    <xf numFmtId="164" fontId="7" fillId="0" borderId="3" xfId="2" applyNumberFormat="1" applyFont="1" applyBorder="1" applyAlignment="1">
      <alignment horizontal="center"/>
    </xf>
    <xf numFmtId="0" fontId="0" fillId="0" borderId="27" xfId="0" applyFont="1" applyBorder="1"/>
    <xf numFmtId="0" fontId="24" fillId="0" borderId="30" xfId="0" applyFont="1" applyBorder="1"/>
    <xf numFmtId="0" fontId="7" fillId="0" borderId="2" xfId="0" applyFont="1" applyBorder="1" applyAlignment="1">
      <alignment horizontal="center" vertical="center"/>
    </xf>
    <xf numFmtId="165" fontId="7" fillId="0" borderId="2" xfId="0" applyNumberFormat="1" applyFont="1" applyBorder="1" applyAlignment="1">
      <alignment horizontal="center" vertical="center"/>
    </xf>
    <xf numFmtId="0" fontId="7" fillId="0" borderId="2" xfId="0" applyFont="1" applyBorder="1" applyAlignment="1">
      <alignment horizontal="left" vertical="center"/>
    </xf>
    <xf numFmtId="0" fontId="24" fillId="0" borderId="27" xfId="0" applyFont="1" applyBorder="1"/>
    <xf numFmtId="0" fontId="0" fillId="0" borderId="33" xfId="0" applyFont="1" applyBorder="1"/>
    <xf numFmtId="9" fontId="23" fillId="0" borderId="27" xfId="0" applyNumberFormat="1" applyFont="1" applyBorder="1" applyAlignment="1">
      <alignment horizontal="left"/>
    </xf>
    <xf numFmtId="0" fontId="0" fillId="0" borderId="34" xfId="0" applyBorder="1"/>
    <xf numFmtId="0" fontId="0" fillId="0" borderId="33" xfId="0" applyBorder="1"/>
    <xf numFmtId="0" fontId="0" fillId="0" borderId="35" xfId="0" applyBorder="1"/>
    <xf numFmtId="166" fontId="23" fillId="0" borderId="27" xfId="0" applyNumberFormat="1" applyFont="1" applyBorder="1"/>
    <xf numFmtId="165" fontId="7" fillId="0" borderId="3" xfId="0" applyNumberFormat="1" applyFont="1" applyBorder="1" applyAlignment="1">
      <alignment horizontal="left"/>
    </xf>
    <xf numFmtId="0" fontId="0" fillId="3" borderId="0" xfId="0" applyFill="1" applyBorder="1"/>
    <xf numFmtId="0" fontId="25" fillId="0" borderId="27" xfId="0" applyFont="1" applyBorder="1"/>
    <xf numFmtId="0" fontId="22" fillId="3" borderId="27" xfId="0" applyFont="1" applyFill="1" applyBorder="1"/>
    <xf numFmtId="0" fontId="0" fillId="3" borderId="27" xfId="0" applyFill="1" applyBorder="1" applyAlignment="1">
      <alignment horizontal="center"/>
    </xf>
    <xf numFmtId="0" fontId="0" fillId="3" borderId="27" xfId="0" applyFill="1" applyBorder="1"/>
    <xf numFmtId="0" fontId="0" fillId="3" borderId="29" xfId="0" applyFill="1" applyBorder="1"/>
    <xf numFmtId="0" fontId="0" fillId="3" borderId="29" xfId="0" applyFill="1" applyBorder="1" applyAlignment="1">
      <alignment horizontal="center"/>
    </xf>
    <xf numFmtId="9" fontId="23" fillId="3" borderId="27" xfId="0" applyNumberFormat="1" applyFont="1" applyFill="1" applyBorder="1" applyAlignment="1">
      <alignment horizontal="left"/>
    </xf>
    <xf numFmtId="0" fontId="12" fillId="0" borderId="30" xfId="0" applyFont="1" applyBorder="1"/>
    <xf numFmtId="0" fontId="0" fillId="3" borderId="27" xfId="0" applyFill="1" applyBorder="1" applyAlignment="1">
      <alignment horizontal="left"/>
    </xf>
    <xf numFmtId="164" fontId="0" fillId="3" borderId="27" xfId="0" applyNumberFormat="1" applyFill="1" applyBorder="1" applyAlignment="1">
      <alignment horizontal="center"/>
    </xf>
    <xf numFmtId="0" fontId="23" fillId="0" borderId="27" xfId="0" applyFont="1" applyBorder="1" applyAlignment="1">
      <alignment horizontal="center"/>
    </xf>
    <xf numFmtId="0" fontId="23" fillId="3" borderId="27" xfId="0" applyFont="1" applyFill="1" applyBorder="1" applyAlignment="1">
      <alignment horizontal="center"/>
    </xf>
    <xf numFmtId="0" fontId="23" fillId="0" borderId="27" xfId="0" applyFont="1" applyBorder="1" applyAlignment="1">
      <alignment horizontal="left"/>
    </xf>
    <xf numFmtId="0" fontId="0" fillId="0" borderId="27" xfId="0" applyBorder="1" applyAlignment="1">
      <alignment horizontal="left"/>
    </xf>
    <xf numFmtId="164" fontId="0" fillId="0" borderId="27" xfId="0" applyNumberFormat="1" applyBorder="1"/>
    <xf numFmtId="165" fontId="0" fillId="0" borderId="27" xfId="0" applyNumberFormat="1" applyBorder="1"/>
    <xf numFmtId="167" fontId="23" fillId="0" borderId="27" xfId="0" applyNumberFormat="1" applyFont="1" applyBorder="1"/>
    <xf numFmtId="0" fontId="0" fillId="0" borderId="27" xfId="0" applyFont="1" applyBorder="1" applyAlignment="1">
      <alignment horizontal="left"/>
    </xf>
    <xf numFmtId="0" fontId="7" fillId="0" borderId="27" xfId="0" applyFont="1" applyBorder="1"/>
    <xf numFmtId="0" fontId="14" fillId="0" borderId="27" xfId="0" applyFont="1" applyBorder="1" applyAlignment="1">
      <alignment wrapText="1"/>
    </xf>
    <xf numFmtId="0" fontId="7" fillId="0" borderId="33" xfId="0" applyFont="1" applyBorder="1"/>
    <xf numFmtId="0" fontId="26" fillId="0" borderId="27" xfId="0" applyFont="1" applyBorder="1"/>
    <xf numFmtId="9" fontId="23" fillId="0" borderId="27" xfId="0" applyNumberFormat="1" applyFont="1" applyBorder="1" applyAlignment="1">
      <alignment horizontal="right"/>
    </xf>
    <xf numFmtId="0" fontId="16" fillId="0" borderId="27" xfId="0" applyFont="1" applyBorder="1"/>
    <xf numFmtId="168" fontId="0" fillId="0" borderId="27" xfId="0" applyNumberFormat="1" applyBorder="1" applyAlignment="1">
      <alignment horizontal="center"/>
    </xf>
    <xf numFmtId="0" fontId="19" fillId="0" borderId="27" xfId="1" applyBorder="1" applyAlignment="1" applyProtection="1"/>
    <xf numFmtId="3" fontId="23" fillId="3" borderId="27" xfId="0" applyNumberFormat="1" applyFont="1" applyFill="1" applyBorder="1"/>
    <xf numFmtId="3" fontId="23" fillId="0" borderId="27" xfId="0" applyNumberFormat="1" applyFont="1" applyBorder="1"/>
    <xf numFmtId="0" fontId="27" fillId="3" borderId="27" xfId="0" applyFont="1" applyFill="1" applyBorder="1"/>
    <xf numFmtId="0" fontId="27" fillId="3" borderId="27" xfId="0" applyFont="1" applyFill="1" applyBorder="1" applyAlignment="1">
      <alignment horizontal="center"/>
    </xf>
    <xf numFmtId="0" fontId="27" fillId="0" borderId="27" xfId="0" applyFont="1" applyBorder="1"/>
    <xf numFmtId="165" fontId="7" fillId="0" borderId="3" xfId="0" applyNumberFormat="1" applyFont="1" applyBorder="1" applyAlignment="1">
      <alignment horizontal="center" vertical="center"/>
    </xf>
    <xf numFmtId="164" fontId="7" fillId="0" borderId="27" xfId="0" applyNumberFormat="1" applyFont="1" applyBorder="1"/>
    <xf numFmtId="0" fontId="7" fillId="3" borderId="27" xfId="0" applyFont="1" applyFill="1" applyBorder="1"/>
    <xf numFmtId="164" fontId="7" fillId="3" borderId="27" xfId="0" applyNumberFormat="1" applyFont="1" applyFill="1" applyBorder="1" applyAlignment="1">
      <alignment horizontal="center"/>
    </xf>
    <xf numFmtId="0" fontId="7" fillId="3" borderId="27" xfId="0" applyFont="1" applyFill="1" applyBorder="1" applyAlignment="1">
      <alignment horizontal="center"/>
    </xf>
    <xf numFmtId="0" fontId="28" fillId="0" borderId="0" xfId="3" applyFont="1" applyAlignment="1">
      <alignment vertical="center"/>
    </xf>
    <xf numFmtId="0" fontId="28" fillId="0" borderId="0" xfId="3" applyFont="1" applyBorder="1" applyAlignment="1">
      <alignment vertical="center"/>
    </xf>
    <xf numFmtId="0" fontId="28" fillId="0" borderId="0" xfId="3" applyFont="1" applyFill="1" applyAlignment="1">
      <alignment vertical="center"/>
    </xf>
    <xf numFmtId="166" fontId="29" fillId="0" borderId="0" xfId="3" applyNumberFormat="1" applyFont="1" applyFill="1" applyBorder="1" applyAlignment="1">
      <alignment horizontal="center" vertical="center"/>
    </xf>
    <xf numFmtId="1" fontId="29" fillId="0" borderId="0" xfId="3" applyNumberFormat="1" applyFont="1" applyFill="1" applyBorder="1" applyAlignment="1" applyProtection="1">
      <alignment horizontal="center" vertical="center"/>
    </xf>
    <xf numFmtId="0" fontId="28" fillId="0" borderId="0" xfId="3" applyFont="1" applyFill="1" applyBorder="1" applyAlignment="1">
      <alignment vertical="center"/>
    </xf>
    <xf numFmtId="3" fontId="29" fillId="0" borderId="0" xfId="3" applyNumberFormat="1" applyFont="1" applyFill="1" applyBorder="1" applyAlignment="1">
      <alignment horizontal="center" vertical="center"/>
    </xf>
    <xf numFmtId="0" fontId="29" fillId="0" borderId="0" xfId="3" applyFont="1" applyFill="1" applyBorder="1" applyAlignment="1">
      <alignment horizontal="center" vertical="center"/>
    </xf>
    <xf numFmtId="3" fontId="28" fillId="0" borderId="0" xfId="3" applyNumberFormat="1" applyFont="1" applyFill="1" applyBorder="1" applyAlignment="1">
      <alignment horizontal="center" vertical="center"/>
    </xf>
    <xf numFmtId="1" fontId="28" fillId="0" borderId="0" xfId="3" applyNumberFormat="1" applyFont="1" applyFill="1" applyBorder="1" applyAlignment="1" applyProtection="1">
      <alignment horizontal="center" vertical="center"/>
    </xf>
    <xf numFmtId="169" fontId="28" fillId="0" borderId="0" xfId="3" applyNumberFormat="1" applyFont="1" applyFill="1" applyBorder="1" applyAlignment="1">
      <alignment horizontal="center" vertical="center"/>
    </xf>
    <xf numFmtId="170" fontId="28" fillId="0" borderId="0" xfId="3" applyNumberFormat="1" applyFont="1" applyFill="1" applyBorder="1" applyAlignment="1">
      <alignment horizontal="center" vertical="center"/>
    </xf>
    <xf numFmtId="0" fontId="29" fillId="0" borderId="0" xfId="3" applyFont="1" applyFill="1" applyBorder="1" applyAlignment="1">
      <alignment horizontal="center" vertical="center" wrapText="1"/>
    </xf>
    <xf numFmtId="0" fontId="30" fillId="0" borderId="0" xfId="3" applyFont="1" applyFill="1" applyBorder="1" applyAlignment="1">
      <alignment horizontal="center" vertical="center"/>
    </xf>
    <xf numFmtId="0" fontId="28" fillId="0" borderId="0" xfId="3" applyFont="1" applyFill="1" applyBorder="1" applyAlignment="1">
      <alignment horizontal="center" vertical="center"/>
    </xf>
    <xf numFmtId="0" fontId="29" fillId="0" borderId="0" xfId="3" applyFont="1" applyFill="1" applyBorder="1" applyAlignment="1">
      <alignment vertical="center"/>
    </xf>
    <xf numFmtId="1" fontId="28" fillId="4" borderId="4" xfId="3" applyNumberFormat="1" applyFont="1" applyFill="1" applyBorder="1" applyAlignment="1" applyProtection="1">
      <alignment horizontal="center" vertical="center"/>
    </xf>
    <xf numFmtId="0" fontId="29" fillId="5" borderId="5" xfId="3" applyFont="1" applyFill="1" applyBorder="1" applyAlignment="1">
      <alignment horizontal="center" vertical="center" wrapText="1"/>
    </xf>
    <xf numFmtId="0" fontId="29" fillId="4" borderId="6" xfId="3" applyFont="1" applyFill="1" applyBorder="1" applyAlignment="1">
      <alignment horizontal="center" vertical="center" wrapText="1"/>
    </xf>
    <xf numFmtId="0" fontId="29" fillId="4" borderId="7" xfId="3" applyFont="1" applyFill="1" applyBorder="1" applyAlignment="1">
      <alignment horizontal="center" vertical="center" wrapText="1"/>
    </xf>
    <xf numFmtId="0" fontId="28" fillId="6" borderId="8" xfId="3" applyFont="1" applyFill="1" applyBorder="1" applyAlignment="1">
      <alignment horizontal="center" vertical="center"/>
    </xf>
    <xf numFmtId="0" fontId="29" fillId="4" borderId="8" xfId="3" applyFont="1" applyFill="1" applyBorder="1" applyAlignment="1">
      <alignment vertical="center"/>
    </xf>
    <xf numFmtId="0" fontId="31" fillId="0" borderId="27" xfId="0" applyFont="1" applyBorder="1"/>
    <xf numFmtId="0" fontId="32" fillId="0" borderId="27" xfId="0" applyFont="1" applyBorder="1" applyAlignment="1">
      <alignment horizontal="left"/>
    </xf>
    <xf numFmtId="0" fontId="23" fillId="0" borderId="0" xfId="0" applyFont="1"/>
    <xf numFmtId="0" fontId="0" fillId="0" borderId="9" xfId="0" applyBorder="1"/>
    <xf numFmtId="0" fontId="0" fillId="0" borderId="10" xfId="0" applyBorder="1"/>
    <xf numFmtId="0" fontId="0" fillId="0" borderId="11" xfId="0" applyBorder="1"/>
    <xf numFmtId="0" fontId="7" fillId="7" borderId="9" xfId="0" applyFont="1" applyFill="1" applyBorder="1"/>
    <xf numFmtId="0" fontId="16" fillId="7" borderId="10" xfId="0" applyFont="1" applyFill="1" applyBorder="1"/>
    <xf numFmtId="0" fontId="7" fillId="7" borderId="10" xfId="0" applyFont="1" applyFill="1" applyBorder="1"/>
    <xf numFmtId="0" fontId="7" fillId="7" borderId="11" xfId="0" applyFont="1" applyFill="1" applyBorder="1"/>
    <xf numFmtId="0" fontId="0" fillId="7" borderId="12" xfId="0" applyFill="1" applyBorder="1" applyAlignment="1">
      <alignment horizontal="left"/>
    </xf>
    <xf numFmtId="0" fontId="0" fillId="0" borderId="13" xfId="0" applyBorder="1"/>
    <xf numFmtId="0" fontId="0" fillId="0" borderId="14" xfId="0" applyBorder="1"/>
    <xf numFmtId="0" fontId="0" fillId="0" borderId="15" xfId="0" applyBorder="1"/>
    <xf numFmtId="0" fontId="23" fillId="0" borderId="16" xfId="0" applyFont="1" applyBorder="1"/>
    <xf numFmtId="0" fontId="0" fillId="0" borderId="0" xfId="0" applyBorder="1"/>
    <xf numFmtId="0" fontId="0" fillId="0" borderId="17" xfId="0" applyBorder="1"/>
    <xf numFmtId="0" fontId="0" fillId="0" borderId="16" xfId="0" applyBorder="1"/>
    <xf numFmtId="3" fontId="7" fillId="8" borderId="8" xfId="0" applyNumberFormat="1" applyFont="1" applyFill="1" applyBorder="1"/>
    <xf numFmtId="0" fontId="29" fillId="5" borderId="13" xfId="3" applyFont="1" applyFill="1" applyBorder="1" applyAlignment="1">
      <alignment horizontal="center" vertical="center"/>
    </xf>
    <xf numFmtId="0" fontId="29" fillId="5" borderId="14" xfId="3" applyFont="1" applyFill="1" applyBorder="1" applyAlignment="1">
      <alignment horizontal="center" vertical="center"/>
    </xf>
    <xf numFmtId="0" fontId="29" fillId="5" borderId="16" xfId="3" applyFont="1" applyFill="1" applyBorder="1" applyAlignment="1">
      <alignment horizontal="center" vertical="center"/>
    </xf>
    <xf numFmtId="0" fontId="29" fillId="5" borderId="0" xfId="3" applyFont="1" applyFill="1" applyBorder="1" applyAlignment="1">
      <alignment horizontal="center" vertical="center"/>
    </xf>
    <xf numFmtId="0" fontId="29" fillId="5" borderId="9" xfId="3" applyFont="1" applyFill="1" applyBorder="1" applyAlignment="1">
      <alignment horizontal="center" vertical="center"/>
    </xf>
    <xf numFmtId="0" fontId="29" fillId="5" borderId="10" xfId="3" applyFont="1" applyFill="1" applyBorder="1" applyAlignment="1">
      <alignment horizontal="center" vertical="center"/>
    </xf>
    <xf numFmtId="0" fontId="29" fillId="3" borderId="0" xfId="3" applyFont="1" applyFill="1" applyBorder="1" applyAlignment="1">
      <alignment horizontal="center" vertical="center" wrapText="1"/>
    </xf>
    <xf numFmtId="169" fontId="28" fillId="3" borderId="0" xfId="3" applyNumberFormat="1" applyFont="1" applyFill="1" applyBorder="1" applyAlignment="1">
      <alignment horizontal="center" vertical="center"/>
    </xf>
    <xf numFmtId="0" fontId="29" fillId="3" borderId="0" xfId="3" applyFont="1" applyFill="1" applyBorder="1" applyAlignment="1">
      <alignment horizontal="center" vertical="center"/>
    </xf>
    <xf numFmtId="0" fontId="30" fillId="9" borderId="18" xfId="3" applyFont="1" applyFill="1" applyBorder="1" applyAlignment="1">
      <alignment horizontal="center" vertical="center"/>
    </xf>
    <xf numFmtId="0" fontId="29" fillId="4" borderId="19" xfId="3" applyFont="1" applyFill="1" applyBorder="1" applyAlignment="1">
      <alignment horizontal="center" vertical="center"/>
    </xf>
    <xf numFmtId="0" fontId="28" fillId="6" borderId="17" xfId="3" applyFont="1" applyFill="1" applyBorder="1" applyAlignment="1">
      <alignment vertical="center"/>
    </xf>
    <xf numFmtId="0" fontId="29" fillId="4" borderId="20" xfId="3" applyFont="1" applyFill="1" applyBorder="1" applyAlignment="1">
      <alignment horizontal="center" vertical="center" wrapText="1"/>
    </xf>
    <xf numFmtId="0" fontId="30" fillId="5" borderId="15" xfId="3" applyFont="1" applyFill="1" applyBorder="1" applyAlignment="1">
      <alignment horizontal="center" vertical="center"/>
    </xf>
    <xf numFmtId="0" fontId="29" fillId="5" borderId="17" xfId="3" applyFont="1" applyFill="1" applyBorder="1" applyAlignment="1">
      <alignment horizontal="center" vertical="center"/>
    </xf>
    <xf numFmtId="0" fontId="28" fillId="5" borderId="11" xfId="3" applyFont="1" applyFill="1" applyBorder="1" applyAlignment="1">
      <alignment vertical="center"/>
    </xf>
    <xf numFmtId="0" fontId="29" fillId="3" borderId="0" xfId="3" applyFont="1" applyFill="1" applyBorder="1" applyAlignment="1">
      <alignment vertical="center"/>
    </xf>
    <xf numFmtId="0" fontId="29" fillId="10" borderId="8" xfId="3" applyFont="1" applyFill="1" applyBorder="1" applyAlignment="1">
      <alignment horizontal="center" vertical="center"/>
    </xf>
    <xf numFmtId="3" fontId="7" fillId="8" borderId="8" xfId="0" applyNumberFormat="1" applyFont="1" applyFill="1" applyBorder="1" applyProtection="1"/>
    <xf numFmtId="3" fontId="28" fillId="11" borderId="21" xfId="3" applyNumberFormat="1" applyFont="1" applyFill="1" applyBorder="1" applyAlignment="1" applyProtection="1">
      <alignment horizontal="center" vertical="center"/>
    </xf>
    <xf numFmtId="3" fontId="28" fillId="5" borderId="5" xfId="3" applyNumberFormat="1" applyFont="1" applyFill="1" applyBorder="1" applyAlignment="1" applyProtection="1">
      <alignment horizontal="center" vertical="center"/>
    </xf>
    <xf numFmtId="3" fontId="28" fillId="10" borderId="5" xfId="3" applyNumberFormat="1" applyFont="1" applyFill="1" applyBorder="1" applyAlignment="1" applyProtection="1">
      <alignment horizontal="center" vertical="center"/>
    </xf>
    <xf numFmtId="1" fontId="29" fillId="10" borderId="6" xfId="3" applyNumberFormat="1" applyFont="1" applyFill="1" applyBorder="1" applyAlignment="1" applyProtection="1">
      <alignment horizontal="center" vertical="center"/>
    </xf>
    <xf numFmtId="3" fontId="29" fillId="10" borderId="22" xfId="3" applyNumberFormat="1" applyFont="1" applyFill="1" applyBorder="1" applyAlignment="1" applyProtection="1">
      <alignment horizontal="center" vertical="center"/>
    </xf>
    <xf numFmtId="169" fontId="28" fillId="6" borderId="8" xfId="3" applyNumberFormat="1" applyFont="1" applyFill="1" applyBorder="1" applyAlignment="1" applyProtection="1">
      <alignment horizontal="center" vertical="center"/>
      <protection locked="0"/>
    </xf>
    <xf numFmtId="0" fontId="0" fillId="10" borderId="8" xfId="0" applyFill="1" applyBorder="1" applyProtection="1">
      <protection locked="0"/>
    </xf>
    <xf numFmtId="3" fontId="28" fillId="6" borderId="23" xfId="3" applyNumberFormat="1" applyFont="1" applyFill="1" applyBorder="1" applyAlignment="1" applyProtection="1">
      <alignment horizontal="center" vertical="center"/>
      <protection locked="0"/>
    </xf>
    <xf numFmtId="0" fontId="0" fillId="0" borderId="27" xfId="0" applyFont="1" applyBorder="1" applyProtection="1">
      <protection locked="0"/>
    </xf>
    <xf numFmtId="0" fontId="0" fillId="3" borderId="0" xfId="0" applyFill="1" applyBorder="1" applyProtection="1">
      <protection locked="0"/>
    </xf>
    <xf numFmtId="0" fontId="16" fillId="7" borderId="13" xfId="0" applyFont="1" applyFill="1" applyBorder="1" applyAlignment="1">
      <alignment horizontal="center"/>
    </xf>
    <xf numFmtId="0" fontId="16" fillId="7" borderId="14" xfId="0" applyFont="1" applyFill="1" applyBorder="1" applyAlignment="1">
      <alignment horizontal="center"/>
    </xf>
    <xf numFmtId="0" fontId="16" fillId="7" borderId="15" xfId="0" applyFont="1" applyFill="1" applyBorder="1" applyAlignment="1">
      <alignment horizontal="center"/>
    </xf>
    <xf numFmtId="0" fontId="23" fillId="0" borderId="0" xfId="0" applyFont="1" applyAlignment="1">
      <alignment horizontal="center"/>
    </xf>
    <xf numFmtId="0" fontId="29" fillId="0" borderId="0" xfId="3" applyFont="1" applyFill="1" applyBorder="1" applyAlignment="1">
      <alignment horizontal="center" vertical="center"/>
    </xf>
    <xf numFmtId="0" fontId="29" fillId="11" borderId="24" xfId="3" applyFont="1" applyFill="1" applyBorder="1" applyAlignment="1">
      <alignment horizontal="center" vertical="center"/>
    </xf>
    <xf numFmtId="0" fontId="29" fillId="11" borderId="25" xfId="3" applyFont="1" applyFill="1" applyBorder="1" applyAlignment="1">
      <alignment horizontal="center" vertical="center"/>
    </xf>
    <xf numFmtId="0" fontId="29" fillId="11" borderId="26" xfId="3" applyFont="1" applyFill="1" applyBorder="1" applyAlignment="1">
      <alignment horizontal="center" vertical="center"/>
    </xf>
    <xf numFmtId="0" fontId="28" fillId="0" borderId="0" xfId="3" applyFont="1" applyBorder="1" applyAlignment="1">
      <alignment horizontal="center" vertical="center"/>
    </xf>
    <xf numFmtId="0" fontId="33" fillId="4" borderId="0" xfId="3" applyFont="1" applyFill="1" applyBorder="1" applyAlignment="1">
      <alignment horizontal="left" vertical="center"/>
    </xf>
  </cellXfs>
  <cellStyles count="4">
    <cellStyle name="Hyperlink" xfId="1" builtinId="8"/>
    <cellStyle name="Normal" xfId="0" builtinId="0"/>
    <cellStyle name="Normal 2" xfId="2"/>
    <cellStyle name="Normal 3" xfId="3"/>
  </cellStyles>
  <dxfs count="6">
    <dxf>
      <font>
        <color theme="0"/>
      </font>
    </dxf>
    <dxf>
      <font>
        <color theme="0"/>
      </font>
    </dxf>
    <dxf>
      <fill>
        <patternFill>
          <bgColor theme="6" tint="0.59996337778862885"/>
        </patternFill>
      </fill>
      <border>
        <left style="thin">
          <color indexed="64"/>
        </left>
        <right style="thin">
          <color indexed="64"/>
        </right>
        <top style="thin">
          <color indexed="64"/>
        </top>
        <bottom style="thin">
          <color indexed="64"/>
        </bottom>
      </border>
    </dxf>
    <dxf>
      <font>
        <color theme="0"/>
      </font>
    </dxf>
    <dxf>
      <fill>
        <patternFill>
          <bgColor theme="6" tint="0.59996337778862885"/>
        </patternFill>
      </fill>
      <border>
        <left style="thin">
          <color indexed="64"/>
        </left>
        <right style="thin">
          <color indexed="64"/>
        </right>
        <top style="thin">
          <color indexed="64"/>
        </top>
        <bottom style="thin">
          <color indexed="64"/>
        </bottom>
      </border>
    </dxf>
    <dxf>
      <fill>
        <patternFill>
          <bgColor theme="6" tint="0.59996337778862885"/>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T21"/>
  <sheetViews>
    <sheetView workbookViewId="0">
      <selection activeCell="F32" sqref="F32"/>
    </sheetView>
  </sheetViews>
  <sheetFormatPr defaultRowHeight="12.75"/>
  <cols>
    <col min="1" max="1" width="2.28515625" customWidth="1"/>
  </cols>
  <sheetData>
    <row r="1" spans="1:19">
      <c r="B1" s="145" t="s">
        <v>93</v>
      </c>
      <c r="C1" s="146"/>
      <c r="D1" s="146"/>
      <c r="E1" s="146"/>
      <c r="F1" s="146"/>
      <c r="G1" s="146"/>
      <c r="H1" s="147"/>
    </row>
    <row r="2" spans="1:19" ht="13.5" thickBot="1">
      <c r="B2" s="103"/>
      <c r="C2" s="104" t="s">
        <v>94</v>
      </c>
      <c r="D2" s="105"/>
      <c r="E2" s="105"/>
      <c r="F2" s="105"/>
      <c r="G2" s="105"/>
      <c r="H2" s="106"/>
    </row>
    <row r="3" spans="1:19">
      <c r="A3" s="99"/>
    </row>
    <row r="4" spans="1:19">
      <c r="A4" s="99"/>
      <c r="B4" s="99"/>
      <c r="C4" s="148" t="s">
        <v>95</v>
      </c>
      <c r="D4" s="148"/>
      <c r="E4" s="148"/>
      <c r="F4" s="148"/>
      <c r="G4" s="148"/>
    </row>
    <row r="5" spans="1:19" ht="13.5" thickBot="1"/>
    <row r="6" spans="1:19" ht="13.5" thickBot="1">
      <c r="A6" s="107">
        <v>1</v>
      </c>
    </row>
    <row r="7" spans="1:19">
      <c r="A7" s="108" t="s">
        <v>96</v>
      </c>
      <c r="B7" s="109"/>
      <c r="C7" s="109"/>
      <c r="D7" s="109"/>
      <c r="E7" s="109"/>
      <c r="F7" s="109"/>
      <c r="G7" s="109"/>
      <c r="H7" s="109"/>
      <c r="I7" s="109"/>
      <c r="J7" s="109"/>
      <c r="K7" s="109"/>
      <c r="L7" s="109"/>
      <c r="M7" s="109"/>
      <c r="N7" s="109"/>
      <c r="O7" s="109"/>
      <c r="P7" s="109"/>
      <c r="Q7" s="109"/>
      <c r="R7" s="109"/>
      <c r="S7" s="110"/>
    </row>
    <row r="8" spans="1:19">
      <c r="A8" s="111" t="s">
        <v>104</v>
      </c>
      <c r="B8" s="112"/>
      <c r="C8" s="112"/>
      <c r="D8" s="112"/>
      <c r="E8" s="112"/>
      <c r="F8" s="112"/>
      <c r="G8" s="112"/>
      <c r="H8" s="112"/>
      <c r="I8" s="112"/>
      <c r="J8" s="112"/>
      <c r="K8" s="112"/>
      <c r="L8" s="112"/>
      <c r="M8" s="112"/>
      <c r="N8" s="112"/>
      <c r="O8" s="112"/>
      <c r="P8" s="112"/>
      <c r="Q8" s="112"/>
      <c r="R8" s="112"/>
      <c r="S8" s="113"/>
    </row>
    <row r="9" spans="1:19">
      <c r="A9" s="114" t="s">
        <v>105</v>
      </c>
      <c r="B9" s="112"/>
      <c r="C9" s="112"/>
      <c r="D9" s="112"/>
      <c r="E9" s="112"/>
      <c r="F9" s="112"/>
      <c r="G9" s="112"/>
      <c r="H9" s="112"/>
      <c r="I9" s="112"/>
      <c r="J9" s="112"/>
      <c r="K9" s="112"/>
      <c r="L9" s="112"/>
      <c r="M9" s="112"/>
      <c r="N9" s="112"/>
      <c r="O9" s="112"/>
      <c r="P9" s="112"/>
      <c r="Q9" s="112"/>
      <c r="R9" s="112"/>
      <c r="S9" s="113"/>
    </row>
    <row r="10" spans="1:19" ht="13.5" thickBot="1">
      <c r="A10" s="100" t="s">
        <v>97</v>
      </c>
      <c r="B10" s="101"/>
      <c r="C10" s="101"/>
      <c r="D10" s="101"/>
      <c r="E10" s="101"/>
      <c r="F10" s="101"/>
      <c r="G10" s="101"/>
      <c r="H10" s="101"/>
      <c r="I10" s="101"/>
      <c r="J10" s="101"/>
      <c r="K10" s="101"/>
      <c r="L10" s="101"/>
      <c r="M10" s="101"/>
      <c r="N10" s="101"/>
      <c r="O10" s="101"/>
      <c r="P10" s="101"/>
      <c r="Q10" s="101"/>
      <c r="R10" s="101"/>
      <c r="S10" s="102"/>
    </row>
    <row r="11" spans="1:19" ht="13.5" thickBot="1"/>
    <row r="12" spans="1:19" ht="13.5" thickBot="1">
      <c r="A12" s="107">
        <v>2</v>
      </c>
    </row>
    <row r="13" spans="1:19">
      <c r="A13" s="108" t="s">
        <v>98</v>
      </c>
      <c r="B13" s="109"/>
      <c r="C13" s="109"/>
      <c r="D13" s="109"/>
      <c r="E13" s="109"/>
      <c r="F13" s="109"/>
      <c r="G13" s="109"/>
      <c r="H13" s="109"/>
      <c r="I13" s="109"/>
      <c r="J13" s="109"/>
      <c r="K13" s="109"/>
      <c r="L13" s="109"/>
      <c r="M13" s="109"/>
      <c r="N13" s="109"/>
      <c r="O13" s="109"/>
      <c r="P13" s="109"/>
      <c r="Q13" s="109"/>
      <c r="R13" s="109"/>
      <c r="S13" s="110"/>
    </row>
    <row r="14" spans="1:19">
      <c r="A14" s="114" t="s">
        <v>99</v>
      </c>
      <c r="B14" s="112"/>
      <c r="C14" s="112"/>
      <c r="D14" s="112"/>
      <c r="E14" s="112"/>
      <c r="F14" s="112"/>
      <c r="G14" s="112"/>
      <c r="H14" s="112"/>
      <c r="I14" s="112"/>
      <c r="J14" s="112"/>
      <c r="K14" s="112"/>
      <c r="L14" s="112"/>
      <c r="M14" s="112"/>
      <c r="N14" s="112"/>
      <c r="O14" s="112"/>
      <c r="P14" s="112"/>
      <c r="Q14" s="112"/>
      <c r="R14" s="112"/>
      <c r="S14" s="113"/>
    </row>
    <row r="15" spans="1:19">
      <c r="A15" s="114" t="s">
        <v>106</v>
      </c>
      <c r="B15" s="112"/>
      <c r="C15" s="112"/>
      <c r="D15" s="112"/>
      <c r="E15" s="112"/>
      <c r="F15" s="112"/>
      <c r="G15" s="112"/>
      <c r="H15" s="112"/>
      <c r="I15" s="112"/>
      <c r="J15" s="112"/>
      <c r="K15" s="112"/>
      <c r="L15" s="112"/>
      <c r="M15" s="112"/>
      <c r="N15" s="112"/>
      <c r="O15" s="112"/>
      <c r="P15" s="112"/>
      <c r="Q15" s="112"/>
      <c r="R15" s="112"/>
      <c r="S15" s="113"/>
    </row>
    <row r="16" spans="1:19">
      <c r="A16" s="114" t="s">
        <v>100</v>
      </c>
      <c r="B16" s="112"/>
      <c r="C16" s="112"/>
      <c r="D16" s="112"/>
      <c r="E16" s="112"/>
      <c r="F16" s="112"/>
      <c r="G16" s="112"/>
      <c r="H16" s="112"/>
      <c r="I16" s="112"/>
      <c r="J16" s="112"/>
      <c r="K16" s="112"/>
      <c r="L16" s="112"/>
      <c r="M16" s="112"/>
      <c r="N16" s="112"/>
      <c r="O16" s="112"/>
      <c r="P16" s="112"/>
      <c r="Q16" s="112"/>
      <c r="R16" s="112"/>
      <c r="S16" s="113"/>
    </row>
    <row r="17" spans="1:20" ht="13.5" thickBot="1">
      <c r="A17" s="100"/>
      <c r="B17" s="101" t="s">
        <v>101</v>
      </c>
      <c r="C17" s="101"/>
      <c r="D17" s="101"/>
      <c r="E17" s="101"/>
      <c r="F17" s="101"/>
      <c r="G17" s="101"/>
      <c r="H17" s="101"/>
      <c r="I17" s="101"/>
      <c r="J17" s="101"/>
      <c r="K17" s="101"/>
      <c r="L17" s="101"/>
      <c r="M17" s="101"/>
      <c r="N17" s="101"/>
      <c r="O17" s="101"/>
      <c r="P17" s="101"/>
      <c r="Q17" s="101"/>
      <c r="R17" s="101"/>
      <c r="S17" s="102"/>
    </row>
    <row r="18" spans="1:20" ht="13.5" thickBot="1"/>
    <row r="19" spans="1:20" ht="13.5" thickBot="1">
      <c r="A19" s="107">
        <v>3</v>
      </c>
    </row>
    <row r="20" spans="1:20">
      <c r="A20" s="108" t="s">
        <v>102</v>
      </c>
      <c r="B20" s="109"/>
      <c r="C20" s="109"/>
      <c r="D20" s="109"/>
      <c r="E20" s="109"/>
      <c r="F20" s="109"/>
      <c r="G20" s="109"/>
      <c r="H20" s="109"/>
      <c r="I20" s="109"/>
      <c r="J20" s="109"/>
      <c r="K20" s="109"/>
      <c r="L20" s="109"/>
      <c r="M20" s="109"/>
      <c r="N20" s="109"/>
      <c r="O20" s="109"/>
      <c r="P20" s="109"/>
      <c r="Q20" s="109"/>
      <c r="R20" s="109"/>
      <c r="S20" s="109"/>
      <c r="T20" s="110"/>
    </row>
    <row r="21" spans="1:20" ht="13.5" thickBot="1">
      <c r="A21" s="100" t="s">
        <v>103</v>
      </c>
      <c r="B21" s="101"/>
      <c r="C21" s="101"/>
      <c r="D21" s="101"/>
      <c r="E21" s="101"/>
      <c r="F21" s="101"/>
      <c r="G21" s="101"/>
      <c r="H21" s="101"/>
      <c r="I21" s="101"/>
      <c r="J21" s="101"/>
      <c r="K21" s="101"/>
      <c r="L21" s="101"/>
      <c r="M21" s="101"/>
      <c r="N21" s="101"/>
      <c r="O21" s="101"/>
      <c r="P21" s="101"/>
      <c r="Q21" s="101"/>
      <c r="R21" s="101"/>
      <c r="S21" s="101"/>
      <c r="T21" s="102"/>
    </row>
  </sheetData>
  <mergeCells count="2">
    <mergeCell ref="B1:H1"/>
    <mergeCell ref="C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8" tint="0.39997558519241921"/>
  </sheetPr>
  <dimension ref="A1:P100"/>
  <sheetViews>
    <sheetView tabSelected="1" topLeftCell="B1" workbookViewId="0">
      <selection activeCell="O15" sqref="O15"/>
    </sheetView>
  </sheetViews>
  <sheetFormatPr defaultColWidth="11.7109375" defaultRowHeight="12"/>
  <cols>
    <col min="1" max="1" width="0.5703125" style="75" hidden="1" customWidth="1"/>
    <col min="2" max="2" width="4.140625" style="75" customWidth="1"/>
    <col min="3" max="4" width="11.7109375" style="75"/>
    <col min="5" max="5" width="17.140625" style="75" customWidth="1"/>
    <col min="6" max="6" width="12.28515625" style="75" customWidth="1"/>
    <col min="7" max="7" width="4.28515625" style="75" customWidth="1"/>
    <col min="8" max="9" width="11.7109375" style="75"/>
    <col min="10" max="10" width="15.5703125" style="75" customWidth="1"/>
    <col min="11" max="11" width="11.7109375" style="75"/>
    <col min="12" max="12" width="3.28515625" style="75" customWidth="1"/>
    <col min="13" max="14" width="11.7109375" style="75"/>
    <col min="15" max="15" width="14.7109375" style="75" customWidth="1"/>
    <col min="16" max="16384" width="11.7109375" style="75"/>
  </cols>
  <sheetData>
    <row r="1" spans="2:16" ht="12.75" thickBot="1">
      <c r="B1" s="150" t="s">
        <v>90</v>
      </c>
      <c r="C1" s="151"/>
      <c r="D1" s="152"/>
      <c r="E1" s="135">
        <f>((E46+J46+O46)/3)</f>
        <v>0</v>
      </c>
    </row>
    <row r="2" spans="2:16" ht="12.75" thickBot="1">
      <c r="B2" s="150" t="s">
        <v>89</v>
      </c>
      <c r="C2" s="151"/>
      <c r="D2" s="152"/>
      <c r="E2" s="135">
        <f>E1*Assumptions!C25</f>
        <v>0</v>
      </c>
    </row>
    <row r="4" spans="2:16">
      <c r="B4" s="132"/>
      <c r="C4" s="96" t="s">
        <v>88</v>
      </c>
      <c r="D4" s="95" t="s">
        <v>77</v>
      </c>
      <c r="H4" s="96" t="s">
        <v>88</v>
      </c>
      <c r="I4" s="95" t="s">
        <v>77</v>
      </c>
      <c r="M4" s="96" t="s">
        <v>88</v>
      </c>
      <c r="N4" s="95" t="s">
        <v>77</v>
      </c>
    </row>
    <row r="5" spans="2:16" ht="12.75" thickBot="1"/>
    <row r="6" spans="2:16">
      <c r="B6" s="124"/>
      <c r="C6" s="116"/>
      <c r="D6" s="117"/>
      <c r="E6" s="129"/>
      <c r="F6" s="125" t="s">
        <v>87</v>
      </c>
      <c r="H6" s="116"/>
      <c r="I6" s="117"/>
      <c r="J6" s="129"/>
      <c r="K6" s="125" t="s">
        <v>87</v>
      </c>
      <c r="M6" s="116"/>
      <c r="N6" s="117"/>
      <c r="O6" s="129"/>
      <c r="P6" s="125" t="s">
        <v>87</v>
      </c>
    </row>
    <row r="7" spans="2:16">
      <c r="B7" s="124"/>
      <c r="C7" s="118"/>
      <c r="D7" s="119" t="s">
        <v>111</v>
      </c>
      <c r="E7" s="130"/>
      <c r="F7" s="126" t="s">
        <v>86</v>
      </c>
      <c r="H7" s="118"/>
      <c r="I7" s="119" t="s">
        <v>112</v>
      </c>
      <c r="J7" s="130"/>
      <c r="K7" s="126" t="s">
        <v>86</v>
      </c>
      <c r="M7" s="118"/>
      <c r="N7" s="119" t="s">
        <v>113</v>
      </c>
      <c r="O7" s="130"/>
      <c r="P7" s="126" t="s">
        <v>86</v>
      </c>
    </row>
    <row r="8" spans="2:16" ht="12.75" thickBot="1">
      <c r="B8" s="124"/>
      <c r="C8" s="120"/>
      <c r="D8" s="121"/>
      <c r="E8" s="131"/>
      <c r="F8" s="127"/>
      <c r="H8" s="120"/>
      <c r="I8" s="121"/>
      <c r="J8" s="131"/>
      <c r="K8" s="127"/>
      <c r="M8" s="120"/>
      <c r="N8" s="121"/>
      <c r="O8" s="131"/>
      <c r="P8" s="127"/>
    </row>
    <row r="9" spans="2:16" ht="24">
      <c r="B9" s="122"/>
      <c r="C9" s="94" t="s">
        <v>85</v>
      </c>
      <c r="D9" s="93" t="s">
        <v>84</v>
      </c>
      <c r="E9" s="128" t="s">
        <v>83</v>
      </c>
      <c r="F9" s="92" t="s">
        <v>82</v>
      </c>
      <c r="H9" s="94" t="s">
        <v>85</v>
      </c>
      <c r="I9" s="93" t="s">
        <v>84</v>
      </c>
      <c r="J9" s="128" t="s">
        <v>83</v>
      </c>
      <c r="K9" s="92" t="s">
        <v>82</v>
      </c>
      <c r="M9" s="94" t="s">
        <v>85</v>
      </c>
      <c r="N9" s="93" t="s">
        <v>84</v>
      </c>
      <c r="O9" s="128" t="s">
        <v>83</v>
      </c>
      <c r="P9" s="92" t="s">
        <v>82</v>
      </c>
    </row>
    <row r="10" spans="2:16">
      <c r="B10" s="123"/>
      <c r="C10" s="140"/>
      <c r="D10" s="91" t="s">
        <v>109</v>
      </c>
      <c r="E10" s="142">
        <v>0</v>
      </c>
      <c r="F10" s="136">
        <f>E10*Assumptions!$C$25</f>
        <v>0</v>
      </c>
      <c r="H10" s="140"/>
      <c r="I10" s="91" t="s">
        <v>109</v>
      </c>
      <c r="J10" s="142">
        <v>0</v>
      </c>
      <c r="K10" s="136">
        <f>J10*Assumptions!$C$25</f>
        <v>0</v>
      </c>
      <c r="M10" s="140"/>
      <c r="N10" s="91" t="s">
        <v>109</v>
      </c>
      <c r="O10" s="142">
        <v>0</v>
      </c>
      <c r="P10" s="136">
        <f>O10*Assumptions!$C$25</f>
        <v>0</v>
      </c>
    </row>
    <row r="11" spans="2:16">
      <c r="B11" s="123"/>
      <c r="C11" s="140"/>
      <c r="D11" s="91">
        <f>IF(C11="",0,(ABS(C10-C11)))</f>
        <v>0</v>
      </c>
      <c r="E11" s="142">
        <v>0</v>
      </c>
      <c r="F11" s="136">
        <f>E11*Assumptions!$C$25</f>
        <v>0</v>
      </c>
      <c r="H11" s="140"/>
      <c r="I11" s="91">
        <f>IF(H11="",0,(ABS(H10-H11)))</f>
        <v>0</v>
      </c>
      <c r="J11" s="142">
        <v>0</v>
      </c>
      <c r="K11" s="136">
        <f>J11*Assumptions!$C$25</f>
        <v>0</v>
      </c>
      <c r="M11" s="140"/>
      <c r="N11" s="91">
        <f>IF(M11="",0,(ABS(M10-M11)))</f>
        <v>0</v>
      </c>
      <c r="O11" s="142">
        <v>0</v>
      </c>
      <c r="P11" s="136">
        <f>O11*Assumptions!$C$25</f>
        <v>0</v>
      </c>
    </row>
    <row r="12" spans="2:16">
      <c r="B12" s="123"/>
      <c r="C12" s="140"/>
      <c r="D12" s="91">
        <f t="shared" ref="D12:D45" si="0">IF(C12="",0,(ABS(C11-C12)))</f>
        <v>0</v>
      </c>
      <c r="E12" s="142">
        <v>0</v>
      </c>
      <c r="F12" s="136">
        <f>E12*Assumptions!$C$25</f>
        <v>0</v>
      </c>
      <c r="H12" s="140"/>
      <c r="I12" s="91">
        <f t="shared" ref="I12:I45" si="1">IF(H12="",0,(ABS(H11-H12)))</f>
        <v>0</v>
      </c>
      <c r="J12" s="142">
        <v>0</v>
      </c>
      <c r="K12" s="136">
        <f>J12*Assumptions!$C$25</f>
        <v>0</v>
      </c>
      <c r="M12" s="140"/>
      <c r="N12" s="91">
        <f t="shared" ref="N12:N45" si="2">IF(M12="",0,(ABS(M11-M12)))</f>
        <v>0</v>
      </c>
      <c r="O12" s="142">
        <v>0</v>
      </c>
      <c r="P12" s="136">
        <f>O12*Assumptions!$C$25</f>
        <v>0</v>
      </c>
    </row>
    <row r="13" spans="2:16">
      <c r="B13" s="123"/>
      <c r="C13" s="140"/>
      <c r="D13" s="91">
        <f t="shared" si="0"/>
        <v>0</v>
      </c>
      <c r="E13" s="142">
        <v>0</v>
      </c>
      <c r="F13" s="136">
        <f>E13*Assumptions!$C$25</f>
        <v>0</v>
      </c>
      <c r="H13" s="140"/>
      <c r="I13" s="91">
        <f t="shared" si="1"/>
        <v>0</v>
      </c>
      <c r="J13" s="142">
        <v>0</v>
      </c>
      <c r="K13" s="136">
        <f>J13*Assumptions!$C$25</f>
        <v>0</v>
      </c>
      <c r="M13" s="140"/>
      <c r="N13" s="91">
        <f t="shared" si="2"/>
        <v>0</v>
      </c>
      <c r="O13" s="142">
        <v>0</v>
      </c>
      <c r="P13" s="136">
        <f>O13*Assumptions!$C$25</f>
        <v>0</v>
      </c>
    </row>
    <row r="14" spans="2:16">
      <c r="B14" s="123"/>
      <c r="C14" s="140"/>
      <c r="D14" s="91">
        <f t="shared" si="0"/>
        <v>0</v>
      </c>
      <c r="E14" s="142">
        <v>0</v>
      </c>
      <c r="F14" s="136">
        <f>E14*Assumptions!$C$25</f>
        <v>0</v>
      </c>
      <c r="H14" s="140"/>
      <c r="I14" s="91">
        <f t="shared" si="1"/>
        <v>0</v>
      </c>
      <c r="J14" s="142">
        <v>0</v>
      </c>
      <c r="K14" s="136">
        <f>J14*Assumptions!$C$25</f>
        <v>0</v>
      </c>
      <c r="M14" s="140"/>
      <c r="N14" s="91">
        <f t="shared" si="2"/>
        <v>0</v>
      </c>
      <c r="O14" s="142">
        <v>0</v>
      </c>
      <c r="P14" s="136">
        <f>O14*Assumptions!$C$25</f>
        <v>0</v>
      </c>
    </row>
    <row r="15" spans="2:16">
      <c r="B15" s="123"/>
      <c r="C15" s="140"/>
      <c r="D15" s="91">
        <f t="shared" si="0"/>
        <v>0</v>
      </c>
      <c r="E15" s="142">
        <v>0</v>
      </c>
      <c r="F15" s="136">
        <f>E15*Assumptions!$C$25</f>
        <v>0</v>
      </c>
      <c r="H15" s="140"/>
      <c r="I15" s="91">
        <f t="shared" si="1"/>
        <v>0</v>
      </c>
      <c r="J15" s="142">
        <v>0</v>
      </c>
      <c r="K15" s="136">
        <f>J15*Assumptions!$C$25</f>
        <v>0</v>
      </c>
      <c r="M15" s="140"/>
      <c r="N15" s="91">
        <f t="shared" si="2"/>
        <v>0</v>
      </c>
      <c r="O15" s="142">
        <v>0</v>
      </c>
      <c r="P15" s="136">
        <f>O15*Assumptions!$C$25</f>
        <v>0</v>
      </c>
    </row>
    <row r="16" spans="2:16">
      <c r="B16" s="123"/>
      <c r="C16" s="140"/>
      <c r="D16" s="91">
        <f t="shared" si="0"/>
        <v>0</v>
      </c>
      <c r="E16" s="142">
        <v>0</v>
      </c>
      <c r="F16" s="136">
        <f>E16*Assumptions!$C$25</f>
        <v>0</v>
      </c>
      <c r="H16" s="140"/>
      <c r="I16" s="91">
        <f t="shared" si="1"/>
        <v>0</v>
      </c>
      <c r="J16" s="142">
        <v>0</v>
      </c>
      <c r="K16" s="136">
        <f>J16*Assumptions!$C$25</f>
        <v>0</v>
      </c>
      <c r="M16" s="140"/>
      <c r="N16" s="91">
        <f t="shared" si="2"/>
        <v>0</v>
      </c>
      <c r="O16" s="142">
        <v>0</v>
      </c>
      <c r="P16" s="136">
        <f>O16*Assumptions!$C$25</f>
        <v>0</v>
      </c>
    </row>
    <row r="17" spans="2:16">
      <c r="B17" s="123"/>
      <c r="C17" s="140"/>
      <c r="D17" s="91">
        <f t="shared" si="0"/>
        <v>0</v>
      </c>
      <c r="E17" s="142">
        <v>0</v>
      </c>
      <c r="F17" s="136">
        <f>E17*Assumptions!$C$25</f>
        <v>0</v>
      </c>
      <c r="H17" s="140"/>
      <c r="I17" s="91">
        <f t="shared" si="1"/>
        <v>0</v>
      </c>
      <c r="J17" s="142">
        <v>0</v>
      </c>
      <c r="K17" s="136">
        <f>J17*Assumptions!$C$25</f>
        <v>0</v>
      </c>
      <c r="M17" s="140"/>
      <c r="N17" s="91">
        <f t="shared" si="2"/>
        <v>0</v>
      </c>
      <c r="O17" s="142">
        <v>0</v>
      </c>
      <c r="P17" s="136">
        <f>O17*Assumptions!$C$25</f>
        <v>0</v>
      </c>
    </row>
    <row r="18" spans="2:16">
      <c r="B18" s="123"/>
      <c r="C18" s="140"/>
      <c r="D18" s="91">
        <f t="shared" si="0"/>
        <v>0</v>
      </c>
      <c r="E18" s="142">
        <v>0</v>
      </c>
      <c r="F18" s="136">
        <f>E18*Assumptions!$C$25</f>
        <v>0</v>
      </c>
      <c r="H18" s="140"/>
      <c r="I18" s="91">
        <f t="shared" si="1"/>
        <v>0</v>
      </c>
      <c r="J18" s="142">
        <v>0</v>
      </c>
      <c r="K18" s="136">
        <f>J18*Assumptions!$C$25</f>
        <v>0</v>
      </c>
      <c r="M18" s="140"/>
      <c r="N18" s="91">
        <f t="shared" si="2"/>
        <v>0</v>
      </c>
      <c r="O18" s="142">
        <v>0</v>
      </c>
      <c r="P18" s="136">
        <f>O18*Assumptions!$C$25</f>
        <v>0</v>
      </c>
    </row>
    <row r="19" spans="2:16">
      <c r="B19" s="123"/>
      <c r="C19" s="140"/>
      <c r="D19" s="91">
        <f t="shared" si="0"/>
        <v>0</v>
      </c>
      <c r="E19" s="142">
        <v>0</v>
      </c>
      <c r="F19" s="136">
        <f>E19*Assumptions!$C$25</f>
        <v>0</v>
      </c>
      <c r="H19" s="140"/>
      <c r="I19" s="91">
        <f t="shared" si="1"/>
        <v>0</v>
      </c>
      <c r="J19" s="142">
        <v>0</v>
      </c>
      <c r="K19" s="136">
        <f>J19*Assumptions!$C$25</f>
        <v>0</v>
      </c>
      <c r="M19" s="140"/>
      <c r="N19" s="91">
        <f t="shared" si="2"/>
        <v>0</v>
      </c>
      <c r="O19" s="142">
        <v>0</v>
      </c>
      <c r="P19" s="136">
        <f>O19*Assumptions!$C$25</f>
        <v>0</v>
      </c>
    </row>
    <row r="20" spans="2:16">
      <c r="B20" s="123"/>
      <c r="C20" s="140"/>
      <c r="D20" s="91">
        <f t="shared" si="0"/>
        <v>0</v>
      </c>
      <c r="E20" s="142">
        <v>0</v>
      </c>
      <c r="F20" s="136">
        <f>E20*Assumptions!$C$25</f>
        <v>0</v>
      </c>
      <c r="H20" s="140"/>
      <c r="I20" s="91">
        <f t="shared" si="1"/>
        <v>0</v>
      </c>
      <c r="J20" s="142">
        <v>0</v>
      </c>
      <c r="K20" s="136">
        <f>J20*Assumptions!$C$25</f>
        <v>0</v>
      </c>
      <c r="M20" s="140"/>
      <c r="N20" s="91">
        <f t="shared" si="2"/>
        <v>0</v>
      </c>
      <c r="O20" s="142">
        <v>0</v>
      </c>
      <c r="P20" s="136">
        <f>O20*Assumptions!$C$25</f>
        <v>0</v>
      </c>
    </row>
    <row r="21" spans="2:16">
      <c r="B21" s="123"/>
      <c r="C21" s="140"/>
      <c r="D21" s="91">
        <f t="shared" si="0"/>
        <v>0</v>
      </c>
      <c r="E21" s="142">
        <v>0</v>
      </c>
      <c r="F21" s="136">
        <f>E21*Assumptions!$C$25</f>
        <v>0</v>
      </c>
      <c r="H21" s="140"/>
      <c r="I21" s="91">
        <f t="shared" si="1"/>
        <v>0</v>
      </c>
      <c r="J21" s="142">
        <v>0</v>
      </c>
      <c r="K21" s="136">
        <f>J21*Assumptions!$C$25</f>
        <v>0</v>
      </c>
      <c r="M21" s="140"/>
      <c r="N21" s="91">
        <f t="shared" si="2"/>
        <v>0</v>
      </c>
      <c r="O21" s="142">
        <v>0</v>
      </c>
      <c r="P21" s="136">
        <f>O21*Assumptions!$C$25</f>
        <v>0</v>
      </c>
    </row>
    <row r="22" spans="2:16">
      <c r="B22" s="123"/>
      <c r="C22" s="140"/>
      <c r="D22" s="91">
        <f t="shared" si="0"/>
        <v>0</v>
      </c>
      <c r="E22" s="142">
        <v>0</v>
      </c>
      <c r="F22" s="136">
        <f>E22*Assumptions!$C$25</f>
        <v>0</v>
      </c>
      <c r="H22" s="140"/>
      <c r="I22" s="91">
        <f t="shared" si="1"/>
        <v>0</v>
      </c>
      <c r="J22" s="142">
        <v>0</v>
      </c>
      <c r="K22" s="136">
        <f>J22*Assumptions!$C$25</f>
        <v>0</v>
      </c>
      <c r="M22" s="140"/>
      <c r="N22" s="91">
        <f t="shared" si="2"/>
        <v>0</v>
      </c>
      <c r="O22" s="142">
        <v>0</v>
      </c>
      <c r="P22" s="136">
        <f>O22*Assumptions!$C$25</f>
        <v>0</v>
      </c>
    </row>
    <row r="23" spans="2:16">
      <c r="B23" s="123"/>
      <c r="C23" s="140"/>
      <c r="D23" s="91">
        <f t="shared" si="0"/>
        <v>0</v>
      </c>
      <c r="E23" s="142">
        <v>0</v>
      </c>
      <c r="F23" s="136">
        <f>E23*Assumptions!$C$25</f>
        <v>0</v>
      </c>
      <c r="H23" s="140"/>
      <c r="I23" s="91">
        <f t="shared" si="1"/>
        <v>0</v>
      </c>
      <c r="J23" s="142">
        <v>0</v>
      </c>
      <c r="K23" s="136">
        <f>J23*Assumptions!$C$25</f>
        <v>0</v>
      </c>
      <c r="M23" s="140"/>
      <c r="N23" s="91">
        <f t="shared" si="2"/>
        <v>0</v>
      </c>
      <c r="O23" s="142">
        <v>0</v>
      </c>
      <c r="P23" s="136">
        <f>O23*Assumptions!$C$25</f>
        <v>0</v>
      </c>
    </row>
    <row r="24" spans="2:16">
      <c r="B24" s="123"/>
      <c r="C24" s="140"/>
      <c r="D24" s="91">
        <f t="shared" si="0"/>
        <v>0</v>
      </c>
      <c r="E24" s="142">
        <v>0</v>
      </c>
      <c r="F24" s="136">
        <f>E24*Assumptions!$C$25</f>
        <v>0</v>
      </c>
      <c r="H24" s="140"/>
      <c r="I24" s="91">
        <f t="shared" si="1"/>
        <v>0</v>
      </c>
      <c r="J24" s="142">
        <v>0</v>
      </c>
      <c r="K24" s="136">
        <f>J24*Assumptions!$C$25</f>
        <v>0</v>
      </c>
      <c r="M24" s="140"/>
      <c r="N24" s="91">
        <f t="shared" si="2"/>
        <v>0</v>
      </c>
      <c r="O24" s="142">
        <v>0</v>
      </c>
      <c r="P24" s="136">
        <f>O24*Assumptions!$C$25</f>
        <v>0</v>
      </c>
    </row>
    <row r="25" spans="2:16">
      <c r="B25" s="123"/>
      <c r="C25" s="140"/>
      <c r="D25" s="91">
        <f t="shared" si="0"/>
        <v>0</v>
      </c>
      <c r="E25" s="142">
        <v>0</v>
      </c>
      <c r="F25" s="136">
        <f>E25*Assumptions!$C$25</f>
        <v>0</v>
      </c>
      <c r="H25" s="140"/>
      <c r="I25" s="91">
        <f t="shared" si="1"/>
        <v>0</v>
      </c>
      <c r="J25" s="142">
        <v>0</v>
      </c>
      <c r="K25" s="136">
        <f>J25*Assumptions!$C$25</f>
        <v>0</v>
      </c>
      <c r="M25" s="140"/>
      <c r="N25" s="91">
        <f t="shared" si="2"/>
        <v>0</v>
      </c>
      <c r="O25" s="142">
        <v>0</v>
      </c>
      <c r="P25" s="136">
        <f>O25*Assumptions!$C$25</f>
        <v>0</v>
      </c>
    </row>
    <row r="26" spans="2:16">
      <c r="B26" s="123"/>
      <c r="C26" s="140"/>
      <c r="D26" s="91">
        <f t="shared" si="0"/>
        <v>0</v>
      </c>
      <c r="E26" s="142">
        <v>0</v>
      </c>
      <c r="F26" s="136">
        <f>E26*Assumptions!$C$25</f>
        <v>0</v>
      </c>
      <c r="H26" s="140"/>
      <c r="I26" s="91">
        <f t="shared" si="1"/>
        <v>0</v>
      </c>
      <c r="J26" s="142">
        <v>0</v>
      </c>
      <c r="K26" s="136">
        <f>J26*Assumptions!$C$25</f>
        <v>0</v>
      </c>
      <c r="M26" s="140"/>
      <c r="N26" s="91">
        <f t="shared" si="2"/>
        <v>0</v>
      </c>
      <c r="O26" s="142">
        <v>0</v>
      </c>
      <c r="P26" s="136">
        <f>O26*Assumptions!$C$25</f>
        <v>0</v>
      </c>
    </row>
    <row r="27" spans="2:16">
      <c r="B27" s="123"/>
      <c r="C27" s="140"/>
      <c r="D27" s="91">
        <f t="shared" si="0"/>
        <v>0</v>
      </c>
      <c r="E27" s="142">
        <v>0</v>
      </c>
      <c r="F27" s="136">
        <f>E27*Assumptions!$C$25</f>
        <v>0</v>
      </c>
      <c r="H27" s="140"/>
      <c r="I27" s="91">
        <f t="shared" si="1"/>
        <v>0</v>
      </c>
      <c r="J27" s="142">
        <v>0</v>
      </c>
      <c r="K27" s="136">
        <f>J27*Assumptions!$C$25</f>
        <v>0</v>
      </c>
      <c r="M27" s="140"/>
      <c r="N27" s="91">
        <f t="shared" si="2"/>
        <v>0</v>
      </c>
      <c r="O27" s="142">
        <v>0</v>
      </c>
      <c r="P27" s="136">
        <f>O27*Assumptions!$C$25</f>
        <v>0</v>
      </c>
    </row>
    <row r="28" spans="2:16">
      <c r="B28" s="123"/>
      <c r="C28" s="140"/>
      <c r="D28" s="91">
        <f t="shared" si="0"/>
        <v>0</v>
      </c>
      <c r="E28" s="142">
        <v>0</v>
      </c>
      <c r="F28" s="136">
        <f>E28*Assumptions!$C$25</f>
        <v>0</v>
      </c>
      <c r="H28" s="140"/>
      <c r="I28" s="91">
        <f t="shared" si="1"/>
        <v>0</v>
      </c>
      <c r="J28" s="142">
        <v>0</v>
      </c>
      <c r="K28" s="136">
        <f>J28*Assumptions!$C$25</f>
        <v>0</v>
      </c>
      <c r="M28" s="140"/>
      <c r="N28" s="91">
        <f t="shared" si="2"/>
        <v>0</v>
      </c>
      <c r="O28" s="142">
        <v>0</v>
      </c>
      <c r="P28" s="136">
        <f>O28*Assumptions!$C$25</f>
        <v>0</v>
      </c>
    </row>
    <row r="29" spans="2:16">
      <c r="B29" s="123"/>
      <c r="C29" s="140"/>
      <c r="D29" s="91">
        <f t="shared" si="0"/>
        <v>0</v>
      </c>
      <c r="E29" s="142">
        <v>0</v>
      </c>
      <c r="F29" s="136">
        <f>E29*Assumptions!$C$25</f>
        <v>0</v>
      </c>
      <c r="H29" s="140"/>
      <c r="I29" s="91">
        <f t="shared" si="1"/>
        <v>0</v>
      </c>
      <c r="J29" s="142">
        <v>0</v>
      </c>
      <c r="K29" s="136">
        <f>J29*Assumptions!$C$25</f>
        <v>0</v>
      </c>
      <c r="M29" s="140"/>
      <c r="N29" s="91">
        <f t="shared" si="2"/>
        <v>0</v>
      </c>
      <c r="O29" s="142">
        <v>0</v>
      </c>
      <c r="P29" s="136">
        <f>O29*Assumptions!$C$25</f>
        <v>0</v>
      </c>
    </row>
    <row r="30" spans="2:16">
      <c r="B30" s="123"/>
      <c r="C30" s="140"/>
      <c r="D30" s="91">
        <f t="shared" si="0"/>
        <v>0</v>
      </c>
      <c r="E30" s="142">
        <v>0</v>
      </c>
      <c r="F30" s="136">
        <f>E30*Assumptions!$C$25</f>
        <v>0</v>
      </c>
      <c r="H30" s="140"/>
      <c r="I30" s="91">
        <f t="shared" si="1"/>
        <v>0</v>
      </c>
      <c r="J30" s="142">
        <v>0</v>
      </c>
      <c r="K30" s="136">
        <f>J30*Assumptions!$C$25</f>
        <v>0</v>
      </c>
      <c r="M30" s="140"/>
      <c r="N30" s="91">
        <f t="shared" si="2"/>
        <v>0</v>
      </c>
      <c r="O30" s="142">
        <v>0</v>
      </c>
      <c r="P30" s="136">
        <f>O30*Assumptions!$C$25</f>
        <v>0</v>
      </c>
    </row>
    <row r="31" spans="2:16">
      <c r="B31" s="123"/>
      <c r="C31" s="140"/>
      <c r="D31" s="91">
        <f t="shared" si="0"/>
        <v>0</v>
      </c>
      <c r="E31" s="142">
        <v>0</v>
      </c>
      <c r="F31" s="136">
        <f>E31*Assumptions!$C$25</f>
        <v>0</v>
      </c>
      <c r="H31" s="140"/>
      <c r="I31" s="91">
        <f t="shared" si="1"/>
        <v>0</v>
      </c>
      <c r="J31" s="142">
        <v>0</v>
      </c>
      <c r="K31" s="136">
        <f>J31*Assumptions!$C$25</f>
        <v>0</v>
      </c>
      <c r="M31" s="140"/>
      <c r="N31" s="91">
        <f t="shared" si="2"/>
        <v>0</v>
      </c>
      <c r="O31" s="142">
        <v>0</v>
      </c>
      <c r="P31" s="136">
        <f>O31*Assumptions!$C$25</f>
        <v>0</v>
      </c>
    </row>
    <row r="32" spans="2:16">
      <c r="B32" s="123"/>
      <c r="C32" s="140"/>
      <c r="D32" s="91">
        <f t="shared" si="0"/>
        <v>0</v>
      </c>
      <c r="E32" s="142">
        <v>0</v>
      </c>
      <c r="F32" s="136">
        <f>E32*Assumptions!$C$25</f>
        <v>0</v>
      </c>
      <c r="H32" s="140"/>
      <c r="I32" s="91">
        <f t="shared" si="1"/>
        <v>0</v>
      </c>
      <c r="J32" s="142">
        <v>0</v>
      </c>
      <c r="K32" s="136">
        <f>J32*Assumptions!$C$25</f>
        <v>0</v>
      </c>
      <c r="M32" s="140"/>
      <c r="N32" s="91">
        <f t="shared" si="2"/>
        <v>0</v>
      </c>
      <c r="O32" s="142">
        <v>0</v>
      </c>
      <c r="P32" s="136">
        <f>O32*Assumptions!$C$25</f>
        <v>0</v>
      </c>
    </row>
    <row r="33" spans="1:16">
      <c r="B33" s="123"/>
      <c r="C33" s="140"/>
      <c r="D33" s="91">
        <f t="shared" si="0"/>
        <v>0</v>
      </c>
      <c r="E33" s="142">
        <v>0</v>
      </c>
      <c r="F33" s="136">
        <f>E33*Assumptions!$C$25</f>
        <v>0</v>
      </c>
      <c r="H33" s="140"/>
      <c r="I33" s="91">
        <f t="shared" si="1"/>
        <v>0</v>
      </c>
      <c r="J33" s="142">
        <v>0</v>
      </c>
      <c r="K33" s="136">
        <f>J33*Assumptions!$C$25</f>
        <v>0</v>
      </c>
      <c r="M33" s="140"/>
      <c r="N33" s="91">
        <f t="shared" si="2"/>
        <v>0</v>
      </c>
      <c r="O33" s="142">
        <v>0</v>
      </c>
      <c r="P33" s="136">
        <f>O33*Assumptions!$C$25</f>
        <v>0</v>
      </c>
    </row>
    <row r="34" spans="1:16">
      <c r="B34" s="123"/>
      <c r="C34" s="140"/>
      <c r="D34" s="91">
        <f t="shared" si="0"/>
        <v>0</v>
      </c>
      <c r="E34" s="142">
        <v>0</v>
      </c>
      <c r="F34" s="136">
        <f>E34*Assumptions!$C$25</f>
        <v>0</v>
      </c>
      <c r="H34" s="140"/>
      <c r="I34" s="91">
        <f t="shared" si="1"/>
        <v>0</v>
      </c>
      <c r="J34" s="142">
        <v>0</v>
      </c>
      <c r="K34" s="136">
        <f>J34*Assumptions!$C$25</f>
        <v>0</v>
      </c>
      <c r="M34" s="140"/>
      <c r="N34" s="91">
        <f t="shared" si="2"/>
        <v>0</v>
      </c>
      <c r="O34" s="142">
        <v>0</v>
      </c>
      <c r="P34" s="136">
        <f>O34*Assumptions!$C$25</f>
        <v>0</v>
      </c>
    </row>
    <row r="35" spans="1:16">
      <c r="B35" s="123"/>
      <c r="C35" s="140"/>
      <c r="D35" s="91">
        <f t="shared" si="0"/>
        <v>0</v>
      </c>
      <c r="E35" s="142">
        <v>0</v>
      </c>
      <c r="F35" s="136">
        <f>E35*Assumptions!$C$25</f>
        <v>0</v>
      </c>
      <c r="H35" s="140"/>
      <c r="I35" s="91">
        <f t="shared" si="1"/>
        <v>0</v>
      </c>
      <c r="J35" s="142">
        <v>0</v>
      </c>
      <c r="K35" s="136">
        <f>J35*Assumptions!$C$25</f>
        <v>0</v>
      </c>
      <c r="M35" s="140"/>
      <c r="N35" s="91">
        <f t="shared" si="2"/>
        <v>0</v>
      </c>
      <c r="O35" s="142">
        <v>0</v>
      </c>
      <c r="P35" s="136">
        <f>O35*Assumptions!$C$25</f>
        <v>0</v>
      </c>
    </row>
    <row r="36" spans="1:16">
      <c r="B36" s="123"/>
      <c r="C36" s="140"/>
      <c r="D36" s="91">
        <f t="shared" si="0"/>
        <v>0</v>
      </c>
      <c r="E36" s="142">
        <v>0</v>
      </c>
      <c r="F36" s="136">
        <f>E36*Assumptions!$C$25</f>
        <v>0</v>
      </c>
      <c r="H36" s="140"/>
      <c r="I36" s="91">
        <f t="shared" si="1"/>
        <v>0</v>
      </c>
      <c r="J36" s="142">
        <v>0</v>
      </c>
      <c r="K36" s="136">
        <f>J36*Assumptions!$C$25</f>
        <v>0</v>
      </c>
      <c r="M36" s="140"/>
      <c r="N36" s="91">
        <f t="shared" si="2"/>
        <v>0</v>
      </c>
      <c r="O36" s="142">
        <v>0</v>
      </c>
      <c r="P36" s="136">
        <f>O36*Assumptions!$C$25</f>
        <v>0</v>
      </c>
    </row>
    <row r="37" spans="1:16">
      <c r="B37" s="123"/>
      <c r="C37" s="140"/>
      <c r="D37" s="91">
        <f t="shared" si="0"/>
        <v>0</v>
      </c>
      <c r="E37" s="142">
        <v>0</v>
      </c>
      <c r="F37" s="136">
        <f>E37*Assumptions!$C$25</f>
        <v>0</v>
      </c>
      <c r="H37" s="140"/>
      <c r="I37" s="91">
        <f t="shared" si="1"/>
        <v>0</v>
      </c>
      <c r="J37" s="142">
        <v>0</v>
      </c>
      <c r="K37" s="136">
        <f>J37*Assumptions!$C$25</f>
        <v>0</v>
      </c>
      <c r="M37" s="140"/>
      <c r="N37" s="91">
        <f t="shared" si="2"/>
        <v>0</v>
      </c>
      <c r="O37" s="142">
        <v>0</v>
      </c>
      <c r="P37" s="136">
        <f>O37*Assumptions!$C$25</f>
        <v>0</v>
      </c>
    </row>
    <row r="38" spans="1:16">
      <c r="B38" s="123"/>
      <c r="C38" s="140"/>
      <c r="D38" s="91">
        <f t="shared" si="0"/>
        <v>0</v>
      </c>
      <c r="E38" s="142">
        <v>0</v>
      </c>
      <c r="F38" s="136">
        <f>E38*Assumptions!$C$25</f>
        <v>0</v>
      </c>
      <c r="H38" s="140"/>
      <c r="I38" s="91">
        <f t="shared" si="1"/>
        <v>0</v>
      </c>
      <c r="J38" s="142">
        <v>0</v>
      </c>
      <c r="K38" s="136">
        <f>J38*Assumptions!$C$25</f>
        <v>0</v>
      </c>
      <c r="M38" s="140"/>
      <c r="N38" s="91">
        <f t="shared" si="2"/>
        <v>0</v>
      </c>
      <c r="O38" s="142">
        <v>0</v>
      </c>
      <c r="P38" s="136">
        <f>O38*Assumptions!$C$25</f>
        <v>0</v>
      </c>
    </row>
    <row r="39" spans="1:16">
      <c r="B39" s="123"/>
      <c r="C39" s="140"/>
      <c r="D39" s="91">
        <f t="shared" si="0"/>
        <v>0</v>
      </c>
      <c r="E39" s="142">
        <v>0</v>
      </c>
      <c r="F39" s="136">
        <f>E39*Assumptions!$C$25</f>
        <v>0</v>
      </c>
      <c r="H39" s="140"/>
      <c r="I39" s="91">
        <f t="shared" si="1"/>
        <v>0</v>
      </c>
      <c r="J39" s="142">
        <v>0</v>
      </c>
      <c r="K39" s="136">
        <f>J39*Assumptions!$C$25</f>
        <v>0</v>
      </c>
      <c r="M39" s="140"/>
      <c r="N39" s="91">
        <f t="shared" si="2"/>
        <v>0</v>
      </c>
      <c r="O39" s="142">
        <v>0</v>
      </c>
      <c r="P39" s="136">
        <f>O39*Assumptions!$C$25</f>
        <v>0</v>
      </c>
    </row>
    <row r="40" spans="1:16">
      <c r="B40" s="123"/>
      <c r="C40" s="140"/>
      <c r="D40" s="91">
        <f t="shared" si="0"/>
        <v>0</v>
      </c>
      <c r="E40" s="142">
        <v>0</v>
      </c>
      <c r="F40" s="136">
        <f>E40*Assumptions!$C$25</f>
        <v>0</v>
      </c>
      <c r="H40" s="140"/>
      <c r="I40" s="91">
        <f t="shared" si="1"/>
        <v>0</v>
      </c>
      <c r="J40" s="142">
        <v>0</v>
      </c>
      <c r="K40" s="136">
        <f>J40*Assumptions!$C$25</f>
        <v>0</v>
      </c>
      <c r="M40" s="140"/>
      <c r="N40" s="91">
        <f t="shared" si="2"/>
        <v>0</v>
      </c>
      <c r="O40" s="142">
        <v>0</v>
      </c>
      <c r="P40" s="136">
        <f>O40*Assumptions!$C$25</f>
        <v>0</v>
      </c>
    </row>
    <row r="41" spans="1:16">
      <c r="B41" s="123"/>
      <c r="C41" s="140"/>
      <c r="D41" s="91">
        <f t="shared" si="0"/>
        <v>0</v>
      </c>
      <c r="E41" s="142">
        <v>0</v>
      </c>
      <c r="F41" s="136">
        <f>E41*Assumptions!$C$25</f>
        <v>0</v>
      </c>
      <c r="H41" s="140"/>
      <c r="I41" s="91">
        <f t="shared" si="1"/>
        <v>0</v>
      </c>
      <c r="J41" s="142">
        <v>0</v>
      </c>
      <c r="K41" s="136">
        <f>J41*Assumptions!$C$25</f>
        <v>0</v>
      </c>
      <c r="M41" s="140"/>
      <c r="N41" s="91">
        <f t="shared" si="2"/>
        <v>0</v>
      </c>
      <c r="O41" s="142">
        <v>0</v>
      </c>
      <c r="P41" s="136">
        <f>O41*Assumptions!$C$25</f>
        <v>0</v>
      </c>
    </row>
    <row r="42" spans="1:16">
      <c r="B42" s="123"/>
      <c r="C42" s="140"/>
      <c r="D42" s="91">
        <f t="shared" si="0"/>
        <v>0</v>
      </c>
      <c r="E42" s="142">
        <v>0</v>
      </c>
      <c r="F42" s="136">
        <f>E42*Assumptions!$C$25</f>
        <v>0</v>
      </c>
      <c r="H42" s="140"/>
      <c r="I42" s="91">
        <f t="shared" si="1"/>
        <v>0</v>
      </c>
      <c r="J42" s="142">
        <v>0</v>
      </c>
      <c r="K42" s="136">
        <f>J42*Assumptions!$C$25</f>
        <v>0</v>
      </c>
      <c r="M42" s="140"/>
      <c r="N42" s="91">
        <f t="shared" si="2"/>
        <v>0</v>
      </c>
      <c r="O42" s="142">
        <v>0</v>
      </c>
      <c r="P42" s="136">
        <f>O42*Assumptions!$C$25</f>
        <v>0</v>
      </c>
    </row>
    <row r="43" spans="1:16">
      <c r="B43" s="123"/>
      <c r="C43" s="140"/>
      <c r="D43" s="91">
        <f t="shared" si="0"/>
        <v>0</v>
      </c>
      <c r="E43" s="142">
        <v>0</v>
      </c>
      <c r="F43" s="136">
        <f>E43*Assumptions!$C$25</f>
        <v>0</v>
      </c>
      <c r="H43" s="140"/>
      <c r="I43" s="91">
        <f t="shared" si="1"/>
        <v>0</v>
      </c>
      <c r="J43" s="142">
        <v>0</v>
      </c>
      <c r="K43" s="136">
        <f>J43*Assumptions!$C$25</f>
        <v>0</v>
      </c>
      <c r="M43" s="140"/>
      <c r="N43" s="91">
        <f t="shared" si="2"/>
        <v>0</v>
      </c>
      <c r="O43" s="142">
        <v>0</v>
      </c>
      <c r="P43" s="136">
        <f>O43*Assumptions!$C$25</f>
        <v>0</v>
      </c>
    </row>
    <row r="44" spans="1:16">
      <c r="B44" s="123"/>
      <c r="C44" s="140"/>
      <c r="D44" s="91">
        <f t="shared" si="0"/>
        <v>0</v>
      </c>
      <c r="E44" s="142">
        <v>0</v>
      </c>
      <c r="F44" s="136">
        <f>E44*Assumptions!$C$25</f>
        <v>0</v>
      </c>
      <c r="H44" s="140"/>
      <c r="I44" s="91">
        <f t="shared" si="1"/>
        <v>0</v>
      </c>
      <c r="J44" s="142">
        <v>0</v>
      </c>
      <c r="K44" s="136">
        <f>J44*Assumptions!$C$25</f>
        <v>0</v>
      </c>
      <c r="M44" s="140"/>
      <c r="N44" s="91">
        <f t="shared" si="2"/>
        <v>0</v>
      </c>
      <c r="O44" s="142">
        <v>0</v>
      </c>
      <c r="P44" s="136">
        <f>O44*Assumptions!$C$25</f>
        <v>0</v>
      </c>
    </row>
    <row r="45" spans="1:16">
      <c r="A45" s="77"/>
      <c r="B45" s="123"/>
      <c r="C45" s="140"/>
      <c r="D45" s="91">
        <f t="shared" si="0"/>
        <v>0</v>
      </c>
      <c r="E45" s="142">
        <v>0</v>
      </c>
      <c r="F45" s="136">
        <f>E45*Assumptions!$C$25</f>
        <v>0</v>
      </c>
      <c r="H45" s="140"/>
      <c r="I45" s="91">
        <f t="shared" si="1"/>
        <v>0</v>
      </c>
      <c r="J45" s="142">
        <v>0</v>
      </c>
      <c r="K45" s="136">
        <f>J45*Assumptions!$C$25</f>
        <v>0</v>
      </c>
      <c r="M45" s="140"/>
      <c r="N45" s="91">
        <f t="shared" si="2"/>
        <v>0</v>
      </c>
      <c r="O45" s="142">
        <v>0</v>
      </c>
      <c r="P45" s="136">
        <f>O45*Assumptions!$C$25</f>
        <v>0</v>
      </c>
    </row>
    <row r="46" spans="1:16" ht="12.75" thickBot="1">
      <c r="A46" s="77"/>
      <c r="B46" s="76"/>
      <c r="C46" s="133" t="s">
        <v>110</v>
      </c>
      <c r="D46" s="138">
        <f>SUM(D10:D45)</f>
        <v>0</v>
      </c>
      <c r="E46" s="139">
        <f>SUM(E10:E45)</f>
        <v>0</v>
      </c>
      <c r="F46" s="137">
        <f>E46*Assumptions!$C$25</f>
        <v>0</v>
      </c>
      <c r="H46" s="133" t="s">
        <v>110</v>
      </c>
      <c r="I46" s="138">
        <f>SUM(I10:I45)</f>
        <v>0</v>
      </c>
      <c r="J46" s="139">
        <f>SUM(J10:J45)</f>
        <v>0</v>
      </c>
      <c r="K46" s="137">
        <f>J46*Assumptions!$C$25</f>
        <v>0</v>
      </c>
      <c r="M46" s="133" t="s">
        <v>110</v>
      </c>
      <c r="N46" s="138">
        <f>SUM(N10:N45)</f>
        <v>0</v>
      </c>
      <c r="O46" s="139">
        <f>SUM(O10:O45)</f>
        <v>0</v>
      </c>
      <c r="P46" s="137">
        <f>O46*Assumptions!$C$25</f>
        <v>0</v>
      </c>
    </row>
    <row r="47" spans="1:16" s="77" customFormat="1">
      <c r="B47" s="80"/>
      <c r="C47" s="80"/>
      <c r="D47" s="79"/>
      <c r="E47" s="81"/>
      <c r="F47" s="82"/>
    </row>
    <row r="48" spans="1:16" s="77" customFormat="1">
      <c r="B48" s="80"/>
      <c r="C48" s="80"/>
      <c r="D48" s="79"/>
      <c r="E48" s="81"/>
      <c r="F48" s="82"/>
      <c r="G48" s="80"/>
    </row>
    <row r="49" spans="1:7" s="77" customFormat="1">
      <c r="B49" s="80"/>
      <c r="C49" s="80"/>
      <c r="D49" s="79"/>
      <c r="E49" s="78"/>
      <c r="F49" s="82"/>
      <c r="G49" s="80"/>
    </row>
    <row r="50" spans="1:7" s="77" customFormat="1">
      <c r="A50" s="75"/>
      <c r="B50" s="80"/>
      <c r="C50" s="80"/>
      <c r="D50" s="79"/>
      <c r="E50" s="81"/>
      <c r="F50" s="81"/>
    </row>
    <row r="51" spans="1:7" s="77" customFormat="1">
      <c r="A51" s="75"/>
      <c r="B51" s="90"/>
      <c r="C51" s="89"/>
      <c r="D51" s="79"/>
      <c r="E51" s="81"/>
      <c r="F51" s="82"/>
    </row>
    <row r="52" spans="1:7">
      <c r="B52" s="80"/>
      <c r="C52" s="80"/>
      <c r="D52" s="80"/>
      <c r="E52" s="80"/>
      <c r="F52" s="80"/>
    </row>
    <row r="53" spans="1:7">
      <c r="B53" s="149"/>
      <c r="C53" s="149"/>
      <c r="D53" s="149"/>
      <c r="E53" s="88"/>
      <c r="F53" s="80"/>
    </row>
    <row r="54" spans="1:7">
      <c r="B54" s="149"/>
      <c r="C54" s="149"/>
      <c r="D54" s="149"/>
      <c r="E54" s="82"/>
      <c r="F54" s="80"/>
    </row>
    <row r="55" spans="1:7">
      <c r="B55" s="149"/>
      <c r="C55" s="149"/>
      <c r="D55" s="149"/>
      <c r="E55" s="80"/>
      <c r="F55" s="80"/>
    </row>
    <row r="56" spans="1:7">
      <c r="B56" s="87"/>
      <c r="C56" s="87"/>
      <c r="D56" s="87"/>
      <c r="E56" s="87"/>
      <c r="F56" s="87"/>
    </row>
    <row r="57" spans="1:7">
      <c r="B57" s="86"/>
      <c r="C57" s="86"/>
      <c r="D57" s="84"/>
      <c r="E57" s="83"/>
      <c r="F57" s="83"/>
    </row>
    <row r="58" spans="1:7">
      <c r="B58" s="86"/>
      <c r="C58" s="86"/>
      <c r="D58" s="84"/>
      <c r="E58" s="83"/>
      <c r="F58" s="83"/>
    </row>
    <row r="59" spans="1:7">
      <c r="B59" s="86"/>
      <c r="C59" s="86"/>
      <c r="D59" s="84"/>
      <c r="E59" s="83"/>
      <c r="F59" s="83"/>
    </row>
    <row r="60" spans="1:7">
      <c r="B60" s="86"/>
      <c r="C60" s="86"/>
      <c r="D60" s="84"/>
      <c r="E60" s="83"/>
      <c r="F60" s="83"/>
    </row>
    <row r="61" spans="1:7">
      <c r="B61" s="86"/>
      <c r="C61" s="86"/>
      <c r="D61" s="84"/>
      <c r="E61" s="83"/>
      <c r="F61" s="83"/>
    </row>
    <row r="62" spans="1:7">
      <c r="B62" s="86"/>
      <c r="C62" s="86"/>
      <c r="D62" s="84"/>
      <c r="E62" s="83"/>
      <c r="F62" s="83"/>
    </row>
    <row r="63" spans="1:7">
      <c r="B63" s="86"/>
      <c r="C63" s="86"/>
      <c r="D63" s="84"/>
      <c r="E63" s="83"/>
      <c r="F63" s="83"/>
    </row>
    <row r="64" spans="1:7">
      <c r="B64" s="86"/>
      <c r="C64" s="86"/>
      <c r="D64" s="84"/>
      <c r="E64" s="83"/>
      <c r="F64" s="83"/>
    </row>
    <row r="65" spans="1:7">
      <c r="B65" s="86"/>
      <c r="C65" s="86"/>
      <c r="D65" s="84"/>
      <c r="E65" s="83"/>
      <c r="F65" s="83"/>
    </row>
    <row r="66" spans="1:7">
      <c r="B66" s="86"/>
      <c r="C66" s="86"/>
      <c r="D66" s="84"/>
      <c r="E66" s="83"/>
      <c r="F66" s="83"/>
    </row>
    <row r="67" spans="1:7">
      <c r="B67" s="86"/>
      <c r="C67" s="86"/>
      <c r="D67" s="84"/>
      <c r="E67" s="83"/>
      <c r="F67" s="83"/>
    </row>
    <row r="68" spans="1:7">
      <c r="B68" s="85"/>
      <c r="C68" s="85"/>
      <c r="D68" s="84"/>
      <c r="E68" s="83"/>
      <c r="F68" s="83"/>
    </row>
    <row r="69" spans="1:7">
      <c r="B69" s="80"/>
      <c r="C69" s="80"/>
      <c r="D69" s="79"/>
      <c r="E69" s="81"/>
      <c r="F69" s="82"/>
    </row>
    <row r="70" spans="1:7">
      <c r="A70" s="77"/>
      <c r="B70" s="80"/>
      <c r="C70" s="80"/>
      <c r="D70" s="79"/>
      <c r="E70" s="81"/>
      <c r="F70" s="80"/>
    </row>
    <row r="71" spans="1:7">
      <c r="B71" s="80"/>
      <c r="C71" s="80"/>
      <c r="D71" s="79"/>
      <c r="E71" s="81"/>
      <c r="F71" s="80"/>
    </row>
    <row r="72" spans="1:7">
      <c r="B72" s="80"/>
      <c r="C72" s="80"/>
      <c r="D72" s="79"/>
      <c r="E72" s="78"/>
      <c r="F72" s="80"/>
    </row>
    <row r="73" spans="1:7" s="77" customFormat="1">
      <c r="A73" s="75"/>
      <c r="B73" s="80"/>
      <c r="C73" s="80"/>
      <c r="D73" s="79"/>
      <c r="E73" s="78"/>
    </row>
    <row r="74" spans="1:7">
      <c r="B74" s="76"/>
      <c r="C74" s="76"/>
      <c r="D74" s="76"/>
      <c r="E74" s="76"/>
      <c r="F74" s="76"/>
      <c r="G74" s="76"/>
    </row>
    <row r="75" spans="1:7" ht="15" customHeight="1">
      <c r="B75" s="154"/>
      <c r="C75" s="154"/>
      <c r="D75" s="154"/>
      <c r="E75" s="154"/>
      <c r="F75" s="154"/>
      <c r="G75" s="76"/>
    </row>
    <row r="76" spans="1:7">
      <c r="B76" s="153"/>
      <c r="C76" s="153"/>
      <c r="D76" s="153"/>
      <c r="E76" s="153"/>
      <c r="F76" s="153"/>
      <c r="G76" s="76"/>
    </row>
    <row r="77" spans="1:7">
      <c r="B77" s="153"/>
      <c r="C77" s="153"/>
      <c r="D77" s="153"/>
      <c r="E77" s="153"/>
      <c r="F77" s="153"/>
      <c r="G77" s="76"/>
    </row>
    <row r="78" spans="1:7">
      <c r="B78" s="153"/>
      <c r="C78" s="153"/>
      <c r="D78" s="153"/>
      <c r="E78" s="153"/>
      <c r="F78" s="153"/>
      <c r="G78" s="76"/>
    </row>
    <row r="79" spans="1:7">
      <c r="B79" s="153"/>
      <c r="C79" s="153"/>
      <c r="D79" s="153"/>
      <c r="E79" s="153"/>
      <c r="F79" s="153"/>
      <c r="G79" s="76"/>
    </row>
    <row r="80" spans="1:7" ht="15.75" customHeight="1">
      <c r="B80" s="153"/>
      <c r="C80" s="153"/>
      <c r="D80" s="153"/>
      <c r="E80" s="153"/>
      <c r="F80" s="153"/>
      <c r="G80" s="76"/>
    </row>
    <row r="97" spans="2:3" hidden="1">
      <c r="B97" s="75" t="s">
        <v>81</v>
      </c>
      <c r="C97" s="75" t="s">
        <v>80</v>
      </c>
    </row>
    <row r="98" spans="2:3" hidden="1">
      <c r="B98" s="75" t="s">
        <v>79</v>
      </c>
      <c r="C98" s="75">
        <v>0.1386</v>
      </c>
    </row>
    <row r="99" spans="2:3" hidden="1">
      <c r="B99" s="75" t="s">
        <v>78</v>
      </c>
      <c r="C99" s="75">
        <v>0.139982</v>
      </c>
    </row>
    <row r="100" spans="2:3" hidden="1">
      <c r="B100" s="75" t="s">
        <v>77</v>
      </c>
      <c r="C100" s="75">
        <v>0.14859</v>
      </c>
    </row>
  </sheetData>
  <sheetProtection password="C2D0" sheet="1"/>
  <mergeCells count="9">
    <mergeCell ref="B53:D55"/>
    <mergeCell ref="B1:D1"/>
    <mergeCell ref="B2:D2"/>
    <mergeCell ref="B80:F80"/>
    <mergeCell ref="B75:F75"/>
    <mergeCell ref="B76:F76"/>
    <mergeCell ref="B77:F77"/>
    <mergeCell ref="B78:F78"/>
    <mergeCell ref="B79:F79"/>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sheetPr>
    <tabColor theme="6" tint="0.39997558519241921"/>
  </sheetPr>
  <dimension ref="A1:F26"/>
  <sheetViews>
    <sheetView workbookViewId="0">
      <selection activeCell="D7" sqref="D7"/>
    </sheetView>
  </sheetViews>
  <sheetFormatPr defaultRowHeight="12.75"/>
  <cols>
    <col min="1" max="1" width="58.85546875" style="2" customWidth="1"/>
    <col min="2" max="2" width="2.7109375" style="2" customWidth="1"/>
    <col min="3" max="3" width="17.140625" style="2" customWidth="1"/>
    <col min="4" max="4" width="9.140625" style="2"/>
    <col min="5" max="5" width="26.140625" style="2" hidden="1" customWidth="1"/>
    <col min="6" max="6" width="0" style="2" hidden="1" customWidth="1"/>
    <col min="7" max="7" width="13.7109375" style="2" bestFit="1" customWidth="1"/>
    <col min="8" max="16384" width="9.140625" style="2"/>
  </cols>
  <sheetData>
    <row r="1" spans="1:6" ht="18">
      <c r="A1" s="1" t="s">
        <v>65</v>
      </c>
    </row>
    <row r="2" spans="1:6">
      <c r="A2" s="97" t="s">
        <v>91</v>
      </c>
    </row>
    <row r="3" spans="1:6">
      <c r="A3" s="98" t="s">
        <v>92</v>
      </c>
    </row>
    <row r="4" spans="1:6">
      <c r="A4" s="4" t="s">
        <v>0</v>
      </c>
    </row>
    <row r="5" spans="1:6">
      <c r="C5" s="8"/>
    </row>
    <row r="6" spans="1:6">
      <c r="A6" s="2" t="s">
        <v>14</v>
      </c>
      <c r="B6" s="33"/>
      <c r="C6" s="141"/>
      <c r="D6" s="34"/>
    </row>
    <row r="7" spans="1:6">
      <c r="C7" s="3"/>
    </row>
    <row r="8" spans="1:6">
      <c r="A8" s="2" t="s">
        <v>15</v>
      </c>
      <c r="B8" s="35"/>
      <c r="C8" s="143"/>
      <c r="D8" s="34" t="str">
        <f>IF(C6="Biodiesel blend","%"," ")</f>
        <v xml:space="preserve"> </v>
      </c>
    </row>
    <row r="9" spans="1:6">
      <c r="A9" s="39" t="s">
        <v>64</v>
      </c>
      <c r="B9" s="35"/>
      <c r="C9" s="38"/>
      <c r="D9" s="34"/>
    </row>
    <row r="10" spans="1:6">
      <c r="A10" s="39"/>
      <c r="B10" s="35"/>
      <c r="C10" s="38"/>
      <c r="D10" s="34"/>
    </row>
    <row r="11" spans="1:6">
      <c r="A11" s="57" t="s">
        <v>56</v>
      </c>
      <c r="B11" s="35"/>
      <c r="C11" s="144"/>
      <c r="D11" s="59" t="str">
        <f>IF(C6="Biodiesel blend","years"," ")</f>
        <v xml:space="preserve"> </v>
      </c>
      <c r="E11" s="60"/>
    </row>
    <row r="12" spans="1:6" ht="22.5">
      <c r="A12" s="58" t="s">
        <v>66</v>
      </c>
      <c r="B12" s="35"/>
      <c r="C12" s="38"/>
      <c r="D12" s="34"/>
    </row>
    <row r="13" spans="1:6">
      <c r="A13" s="39"/>
      <c r="B13" s="35"/>
      <c r="C13" s="38"/>
      <c r="D13" s="34"/>
    </row>
    <row r="14" spans="1:6">
      <c r="A14" s="2" t="s">
        <v>107</v>
      </c>
      <c r="B14" s="33"/>
      <c r="C14" s="134">
        <f>'Oil Billing Data'!E1</f>
        <v>0</v>
      </c>
      <c r="D14" s="112" t="s">
        <v>108</v>
      </c>
      <c r="E14" s="115">
        <f>'Oil Billing Data'!E2</f>
        <v>0</v>
      </c>
      <c r="F14" s="34" t="s">
        <v>62</v>
      </c>
    </row>
    <row r="15" spans="1:6">
      <c r="B15" s="33"/>
      <c r="C15" s="3"/>
      <c r="D15" s="34"/>
    </row>
    <row r="17" spans="1:5">
      <c r="A17" s="4" t="s">
        <v>1</v>
      </c>
    </row>
    <row r="19" spans="1:5" ht="14.25">
      <c r="A19" s="57" t="s">
        <v>63</v>
      </c>
      <c r="C19" s="66" t="b">
        <f>IF(C6="Natural gas",(E14*'Reference Values'!B16*10),IF(C6="Steam",(E14*'Reference Values'!B19*10),IF(C6="#2 / distillate fuel oil",(E14*'Reference Values'!B17*10),IF(C6="Propane",(E14*'Reference Values'!B20*10),IF(C6="Biodiesel blend",((C11*(E14*'Reference Values'!A31*'Reference Values'!B18+E14*'Reference Values'!A32*'Reference Values'!B17))+((10-C11)*(E14*'Reference Values'!B17))))))))</f>
        <v>0</v>
      </c>
      <c r="D19" s="6" t="s">
        <v>17</v>
      </c>
      <c r="E19" s="6"/>
    </row>
    <row r="20" spans="1:5">
      <c r="A20" s="57"/>
      <c r="C20" s="6"/>
      <c r="D20" s="6"/>
      <c r="E20" s="6"/>
    </row>
    <row r="21" spans="1:5">
      <c r="A21" s="57" t="s">
        <v>69</v>
      </c>
      <c r="C21" s="65">
        <f>C19/(10*'Reference Values'!D43)</f>
        <v>0</v>
      </c>
      <c r="D21" s="6" t="s">
        <v>68</v>
      </c>
    </row>
    <row r="22" spans="1:5">
      <c r="A22" s="69"/>
    </row>
    <row r="23" spans="1:5" ht="14.25">
      <c r="A23" s="57" t="s">
        <v>18</v>
      </c>
      <c r="C23" s="36">
        <f>IF(AND(C6="Biodiesel blend",C8&gt;='Reference Values'!D37),50,30)</f>
        <v>30</v>
      </c>
      <c r="D23" s="6" t="s">
        <v>73</v>
      </c>
    </row>
    <row r="24" spans="1:5">
      <c r="A24" s="57"/>
    </row>
    <row r="25" spans="1:5">
      <c r="A25" s="57" t="s">
        <v>19</v>
      </c>
      <c r="C25" s="36">
        <f>IF((C23*C19)&lt;=175000,(C23*C19),175000)</f>
        <v>0</v>
      </c>
    </row>
    <row r="26" spans="1:5">
      <c r="A26" s="58" t="s">
        <v>67</v>
      </c>
    </row>
  </sheetData>
  <sheetProtection password="C2D0" sheet="1"/>
  <conditionalFormatting sqref="F9">
    <cfRule type="expression" dxfId="5" priority="6">
      <formula>if+C6="Biodiesel blend"</formula>
    </cfRule>
  </conditionalFormatting>
  <conditionalFormatting sqref="C8">
    <cfRule type="expression" dxfId="4" priority="5">
      <formula>+C6="Biodiesel blend"</formula>
    </cfRule>
  </conditionalFormatting>
  <conditionalFormatting sqref="C23 C25 C19">
    <cfRule type="expression" dxfId="3" priority="4">
      <formula>$E$14&lt;1</formula>
    </cfRule>
  </conditionalFormatting>
  <conditionalFormatting sqref="C11:C12">
    <cfRule type="expression" dxfId="2" priority="3">
      <formula>+C6="Biodiesel blend"</formula>
    </cfRule>
  </conditionalFormatting>
  <conditionalFormatting sqref="E11">
    <cfRule type="expression" dxfId="1" priority="2">
      <formula>+$C$11=" "</formula>
    </cfRule>
  </conditionalFormatting>
  <conditionalFormatting sqref="C21">
    <cfRule type="expression" dxfId="0" priority="1">
      <formula>+E14&lt;1</formula>
    </cfRule>
  </conditionalFormatting>
  <dataValidations count="3">
    <dataValidation type="list" allowBlank="1" showInputMessage="1" showErrorMessage="1" promptTitle="Select fuel type" sqref="C6">
      <formula1>FuelTypes2</formula1>
    </dataValidation>
    <dataValidation type="whole" allowBlank="1" showInputMessage="1" showErrorMessage="1" sqref="C11">
      <formula1>1</formula1>
      <formula2>10</formula2>
    </dataValidation>
    <dataValidation type="whole" allowBlank="1" showInputMessage="1" showErrorMessage="1" sqref="C8">
      <formula1>0</formula1>
      <formula2>100</formula2>
    </dataValidation>
  </dataValidations>
  <pageMargins left="0.7" right="0.7" top="0.75" bottom="0.75" header="0.3" footer="0.3"/>
  <pageSetup orientation="portrait" r:id="rId1"/>
  <ignoredErrors>
    <ignoredError sqref="C25 C21" evalError="1"/>
  </ignoredErrors>
</worksheet>
</file>

<file path=xl/worksheets/sheet4.xml><?xml version="1.0" encoding="utf-8"?>
<worksheet xmlns="http://schemas.openxmlformats.org/spreadsheetml/2006/main" xmlns:r="http://schemas.openxmlformats.org/officeDocument/2006/relationships">
  <dimension ref="A1:G43"/>
  <sheetViews>
    <sheetView topLeftCell="A4" workbookViewId="0">
      <selection activeCell="F37" sqref="F37"/>
    </sheetView>
  </sheetViews>
  <sheetFormatPr defaultRowHeight="12.75"/>
  <cols>
    <col min="1" max="1" width="17.5703125" style="2" customWidth="1"/>
    <col min="2" max="2" width="25.140625" style="7" bestFit="1" customWidth="1"/>
    <col min="3" max="3" width="14.42578125" style="7" customWidth="1"/>
    <col min="4" max="4" width="4.140625" style="2" customWidth="1"/>
    <col min="5" max="5" width="2.42578125" style="2" bestFit="1" customWidth="1"/>
    <col min="6" max="16384" width="9.140625" style="2"/>
  </cols>
  <sheetData>
    <row r="1" spans="1:7" ht="18">
      <c r="A1" s="1" t="s">
        <v>21</v>
      </c>
    </row>
    <row r="2" spans="1:7">
      <c r="A2" s="40"/>
      <c r="B2" s="41"/>
      <c r="C2" s="41"/>
      <c r="D2" s="42"/>
      <c r="E2" s="42"/>
      <c r="F2" s="42"/>
      <c r="G2" s="42"/>
    </row>
    <row r="3" spans="1:7">
      <c r="A3" s="43" t="s">
        <v>22</v>
      </c>
      <c r="B3" s="44"/>
      <c r="C3" s="44"/>
      <c r="D3" s="42"/>
      <c r="E3" s="42"/>
      <c r="F3" s="42"/>
      <c r="G3" s="42"/>
    </row>
    <row r="4" spans="1:7" s="6" customFormat="1">
      <c r="A4" s="43" t="s">
        <v>49</v>
      </c>
      <c r="B4" s="41"/>
      <c r="C4" s="41"/>
      <c r="D4" s="42"/>
      <c r="E4" s="42"/>
      <c r="F4" s="42"/>
      <c r="G4" s="42"/>
    </row>
    <row r="5" spans="1:7">
      <c r="A5" s="42" t="s">
        <v>23</v>
      </c>
      <c r="B5" s="41"/>
      <c r="C5" s="41"/>
      <c r="D5" s="45"/>
      <c r="E5" s="42"/>
      <c r="F5" s="42"/>
      <c r="G5" s="42"/>
    </row>
    <row r="6" spans="1:7">
      <c r="A6" s="42" t="s">
        <v>24</v>
      </c>
      <c r="B6" s="41"/>
      <c r="C6" s="41"/>
      <c r="D6" s="42"/>
      <c r="E6" s="42"/>
      <c r="F6" s="42"/>
      <c r="G6" s="42"/>
    </row>
    <row r="7" spans="1:7" s="69" customFormat="1">
      <c r="A7" s="72" t="s">
        <v>75</v>
      </c>
      <c r="B7" s="68"/>
      <c r="C7" s="68"/>
      <c r="D7" s="67"/>
      <c r="E7" s="67"/>
      <c r="F7" s="67"/>
      <c r="G7" s="67"/>
    </row>
    <row r="8" spans="1:7">
      <c r="A8" s="42"/>
      <c r="B8" s="41"/>
      <c r="C8" s="41"/>
      <c r="D8" s="42"/>
      <c r="E8" s="42"/>
      <c r="F8" s="42"/>
      <c r="G8" s="42"/>
    </row>
    <row r="9" spans="1:7">
      <c r="A9" s="42"/>
      <c r="B9" s="41"/>
      <c r="C9" s="41"/>
      <c r="D9" s="42"/>
      <c r="E9" s="42"/>
      <c r="F9" s="42"/>
      <c r="G9" s="42"/>
    </row>
    <row r="10" spans="1:7" s="25" customFormat="1">
      <c r="A10" s="47"/>
      <c r="B10" s="7"/>
      <c r="C10" s="7"/>
      <c r="D10" s="2"/>
      <c r="E10" s="2"/>
      <c r="F10" s="2"/>
      <c r="G10" s="2"/>
    </row>
    <row r="11" spans="1:7" ht="18">
      <c r="A11" s="1" t="s">
        <v>48</v>
      </c>
    </row>
    <row r="12" spans="1:7">
      <c r="A12" s="5" t="s">
        <v>45</v>
      </c>
    </row>
    <row r="14" spans="1:7">
      <c r="A14" s="51" t="s">
        <v>3</v>
      </c>
      <c r="B14" s="49" t="s">
        <v>46</v>
      </c>
    </row>
    <row r="15" spans="1:7" ht="14.25">
      <c r="A15" s="50"/>
      <c r="B15" s="50" t="s">
        <v>47</v>
      </c>
      <c r="C15" s="41"/>
      <c r="D15" s="42"/>
      <c r="E15" s="42"/>
      <c r="F15" s="42"/>
      <c r="G15" s="42"/>
    </row>
    <row r="16" spans="1:7">
      <c r="A16" s="42" t="str">
        <f>A3</f>
        <v>Natural gas</v>
      </c>
      <c r="B16" s="48">
        <f>Assumptions!C10-Assumptions!C6</f>
        <v>2.7868162508319264E-2</v>
      </c>
      <c r="C16" s="41"/>
      <c r="D16" s="42"/>
      <c r="E16" s="42"/>
      <c r="F16" s="42"/>
      <c r="G16" s="42"/>
    </row>
    <row r="17" spans="1:7">
      <c r="A17" s="42" t="str">
        <f>A4</f>
        <v>#2 / distillate fuel oil</v>
      </c>
      <c r="B17" s="48">
        <f>Assumptions!C10-Assumptions!C7</f>
        <v>5.4232640558630196E-3</v>
      </c>
      <c r="C17" s="41"/>
      <c r="D17" s="45"/>
      <c r="E17" s="42"/>
      <c r="F17" s="42"/>
      <c r="G17" s="42"/>
    </row>
    <row r="18" spans="1:7">
      <c r="A18" s="42" t="s">
        <v>20</v>
      </c>
      <c r="B18" s="48">
        <f>Assumptions!C10-Assumptions!C9</f>
        <v>4.5958933031195089E-2</v>
      </c>
      <c r="C18" s="41"/>
      <c r="D18" s="42"/>
      <c r="E18" s="42"/>
      <c r="F18" s="42"/>
      <c r="G18" s="42"/>
    </row>
    <row r="19" spans="1:7">
      <c r="A19" s="42" t="str">
        <f>A6</f>
        <v>Steam</v>
      </c>
      <c r="B19" s="48">
        <f>Assumptions!C10-Assumptions!C11</f>
        <v>1.6842752006527156E-2</v>
      </c>
      <c r="C19" s="41"/>
      <c r="D19" s="42"/>
      <c r="E19" s="42"/>
      <c r="F19" s="42"/>
      <c r="G19" s="42"/>
    </row>
    <row r="20" spans="1:7" s="69" customFormat="1">
      <c r="A20" s="72" t="s">
        <v>75</v>
      </c>
      <c r="B20" s="73">
        <f>Assumptions!C10-Assumptions!C12</f>
        <v>1.657537460785366E-2</v>
      </c>
      <c r="C20" s="68"/>
      <c r="D20" s="67"/>
      <c r="E20" s="67"/>
      <c r="F20" s="67"/>
      <c r="G20" s="67"/>
    </row>
    <row r="21" spans="1:7">
      <c r="A21" s="72"/>
      <c r="B21" s="74"/>
      <c r="C21" s="41"/>
      <c r="D21" s="42"/>
      <c r="E21" s="42"/>
      <c r="F21" s="42"/>
      <c r="G21" s="42"/>
    </row>
    <row r="22" spans="1:7">
      <c r="A22" s="42"/>
      <c r="B22" s="41"/>
      <c r="C22" s="41"/>
      <c r="D22" s="42"/>
      <c r="E22" s="42"/>
      <c r="F22" s="42"/>
      <c r="G22" s="42"/>
    </row>
    <row r="23" spans="1:7">
      <c r="A23" s="42"/>
      <c r="B23" s="41"/>
      <c r="C23" s="41"/>
      <c r="D23" s="42"/>
      <c r="E23" s="42"/>
      <c r="F23" s="42"/>
      <c r="G23" s="42"/>
    </row>
    <row r="24" spans="1:7" ht="18">
      <c r="A24" s="1" t="s">
        <v>50</v>
      </c>
    </row>
    <row r="26" spans="1:7">
      <c r="A26" s="2" t="s">
        <v>51</v>
      </c>
      <c r="C26" s="32">
        <f>Calculator!C8/100</f>
        <v>0</v>
      </c>
    </row>
    <row r="28" spans="1:7">
      <c r="A28" s="54">
        <f>C26*Assumptions!C26</f>
        <v>0</v>
      </c>
      <c r="B28" s="52" t="s">
        <v>53</v>
      </c>
    </row>
    <row r="29" spans="1:7">
      <c r="A29" s="54">
        <f>(1-C26)*Assumptions!C24</f>
        <v>0.1386904761904762</v>
      </c>
      <c r="B29" s="52" t="s">
        <v>54</v>
      </c>
    </row>
    <row r="31" spans="1:7">
      <c r="A31" s="55">
        <f>A28/(A28+A29)</f>
        <v>0</v>
      </c>
      <c r="B31" s="56" t="s">
        <v>52</v>
      </c>
    </row>
    <row r="32" spans="1:7">
      <c r="A32" s="55">
        <f>1-A31</f>
        <v>1</v>
      </c>
      <c r="B32" s="56" t="s">
        <v>55</v>
      </c>
    </row>
    <row r="35" spans="1:6" ht="18">
      <c r="A35" s="1" t="s">
        <v>58</v>
      </c>
    </row>
    <row r="37" spans="1:6">
      <c r="A37" s="2" t="s">
        <v>60</v>
      </c>
      <c r="D37" s="6">
        <f>Assumptions!D41</f>
        <v>110</v>
      </c>
      <c r="E37" s="6" t="s">
        <v>16</v>
      </c>
      <c r="F37" s="2" t="s">
        <v>59</v>
      </c>
    </row>
    <row r="41" spans="1:6" ht="18">
      <c r="A41" s="1" t="s">
        <v>70</v>
      </c>
    </row>
    <row r="43" spans="1:6" ht="15.75">
      <c r="A43" s="2" t="s">
        <v>72</v>
      </c>
      <c r="D43" s="6">
        <f>Assumptions!D45</f>
        <v>5.0999999999999996</v>
      </c>
      <c r="E43" s="2" t="s">
        <v>71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F55"/>
  <sheetViews>
    <sheetView topLeftCell="A4" workbookViewId="0">
      <selection activeCell="H28" sqref="H28"/>
    </sheetView>
  </sheetViews>
  <sheetFormatPr defaultRowHeight="12.75"/>
  <cols>
    <col min="1" max="1" width="24.28515625" style="2" customWidth="1"/>
    <col min="2" max="2" width="17.7109375" style="7" bestFit="1" customWidth="1"/>
    <col min="3" max="3" width="22.5703125" style="7" bestFit="1" customWidth="1"/>
    <col min="4" max="4" width="19.28515625" style="2" customWidth="1"/>
    <col min="5" max="16384" width="9.140625" style="2"/>
  </cols>
  <sheetData>
    <row r="1" spans="1:6" ht="18">
      <c r="A1" s="1" t="s">
        <v>2</v>
      </c>
    </row>
    <row r="2" spans="1:6" ht="15">
      <c r="A2" s="5" t="s">
        <v>6</v>
      </c>
    </row>
    <row r="3" spans="1:6">
      <c r="A3" s="8"/>
      <c r="B3" s="10"/>
      <c r="C3" s="10"/>
    </row>
    <row r="4" spans="1:6" s="6" customFormat="1">
      <c r="A4" s="12" t="s">
        <v>3</v>
      </c>
      <c r="B4" s="13" t="s">
        <v>4</v>
      </c>
      <c r="C4" s="13" t="s">
        <v>4</v>
      </c>
      <c r="D4" s="13" t="s">
        <v>4</v>
      </c>
    </row>
    <row r="5" spans="1:6" s="6" customFormat="1" ht="14.25">
      <c r="A5" s="14"/>
      <c r="B5" s="15" t="s">
        <v>31</v>
      </c>
      <c r="C5" s="15" t="s">
        <v>32</v>
      </c>
      <c r="D5" s="15" t="s">
        <v>33</v>
      </c>
    </row>
    <row r="6" spans="1:6" ht="14.25">
      <c r="A6" s="16" t="s">
        <v>25</v>
      </c>
      <c r="B6" s="17">
        <v>117.25287899641579</v>
      </c>
      <c r="C6" s="18">
        <f>B6/2000</f>
        <v>5.8626439498207894E-2</v>
      </c>
      <c r="D6" s="18" t="s">
        <v>13</v>
      </c>
    </row>
    <row r="7" spans="1:6" ht="14.25">
      <c r="A7" s="19" t="s">
        <v>34</v>
      </c>
      <c r="B7" s="20">
        <v>162.14267590132829</v>
      </c>
      <c r="C7" s="21">
        <f>B7/2000</f>
        <v>8.1071337950664138E-2</v>
      </c>
      <c r="D7" s="21">
        <f>C7*C24</f>
        <v>1.1243822465776635E-2</v>
      </c>
    </row>
    <row r="8" spans="1:6" ht="14.25">
      <c r="A8" s="19" t="s">
        <v>35</v>
      </c>
      <c r="B8" s="20">
        <v>174.58818813068072</v>
      </c>
      <c r="C8" s="21">
        <f>B8/2000</f>
        <v>8.7294094065340361E-2</v>
      </c>
      <c r="D8" s="21">
        <f>C8*C25</f>
        <v>1.306709450925702E-2</v>
      </c>
    </row>
    <row r="9" spans="1:6" ht="14.25">
      <c r="A9" s="19" t="s">
        <v>28</v>
      </c>
      <c r="B9" s="20">
        <f>D36*B7</f>
        <v>81.071337950664145</v>
      </c>
      <c r="C9" s="21">
        <f>B9/2000</f>
        <v>4.0535668975332069E-2</v>
      </c>
      <c r="D9" s="21">
        <f>C9*C26</f>
        <v>5.1721583342572517E-3</v>
      </c>
    </row>
    <row r="10" spans="1:6" ht="14.25">
      <c r="A10" s="19" t="s">
        <v>36</v>
      </c>
      <c r="B10" s="20">
        <f>C10*2000</f>
        <v>172.98920401305432</v>
      </c>
      <c r="C10" s="21">
        <f>D10/C27</f>
        <v>8.6494602006527158E-2</v>
      </c>
      <c r="D10" s="21">
        <f>(0.02*D9)+(0.98*D8)</f>
        <v>1.2909195785757024E-2</v>
      </c>
    </row>
    <row r="11" spans="1:6" ht="14.25">
      <c r="A11" s="19" t="s">
        <v>30</v>
      </c>
      <c r="B11" s="20">
        <v>139.30369999999999</v>
      </c>
      <c r="C11" s="21">
        <f>B11/2000</f>
        <v>6.9651850000000001E-2</v>
      </c>
      <c r="D11" s="21" t="s">
        <v>13</v>
      </c>
      <c r="F11" s="53"/>
    </row>
    <row r="12" spans="1:6" s="57" customFormat="1" ht="14.25">
      <c r="A12" s="22" t="s">
        <v>76</v>
      </c>
      <c r="B12" s="23">
        <v>139.838454797347</v>
      </c>
      <c r="C12" s="24">
        <f>B12/2000</f>
        <v>6.9919227398673497E-2</v>
      </c>
      <c r="D12" s="24">
        <f>C12*C28</f>
        <v>6.3859561024121794E-3</v>
      </c>
      <c r="F12" s="71"/>
    </row>
    <row r="13" spans="1:6">
      <c r="A13" s="26" t="s">
        <v>11</v>
      </c>
    </row>
    <row r="14" spans="1:6">
      <c r="A14" s="26" t="s">
        <v>37</v>
      </c>
    </row>
    <row r="15" spans="1:6">
      <c r="A15" s="26" t="s">
        <v>42</v>
      </c>
    </row>
    <row r="16" spans="1:6">
      <c r="A16" s="46" t="s">
        <v>43</v>
      </c>
    </row>
    <row r="17" spans="1:4">
      <c r="A17" s="26" t="s">
        <v>38</v>
      </c>
    </row>
    <row r="18" spans="1:4">
      <c r="A18" s="9"/>
    </row>
    <row r="19" spans="1:4" ht="18">
      <c r="A19" s="1" t="s">
        <v>5</v>
      </c>
    </row>
    <row r="20" spans="1:4">
      <c r="A20" s="5" t="s">
        <v>7</v>
      </c>
    </row>
    <row r="22" spans="1:4" s="25" customFormat="1">
      <c r="A22" s="12" t="s">
        <v>3</v>
      </c>
      <c r="B22" s="13" t="s">
        <v>8</v>
      </c>
      <c r="C22" s="13" t="s">
        <v>8</v>
      </c>
    </row>
    <row r="23" spans="1:4" s="25" customFormat="1">
      <c r="A23" s="14"/>
      <c r="B23" s="15" t="s">
        <v>10</v>
      </c>
      <c r="C23" s="15" t="s">
        <v>9</v>
      </c>
    </row>
    <row r="24" spans="1:4" s="25" customFormat="1" ht="14.25">
      <c r="A24" s="19" t="s">
        <v>26</v>
      </c>
      <c r="B24" s="27">
        <v>5.8250000000000002</v>
      </c>
      <c r="C24" s="28">
        <f>B24/42</f>
        <v>0.1386904761904762</v>
      </c>
      <c r="D24" s="31"/>
    </row>
    <row r="25" spans="1:4" s="25" customFormat="1" ht="14.25">
      <c r="A25" s="29" t="s">
        <v>27</v>
      </c>
      <c r="B25" s="27">
        <v>6.2869999999999999</v>
      </c>
      <c r="C25" s="28">
        <f>B25/42</f>
        <v>0.14969047619047618</v>
      </c>
    </row>
    <row r="26" spans="1:4" ht="14.25">
      <c r="A26" s="29" t="s">
        <v>28</v>
      </c>
      <c r="B26" s="27">
        <v>5.359</v>
      </c>
      <c r="C26" s="28">
        <f>B26/42</f>
        <v>0.12759523809523809</v>
      </c>
    </row>
    <row r="27" spans="1:4" ht="14.25">
      <c r="A27" s="29" t="s">
        <v>29</v>
      </c>
      <c r="B27" s="28">
        <f>C27*42</f>
        <v>6.2684399999999982</v>
      </c>
      <c r="C27" s="28">
        <f>(0.02*C26)+(0.98*C25)</f>
        <v>0.1492485714285714</v>
      </c>
    </row>
    <row r="28" spans="1:4" ht="14.25">
      <c r="A28" s="37" t="s">
        <v>76</v>
      </c>
      <c r="B28" s="70">
        <v>3.8359999999999999</v>
      </c>
      <c r="C28" s="70">
        <f>B28/42</f>
        <v>9.1333333333333336E-2</v>
      </c>
    </row>
    <row r="29" spans="1:4">
      <c r="A29" s="26" t="s">
        <v>11</v>
      </c>
      <c r="B29" s="11"/>
      <c r="C29" s="11"/>
    </row>
    <row r="30" spans="1:4">
      <c r="A30" s="30" t="s">
        <v>40</v>
      </c>
    </row>
    <row r="31" spans="1:4">
      <c r="A31" s="30" t="s">
        <v>41</v>
      </c>
    </row>
    <row r="32" spans="1:4">
      <c r="A32" s="46" t="s">
        <v>44</v>
      </c>
    </row>
    <row r="34" spans="1:5" ht="18">
      <c r="A34" s="1" t="s">
        <v>12</v>
      </c>
    </row>
    <row r="36" spans="1:5">
      <c r="A36" s="2" t="s">
        <v>39</v>
      </c>
      <c r="D36" s="61">
        <v>0.5</v>
      </c>
    </row>
    <row r="37" spans="1:5">
      <c r="A37" s="30" t="s">
        <v>57</v>
      </c>
    </row>
    <row r="39" spans="1:5" ht="18">
      <c r="A39" s="1" t="s">
        <v>58</v>
      </c>
    </row>
    <row r="41" spans="1:5" ht="15.75">
      <c r="A41" s="2" t="s">
        <v>74</v>
      </c>
      <c r="D41" s="6">
        <v>110</v>
      </c>
      <c r="E41" s="2" t="s">
        <v>61</v>
      </c>
    </row>
    <row r="43" spans="1:5" ht="18">
      <c r="A43" s="1" t="s">
        <v>70</v>
      </c>
    </row>
    <row r="45" spans="1:5" ht="15.75">
      <c r="A45" s="2" t="s">
        <v>72</v>
      </c>
      <c r="D45" s="6">
        <v>5.0999999999999996</v>
      </c>
      <c r="E45" s="2" t="s">
        <v>71</v>
      </c>
    </row>
    <row r="46" spans="1:5">
      <c r="A46" s="30"/>
    </row>
    <row r="48" spans="1:5">
      <c r="A48" s="64"/>
    </row>
    <row r="49" spans="1:2">
      <c r="A49" s="62"/>
    </row>
    <row r="50" spans="1:2">
      <c r="A50" s="57"/>
      <c r="B50" s="63"/>
    </row>
    <row r="51" spans="1:2">
      <c r="B51" s="63"/>
    </row>
    <row r="52" spans="1:2">
      <c r="B52" s="63"/>
    </row>
    <row r="53" spans="1:2">
      <c r="A53" s="62"/>
      <c r="B53" s="63"/>
    </row>
    <row r="54" spans="1:2">
      <c r="A54" s="57"/>
      <c r="B54" s="63"/>
    </row>
    <row r="55" spans="1:2">
      <c r="B55" s="63"/>
    </row>
  </sheetData>
  <pageMargins left="0.7" right="0.7" top="0.75" bottom="0.75" header="0.3" footer="0.3"/>
  <pageSetup orientation="portrait" r:id="rId1"/>
  <ignoredErrors>
    <ignoredError sqref="C27 C10"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Oil Billing Data</vt:lpstr>
      <vt:lpstr>Calculator</vt:lpstr>
      <vt:lpstr>Reference Values</vt:lpstr>
      <vt:lpstr>Assumptions</vt:lpstr>
      <vt:lpstr>FuelTypes</vt:lpstr>
      <vt:lpstr>FuelTypes2</vt:lpstr>
    </vt:vector>
  </TitlesOfParts>
  <Company>NYS Energy R&amp;D Authority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Denman</dc:creator>
  <cp:lastModifiedBy>NM2</cp:lastModifiedBy>
  <dcterms:created xsi:type="dcterms:W3CDTF">2010-12-20T21:24:42Z</dcterms:created>
  <dcterms:modified xsi:type="dcterms:W3CDTF">2011-04-06T19:53:07Z</dcterms:modified>
</cp:coreProperties>
</file>