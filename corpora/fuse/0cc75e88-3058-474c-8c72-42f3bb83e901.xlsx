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K16" i="1"/>
  <c r="AK17"/>
  <c r="AK14"/>
  <c r="AK10"/>
  <c r="AK9"/>
  <c r="AK12"/>
  <c r="AK7"/>
  <c r="AK6"/>
  <c r="AK4"/>
  <c r="AK3"/>
  <c r="AJ16"/>
  <c r="AJ14"/>
  <c r="AJ17"/>
  <c r="AJ12"/>
  <c r="AJ10"/>
  <c r="AJ9"/>
  <c r="AJ7"/>
  <c r="AJ6"/>
  <c r="AJ4"/>
  <c r="AJ3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10"/>
  <c r="AG9"/>
  <c r="AG7"/>
  <c r="AG6"/>
  <c r="AG4"/>
  <c r="AG3"/>
  <c r="AF16"/>
  <c r="AF14"/>
  <c r="AF17"/>
  <c r="AF12"/>
  <c r="AF10"/>
  <c r="AF9"/>
  <c r="AF7"/>
  <c r="AF6"/>
  <c r="AF4"/>
  <c r="AF3"/>
  <c r="AE17"/>
  <c r="AE16"/>
  <c r="AE14"/>
  <c r="AE12"/>
  <c r="AE10"/>
  <c r="AE9"/>
  <c r="AE7"/>
  <c r="AE6"/>
  <c r="AE4"/>
  <c r="AE3"/>
  <c r="AD17"/>
  <c r="AD16"/>
  <c r="AD14"/>
  <c r="AD12"/>
  <c r="AD10"/>
  <c r="AD9"/>
  <c r="AD7"/>
  <c r="AD6"/>
  <c r="AD4"/>
  <c r="AD3"/>
  <c r="AC16"/>
  <c r="AC14"/>
  <c r="AC10"/>
  <c r="AC9"/>
  <c r="AC17"/>
  <c r="AC12"/>
  <c r="AC7"/>
  <c r="AC6"/>
  <c r="AC4"/>
  <c r="AC3"/>
  <c r="AB16"/>
  <c r="AB14"/>
  <c r="AB17"/>
  <c r="AB12"/>
  <c r="AB10"/>
  <c r="AB9"/>
  <c r="AB7"/>
  <c r="AB6"/>
  <c r="AB4"/>
  <c r="AB3"/>
  <c r="AA16"/>
  <c r="AA14"/>
  <c r="AA17"/>
  <c r="AA12"/>
  <c r="AA10"/>
  <c r="AA9"/>
  <c r="AA7"/>
  <c r="AA6"/>
  <c r="AA4"/>
  <c r="AA3"/>
  <c r="Z17"/>
  <c r="Z16"/>
  <c r="Z14"/>
  <c r="Z12"/>
  <c r="Z10"/>
  <c r="Z9"/>
  <c r="Z7"/>
  <c r="Z6"/>
  <c r="Z4"/>
  <c r="Z3"/>
  <c r="Y16"/>
  <c r="Y14"/>
  <c r="Y12"/>
  <c r="Y10"/>
  <c r="Y9"/>
  <c r="Y17"/>
  <c r="Y4"/>
  <c r="Y3"/>
  <c r="Y7"/>
  <c r="Y6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<sst xmlns="http://schemas.openxmlformats.org/spreadsheetml/2006/main" count="64" uniqueCount="17">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</sst>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Data!$D$1:$AK$1</c:f>
              <c:numCache>
                <c:formatCode>mmm\-yy</c:formatCode>
                <c:ptCount val="34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</c:numCache>
            </c:numRef>
          </c:cat>
          <c:val>
            <c:numRef>
              <c:f>Data!$D$8:$AK$8</c:f>
              <c:numCache>
                <c:formatCode>General</c:formatCode>
                <c:ptCount val="34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</c:numCache>
            </c:numRef>
          </c:val>
        </c:ser>
        <c:gapDepth val="135"/>
        <c:shape val="cylinder"/>
        <c:axId val="165778560"/>
        <c:axId val="165780096"/>
        <c:axId val="0"/>
      </c:bar3DChart>
      <c:dateAx>
        <c:axId val="165778560"/>
        <c:scaling>
          <c:orientation val="minMax"/>
        </c:scaling>
        <c:axPos val="b"/>
        <c:numFmt formatCode="mmm\-yy" sourceLinked="1"/>
        <c:majorTickMark val="none"/>
        <c:tickLblPos val="nextTo"/>
        <c:crossAx val="165780096"/>
        <c:crosses val="autoZero"/>
        <c:auto val="1"/>
        <c:lblOffset val="100"/>
      </c:dateAx>
      <c:valAx>
        <c:axId val="1657800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778560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Data!$B$2:$AK$2</c:f>
              <c:numCache>
                <c:formatCode>General</c:formatCode>
                <c:ptCount val="36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</c:numCache>
            </c:numRef>
          </c:val>
        </c:ser>
        <c:shape val="box"/>
        <c:axId val="166265216"/>
        <c:axId val="166266752"/>
        <c:axId val="0"/>
      </c:bar3DChart>
      <c:dateAx>
        <c:axId val="166265216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66266752"/>
        <c:crosses val="autoZero"/>
        <c:auto val="1"/>
        <c:lblOffset val="100"/>
      </c:dateAx>
      <c:valAx>
        <c:axId val="1662667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265216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Data!$B$5:$AK$5</c:f>
              <c:numCache>
                <c:formatCode>General</c:formatCode>
                <c:ptCount val="36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</c:numCache>
            </c:numRef>
          </c:val>
        </c:ser>
        <c:marker val="1"/>
        <c:axId val="166315520"/>
        <c:axId val="166317056"/>
      </c:lineChart>
      <c:dateAx>
        <c:axId val="166315520"/>
        <c:scaling>
          <c:orientation val="minMax"/>
        </c:scaling>
        <c:axPos val="b"/>
        <c:numFmt formatCode="mmm\-yy" sourceLinked="1"/>
        <c:majorTickMark val="none"/>
        <c:tickLblPos val="nextTo"/>
        <c:crossAx val="166317056"/>
        <c:crosses val="autoZero"/>
        <c:auto val="1"/>
        <c:lblOffset val="100"/>
      </c:dateAx>
      <c:valAx>
        <c:axId val="16631705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315520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Data!$B$6:$AK$6</c:f>
              <c:numCache>
                <c:formatCode>General</c:formatCode>
                <c:ptCount val="36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</c:numCache>
            </c:numRef>
          </c:val>
        </c:ser>
        <c:shape val="box"/>
        <c:axId val="166369152"/>
        <c:axId val="166370688"/>
        <c:axId val="0"/>
      </c:bar3DChart>
      <c:dateAx>
        <c:axId val="166369152"/>
        <c:scaling>
          <c:orientation val="minMax"/>
        </c:scaling>
        <c:axPos val="b"/>
        <c:numFmt formatCode="mmm\-yy" sourceLinked="1"/>
        <c:majorTickMark val="none"/>
        <c:tickLblPos val="nextTo"/>
        <c:crossAx val="166370688"/>
        <c:crosses val="autoZero"/>
        <c:auto val="1"/>
        <c:lblOffset val="100"/>
      </c:dateAx>
      <c:valAx>
        <c:axId val="16637068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369152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58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Data!$B$2:$AK$2</c:f>
              <c:numCache>
                <c:formatCode>General</c:formatCode>
                <c:ptCount val="36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Data!$B$8:$AK$8</c:f>
              <c:numCache>
                <c:formatCode>General</c:formatCode>
                <c:ptCount val="36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</c:numCache>
            </c:numRef>
          </c:val>
        </c:ser>
        <c:marker val="1"/>
        <c:axId val="166441728"/>
        <c:axId val="166443264"/>
      </c:lineChart>
      <c:dateAx>
        <c:axId val="166441728"/>
        <c:scaling>
          <c:orientation val="minMax"/>
        </c:scaling>
        <c:axPos val="b"/>
        <c:numFmt formatCode="mmm\-yy" sourceLinked="1"/>
        <c:majorTickMark val="none"/>
        <c:tickLblPos val="nextTo"/>
        <c:crossAx val="166443264"/>
        <c:crosses val="autoZero"/>
        <c:auto val="1"/>
        <c:lblOffset val="100"/>
      </c:dateAx>
      <c:valAx>
        <c:axId val="16644326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441728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Data!$B$14:$AK$14</c:f>
              <c:numCache>
                <c:formatCode>0%</c:formatCode>
                <c:ptCount val="36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</c:numCache>
            </c:numRef>
          </c:val>
        </c:ser>
        <c:marker val="1"/>
        <c:axId val="166515840"/>
        <c:axId val="166517376"/>
      </c:lineChart>
      <c:dateAx>
        <c:axId val="166515840"/>
        <c:scaling>
          <c:orientation val="minMax"/>
        </c:scaling>
        <c:axPos val="b"/>
        <c:numFmt formatCode="mmm\-yy" sourceLinked="1"/>
        <c:tickLblPos val="nextTo"/>
        <c:crossAx val="166517376"/>
        <c:crosses val="autoZero"/>
        <c:auto val="1"/>
        <c:lblOffset val="100"/>
      </c:dateAx>
      <c:valAx>
        <c:axId val="166517376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66515840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Data!$B$16:$AK$16</c:f>
              <c:numCache>
                <c:formatCode>0.0%</c:formatCode>
                <c:ptCount val="36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</c:numCache>
            </c:numRef>
          </c:val>
        </c:ser>
        <c:marker val="1"/>
        <c:axId val="166611200"/>
        <c:axId val="166621184"/>
      </c:lineChart>
      <c:dateAx>
        <c:axId val="166611200"/>
        <c:scaling>
          <c:orientation val="minMax"/>
        </c:scaling>
        <c:axPos val="b"/>
        <c:numFmt formatCode="mmm\-yy" sourceLinked="1"/>
        <c:tickLblPos val="nextTo"/>
        <c:crossAx val="166621184"/>
        <c:crosses val="autoZero"/>
        <c:auto val="1"/>
        <c:lblOffset val="100"/>
      </c:dateAx>
      <c:valAx>
        <c:axId val="166621184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6661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499"/>
          <c:w val="0.11005280502029265"/>
          <c:h val="0.17371685842603607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Data!$B$1:$AK$1</c:f>
              <c:numCache>
                <c:formatCode>mmm\-yy</c:formatCode>
                <c:ptCount val="3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</c:numCache>
            </c:numRef>
          </c:cat>
          <c:val>
            <c:numRef>
              <c:f>Data!$B$17:$AK$17</c:f>
              <c:numCache>
                <c:formatCode>0.0</c:formatCode>
                <c:ptCount val="36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</c:numCache>
            </c:numRef>
          </c:val>
        </c:ser>
        <c:marker val="1"/>
        <c:axId val="166682624"/>
        <c:axId val="166684160"/>
      </c:lineChart>
      <c:dateAx>
        <c:axId val="166682624"/>
        <c:scaling>
          <c:orientation val="minMax"/>
        </c:scaling>
        <c:axPos val="b"/>
        <c:numFmt formatCode="mmm\-yy" sourceLinked="1"/>
        <c:tickLblPos val="nextTo"/>
        <c:crossAx val="166684160"/>
        <c:crosses val="autoZero"/>
        <c:auto val="1"/>
        <c:lblOffset val="100"/>
      </c:dateAx>
      <c:valAx>
        <c:axId val="166684160"/>
        <c:scaling>
          <c:orientation val="minMax"/>
        </c:scaling>
        <c:axPos val="l"/>
        <c:majorGridlines/>
        <c:numFmt formatCode="0.0" sourceLinked="1"/>
        <c:tickLblPos val="nextTo"/>
        <c:crossAx val="16668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523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tabSelected="1" zoomScale="70" zoomScaleNormal="7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I20" sqref="AI20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38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</row>
    <row r="2" spans="1:38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</row>
    <row r="3" spans="1:38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K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</row>
    <row r="4" spans="1:38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K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</row>
    <row r="5" spans="1:38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</row>
    <row r="6" spans="1:38" ht="35.25" thickBot="1">
      <c r="A6" s="20" t="s">
        <v>4</v>
      </c>
      <c r="B6" s="7"/>
      <c r="C6" s="7">
        <f>C5-B5</f>
        <v>1628</v>
      </c>
      <c r="D6" s="7">
        <f t="shared" ref="D6:AK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</row>
    <row r="7" spans="1:38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K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</row>
    <row r="8" spans="1:38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</row>
    <row r="9" spans="1:38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K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</row>
    <row r="10" spans="1:38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K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</row>
    <row r="11" spans="1:38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</row>
    <row r="12" spans="1:38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</row>
    <row r="13" spans="1:38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</row>
    <row r="14" spans="1:38" s="1" customFormat="1" ht="35.25" thickBot="1">
      <c r="A14" s="24" t="s">
        <v>13</v>
      </c>
      <c r="B14" s="13">
        <f>B13/B2</f>
        <v>0.39333333333333331</v>
      </c>
      <c r="C14" s="13">
        <f t="shared" ref="C14:AK14" si="23">C13/C2</f>
        <v>0.39215686274509803</v>
      </c>
      <c r="D14" s="13">
        <f t="shared" si="23"/>
        <v>0.38650306748466257</v>
      </c>
      <c r="E14" s="13">
        <f t="shared" si="23"/>
        <v>0.31840796019900497</v>
      </c>
      <c r="F14" s="13">
        <f t="shared" si="23"/>
        <v>0.34562211981566821</v>
      </c>
      <c r="G14" s="13">
        <f t="shared" si="23"/>
        <v>0.32608695652173914</v>
      </c>
      <c r="H14" s="13">
        <f t="shared" si="23"/>
        <v>0.31666666666666665</v>
      </c>
      <c r="I14" s="13">
        <f t="shared" si="23"/>
        <v>0.30555555555555558</v>
      </c>
      <c r="J14" s="13">
        <f t="shared" si="23"/>
        <v>0.32752613240418116</v>
      </c>
      <c r="K14" s="13">
        <f t="shared" si="23"/>
        <v>0.42900302114803623</v>
      </c>
      <c r="L14" s="13">
        <f t="shared" si="23"/>
        <v>0.45722713864306785</v>
      </c>
      <c r="M14" s="13">
        <f t="shared" si="23"/>
        <v>0.45402298850574713</v>
      </c>
      <c r="N14" s="13">
        <f t="shared" si="23"/>
        <v>0.44383561643835617</v>
      </c>
      <c r="O14" s="13">
        <f t="shared" si="23"/>
        <v>0.44210526315789472</v>
      </c>
      <c r="P14" s="13">
        <f t="shared" si="23"/>
        <v>0.4357682619647355</v>
      </c>
      <c r="Q14" s="13">
        <f t="shared" si="23"/>
        <v>0.4</v>
      </c>
      <c r="R14" s="13">
        <f t="shared" si="23"/>
        <v>0.43458980044345896</v>
      </c>
      <c r="S14" s="13">
        <f t="shared" si="23"/>
        <v>0.43434343434343436</v>
      </c>
      <c r="T14" s="13">
        <f t="shared" si="23"/>
        <v>0.35714285714285715</v>
      </c>
      <c r="U14" s="13">
        <f t="shared" si="23"/>
        <v>0.25154004106776179</v>
      </c>
      <c r="V14" s="13">
        <f t="shared" si="23"/>
        <v>0.27881040892193309</v>
      </c>
      <c r="W14" s="13">
        <f t="shared" si="23"/>
        <v>0.23071271124173401</v>
      </c>
      <c r="X14" s="13">
        <f t="shared" si="23"/>
        <v>0.20931758530183728</v>
      </c>
      <c r="Y14" s="13">
        <f t="shared" si="23"/>
        <v>0.21791907514450867</v>
      </c>
      <c r="Z14" s="13">
        <f t="shared" si="23"/>
        <v>0.21727609962904079</v>
      </c>
      <c r="AA14" s="13">
        <f t="shared" si="23"/>
        <v>0.19844179651695693</v>
      </c>
      <c r="AB14" s="13">
        <f t="shared" si="23"/>
        <v>0.18080446037435285</v>
      </c>
      <c r="AC14" s="13">
        <f t="shared" si="23"/>
        <v>0.21139776665383134</v>
      </c>
      <c r="AD14" s="13">
        <f t="shared" si="23"/>
        <v>0.19965337954939341</v>
      </c>
      <c r="AE14" s="13">
        <f t="shared" si="23"/>
        <v>0.20483980913428765</v>
      </c>
      <c r="AF14" s="13">
        <f t="shared" si="23"/>
        <v>0.20194805194805196</v>
      </c>
      <c r="AG14" s="13">
        <f t="shared" si="23"/>
        <v>0.20292156240076215</v>
      </c>
      <c r="AH14" s="13">
        <f t="shared" si="23"/>
        <v>0.20036155468514613</v>
      </c>
      <c r="AI14" s="13">
        <f t="shared" si="23"/>
        <v>0.21119446047316792</v>
      </c>
      <c r="AJ14" s="13">
        <f t="shared" si="23"/>
        <v>0.21554869492001122</v>
      </c>
      <c r="AK14" s="13">
        <f t="shared" si="23"/>
        <v>0.21874133629054615</v>
      </c>
    </row>
    <row r="15" spans="1:38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</row>
    <row r="16" spans="1:38" ht="52.5" thickBot="1">
      <c r="A16" s="23" t="s">
        <v>14</v>
      </c>
      <c r="B16" s="18">
        <f>B15/B5</f>
        <v>0.73056273613044342</v>
      </c>
      <c r="C16" s="18">
        <f t="shared" ref="C16:AK16" si="24">C15/C5</f>
        <v>0.72359921886735767</v>
      </c>
      <c r="D16" s="18">
        <f t="shared" si="24"/>
        <v>0.71319267331323899</v>
      </c>
      <c r="E16" s="18">
        <f t="shared" si="24"/>
        <v>0.70370014416146087</v>
      </c>
      <c r="F16" s="18">
        <f t="shared" si="24"/>
        <v>0.68760413195601466</v>
      </c>
      <c r="G16" s="18">
        <f t="shared" si="24"/>
        <v>0.66266187050359715</v>
      </c>
      <c r="H16" s="18">
        <f t="shared" si="24"/>
        <v>0.65330485046494091</v>
      </c>
      <c r="I16" s="18">
        <f t="shared" si="24"/>
        <v>0.64192778922259564</v>
      </c>
      <c r="J16" s="18">
        <f t="shared" si="24"/>
        <v>0.63423778058953095</v>
      </c>
      <c r="K16" s="18">
        <f t="shared" si="24"/>
        <v>0.63386800734179238</v>
      </c>
      <c r="L16" s="18">
        <f t="shared" si="24"/>
        <v>0.63738762013020567</v>
      </c>
      <c r="M16" s="18">
        <f t="shared" si="24"/>
        <v>0.63908203766152372</v>
      </c>
      <c r="N16" s="18">
        <f t="shared" si="24"/>
        <v>0.62490238845356383</v>
      </c>
      <c r="O16" s="18">
        <f t="shared" si="24"/>
        <v>0.62221196365226683</v>
      </c>
      <c r="P16" s="18">
        <f t="shared" si="24"/>
        <v>0.61906222611744088</v>
      </c>
      <c r="Q16" s="18">
        <f t="shared" si="24"/>
        <v>0.61523911918130048</v>
      </c>
      <c r="R16" s="18">
        <f t="shared" si="24"/>
        <v>0.61159753654374116</v>
      </c>
      <c r="S16" s="18">
        <f t="shared" si="24"/>
        <v>0.60974475560607622</v>
      </c>
      <c r="T16" s="18">
        <f t="shared" si="24"/>
        <v>0.60304963285505409</v>
      </c>
      <c r="U16" s="18">
        <f t="shared" si="24"/>
        <v>0.59084014002333718</v>
      </c>
      <c r="V16" s="18">
        <f t="shared" si="24"/>
        <v>0.5773406953397443</v>
      </c>
      <c r="W16" s="18">
        <f t="shared" si="24"/>
        <v>0.57033733396183084</v>
      </c>
      <c r="X16" s="18">
        <f t="shared" si="24"/>
        <v>0.56122346536972789</v>
      </c>
      <c r="Y16" s="18">
        <f t="shared" si="24"/>
        <v>0.55101708540668148</v>
      </c>
      <c r="Z16" s="18">
        <f t="shared" si="24"/>
        <v>0.53059020666542545</v>
      </c>
      <c r="AA16" s="18">
        <f t="shared" si="24"/>
        <v>0.51201685150876841</v>
      </c>
      <c r="AB16" s="18">
        <f t="shared" si="24"/>
        <v>0.49081641817855221</v>
      </c>
      <c r="AC16" s="18">
        <f t="shared" si="24"/>
        <v>0.48336693548387094</v>
      </c>
      <c r="AD16" s="18">
        <f t="shared" si="24"/>
        <v>0.47247714949651431</v>
      </c>
      <c r="AE16" s="18">
        <f t="shared" si="24"/>
        <v>0.47025966272808412</v>
      </c>
      <c r="AF16" s="18">
        <f t="shared" si="24"/>
        <v>0.45355505202908042</v>
      </c>
      <c r="AG16" s="18">
        <f t="shared" si="24"/>
        <v>0.43936584461338773</v>
      </c>
      <c r="AH16" s="18">
        <f t="shared" si="24"/>
        <v>0.43702180803339963</v>
      </c>
      <c r="AI16" s="18">
        <f t="shared" si="24"/>
        <v>0.43940331166235352</v>
      </c>
      <c r="AJ16" s="18">
        <f t="shared" si="24"/>
        <v>0.43177800190980942</v>
      </c>
      <c r="AK16" s="18">
        <f t="shared" si="24"/>
        <v>0.42751736579990707</v>
      </c>
    </row>
    <row r="17" spans="1:37" s="2" customFormat="1" ht="35.25" thickBot="1">
      <c r="A17" s="25" t="s">
        <v>16</v>
      </c>
      <c r="B17" s="19">
        <f>B5/B2</f>
        <v>33.526666666666664</v>
      </c>
      <c r="C17" s="19">
        <f t="shared" ref="C17:AK17" si="25">C5/C2</f>
        <v>43.509803921568626</v>
      </c>
      <c r="D17" s="19">
        <f t="shared" si="25"/>
        <v>52.920245398773005</v>
      </c>
      <c r="E17" s="19">
        <f t="shared" si="25"/>
        <v>51.766169154228855</v>
      </c>
      <c r="F17" s="19">
        <f t="shared" si="25"/>
        <v>55.317972350230413</v>
      </c>
      <c r="G17" s="19">
        <f t="shared" si="25"/>
        <v>60.434782608695649</v>
      </c>
      <c r="H17" s="19">
        <f t="shared" si="25"/>
        <v>66.316666666666663</v>
      </c>
      <c r="I17" s="19">
        <f t="shared" si="25"/>
        <v>73.198412698412696</v>
      </c>
      <c r="J17" s="19">
        <f t="shared" si="25"/>
        <v>74.351916376306619</v>
      </c>
      <c r="K17" s="19">
        <f t="shared" si="25"/>
        <v>75.716012084592151</v>
      </c>
      <c r="L17" s="19">
        <f t="shared" si="25"/>
        <v>85.637168141592923</v>
      </c>
      <c r="M17" s="19">
        <f t="shared" si="25"/>
        <v>96.290229885057471</v>
      </c>
      <c r="N17" s="19">
        <f t="shared" si="25"/>
        <v>101.74520547945205</v>
      </c>
      <c r="O17" s="19">
        <f t="shared" si="25"/>
        <v>108.31052631578947</v>
      </c>
      <c r="P17" s="19">
        <f t="shared" si="25"/>
        <v>114.96221662468514</v>
      </c>
      <c r="Q17" s="19">
        <f t="shared" si="25"/>
        <v>111.61333333333333</v>
      </c>
      <c r="R17" s="19">
        <f t="shared" si="25"/>
        <v>119.52993348115299</v>
      </c>
      <c r="S17" s="19">
        <f t="shared" si="25"/>
        <v>117.2969696969697</v>
      </c>
      <c r="T17" s="19">
        <f t="shared" si="25"/>
        <v>96.641304347826093</v>
      </c>
      <c r="U17" s="19">
        <f t="shared" si="25"/>
        <v>70.390143737166326</v>
      </c>
      <c r="V17" s="19">
        <f t="shared" si="25"/>
        <v>70.356877323420079</v>
      </c>
      <c r="W17" s="19">
        <f t="shared" si="25"/>
        <v>60.791329904481998</v>
      </c>
      <c r="X17" s="19">
        <f t="shared" si="25"/>
        <v>58.823490813648291</v>
      </c>
      <c r="Y17" s="19">
        <f t="shared" si="25"/>
        <v>56.804046242774568</v>
      </c>
      <c r="Z17" s="19">
        <f t="shared" si="25"/>
        <v>56.926338102808693</v>
      </c>
      <c r="AA17" s="19">
        <f t="shared" si="25"/>
        <v>54.17461044912924</v>
      </c>
      <c r="AB17" s="19">
        <f t="shared" si="25"/>
        <v>53.209080047789726</v>
      </c>
      <c r="AC17" s="19">
        <f t="shared" si="25"/>
        <v>57.296881016557563</v>
      </c>
      <c r="AD17" s="19">
        <f t="shared" si="25"/>
        <v>55.935875216637783</v>
      </c>
      <c r="AE17" s="19">
        <f t="shared" si="25"/>
        <v>57.662235855487388</v>
      </c>
      <c r="AF17" s="19">
        <f t="shared" si="25"/>
        <v>60.468181818181819</v>
      </c>
      <c r="AG17" s="19">
        <f t="shared" si="25"/>
        <v>65.079072721498889</v>
      </c>
      <c r="AH17" s="19">
        <f t="shared" si="25"/>
        <v>66.827056342271774</v>
      </c>
      <c r="AI17" s="19">
        <f t="shared" si="25"/>
        <v>68.564627813040971</v>
      </c>
      <c r="AJ17" s="19">
        <f t="shared" si="25"/>
        <v>73.185237159696882</v>
      </c>
      <c r="AK17" s="19">
        <f t="shared" si="25"/>
        <v>76.989464929304134</v>
      </c>
    </row>
    <row r="25" spans="1:37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2010-08-03T15:59:58Z</dcterms:modified>
</cp:coreProperties>
</file>