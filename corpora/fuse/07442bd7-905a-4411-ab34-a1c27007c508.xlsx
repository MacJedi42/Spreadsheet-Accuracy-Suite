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3820" windowHeight="13680"/>
  </bookViews>
  <sheets>
    <sheet name="Table S1" sheetId="4" r:id="rId1"/>
  </sheets>
  <calcPr calcId="145621"/>
</workbook>
</file>

<file path=xl/calcChain.xml><?xml version="1.0" encoding="utf-8"?>
<calcChain xmlns="http://schemas.openxmlformats.org/spreadsheetml/2006/main">
  <c r="O10" i="4" l="1"/>
  <c r="O9" i="4"/>
  <c r="O63" i="4"/>
  <c r="O60" i="4"/>
  <c r="O59" i="4"/>
  <c r="O58" i="4"/>
  <c r="O56" i="4"/>
  <c r="O48" i="4"/>
  <c r="O43" i="4"/>
  <c r="O38" i="4"/>
  <c r="O33" i="4"/>
  <c r="O31" i="4"/>
  <c r="O29" i="4"/>
  <c r="O28" i="4"/>
  <c r="O27" i="4"/>
  <c r="O26" i="4"/>
  <c r="O21" i="4"/>
  <c r="O12" i="4"/>
  <c r="O61" i="4"/>
  <c r="O57" i="4"/>
  <c r="O55" i="4"/>
  <c r="O54" i="4"/>
  <c r="O49" i="4"/>
  <c r="O47" i="4"/>
  <c r="O45" i="4"/>
  <c r="O44" i="4"/>
  <c r="O39" i="4"/>
  <c r="O36" i="4"/>
  <c r="O34" i="4"/>
  <c r="O32" i="4"/>
  <c r="O30" i="4"/>
  <c r="O20" i="4"/>
  <c r="O7" i="4"/>
  <c r="O37" i="4"/>
  <c r="O64" i="4"/>
  <c r="O65" i="4"/>
  <c r="O8" i="4"/>
  <c r="O62" i="4"/>
  <c r="O53" i="4"/>
  <c r="O51" i="4"/>
  <c r="O50" i="4"/>
  <c r="O42" i="4"/>
  <c r="O25" i="4"/>
  <c r="O23" i="4"/>
  <c r="O19" i="4"/>
  <c r="O52" i="4"/>
  <c r="O46" i="4"/>
  <c r="O41" i="4"/>
  <c r="O40" i="4"/>
  <c r="O35" i="4"/>
  <c r="O24" i="4"/>
  <c r="O22" i="4"/>
  <c r="O11" i="4"/>
  <c r="O18" i="4"/>
  <c r="O17" i="4"/>
  <c r="O16" i="4"/>
  <c r="O15" i="4"/>
  <c r="O14" i="4"/>
  <c r="O13" i="4"/>
</calcChain>
</file>

<file path=xl/sharedStrings.xml><?xml version="1.0" encoding="utf-8"?>
<sst xmlns="http://schemas.openxmlformats.org/spreadsheetml/2006/main" count="540" uniqueCount="163">
  <si>
    <t>chr9:21750254-21836327</t>
  </si>
  <si>
    <t>HD</t>
  </si>
  <si>
    <t>rs1015793</t>
  </si>
  <si>
    <t>60 (41/19)</t>
  </si>
  <si>
    <t>28 (21/7)</t>
  </si>
  <si>
    <t>21 (14/7)</t>
  </si>
  <si>
    <t>2 (1/1)</t>
  </si>
  <si>
    <t>rs17172430</t>
  </si>
  <si>
    <t>chr9:21842671-21849194</t>
  </si>
  <si>
    <t>3 (2/1)</t>
  </si>
  <si>
    <t>chr9:21961989-21978896</t>
  </si>
  <si>
    <t>35 (28/7)</t>
  </si>
  <si>
    <t>5 (4/1)</t>
  </si>
  <si>
    <t>chr9:22010493-22055620</t>
  </si>
  <si>
    <t>33 (27/6)</t>
  </si>
  <si>
    <t>4 (3/1)</t>
  </si>
  <si>
    <t>chr9:22073831-22129684</t>
  </si>
  <si>
    <t>30 (24/6)</t>
  </si>
  <si>
    <t>chr9:22237076-22346187</t>
  </si>
  <si>
    <t>NA</t>
  </si>
  <si>
    <t>26 (22/4)</t>
  </si>
  <si>
    <t>chr7:55337706-55358484</t>
  </si>
  <si>
    <t>rs4947979</t>
  </si>
  <si>
    <t>44 (31/13)</t>
  </si>
  <si>
    <t>7 (6/1)</t>
  </si>
  <si>
    <t>37 (24/13)</t>
  </si>
  <si>
    <t>0 (0/0)</t>
  </si>
  <si>
    <t>chr10:152102-773901</t>
  </si>
  <si>
    <t>LOSS</t>
  </si>
  <si>
    <t>rs4977756</t>
  </si>
  <si>
    <t>18 (10/8)</t>
  </si>
  <si>
    <t>5 (3/2)</t>
  </si>
  <si>
    <t>63 (45/18)</t>
  </si>
  <si>
    <t>45 (35/10)</t>
  </si>
  <si>
    <t>chr10:2437411-39194226</t>
  </si>
  <si>
    <t>48 (38/10)</t>
  </si>
  <si>
    <t>chr10:69118295-70607572</t>
  </si>
  <si>
    <t>7 (4/3)</t>
  </si>
  <si>
    <t>52 (39/13)</t>
  </si>
  <si>
    <t>chr10:73399644-73550680</t>
  </si>
  <si>
    <t>6 (3/3)</t>
  </si>
  <si>
    <t>48 (37/11)</t>
  </si>
  <si>
    <t>chr10:76251152-76787562</t>
  </si>
  <si>
    <t>6 (4/2)</t>
  </si>
  <si>
    <t>chr10:81487496-81511601</t>
  </si>
  <si>
    <t>42 (34/8)</t>
  </si>
  <si>
    <t>chr10:87691459-89247305</t>
  </si>
  <si>
    <t>50 (40/10)</t>
  </si>
  <si>
    <t>chr10:59083-1492598</t>
  </si>
  <si>
    <t>LOH</t>
  </si>
  <si>
    <t>chr10:1499658-38646511</t>
  </si>
  <si>
    <t>49 (39/10)</t>
  </si>
  <si>
    <t>chr10:41676351-41862435</t>
  </si>
  <si>
    <t>6 (5/1)</t>
  </si>
  <si>
    <t>47 (38/9)</t>
  </si>
  <si>
    <t>chr10:76251152-76787611</t>
  </si>
  <si>
    <t>7 (5/2)</t>
  </si>
  <si>
    <t>50 (39/11)</t>
  </si>
  <si>
    <t>chr10:83624151-83646506</t>
  </si>
  <si>
    <t>50 (41/9)</t>
  </si>
  <si>
    <t>chr10:83971944-88506401</t>
  </si>
  <si>
    <t>51 (41/10)</t>
  </si>
  <si>
    <t>chr10:88730692-89206800</t>
  </si>
  <si>
    <t>chr10:135284978-135374311</t>
  </si>
  <si>
    <t>44 (35/9)</t>
  </si>
  <si>
    <t>chr7:54808835-55029721</t>
  </si>
  <si>
    <t>12 (11/1)</t>
  </si>
  <si>
    <t>chr16:2725159-2806900</t>
  </si>
  <si>
    <t>rs6010620</t>
  </si>
  <si>
    <t>52 (35/17)</t>
  </si>
  <si>
    <t>15 (10/5)</t>
  </si>
  <si>
    <t>29 (20/9)</t>
  </si>
  <si>
    <t>chr14:103624674-103624674</t>
  </si>
  <si>
    <t>rs6470745</t>
  </si>
  <si>
    <t>43 (30/13)</t>
  </si>
  <si>
    <t>3 (1/2)</t>
  </si>
  <si>
    <t>38 (25/13)</t>
  </si>
  <si>
    <t>15 (7/8)</t>
  </si>
  <si>
    <t>rs4295627</t>
  </si>
  <si>
    <t>chr10:70769919-70812426</t>
  </si>
  <si>
    <t>CNNE</t>
  </si>
  <si>
    <t>rs903502</t>
  </si>
  <si>
    <t>33 (20/13)</t>
  </si>
  <si>
    <t>48 (35/13)</t>
  </si>
  <si>
    <t>13 (9/4)</t>
  </si>
  <si>
    <t>rs12150298</t>
  </si>
  <si>
    <t>chr4:55085251-55109929</t>
  </si>
  <si>
    <t>rs9635726</t>
  </si>
  <si>
    <t>44 (27/17)</t>
  </si>
  <si>
    <t>37 (28/9)</t>
  </si>
  <si>
    <t>chr10:59083-39194226</t>
  </si>
  <si>
    <t>rs634537</t>
  </si>
  <si>
    <t>17 (8/9)</t>
  </si>
  <si>
    <t>4 (2/2)</t>
  </si>
  <si>
    <t>64 (47/17)</t>
  </si>
  <si>
    <t>rs1412829</t>
  </si>
  <si>
    <t>chr10:50726298-51172184</t>
  </si>
  <si>
    <t>45 (37/8)</t>
  </si>
  <si>
    <t>chr10:51188053-51493176</t>
  </si>
  <si>
    <t>47 (39/8)</t>
  </si>
  <si>
    <t>chr10:69018764-69111178</t>
  </si>
  <si>
    <t>49 (38/11)</t>
  </si>
  <si>
    <t>chr10:69761929-70306842</t>
  </si>
  <si>
    <t>7 (3/4)</t>
  </si>
  <si>
    <t>52 (40/12)</t>
  </si>
  <si>
    <t>chr10:73187526-73545567</t>
  </si>
  <si>
    <t>5 (2/3)</t>
  </si>
  <si>
    <t>chr10:76790462-76793657</t>
  </si>
  <si>
    <t>46 (36/10)</t>
  </si>
  <si>
    <t>chr10:76810870-77156632</t>
  </si>
  <si>
    <t>44 (36/8)</t>
  </si>
  <si>
    <t>chr10:81487496-81689218</t>
  </si>
  <si>
    <t>chr10:81692190-90364037</t>
  </si>
  <si>
    <t>chr10:93067055-93905633</t>
  </si>
  <si>
    <t>chr10:94004938-96842245</t>
  </si>
  <si>
    <t>chr10:96843431-97120440</t>
  </si>
  <si>
    <t>chr10:121831934-123970935</t>
  </si>
  <si>
    <t>47 (37/10)</t>
  </si>
  <si>
    <t>chr7:55459690-58058034</t>
  </si>
  <si>
    <t>4 (1/3)</t>
  </si>
  <si>
    <t>chr10:59083-41982473</t>
  </si>
  <si>
    <t>chr10:42133106-42178160</t>
  </si>
  <si>
    <t>chr10:42267633-45632595</t>
  </si>
  <si>
    <t>chr10:47070415-48684758</t>
  </si>
  <si>
    <t>chr10:48983251-51055913</t>
  </si>
  <si>
    <t>chr10:51163572-51172184</t>
  </si>
  <si>
    <t>chr10:51202373-70306842</t>
  </si>
  <si>
    <t>53 (41/12)</t>
  </si>
  <si>
    <t>chr10:70769919-73415482</t>
  </si>
  <si>
    <t>chr10:76251152-81040192</t>
  </si>
  <si>
    <t>chr10:81529851-96842309</t>
  </si>
  <si>
    <t>54 (42/12)</t>
  </si>
  <si>
    <t>chr10:96843354-120427653</t>
  </si>
  <si>
    <t>chr10:120443158-120629967</t>
  </si>
  <si>
    <t>chr10:120755847-120782693</t>
  </si>
  <si>
    <t>chr10:121074899-131824003</t>
  </si>
  <si>
    <t>45 (36/9)</t>
  </si>
  <si>
    <t>chr7:54893660-54990895</t>
  </si>
  <si>
    <t>1 (1/0)</t>
  </si>
  <si>
    <t>19 (16/3)</t>
  </si>
  <si>
    <t>sign</t>
  </si>
  <si>
    <t>n(rare+hz)</t>
  </si>
  <si>
    <t>P</t>
  </si>
  <si>
    <t>n (major)</t>
  </si>
  <si>
    <t>Region</t>
  </si>
  <si>
    <t>Variant</t>
  </si>
  <si>
    <t>n (major) event</t>
  </si>
  <si>
    <t>n(rare+hz) event</t>
  </si>
  <si>
    <t>TCGA</t>
  </si>
  <si>
    <r>
      <t xml:space="preserve">UMU </t>
    </r>
    <r>
      <rPr>
        <b/>
        <vertAlign val="superscript"/>
        <sz val="11"/>
        <color theme="1"/>
        <rFont val="Calibri"/>
        <family val="2"/>
        <scheme val="minor"/>
      </rPr>
      <t>a</t>
    </r>
  </si>
  <si>
    <r>
      <t xml:space="preserve">n (major) </t>
    </r>
    <r>
      <rPr>
        <b/>
        <vertAlign val="superscript"/>
        <sz val="11"/>
        <color theme="1"/>
        <rFont val="Calibri"/>
        <family val="2"/>
        <scheme val="minor"/>
      </rPr>
      <t>b</t>
    </r>
  </si>
  <si>
    <r>
      <t>n (major) event</t>
    </r>
    <r>
      <rPr>
        <b/>
        <vertAlign val="superscript"/>
        <sz val="11"/>
        <color theme="1"/>
        <rFont val="Calibri"/>
        <family val="2"/>
        <scheme val="minor"/>
      </rPr>
      <t xml:space="preserve"> b</t>
    </r>
  </si>
  <si>
    <r>
      <t>n(rare+hz)</t>
    </r>
    <r>
      <rPr>
        <b/>
        <vertAlign val="superscript"/>
        <sz val="11"/>
        <color theme="1"/>
        <rFont val="Calibri"/>
        <family val="2"/>
        <scheme val="minor"/>
      </rPr>
      <t xml:space="preserve"> b</t>
    </r>
  </si>
  <si>
    <r>
      <t>n(rare+hz) event</t>
    </r>
    <r>
      <rPr>
        <b/>
        <vertAlign val="superscript"/>
        <sz val="11"/>
        <color theme="1"/>
        <rFont val="Calibri"/>
        <family val="2"/>
        <scheme val="minor"/>
      </rPr>
      <t xml:space="preserve"> b</t>
    </r>
  </si>
  <si>
    <t>AMP</t>
  </si>
  <si>
    <t>CN&gt;2</t>
  </si>
  <si>
    <t>LOH&amp;CN&gt;2</t>
  </si>
  <si>
    <r>
      <t>Event</t>
    </r>
    <r>
      <rPr>
        <b/>
        <vertAlign val="superscript"/>
        <sz val="11"/>
        <color theme="1"/>
        <rFont val="Calibri"/>
        <family val="2"/>
        <scheme val="minor"/>
      </rPr>
      <t xml:space="preserve">  c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</si>
  <si>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  The event frequency may vary within each region. Data in Supplementary Table 1 represents one point in the region, where the event frequency of the risk group is at a maximum.</t>
    </r>
  </si>
  <si>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number, </t>
    </r>
    <r>
      <rPr>
        <i/>
        <sz val="11"/>
        <color theme="1"/>
        <rFont val="Calibri"/>
        <family val="2"/>
        <scheme val="minor"/>
      </rPr>
      <t>major</t>
    </r>
    <r>
      <rPr>
        <sz val="11"/>
        <color theme="1"/>
        <rFont val="Calibri"/>
        <family val="2"/>
        <scheme val="minor"/>
      </rPr>
      <t xml:space="preserve"> samples homozygous for the major allele, </t>
    </r>
    <r>
      <rPr>
        <i/>
        <sz val="11"/>
        <color theme="1"/>
        <rFont val="Calibri"/>
        <family val="2"/>
        <scheme val="minor"/>
      </rPr>
      <t>rare+hz</t>
    </r>
    <r>
      <rPr>
        <sz val="11"/>
        <color theme="1"/>
        <rFont val="Calibri"/>
        <family val="2"/>
        <scheme val="minor"/>
      </rPr>
      <t xml:space="preserve"> samples homozygous for the rare allele plus heterozygous samples, </t>
    </r>
    <r>
      <rPr>
        <i/>
        <sz val="11"/>
        <color theme="1"/>
        <rFont val="Calibri"/>
        <family val="2"/>
        <scheme val="minor"/>
      </rPr>
      <t>event</t>
    </r>
    <r>
      <rPr>
        <sz val="11"/>
        <color theme="1"/>
        <rFont val="Calibri"/>
        <family val="2"/>
        <scheme val="minor"/>
      </rPr>
      <t xml:space="preserve"> samples positive for given event</t>
    </r>
  </si>
  <si>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  total number of samples (glioblastoma samples / non-glioblastoma samples)</t>
    </r>
  </si>
  <si>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  </t>
    </r>
    <r>
      <rPr>
        <i/>
        <sz val="11"/>
        <color theme="1"/>
        <rFont val="Calibri"/>
        <family val="2"/>
        <scheme val="minor"/>
      </rPr>
      <t>HD</t>
    </r>
    <r>
      <rPr>
        <sz val="11"/>
        <color theme="1"/>
        <rFont val="Calibri"/>
        <family val="2"/>
        <scheme val="minor"/>
      </rPr>
      <t xml:space="preserve"> homozygous deletion, </t>
    </r>
    <r>
      <rPr>
        <i/>
        <sz val="11"/>
        <color theme="1"/>
        <rFont val="Calibri"/>
        <family val="2"/>
        <scheme val="minor"/>
      </rPr>
      <t>LOH</t>
    </r>
    <r>
      <rPr>
        <sz val="11"/>
        <color theme="1"/>
        <rFont val="Calibri"/>
        <family val="2"/>
        <scheme val="minor"/>
      </rPr>
      <t xml:space="preserve"> loss of heterozygosity, </t>
    </r>
    <r>
      <rPr>
        <i/>
        <sz val="11"/>
        <color theme="1"/>
        <rFont val="Calibri"/>
        <family val="2"/>
        <scheme val="minor"/>
      </rPr>
      <t>AMP</t>
    </r>
    <r>
      <rPr>
        <sz val="11"/>
        <color theme="1"/>
        <rFont val="Calibri"/>
        <family val="2"/>
        <scheme val="minor"/>
      </rPr>
      <t xml:space="preserve"> amplification, </t>
    </r>
    <r>
      <rPr>
        <i/>
        <sz val="11"/>
        <color theme="1"/>
        <rFont val="Calibri"/>
        <family val="2"/>
        <scheme val="minor"/>
      </rPr>
      <t>CN&gt;2</t>
    </r>
    <r>
      <rPr>
        <sz val="11"/>
        <color theme="1"/>
        <rFont val="Calibri"/>
        <family val="2"/>
        <scheme val="minor"/>
      </rPr>
      <t xml:space="preserve"> copy number increase, </t>
    </r>
    <r>
      <rPr>
        <i/>
        <sz val="11"/>
        <color theme="1"/>
        <rFont val="Calibri"/>
        <family val="2"/>
        <scheme val="minor"/>
      </rPr>
      <t>LOH&amp;CN&gt;2</t>
    </r>
    <r>
      <rPr>
        <sz val="11"/>
        <color theme="1"/>
        <rFont val="Calibri"/>
        <family val="2"/>
        <scheme val="minor"/>
      </rPr>
      <t xml:space="preserve"> simultaneous LOH and copy number increase, </t>
    </r>
    <r>
      <rPr>
        <i/>
        <sz val="11"/>
        <color theme="1"/>
        <rFont val="Calibri"/>
        <family val="2"/>
        <scheme val="minor"/>
      </rPr>
      <t>CNNE</t>
    </r>
    <r>
      <rPr>
        <sz val="11"/>
        <color theme="1"/>
        <rFont val="Calibri"/>
        <family val="2"/>
        <scheme val="minor"/>
      </rPr>
      <t xml:space="preserve"> copy number neutral event</t>
    </r>
  </si>
  <si>
    <r>
      <rPr>
        <b/>
        <sz val="11"/>
        <color theme="1"/>
        <rFont val="Calibri"/>
        <family val="2"/>
        <scheme val="minor"/>
      </rPr>
      <t>Table S1</t>
    </r>
    <r>
      <rPr>
        <sz val="11"/>
        <color theme="1"/>
        <rFont val="Calibri"/>
        <family val="2"/>
        <scheme val="minor"/>
      </rPr>
      <t xml:space="preserve"> Validation results, global approach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</si>
</sst>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Fill="1" applyAlignment="1">
      <alignment horizontal="center"/>
    </xf>
    <xf numFmtId="0" fontId="0" fillId="33" borderId="0" xfId="0" applyFill="1" applyAlignment="1">
      <alignment textRotation="90"/>
    </xf>
    <xf numFmtId="0" fontId="0" fillId="33" borderId="10" xfId="0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164" fontId="0" fillId="33" borderId="11" xfId="0" applyNumberFormat="1" applyFill="1" applyBorder="1" applyAlignment="1">
      <alignment horizontal="center"/>
    </xf>
    <xf numFmtId="0" fontId="0" fillId="33" borderId="10" xfId="0" applyFill="1" applyBorder="1"/>
    <xf numFmtId="0" fontId="16" fillId="33" borderId="12" xfId="0" applyFont="1" applyFill="1" applyBorder="1" applyAlignment="1"/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 wrapText="1"/>
    </xf>
    <xf numFmtId="0" fontId="16" fillId="33" borderId="14" xfId="0" applyFont="1" applyFill="1" applyBorder="1" applyAlignment="1">
      <alignment horizontal="center"/>
    </xf>
    <xf numFmtId="0" fontId="16" fillId="33" borderId="13" xfId="0" applyFont="1" applyFill="1" applyBorder="1" applyAlignment="1"/>
    <xf numFmtId="0" fontId="0" fillId="33" borderId="0" xfId="0" applyFill="1"/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0" fillId="33" borderId="0" xfId="0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71"/>
  <sheetViews>
    <sheetView tabSelected="1" zoomScale="80" zoomScaleNormal="80" workbookViewId="0"/>
  </sheetViews>
  <sheetFormatPr defaultRowHeight="15" x14ac:dyDescent="0.25"/>
  <cols>
    <col min="1" max="1" width="27.7109375" style="13" bestFit="1" customWidth="1"/>
    <col min="2" max="2" width="11" style="1" bestFit="1" customWidth="1"/>
    <col min="3" max="3" width="10.5703125" style="1" bestFit="1" customWidth="1"/>
    <col min="4" max="7" width="22.42578125" style="1" customWidth="1"/>
    <col min="8" max="8" width="7.140625" style="1" bestFit="1" customWidth="1"/>
    <col min="9" max="9" width="11.5703125" style="13" bestFit="1" customWidth="1"/>
    <col min="10" max="13" width="22.42578125" style="1" customWidth="1"/>
    <col min="14" max="14" width="7.140625" style="1" bestFit="1" customWidth="1"/>
    <col min="15" max="15" width="5.28515625" style="1" bestFit="1" customWidth="1"/>
    <col min="16" max="16384" width="9.140625" style="13"/>
  </cols>
  <sheetData>
    <row r="3" spans="1:15" x14ac:dyDescent="0.25">
      <c r="A3" s="13" t="s">
        <v>162</v>
      </c>
    </row>
    <row r="5" spans="1:15" ht="17.25" x14ac:dyDescent="0.25">
      <c r="C5" s="14" t="s">
        <v>149</v>
      </c>
      <c r="D5" s="15"/>
      <c r="E5" s="15"/>
      <c r="F5" s="15"/>
      <c r="G5" s="15"/>
      <c r="H5" s="16"/>
      <c r="I5" s="14" t="s">
        <v>148</v>
      </c>
      <c r="J5" s="15"/>
      <c r="K5" s="15"/>
      <c r="L5" s="15"/>
      <c r="M5" s="15"/>
      <c r="N5" s="16"/>
    </row>
    <row r="6" spans="1:15" s="2" customFormat="1" ht="17.25" x14ac:dyDescent="0.25">
      <c r="A6" s="7" t="s">
        <v>144</v>
      </c>
      <c r="B6" s="8" t="s">
        <v>157</v>
      </c>
      <c r="C6" s="9" t="s">
        <v>145</v>
      </c>
      <c r="D6" s="10" t="s">
        <v>150</v>
      </c>
      <c r="E6" s="10" t="s">
        <v>151</v>
      </c>
      <c r="F6" s="8" t="s">
        <v>152</v>
      </c>
      <c r="G6" s="8" t="s">
        <v>153</v>
      </c>
      <c r="H6" s="11" t="s">
        <v>142</v>
      </c>
      <c r="I6" s="12" t="s">
        <v>145</v>
      </c>
      <c r="J6" s="10" t="s">
        <v>143</v>
      </c>
      <c r="K6" s="10" t="s">
        <v>146</v>
      </c>
      <c r="L6" s="8" t="s">
        <v>141</v>
      </c>
      <c r="M6" s="8" t="s">
        <v>147</v>
      </c>
      <c r="N6" s="11" t="s">
        <v>142</v>
      </c>
      <c r="O6" s="8" t="s">
        <v>140</v>
      </c>
    </row>
    <row r="7" spans="1:15" x14ac:dyDescent="0.25">
      <c r="A7" s="13" t="s">
        <v>86</v>
      </c>
      <c r="B7" s="1" t="s">
        <v>156</v>
      </c>
      <c r="C7" s="3" t="s">
        <v>87</v>
      </c>
      <c r="D7" s="4" t="s">
        <v>88</v>
      </c>
      <c r="E7" s="4" t="s">
        <v>26</v>
      </c>
      <c r="F7" s="4" t="s">
        <v>89</v>
      </c>
      <c r="G7" s="4" t="s">
        <v>12</v>
      </c>
      <c r="H7" s="5">
        <v>1.7012874607811299E-2</v>
      </c>
      <c r="I7" s="6" t="s">
        <v>87</v>
      </c>
      <c r="J7" s="4">
        <v>186</v>
      </c>
      <c r="K7" s="4">
        <v>1</v>
      </c>
      <c r="L7" s="4">
        <v>99</v>
      </c>
      <c r="M7" s="4">
        <v>1</v>
      </c>
      <c r="N7" s="5" t="s">
        <v>19</v>
      </c>
      <c r="O7" s="1" t="str">
        <f t="shared" ref="O7:O38" si="0">IF(N7&lt;0.05, "*", "")</f>
        <v/>
      </c>
    </row>
    <row r="8" spans="1:15" x14ac:dyDescent="0.25">
      <c r="A8" s="13" t="s">
        <v>65</v>
      </c>
      <c r="B8" s="1" t="s">
        <v>154</v>
      </c>
      <c r="C8" s="3" t="s">
        <v>29</v>
      </c>
      <c r="D8" s="4" t="s">
        <v>30</v>
      </c>
      <c r="E8" s="4" t="s">
        <v>26</v>
      </c>
      <c r="F8" s="4" t="s">
        <v>32</v>
      </c>
      <c r="G8" s="4" t="s">
        <v>66</v>
      </c>
      <c r="H8" s="5">
        <v>5.0790305542514E-2</v>
      </c>
      <c r="I8" s="6" t="s">
        <v>29</v>
      </c>
      <c r="J8" s="4">
        <v>92</v>
      </c>
      <c r="K8" s="4">
        <v>43</v>
      </c>
      <c r="L8" s="4">
        <v>193</v>
      </c>
      <c r="M8" s="4">
        <v>84</v>
      </c>
      <c r="N8" s="5">
        <v>0.73856616968353805</v>
      </c>
      <c r="O8" s="1" t="str">
        <f t="shared" si="0"/>
        <v/>
      </c>
    </row>
    <row r="9" spans="1:15" x14ac:dyDescent="0.25">
      <c r="A9" s="13" t="s">
        <v>137</v>
      </c>
      <c r="B9" s="1" t="s">
        <v>156</v>
      </c>
      <c r="C9" s="3" t="s">
        <v>91</v>
      </c>
      <c r="D9" s="4" t="s">
        <v>92</v>
      </c>
      <c r="E9" s="4" t="s">
        <v>138</v>
      </c>
      <c r="F9" s="4" t="s">
        <v>94</v>
      </c>
      <c r="G9" s="4" t="s">
        <v>139</v>
      </c>
      <c r="H9" s="5">
        <v>3.5756722887684299E-2</v>
      </c>
      <c r="I9" s="6" t="s">
        <v>95</v>
      </c>
      <c r="J9" s="4">
        <v>89</v>
      </c>
      <c r="K9" s="4">
        <v>14</v>
      </c>
      <c r="L9" s="4">
        <v>196</v>
      </c>
      <c r="M9" s="4">
        <v>43</v>
      </c>
      <c r="N9" s="5">
        <v>0.14545078841953701</v>
      </c>
      <c r="O9" s="1" t="str">
        <f t="shared" si="0"/>
        <v/>
      </c>
    </row>
    <row r="10" spans="1:15" x14ac:dyDescent="0.25">
      <c r="A10" s="13" t="s">
        <v>137</v>
      </c>
      <c r="B10" s="1" t="s">
        <v>154</v>
      </c>
      <c r="C10" s="3" t="s">
        <v>91</v>
      </c>
      <c r="D10" s="4" t="s">
        <v>92</v>
      </c>
      <c r="E10" s="4" t="s">
        <v>26</v>
      </c>
      <c r="F10" s="4" t="s">
        <v>94</v>
      </c>
      <c r="G10" s="4" t="s">
        <v>66</v>
      </c>
      <c r="H10" s="5">
        <v>4.6436850781726997E-2</v>
      </c>
      <c r="I10" s="6" t="s">
        <v>95</v>
      </c>
      <c r="J10" s="4">
        <v>89</v>
      </c>
      <c r="K10" s="4">
        <v>40</v>
      </c>
      <c r="L10" s="4">
        <v>196</v>
      </c>
      <c r="M10" s="4">
        <v>96</v>
      </c>
      <c r="N10" s="5">
        <v>0.30732714847141301</v>
      </c>
      <c r="O10" s="1" t="str">
        <f t="shared" si="0"/>
        <v/>
      </c>
    </row>
    <row r="11" spans="1:15" x14ac:dyDescent="0.25">
      <c r="A11" s="13" t="s">
        <v>21</v>
      </c>
      <c r="B11" s="1" t="s">
        <v>154</v>
      </c>
      <c r="C11" s="3" t="s">
        <v>22</v>
      </c>
      <c r="D11" s="4" t="s">
        <v>23</v>
      </c>
      <c r="E11" s="4" t="s">
        <v>24</v>
      </c>
      <c r="F11" s="4" t="s">
        <v>25</v>
      </c>
      <c r="G11" s="4" t="s">
        <v>26</v>
      </c>
      <c r="H11" s="5">
        <v>1.1020471948742E-2</v>
      </c>
      <c r="I11" s="6" t="s">
        <v>22</v>
      </c>
      <c r="J11" s="4">
        <v>184</v>
      </c>
      <c r="K11" s="4">
        <v>50</v>
      </c>
      <c r="L11" s="4">
        <v>101</v>
      </c>
      <c r="M11" s="4">
        <v>36</v>
      </c>
      <c r="N11" s="5">
        <v>0.947182142284405</v>
      </c>
      <c r="O11" s="1" t="str">
        <f t="shared" si="0"/>
        <v/>
      </c>
    </row>
    <row r="12" spans="1:15" x14ac:dyDescent="0.25">
      <c r="A12" s="13" t="s">
        <v>118</v>
      </c>
      <c r="B12" s="1" t="s">
        <v>155</v>
      </c>
      <c r="C12" s="3" t="s">
        <v>91</v>
      </c>
      <c r="D12" s="4" t="s">
        <v>92</v>
      </c>
      <c r="E12" s="4" t="s">
        <v>119</v>
      </c>
      <c r="F12" s="4" t="s">
        <v>94</v>
      </c>
      <c r="G12" s="4" t="s">
        <v>64</v>
      </c>
      <c r="H12" s="5">
        <v>1.4807777212576599E-3</v>
      </c>
      <c r="I12" s="6" t="s">
        <v>95</v>
      </c>
      <c r="J12" s="4">
        <v>89</v>
      </c>
      <c r="K12" s="4">
        <v>73</v>
      </c>
      <c r="L12" s="4">
        <v>196</v>
      </c>
      <c r="M12" s="4">
        <v>159</v>
      </c>
      <c r="N12" s="5">
        <v>0.63053191354423199</v>
      </c>
      <c r="O12" s="1" t="str">
        <f t="shared" si="0"/>
        <v/>
      </c>
    </row>
    <row r="13" spans="1:15" x14ac:dyDescent="0.25">
      <c r="A13" s="13" t="s">
        <v>0</v>
      </c>
      <c r="B13" s="1" t="s">
        <v>1</v>
      </c>
      <c r="C13" s="3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5">
        <v>3.7384377919558501E-3</v>
      </c>
      <c r="I13" s="6" t="s">
        <v>7</v>
      </c>
      <c r="J13" s="4">
        <v>236</v>
      </c>
      <c r="K13" s="4">
        <v>101</v>
      </c>
      <c r="L13" s="4">
        <v>49</v>
      </c>
      <c r="M13" s="4">
        <v>16</v>
      </c>
      <c r="N13" s="5">
        <v>0.123742593909843</v>
      </c>
      <c r="O13" s="1" t="str">
        <f t="shared" si="0"/>
        <v/>
      </c>
    </row>
    <row r="14" spans="1:15" x14ac:dyDescent="0.25">
      <c r="A14" s="13" t="s">
        <v>8</v>
      </c>
      <c r="B14" s="1" t="s">
        <v>1</v>
      </c>
      <c r="C14" s="3" t="s">
        <v>2</v>
      </c>
      <c r="D14" s="4" t="s">
        <v>3</v>
      </c>
      <c r="E14" s="4" t="s">
        <v>4</v>
      </c>
      <c r="F14" s="4" t="s">
        <v>5</v>
      </c>
      <c r="G14" s="4" t="s">
        <v>9</v>
      </c>
      <c r="H14" s="5">
        <v>7.1000404255072104E-3</v>
      </c>
      <c r="I14" s="6" t="s">
        <v>7</v>
      </c>
      <c r="J14" s="4">
        <v>236</v>
      </c>
      <c r="K14" s="4">
        <v>107</v>
      </c>
      <c r="L14" s="4">
        <v>49</v>
      </c>
      <c r="M14" s="4">
        <v>17</v>
      </c>
      <c r="N14" s="5">
        <v>0.112722010433449</v>
      </c>
      <c r="O14" s="1" t="str">
        <f t="shared" si="0"/>
        <v/>
      </c>
    </row>
    <row r="15" spans="1:15" x14ac:dyDescent="0.25">
      <c r="A15" s="13" t="s">
        <v>10</v>
      </c>
      <c r="B15" s="1" t="s">
        <v>1</v>
      </c>
      <c r="C15" s="3" t="s">
        <v>2</v>
      </c>
      <c r="D15" s="4" t="s">
        <v>3</v>
      </c>
      <c r="E15" s="4" t="s">
        <v>11</v>
      </c>
      <c r="F15" s="4" t="s">
        <v>5</v>
      </c>
      <c r="G15" s="4" t="s">
        <v>12</v>
      </c>
      <c r="H15" s="5">
        <v>6.1511062401831303E-3</v>
      </c>
      <c r="I15" s="6" t="s">
        <v>7</v>
      </c>
      <c r="J15" s="4">
        <v>236</v>
      </c>
      <c r="K15" s="4">
        <v>135</v>
      </c>
      <c r="L15" s="4">
        <v>49</v>
      </c>
      <c r="M15" s="4">
        <v>20</v>
      </c>
      <c r="N15" s="5">
        <v>2.6429256500072801E-2</v>
      </c>
      <c r="O15" s="1" t="str">
        <f t="shared" si="0"/>
        <v>*</v>
      </c>
    </row>
    <row r="16" spans="1:15" x14ac:dyDescent="0.25">
      <c r="A16" s="13" t="s">
        <v>13</v>
      </c>
      <c r="B16" s="1" t="s">
        <v>1</v>
      </c>
      <c r="C16" s="3" t="s">
        <v>2</v>
      </c>
      <c r="D16" s="4" t="s">
        <v>3</v>
      </c>
      <c r="E16" s="4" t="s">
        <v>14</v>
      </c>
      <c r="F16" s="4" t="s">
        <v>5</v>
      </c>
      <c r="G16" s="4" t="s">
        <v>15</v>
      </c>
      <c r="H16" s="5">
        <v>3.9846192939804303E-3</v>
      </c>
      <c r="I16" s="6" t="s">
        <v>7</v>
      </c>
      <c r="J16" s="4">
        <v>236</v>
      </c>
      <c r="K16" s="4">
        <v>132</v>
      </c>
      <c r="L16" s="4">
        <v>49</v>
      </c>
      <c r="M16" s="4">
        <v>19</v>
      </c>
      <c r="N16" s="5">
        <v>2.1007116807825101E-2</v>
      </c>
      <c r="O16" s="1" t="str">
        <f t="shared" si="0"/>
        <v>*</v>
      </c>
    </row>
    <row r="17" spans="1:15" x14ac:dyDescent="0.25">
      <c r="A17" s="13" t="s">
        <v>16</v>
      </c>
      <c r="B17" s="1" t="s">
        <v>1</v>
      </c>
      <c r="C17" s="3" t="s">
        <v>2</v>
      </c>
      <c r="D17" s="4" t="s">
        <v>3</v>
      </c>
      <c r="E17" s="4" t="s">
        <v>17</v>
      </c>
      <c r="F17" s="4" t="s">
        <v>5</v>
      </c>
      <c r="G17" s="4" t="s">
        <v>9</v>
      </c>
      <c r="H17" s="5">
        <v>4.9576415999525404E-3</v>
      </c>
      <c r="I17" s="6" t="s">
        <v>7</v>
      </c>
      <c r="J17" s="4">
        <v>236</v>
      </c>
      <c r="K17" s="4">
        <v>118</v>
      </c>
      <c r="L17" s="4">
        <v>49</v>
      </c>
      <c r="M17" s="4">
        <v>18</v>
      </c>
      <c r="N17" s="5">
        <v>6.1879119374878201E-2</v>
      </c>
      <c r="O17" s="1" t="str">
        <f t="shared" si="0"/>
        <v/>
      </c>
    </row>
    <row r="18" spans="1:15" x14ac:dyDescent="0.25">
      <c r="A18" s="13" t="s">
        <v>18</v>
      </c>
      <c r="B18" s="1" t="s">
        <v>1</v>
      </c>
      <c r="C18" s="3" t="s">
        <v>2</v>
      </c>
      <c r="D18" s="4" t="s">
        <v>3</v>
      </c>
      <c r="E18" s="4" t="s">
        <v>20</v>
      </c>
      <c r="F18" s="4" t="s">
        <v>5</v>
      </c>
      <c r="G18" s="4" t="s">
        <v>6</v>
      </c>
      <c r="H18" s="5">
        <v>5.4017115258731298E-3</v>
      </c>
      <c r="I18" s="6" t="s">
        <v>7</v>
      </c>
      <c r="J18" s="4">
        <v>236</v>
      </c>
      <c r="K18" s="4">
        <v>97</v>
      </c>
      <c r="L18" s="4">
        <v>49</v>
      </c>
      <c r="M18" s="4">
        <v>15</v>
      </c>
      <c r="N18" s="5">
        <v>0.112836100378105</v>
      </c>
      <c r="O18" s="1" t="str">
        <f t="shared" si="0"/>
        <v/>
      </c>
    </row>
    <row r="19" spans="1:15" x14ac:dyDescent="0.25">
      <c r="A19" s="13" t="s">
        <v>48</v>
      </c>
      <c r="B19" s="1" t="s">
        <v>49</v>
      </c>
      <c r="C19" s="3" t="s">
        <v>29</v>
      </c>
      <c r="D19" s="4" t="s">
        <v>30</v>
      </c>
      <c r="E19" s="4" t="s">
        <v>43</v>
      </c>
      <c r="F19" s="4" t="s">
        <v>32</v>
      </c>
      <c r="G19" s="4" t="s">
        <v>41</v>
      </c>
      <c r="H19" s="5">
        <v>1.79223612211072E-3</v>
      </c>
      <c r="I19" s="6" t="s">
        <v>29</v>
      </c>
      <c r="J19" s="4">
        <v>92</v>
      </c>
      <c r="K19" s="4">
        <v>75</v>
      </c>
      <c r="L19" s="4">
        <v>193</v>
      </c>
      <c r="M19" s="4">
        <v>160</v>
      </c>
      <c r="N19" s="5">
        <v>0.44735111443750802</v>
      </c>
      <c r="O19" s="1" t="str">
        <f t="shared" si="0"/>
        <v/>
      </c>
    </row>
    <row r="20" spans="1:15" x14ac:dyDescent="0.25">
      <c r="A20" s="13" t="s">
        <v>90</v>
      </c>
      <c r="B20" s="1" t="s">
        <v>28</v>
      </c>
      <c r="C20" s="3" t="s">
        <v>91</v>
      </c>
      <c r="D20" s="4" t="s">
        <v>92</v>
      </c>
      <c r="E20" s="4" t="s">
        <v>93</v>
      </c>
      <c r="F20" s="4" t="s">
        <v>94</v>
      </c>
      <c r="G20" s="4" t="s">
        <v>51</v>
      </c>
      <c r="H20" s="5">
        <v>2.5817238274697803E-4</v>
      </c>
      <c r="I20" s="6" t="s">
        <v>95</v>
      </c>
      <c r="J20" s="4">
        <v>89</v>
      </c>
      <c r="K20" s="4">
        <v>68</v>
      </c>
      <c r="L20" s="4">
        <v>196</v>
      </c>
      <c r="M20" s="4">
        <v>166</v>
      </c>
      <c r="N20" s="5">
        <v>6.5407391038770094E-2</v>
      </c>
      <c r="O20" s="1" t="str">
        <f t="shared" si="0"/>
        <v/>
      </c>
    </row>
    <row r="21" spans="1:15" x14ac:dyDescent="0.25">
      <c r="A21" s="13" t="s">
        <v>120</v>
      </c>
      <c r="B21" s="1" t="s">
        <v>49</v>
      </c>
      <c r="C21" s="3" t="s">
        <v>91</v>
      </c>
      <c r="D21" s="4" t="s">
        <v>92</v>
      </c>
      <c r="E21" s="4" t="s">
        <v>93</v>
      </c>
      <c r="F21" s="4" t="s">
        <v>94</v>
      </c>
      <c r="G21" s="4" t="s">
        <v>61</v>
      </c>
      <c r="H21" s="5">
        <v>5.3457995226451001E-5</v>
      </c>
      <c r="I21" s="6" t="s">
        <v>95</v>
      </c>
      <c r="J21" s="4">
        <v>89</v>
      </c>
      <c r="K21" s="4">
        <v>70</v>
      </c>
      <c r="L21" s="4">
        <v>196</v>
      </c>
      <c r="M21" s="4">
        <v>164</v>
      </c>
      <c r="N21" s="5">
        <v>0.19442993529865299</v>
      </c>
      <c r="O21" s="1" t="str">
        <f t="shared" si="0"/>
        <v/>
      </c>
    </row>
    <row r="22" spans="1:15" x14ac:dyDescent="0.25">
      <c r="A22" s="13" t="s">
        <v>27</v>
      </c>
      <c r="B22" s="1" t="s">
        <v>28</v>
      </c>
      <c r="C22" s="3" t="s">
        <v>29</v>
      </c>
      <c r="D22" s="4" t="s">
        <v>30</v>
      </c>
      <c r="E22" s="4" t="s">
        <v>31</v>
      </c>
      <c r="F22" s="4" t="s">
        <v>32</v>
      </c>
      <c r="G22" s="4" t="s">
        <v>33</v>
      </c>
      <c r="H22" s="5">
        <v>1.1043138138901599E-3</v>
      </c>
      <c r="I22" s="6" t="s">
        <v>29</v>
      </c>
      <c r="J22" s="4">
        <v>92</v>
      </c>
      <c r="K22" s="4">
        <v>74</v>
      </c>
      <c r="L22" s="4">
        <v>193</v>
      </c>
      <c r="M22" s="4">
        <v>160</v>
      </c>
      <c r="N22" s="5">
        <v>0.36186871172290702</v>
      </c>
      <c r="O22" s="1" t="str">
        <f t="shared" si="0"/>
        <v/>
      </c>
    </row>
    <row r="23" spans="1:15" x14ac:dyDescent="0.25">
      <c r="A23" s="13" t="s">
        <v>50</v>
      </c>
      <c r="B23" s="1" t="s">
        <v>49</v>
      </c>
      <c r="C23" s="3" t="s">
        <v>29</v>
      </c>
      <c r="D23" s="4" t="s">
        <v>30</v>
      </c>
      <c r="E23" s="4" t="s">
        <v>43</v>
      </c>
      <c r="F23" s="4" t="s">
        <v>32</v>
      </c>
      <c r="G23" s="4" t="s">
        <v>51</v>
      </c>
      <c r="H23" s="5">
        <v>1.13685052043895E-3</v>
      </c>
      <c r="I23" s="6" t="s">
        <v>29</v>
      </c>
      <c r="J23" s="4">
        <v>92</v>
      </c>
      <c r="K23" s="4">
        <v>73</v>
      </c>
      <c r="L23" s="4">
        <v>193</v>
      </c>
      <c r="M23" s="4">
        <v>161</v>
      </c>
      <c r="N23" s="5">
        <v>0.24833739561758</v>
      </c>
      <c r="O23" s="1" t="str">
        <f t="shared" si="0"/>
        <v/>
      </c>
    </row>
    <row r="24" spans="1:15" x14ac:dyDescent="0.25">
      <c r="A24" s="13" t="s">
        <v>34</v>
      </c>
      <c r="B24" s="1" t="s">
        <v>28</v>
      </c>
      <c r="C24" s="3" t="s">
        <v>29</v>
      </c>
      <c r="D24" s="4" t="s">
        <v>30</v>
      </c>
      <c r="E24" s="4" t="s">
        <v>31</v>
      </c>
      <c r="F24" s="4" t="s">
        <v>32</v>
      </c>
      <c r="G24" s="4" t="s">
        <v>35</v>
      </c>
      <c r="H24" s="5">
        <v>7.0305086716246205E-4</v>
      </c>
      <c r="I24" s="6" t="s">
        <v>29</v>
      </c>
      <c r="J24" s="4">
        <v>92</v>
      </c>
      <c r="K24" s="4">
        <v>72</v>
      </c>
      <c r="L24" s="4">
        <v>193</v>
      </c>
      <c r="M24" s="4">
        <v>163</v>
      </c>
      <c r="N24" s="5">
        <v>0.13208000271543799</v>
      </c>
      <c r="O24" s="1" t="str">
        <f t="shared" si="0"/>
        <v/>
      </c>
    </row>
    <row r="25" spans="1:15" x14ac:dyDescent="0.25">
      <c r="A25" s="13" t="s">
        <v>52</v>
      </c>
      <c r="B25" s="1" t="s">
        <v>49</v>
      </c>
      <c r="C25" s="3" t="s">
        <v>29</v>
      </c>
      <c r="D25" s="4" t="s">
        <v>30</v>
      </c>
      <c r="E25" s="4" t="s">
        <v>53</v>
      </c>
      <c r="F25" s="4" t="s">
        <v>32</v>
      </c>
      <c r="G25" s="4" t="s">
        <v>54</v>
      </c>
      <c r="H25" s="5">
        <v>1.79223612211072E-3</v>
      </c>
      <c r="I25" s="6" t="s">
        <v>29</v>
      </c>
      <c r="J25" s="4">
        <v>92</v>
      </c>
      <c r="K25" s="4">
        <v>70</v>
      </c>
      <c r="L25" s="4">
        <v>193</v>
      </c>
      <c r="M25" s="4">
        <v>156</v>
      </c>
      <c r="N25" s="5">
        <v>0.220148259012727</v>
      </c>
      <c r="O25" s="1" t="str">
        <f t="shared" si="0"/>
        <v/>
      </c>
    </row>
    <row r="26" spans="1:15" x14ac:dyDescent="0.25">
      <c r="A26" s="13" t="s">
        <v>121</v>
      </c>
      <c r="B26" s="1" t="s">
        <v>49</v>
      </c>
      <c r="C26" s="3" t="s">
        <v>91</v>
      </c>
      <c r="D26" s="4" t="s">
        <v>92</v>
      </c>
      <c r="E26" s="4" t="s">
        <v>31</v>
      </c>
      <c r="F26" s="4" t="s">
        <v>94</v>
      </c>
      <c r="G26" s="4" t="s">
        <v>54</v>
      </c>
      <c r="H26" s="5">
        <v>1.2072464828333401E-3</v>
      </c>
      <c r="I26" s="6" t="s">
        <v>95</v>
      </c>
      <c r="J26" s="4" t="s">
        <v>19</v>
      </c>
      <c r="K26" s="4" t="s">
        <v>19</v>
      </c>
      <c r="L26" s="4" t="s">
        <v>19</v>
      </c>
      <c r="M26" s="4" t="s">
        <v>19</v>
      </c>
      <c r="N26" s="5" t="s">
        <v>19</v>
      </c>
      <c r="O26" s="1" t="str">
        <f t="shared" si="0"/>
        <v/>
      </c>
    </row>
    <row r="27" spans="1:15" x14ac:dyDescent="0.25">
      <c r="A27" s="13" t="s">
        <v>122</v>
      </c>
      <c r="B27" s="1" t="s">
        <v>49</v>
      </c>
      <c r="C27" s="3" t="s">
        <v>91</v>
      </c>
      <c r="D27" s="4" t="s">
        <v>92</v>
      </c>
      <c r="E27" s="4" t="s">
        <v>31</v>
      </c>
      <c r="F27" s="4" t="s">
        <v>94</v>
      </c>
      <c r="G27" s="4" t="s">
        <v>61</v>
      </c>
      <c r="H27" s="5">
        <v>2.91239619415753E-4</v>
      </c>
      <c r="I27" s="6" t="s">
        <v>95</v>
      </c>
      <c r="J27" s="4">
        <v>89</v>
      </c>
      <c r="K27" s="4">
        <v>69</v>
      </c>
      <c r="L27" s="4">
        <v>196</v>
      </c>
      <c r="M27" s="4">
        <v>162</v>
      </c>
      <c r="N27" s="5">
        <v>0.19399250073911101</v>
      </c>
      <c r="O27" s="1" t="str">
        <f t="shared" si="0"/>
        <v/>
      </c>
    </row>
    <row r="28" spans="1:15" x14ac:dyDescent="0.25">
      <c r="A28" s="13" t="s">
        <v>123</v>
      </c>
      <c r="B28" s="1" t="s">
        <v>49</v>
      </c>
      <c r="C28" s="3" t="s">
        <v>91</v>
      </c>
      <c r="D28" s="4" t="s">
        <v>92</v>
      </c>
      <c r="E28" s="4" t="s">
        <v>31</v>
      </c>
      <c r="F28" s="4" t="s">
        <v>94</v>
      </c>
      <c r="G28" s="4" t="s">
        <v>47</v>
      </c>
      <c r="H28" s="5">
        <v>4.81464918767195E-4</v>
      </c>
      <c r="I28" s="6" t="s">
        <v>95</v>
      </c>
      <c r="J28" s="4">
        <v>89</v>
      </c>
      <c r="K28" s="4">
        <v>72</v>
      </c>
      <c r="L28" s="4">
        <v>196</v>
      </c>
      <c r="M28" s="4">
        <v>170</v>
      </c>
      <c r="N28" s="5">
        <v>0.136822365754279</v>
      </c>
      <c r="O28" s="1" t="str">
        <f t="shared" si="0"/>
        <v/>
      </c>
    </row>
    <row r="29" spans="1:15" x14ac:dyDescent="0.25">
      <c r="A29" s="13" t="s">
        <v>124</v>
      </c>
      <c r="B29" s="1" t="s">
        <v>49</v>
      </c>
      <c r="C29" s="3" t="s">
        <v>91</v>
      </c>
      <c r="D29" s="4" t="s">
        <v>92</v>
      </c>
      <c r="E29" s="4" t="s">
        <v>31</v>
      </c>
      <c r="F29" s="4" t="s">
        <v>94</v>
      </c>
      <c r="G29" s="4" t="s">
        <v>51</v>
      </c>
      <c r="H29" s="5">
        <v>4.81464918767195E-4</v>
      </c>
      <c r="I29" s="6" t="s">
        <v>95</v>
      </c>
      <c r="J29" s="4">
        <v>89</v>
      </c>
      <c r="K29" s="4">
        <v>72</v>
      </c>
      <c r="L29" s="4">
        <v>196</v>
      </c>
      <c r="M29" s="4">
        <v>170</v>
      </c>
      <c r="N29" s="5">
        <v>0.136822365754279</v>
      </c>
      <c r="O29" s="1" t="str">
        <f t="shared" si="0"/>
        <v/>
      </c>
    </row>
    <row r="30" spans="1:15" x14ac:dyDescent="0.25">
      <c r="A30" s="13" t="s">
        <v>96</v>
      </c>
      <c r="B30" s="1" t="s">
        <v>28</v>
      </c>
      <c r="C30" s="3" t="s">
        <v>91</v>
      </c>
      <c r="D30" s="4" t="s">
        <v>92</v>
      </c>
      <c r="E30" s="4" t="s">
        <v>15</v>
      </c>
      <c r="F30" s="4" t="s">
        <v>94</v>
      </c>
      <c r="G30" s="4" t="s">
        <v>97</v>
      </c>
      <c r="H30" s="5">
        <v>1.4807777212576599E-3</v>
      </c>
      <c r="I30" s="6" t="s">
        <v>95</v>
      </c>
      <c r="J30" s="4" t="s">
        <v>19</v>
      </c>
      <c r="K30" s="4" t="s">
        <v>19</v>
      </c>
      <c r="L30" s="4" t="s">
        <v>19</v>
      </c>
      <c r="M30" s="4" t="s">
        <v>19</v>
      </c>
      <c r="N30" s="5" t="s">
        <v>19</v>
      </c>
      <c r="O30" s="1" t="str">
        <f t="shared" si="0"/>
        <v/>
      </c>
    </row>
    <row r="31" spans="1:15" x14ac:dyDescent="0.25">
      <c r="A31" s="13" t="s">
        <v>125</v>
      </c>
      <c r="B31" s="1" t="s">
        <v>49</v>
      </c>
      <c r="C31" s="3" t="s">
        <v>91</v>
      </c>
      <c r="D31" s="4" t="s">
        <v>92</v>
      </c>
      <c r="E31" s="4" t="s">
        <v>15</v>
      </c>
      <c r="F31" s="4" t="s">
        <v>94</v>
      </c>
      <c r="G31" s="4" t="s">
        <v>33</v>
      </c>
      <c r="H31" s="5">
        <v>6.4602929052221295E-4</v>
      </c>
      <c r="I31" s="6" t="s">
        <v>95</v>
      </c>
      <c r="J31" s="4" t="s">
        <v>19</v>
      </c>
      <c r="K31" s="4" t="s">
        <v>19</v>
      </c>
      <c r="L31" s="4" t="s">
        <v>19</v>
      </c>
      <c r="M31" s="4" t="s">
        <v>19</v>
      </c>
      <c r="N31" s="5" t="s">
        <v>19</v>
      </c>
      <c r="O31" s="1" t="str">
        <f t="shared" si="0"/>
        <v/>
      </c>
    </row>
    <row r="32" spans="1:15" x14ac:dyDescent="0.25">
      <c r="A32" s="13" t="s">
        <v>98</v>
      </c>
      <c r="B32" s="1" t="s">
        <v>28</v>
      </c>
      <c r="C32" s="3" t="s">
        <v>91</v>
      </c>
      <c r="D32" s="4" t="s">
        <v>92</v>
      </c>
      <c r="E32" s="4" t="s">
        <v>31</v>
      </c>
      <c r="F32" s="4" t="s">
        <v>94</v>
      </c>
      <c r="G32" s="4" t="s">
        <v>99</v>
      </c>
      <c r="H32" s="5">
        <v>1.8399625495575901E-3</v>
      </c>
      <c r="I32" s="6" t="s">
        <v>95</v>
      </c>
      <c r="J32" s="4">
        <v>89</v>
      </c>
      <c r="K32" s="4">
        <v>70</v>
      </c>
      <c r="L32" s="4">
        <v>196</v>
      </c>
      <c r="M32" s="4">
        <v>168</v>
      </c>
      <c r="N32" s="5">
        <v>9.5404415367992199E-2</v>
      </c>
      <c r="O32" s="1" t="str">
        <f t="shared" si="0"/>
        <v/>
      </c>
    </row>
    <row r="33" spans="1:15" x14ac:dyDescent="0.25">
      <c r="A33" s="13" t="s">
        <v>126</v>
      </c>
      <c r="B33" s="1" t="s">
        <v>49</v>
      </c>
      <c r="C33" s="3" t="s">
        <v>91</v>
      </c>
      <c r="D33" s="4" t="s">
        <v>92</v>
      </c>
      <c r="E33" s="4" t="s">
        <v>40</v>
      </c>
      <c r="F33" s="4" t="s">
        <v>94</v>
      </c>
      <c r="G33" s="4" t="s">
        <v>127</v>
      </c>
      <c r="H33" s="5">
        <v>4.81464918767195E-4</v>
      </c>
      <c r="I33" s="6" t="s">
        <v>95</v>
      </c>
      <c r="J33" s="4">
        <v>89</v>
      </c>
      <c r="K33" s="4">
        <v>73</v>
      </c>
      <c r="L33" s="4">
        <v>196</v>
      </c>
      <c r="M33" s="4">
        <v>174</v>
      </c>
      <c r="N33" s="5">
        <v>8.7793875236771499E-2</v>
      </c>
      <c r="O33" s="1" t="str">
        <f t="shared" si="0"/>
        <v/>
      </c>
    </row>
    <row r="34" spans="1:15" x14ac:dyDescent="0.25">
      <c r="A34" s="13" t="s">
        <v>100</v>
      </c>
      <c r="B34" s="1" t="s">
        <v>28</v>
      </c>
      <c r="C34" s="3" t="s">
        <v>91</v>
      </c>
      <c r="D34" s="4" t="s">
        <v>92</v>
      </c>
      <c r="E34" s="4" t="s">
        <v>40</v>
      </c>
      <c r="F34" s="4" t="s">
        <v>94</v>
      </c>
      <c r="G34" s="4" t="s">
        <v>101</v>
      </c>
      <c r="H34" s="5">
        <v>2.03497153013729E-3</v>
      </c>
      <c r="I34" s="6" t="s">
        <v>95</v>
      </c>
      <c r="J34" s="4">
        <v>89</v>
      </c>
      <c r="K34" s="4">
        <v>75</v>
      </c>
      <c r="L34" s="4">
        <v>196</v>
      </c>
      <c r="M34" s="4">
        <v>173</v>
      </c>
      <c r="N34" s="5">
        <v>0.22737992547879601</v>
      </c>
      <c r="O34" s="1" t="str">
        <f t="shared" si="0"/>
        <v/>
      </c>
    </row>
    <row r="35" spans="1:15" x14ac:dyDescent="0.25">
      <c r="A35" s="13" t="s">
        <v>36</v>
      </c>
      <c r="B35" s="1" t="s">
        <v>28</v>
      </c>
      <c r="C35" s="3" t="s">
        <v>29</v>
      </c>
      <c r="D35" s="4" t="s">
        <v>30</v>
      </c>
      <c r="E35" s="4" t="s">
        <v>37</v>
      </c>
      <c r="F35" s="4" t="s">
        <v>32</v>
      </c>
      <c r="G35" s="4" t="s">
        <v>38</v>
      </c>
      <c r="H35" s="5">
        <v>1.0222489230268001E-3</v>
      </c>
      <c r="I35" s="6" t="s">
        <v>29</v>
      </c>
      <c r="J35" s="4">
        <v>92</v>
      </c>
      <c r="K35" s="4">
        <v>79</v>
      </c>
      <c r="L35" s="4">
        <v>193</v>
      </c>
      <c r="M35" s="4">
        <v>171</v>
      </c>
      <c r="N35" s="5">
        <v>0.31674680511956199</v>
      </c>
      <c r="O35" s="1" t="str">
        <f t="shared" si="0"/>
        <v/>
      </c>
    </row>
    <row r="36" spans="1:15" x14ac:dyDescent="0.25">
      <c r="A36" s="13" t="s">
        <v>102</v>
      </c>
      <c r="B36" s="1" t="s">
        <v>28</v>
      </c>
      <c r="C36" s="3" t="s">
        <v>91</v>
      </c>
      <c r="D36" s="4" t="s">
        <v>92</v>
      </c>
      <c r="E36" s="4" t="s">
        <v>103</v>
      </c>
      <c r="F36" s="4" t="s">
        <v>94</v>
      </c>
      <c r="G36" s="4" t="s">
        <v>104</v>
      </c>
      <c r="H36" s="5">
        <v>1.99195284400618E-3</v>
      </c>
      <c r="I36" s="6" t="s">
        <v>95</v>
      </c>
      <c r="J36" s="4">
        <v>89</v>
      </c>
      <c r="K36" s="4">
        <v>76</v>
      </c>
      <c r="L36" s="4">
        <v>196</v>
      </c>
      <c r="M36" s="4">
        <v>174</v>
      </c>
      <c r="N36" s="5">
        <v>0.26682690057543901</v>
      </c>
      <c r="O36" s="1" t="str">
        <f t="shared" si="0"/>
        <v/>
      </c>
    </row>
    <row r="37" spans="1:15" x14ac:dyDescent="0.25">
      <c r="A37" s="13" t="s">
        <v>79</v>
      </c>
      <c r="B37" s="1" t="s">
        <v>80</v>
      </c>
      <c r="C37" s="3" t="s">
        <v>81</v>
      </c>
      <c r="D37" s="4" t="s">
        <v>82</v>
      </c>
      <c r="E37" s="4" t="s">
        <v>26</v>
      </c>
      <c r="F37" s="4" t="s">
        <v>83</v>
      </c>
      <c r="G37" s="4" t="s">
        <v>84</v>
      </c>
      <c r="H37" s="5">
        <v>5.1395051231419898E-4</v>
      </c>
      <c r="I37" s="6" t="s">
        <v>85</v>
      </c>
      <c r="J37" s="4">
        <v>122</v>
      </c>
      <c r="K37" s="4">
        <v>3</v>
      </c>
      <c r="L37" s="4">
        <v>163</v>
      </c>
      <c r="M37" s="4">
        <v>4</v>
      </c>
      <c r="N37" s="5">
        <v>0.65571472447596701</v>
      </c>
      <c r="O37" s="1" t="str">
        <f t="shared" si="0"/>
        <v/>
      </c>
    </row>
    <row r="38" spans="1:15" x14ac:dyDescent="0.25">
      <c r="A38" s="13" t="s">
        <v>128</v>
      </c>
      <c r="B38" s="1" t="s">
        <v>49</v>
      </c>
      <c r="C38" s="3" t="s">
        <v>91</v>
      </c>
      <c r="D38" s="4" t="s">
        <v>92</v>
      </c>
      <c r="E38" s="4" t="s">
        <v>40</v>
      </c>
      <c r="F38" s="4" t="s">
        <v>94</v>
      </c>
      <c r="G38" s="4" t="s">
        <v>104</v>
      </c>
      <c r="H38" s="5">
        <v>8.0148240313765602E-4</v>
      </c>
      <c r="I38" s="6" t="s">
        <v>95</v>
      </c>
      <c r="J38" s="4">
        <v>89</v>
      </c>
      <c r="K38" s="4">
        <v>77</v>
      </c>
      <c r="L38" s="4">
        <v>196</v>
      </c>
      <c r="M38" s="4">
        <v>174</v>
      </c>
      <c r="N38" s="5">
        <v>0.35791236298989798</v>
      </c>
      <c r="O38" s="1" t="str">
        <f t="shared" si="0"/>
        <v/>
      </c>
    </row>
    <row r="39" spans="1:15" x14ac:dyDescent="0.25">
      <c r="A39" s="13" t="s">
        <v>105</v>
      </c>
      <c r="B39" s="1" t="s">
        <v>28</v>
      </c>
      <c r="C39" s="3" t="s">
        <v>91</v>
      </c>
      <c r="D39" s="4" t="s">
        <v>92</v>
      </c>
      <c r="E39" s="4" t="s">
        <v>106</v>
      </c>
      <c r="F39" s="4" t="s">
        <v>94</v>
      </c>
      <c r="G39" s="4" t="s">
        <v>54</v>
      </c>
      <c r="H39" s="5">
        <v>1.4807777212576599E-3</v>
      </c>
      <c r="I39" s="6" t="s">
        <v>95</v>
      </c>
      <c r="J39" s="4">
        <v>89</v>
      </c>
      <c r="K39" s="4">
        <v>75</v>
      </c>
      <c r="L39" s="4">
        <v>196</v>
      </c>
      <c r="M39" s="4">
        <v>175</v>
      </c>
      <c r="N39" s="5">
        <v>0.15830553841497599</v>
      </c>
      <c r="O39" s="1" t="str">
        <f t="shared" ref="O39:O70" si="1">IF(N39&lt;0.05, "*", "")</f>
        <v/>
      </c>
    </row>
    <row r="40" spans="1:15" x14ac:dyDescent="0.25">
      <c r="A40" s="13" t="s">
        <v>39</v>
      </c>
      <c r="B40" s="1" t="s">
        <v>28</v>
      </c>
      <c r="C40" s="3" t="s">
        <v>29</v>
      </c>
      <c r="D40" s="4" t="s">
        <v>30</v>
      </c>
      <c r="E40" s="4" t="s">
        <v>40</v>
      </c>
      <c r="F40" s="4" t="s">
        <v>32</v>
      </c>
      <c r="G40" s="4" t="s">
        <v>41</v>
      </c>
      <c r="H40" s="5">
        <v>6.1499050916829405E-4</v>
      </c>
      <c r="I40" s="6" t="s">
        <v>29</v>
      </c>
      <c r="J40" s="4">
        <v>92</v>
      </c>
      <c r="K40" s="4">
        <v>78</v>
      </c>
      <c r="L40" s="4">
        <v>193</v>
      </c>
      <c r="M40" s="4">
        <v>172</v>
      </c>
      <c r="N40" s="5">
        <v>0.19640793430848899</v>
      </c>
      <c r="O40" s="1" t="str">
        <f t="shared" si="1"/>
        <v/>
      </c>
    </row>
    <row r="41" spans="1:15" x14ac:dyDescent="0.25">
      <c r="A41" s="13" t="s">
        <v>42</v>
      </c>
      <c r="B41" s="1" t="s">
        <v>28</v>
      </c>
      <c r="C41" s="3" t="s">
        <v>29</v>
      </c>
      <c r="D41" s="4" t="s">
        <v>30</v>
      </c>
      <c r="E41" s="4" t="s">
        <v>43</v>
      </c>
      <c r="F41" s="4" t="s">
        <v>32</v>
      </c>
      <c r="G41" s="4" t="s">
        <v>41</v>
      </c>
      <c r="H41" s="5">
        <v>1.13685052043895E-3</v>
      </c>
      <c r="I41" s="6" t="s">
        <v>29</v>
      </c>
      <c r="J41" s="4">
        <v>92</v>
      </c>
      <c r="K41" s="4">
        <v>78</v>
      </c>
      <c r="L41" s="4">
        <v>193</v>
      </c>
      <c r="M41" s="4">
        <v>173</v>
      </c>
      <c r="N41" s="5">
        <v>0.16166558256934499</v>
      </c>
      <c r="O41" s="1" t="str">
        <f t="shared" si="1"/>
        <v/>
      </c>
    </row>
    <row r="42" spans="1:15" x14ac:dyDescent="0.25">
      <c r="A42" s="13" t="s">
        <v>55</v>
      </c>
      <c r="B42" s="1" t="s">
        <v>49</v>
      </c>
      <c r="C42" s="3" t="s">
        <v>29</v>
      </c>
      <c r="D42" s="4" t="s">
        <v>30</v>
      </c>
      <c r="E42" s="4" t="s">
        <v>56</v>
      </c>
      <c r="F42" s="4" t="s">
        <v>32</v>
      </c>
      <c r="G42" s="4" t="s">
        <v>57</v>
      </c>
      <c r="H42" s="5">
        <v>1.68454848269421E-3</v>
      </c>
      <c r="I42" s="6" t="s">
        <v>29</v>
      </c>
      <c r="J42" s="4">
        <v>92</v>
      </c>
      <c r="K42" s="4">
        <v>78</v>
      </c>
      <c r="L42" s="4">
        <v>193</v>
      </c>
      <c r="M42" s="4">
        <v>173</v>
      </c>
      <c r="N42" s="5">
        <v>0.16166558256934499</v>
      </c>
      <c r="O42" s="1" t="str">
        <f t="shared" si="1"/>
        <v/>
      </c>
    </row>
    <row r="43" spans="1:15" x14ac:dyDescent="0.25">
      <c r="A43" s="13" t="s">
        <v>129</v>
      </c>
      <c r="B43" s="1" t="s">
        <v>49</v>
      </c>
      <c r="C43" s="3" t="s">
        <v>91</v>
      </c>
      <c r="D43" s="4" t="s">
        <v>92</v>
      </c>
      <c r="E43" s="4" t="s">
        <v>40</v>
      </c>
      <c r="F43" s="4" t="s">
        <v>94</v>
      </c>
      <c r="G43" s="4" t="s">
        <v>61</v>
      </c>
      <c r="H43" s="5">
        <v>2.91239619415753E-4</v>
      </c>
      <c r="I43" s="6" t="s">
        <v>95</v>
      </c>
      <c r="J43" s="4">
        <v>89</v>
      </c>
      <c r="K43" s="4">
        <v>76</v>
      </c>
      <c r="L43" s="4">
        <v>196</v>
      </c>
      <c r="M43" s="4">
        <v>173</v>
      </c>
      <c r="N43" s="5">
        <v>0.309518260785347</v>
      </c>
      <c r="O43" s="1" t="str">
        <f t="shared" si="1"/>
        <v/>
      </c>
    </row>
    <row r="44" spans="1:15" x14ac:dyDescent="0.25">
      <c r="A44" s="13" t="s">
        <v>107</v>
      </c>
      <c r="B44" s="1" t="s">
        <v>28</v>
      </c>
      <c r="C44" s="3" t="s">
        <v>91</v>
      </c>
      <c r="D44" s="4" t="s">
        <v>92</v>
      </c>
      <c r="E44" s="4" t="s">
        <v>31</v>
      </c>
      <c r="F44" s="4" t="s">
        <v>94</v>
      </c>
      <c r="G44" s="4" t="s">
        <v>108</v>
      </c>
      <c r="H44" s="5">
        <v>1.8399625495575901E-3</v>
      </c>
      <c r="I44" s="6" t="s">
        <v>95</v>
      </c>
      <c r="J44" s="4" t="s">
        <v>19</v>
      </c>
      <c r="K44" s="4" t="s">
        <v>19</v>
      </c>
      <c r="L44" s="4" t="s">
        <v>19</v>
      </c>
      <c r="M44" s="4" t="s">
        <v>19</v>
      </c>
      <c r="N44" s="5" t="s">
        <v>19</v>
      </c>
      <c r="O44" s="1" t="str">
        <f t="shared" si="1"/>
        <v/>
      </c>
    </row>
    <row r="45" spans="1:15" x14ac:dyDescent="0.25">
      <c r="A45" s="13" t="s">
        <v>109</v>
      </c>
      <c r="B45" s="1" t="s">
        <v>28</v>
      </c>
      <c r="C45" s="3" t="s">
        <v>91</v>
      </c>
      <c r="D45" s="4" t="s">
        <v>92</v>
      </c>
      <c r="E45" s="4" t="s">
        <v>15</v>
      </c>
      <c r="F45" s="4" t="s">
        <v>94</v>
      </c>
      <c r="G45" s="4" t="s">
        <v>110</v>
      </c>
      <c r="H45" s="5">
        <v>2.1774266191864201E-3</v>
      </c>
      <c r="I45" s="6" t="s">
        <v>95</v>
      </c>
      <c r="J45" s="4">
        <v>89</v>
      </c>
      <c r="K45" s="4">
        <v>75</v>
      </c>
      <c r="L45" s="4">
        <v>196</v>
      </c>
      <c r="M45" s="4">
        <v>175</v>
      </c>
      <c r="N45" s="5">
        <v>0.15830553841497599</v>
      </c>
      <c r="O45" s="1" t="str">
        <f t="shared" si="1"/>
        <v/>
      </c>
    </row>
    <row r="46" spans="1:15" x14ac:dyDescent="0.25">
      <c r="A46" s="13" t="s">
        <v>44</v>
      </c>
      <c r="B46" s="1" t="s">
        <v>28</v>
      </c>
      <c r="C46" s="3" t="s">
        <v>29</v>
      </c>
      <c r="D46" s="4" t="s">
        <v>30</v>
      </c>
      <c r="E46" s="4" t="s">
        <v>15</v>
      </c>
      <c r="F46" s="4" t="s">
        <v>32</v>
      </c>
      <c r="G46" s="4" t="s">
        <v>45</v>
      </c>
      <c r="H46" s="5">
        <v>9.4656859039400404E-4</v>
      </c>
      <c r="I46" s="6" t="s">
        <v>29</v>
      </c>
      <c r="J46" s="4" t="s">
        <v>19</v>
      </c>
      <c r="K46" s="4" t="s">
        <v>19</v>
      </c>
      <c r="L46" s="4" t="s">
        <v>19</v>
      </c>
      <c r="M46" s="4" t="s">
        <v>19</v>
      </c>
      <c r="N46" s="5" t="s">
        <v>19</v>
      </c>
      <c r="O46" s="1" t="str">
        <f t="shared" si="1"/>
        <v/>
      </c>
    </row>
    <row r="47" spans="1:15" x14ac:dyDescent="0.25">
      <c r="A47" s="13" t="s">
        <v>111</v>
      </c>
      <c r="B47" s="1" t="s">
        <v>28</v>
      </c>
      <c r="C47" s="3" t="s">
        <v>91</v>
      </c>
      <c r="D47" s="4" t="s">
        <v>92</v>
      </c>
      <c r="E47" s="4" t="s">
        <v>15</v>
      </c>
      <c r="F47" s="4" t="s">
        <v>94</v>
      </c>
      <c r="G47" s="4" t="s">
        <v>97</v>
      </c>
      <c r="H47" s="5">
        <v>9.8807254994551599E-4</v>
      </c>
      <c r="I47" s="6" t="s">
        <v>95</v>
      </c>
      <c r="J47" s="4">
        <v>89</v>
      </c>
      <c r="K47" s="4">
        <v>75</v>
      </c>
      <c r="L47" s="4">
        <v>196</v>
      </c>
      <c r="M47" s="4">
        <v>175</v>
      </c>
      <c r="N47" s="5">
        <v>0.15830553841497599</v>
      </c>
      <c r="O47" s="1" t="str">
        <f t="shared" si="1"/>
        <v/>
      </c>
    </row>
    <row r="48" spans="1:15" x14ac:dyDescent="0.25">
      <c r="A48" s="13" t="s">
        <v>130</v>
      </c>
      <c r="B48" s="1" t="s">
        <v>49</v>
      </c>
      <c r="C48" s="3" t="s">
        <v>91</v>
      </c>
      <c r="D48" s="4" t="s">
        <v>92</v>
      </c>
      <c r="E48" s="4" t="s">
        <v>37</v>
      </c>
      <c r="F48" s="4" t="s">
        <v>94</v>
      </c>
      <c r="G48" s="4" t="s">
        <v>131</v>
      </c>
      <c r="H48" s="5">
        <v>1.5077644394749599E-4</v>
      </c>
      <c r="I48" s="6" t="s">
        <v>95</v>
      </c>
      <c r="J48" s="4">
        <v>89</v>
      </c>
      <c r="K48" s="4">
        <v>77</v>
      </c>
      <c r="L48" s="4">
        <v>196</v>
      </c>
      <c r="M48" s="4">
        <v>175</v>
      </c>
      <c r="N48" s="5">
        <v>0.31153822289653299</v>
      </c>
      <c r="O48" s="1" t="str">
        <f t="shared" si="1"/>
        <v/>
      </c>
    </row>
    <row r="49" spans="1:15" x14ac:dyDescent="0.25">
      <c r="A49" s="13" t="s">
        <v>112</v>
      </c>
      <c r="B49" s="1" t="s">
        <v>28</v>
      </c>
      <c r="C49" s="3" t="s">
        <v>91</v>
      </c>
      <c r="D49" s="4" t="s">
        <v>92</v>
      </c>
      <c r="E49" s="4" t="s">
        <v>31</v>
      </c>
      <c r="F49" s="4" t="s">
        <v>94</v>
      </c>
      <c r="G49" s="4" t="s">
        <v>61</v>
      </c>
      <c r="H49" s="5">
        <v>7.7274740839908805E-4</v>
      </c>
      <c r="I49" s="6" t="s">
        <v>95</v>
      </c>
      <c r="J49" s="4">
        <v>89</v>
      </c>
      <c r="K49" s="4">
        <v>75</v>
      </c>
      <c r="L49" s="4">
        <v>196</v>
      </c>
      <c r="M49" s="4">
        <v>176</v>
      </c>
      <c r="N49" s="5">
        <v>0.12868142126684601</v>
      </c>
      <c r="O49" s="1" t="str">
        <f t="shared" si="1"/>
        <v/>
      </c>
    </row>
    <row r="50" spans="1:15" x14ac:dyDescent="0.25">
      <c r="A50" s="13" t="s">
        <v>58</v>
      </c>
      <c r="B50" s="1" t="s">
        <v>49</v>
      </c>
      <c r="C50" s="3" t="s">
        <v>29</v>
      </c>
      <c r="D50" s="4" t="s">
        <v>30</v>
      </c>
      <c r="E50" s="4" t="s">
        <v>56</v>
      </c>
      <c r="F50" s="4" t="s">
        <v>32</v>
      </c>
      <c r="G50" s="4" t="s">
        <v>59</v>
      </c>
      <c r="H50" s="5">
        <v>1.68454848269421E-3</v>
      </c>
      <c r="I50" s="6" t="s">
        <v>29</v>
      </c>
      <c r="J50" s="4" t="s">
        <v>19</v>
      </c>
      <c r="K50" s="4" t="s">
        <v>19</v>
      </c>
      <c r="L50" s="4" t="s">
        <v>19</v>
      </c>
      <c r="M50" s="4" t="s">
        <v>19</v>
      </c>
      <c r="N50" s="5" t="s">
        <v>19</v>
      </c>
      <c r="O50" s="1" t="str">
        <f t="shared" si="1"/>
        <v/>
      </c>
    </row>
    <row r="51" spans="1:15" x14ac:dyDescent="0.25">
      <c r="A51" s="13" t="s">
        <v>60</v>
      </c>
      <c r="B51" s="1" t="s">
        <v>49</v>
      </c>
      <c r="C51" s="3" t="s">
        <v>29</v>
      </c>
      <c r="D51" s="4" t="s">
        <v>30</v>
      </c>
      <c r="E51" s="4" t="s">
        <v>56</v>
      </c>
      <c r="F51" s="4" t="s">
        <v>32</v>
      </c>
      <c r="G51" s="4" t="s">
        <v>61</v>
      </c>
      <c r="H51" s="5">
        <v>1.68454848269421E-3</v>
      </c>
      <c r="I51" s="6" t="s">
        <v>29</v>
      </c>
      <c r="J51" s="4">
        <v>92</v>
      </c>
      <c r="K51" s="4">
        <v>78</v>
      </c>
      <c r="L51" s="4">
        <v>193</v>
      </c>
      <c r="M51" s="4">
        <v>173</v>
      </c>
      <c r="N51" s="5">
        <v>0.16166558256934499</v>
      </c>
      <c r="O51" s="1" t="str">
        <f t="shared" si="1"/>
        <v/>
      </c>
    </row>
    <row r="52" spans="1:15" x14ac:dyDescent="0.25">
      <c r="A52" s="13" t="s">
        <v>46</v>
      </c>
      <c r="B52" s="1" t="s">
        <v>28</v>
      </c>
      <c r="C52" s="3" t="s">
        <v>29</v>
      </c>
      <c r="D52" s="4" t="s">
        <v>30</v>
      </c>
      <c r="E52" s="4" t="s">
        <v>31</v>
      </c>
      <c r="F52" s="4" t="s">
        <v>32</v>
      </c>
      <c r="G52" s="4" t="s">
        <v>47</v>
      </c>
      <c r="H52" s="5">
        <v>1.13685052043895E-3</v>
      </c>
      <c r="I52" s="6" t="s">
        <v>29</v>
      </c>
      <c r="J52" s="4">
        <v>92</v>
      </c>
      <c r="K52" s="4">
        <v>80</v>
      </c>
      <c r="L52" s="4">
        <v>193</v>
      </c>
      <c r="M52" s="4">
        <v>173</v>
      </c>
      <c r="N52" s="5">
        <v>0.314446973377567</v>
      </c>
      <c r="O52" s="1" t="str">
        <f t="shared" si="1"/>
        <v/>
      </c>
    </row>
    <row r="53" spans="1:15" x14ac:dyDescent="0.25">
      <c r="A53" s="13" t="s">
        <v>62</v>
      </c>
      <c r="B53" s="1" t="s">
        <v>49</v>
      </c>
      <c r="C53" s="3" t="s">
        <v>29</v>
      </c>
      <c r="D53" s="4" t="s">
        <v>30</v>
      </c>
      <c r="E53" s="4" t="s">
        <v>43</v>
      </c>
      <c r="F53" s="4" t="s">
        <v>32</v>
      </c>
      <c r="G53" s="4" t="s">
        <v>47</v>
      </c>
      <c r="H53" s="5">
        <v>6.9992678599111705E-4</v>
      </c>
      <c r="I53" s="6" t="s">
        <v>29</v>
      </c>
      <c r="J53" s="4">
        <v>92</v>
      </c>
      <c r="K53" s="4">
        <v>79</v>
      </c>
      <c r="L53" s="4">
        <v>193</v>
      </c>
      <c r="M53" s="4">
        <v>173</v>
      </c>
      <c r="N53" s="5">
        <v>0.22984389084076201</v>
      </c>
      <c r="O53" s="1" t="str">
        <f t="shared" si="1"/>
        <v/>
      </c>
    </row>
    <row r="54" spans="1:15" x14ac:dyDescent="0.25">
      <c r="A54" s="13" t="s">
        <v>113</v>
      </c>
      <c r="B54" s="1" t="s">
        <v>28</v>
      </c>
      <c r="C54" s="3" t="s">
        <v>91</v>
      </c>
      <c r="D54" s="4" t="s">
        <v>92</v>
      </c>
      <c r="E54" s="4" t="s">
        <v>43</v>
      </c>
      <c r="F54" s="4" t="s">
        <v>94</v>
      </c>
      <c r="G54" s="4" t="s">
        <v>61</v>
      </c>
      <c r="H54" s="5">
        <v>1.2972387986781801E-3</v>
      </c>
      <c r="I54" s="6" t="s">
        <v>95</v>
      </c>
      <c r="J54" s="4">
        <v>89</v>
      </c>
      <c r="K54" s="4">
        <v>76</v>
      </c>
      <c r="L54" s="4">
        <v>196</v>
      </c>
      <c r="M54" s="4">
        <v>178</v>
      </c>
      <c r="N54" s="5">
        <v>0.12457527684321</v>
      </c>
      <c r="O54" s="1" t="str">
        <f t="shared" si="1"/>
        <v/>
      </c>
    </row>
    <row r="55" spans="1:15" x14ac:dyDescent="0.25">
      <c r="A55" s="13" t="s">
        <v>114</v>
      </c>
      <c r="B55" s="1" t="s">
        <v>28</v>
      </c>
      <c r="C55" s="3" t="s">
        <v>91</v>
      </c>
      <c r="D55" s="4" t="s">
        <v>92</v>
      </c>
      <c r="E55" s="4" t="s">
        <v>43</v>
      </c>
      <c r="F55" s="4" t="s">
        <v>94</v>
      </c>
      <c r="G55" s="4" t="s">
        <v>61</v>
      </c>
      <c r="H55" s="5">
        <v>8.0148240313765602E-4</v>
      </c>
      <c r="I55" s="6" t="s">
        <v>95</v>
      </c>
      <c r="J55" s="4">
        <v>89</v>
      </c>
      <c r="K55" s="4">
        <v>77</v>
      </c>
      <c r="L55" s="4">
        <v>196</v>
      </c>
      <c r="M55" s="4">
        <v>178</v>
      </c>
      <c r="N55" s="5">
        <v>0.18613907129130999</v>
      </c>
      <c r="O55" s="1" t="str">
        <f t="shared" si="1"/>
        <v/>
      </c>
    </row>
    <row r="56" spans="1:15" x14ac:dyDescent="0.25">
      <c r="A56" s="13" t="s">
        <v>132</v>
      </c>
      <c r="B56" s="1" t="s">
        <v>49</v>
      </c>
      <c r="C56" s="3" t="s">
        <v>91</v>
      </c>
      <c r="D56" s="4" t="s">
        <v>92</v>
      </c>
      <c r="E56" s="4" t="s">
        <v>43</v>
      </c>
      <c r="F56" s="4" t="s">
        <v>94</v>
      </c>
      <c r="G56" s="4" t="s">
        <v>131</v>
      </c>
      <c r="H56" s="5">
        <v>1.5077644394749599E-4</v>
      </c>
      <c r="I56" s="6" t="s">
        <v>95</v>
      </c>
      <c r="J56" s="4">
        <v>89</v>
      </c>
      <c r="K56" s="4">
        <v>78</v>
      </c>
      <c r="L56" s="4">
        <v>196</v>
      </c>
      <c r="M56" s="4">
        <v>176</v>
      </c>
      <c r="N56" s="5">
        <v>0.36178282006692197</v>
      </c>
      <c r="O56" s="1" t="str">
        <f t="shared" si="1"/>
        <v/>
      </c>
    </row>
    <row r="57" spans="1:15" x14ac:dyDescent="0.25">
      <c r="A57" s="13" t="s">
        <v>115</v>
      </c>
      <c r="B57" s="1" t="s">
        <v>28</v>
      </c>
      <c r="C57" s="3" t="s">
        <v>91</v>
      </c>
      <c r="D57" s="4" t="s">
        <v>92</v>
      </c>
      <c r="E57" s="4" t="s">
        <v>43</v>
      </c>
      <c r="F57" s="4" t="s">
        <v>94</v>
      </c>
      <c r="G57" s="4" t="s">
        <v>51</v>
      </c>
      <c r="H57" s="5">
        <v>2.03497153013729E-3</v>
      </c>
      <c r="I57" s="6" t="s">
        <v>95</v>
      </c>
      <c r="J57" s="4">
        <v>89</v>
      </c>
      <c r="K57" s="4">
        <v>77</v>
      </c>
      <c r="L57" s="4">
        <v>196</v>
      </c>
      <c r="M57" s="4">
        <v>176</v>
      </c>
      <c r="N57" s="5">
        <v>0.26701904840690199</v>
      </c>
      <c r="O57" s="1" t="str">
        <f t="shared" si="1"/>
        <v/>
      </c>
    </row>
    <row r="58" spans="1:15" x14ac:dyDescent="0.25">
      <c r="A58" s="13" t="s">
        <v>133</v>
      </c>
      <c r="B58" s="1" t="s">
        <v>49</v>
      </c>
      <c r="C58" s="3" t="s">
        <v>91</v>
      </c>
      <c r="D58" s="4" t="s">
        <v>92</v>
      </c>
      <c r="E58" s="4" t="s">
        <v>56</v>
      </c>
      <c r="F58" s="4" t="s">
        <v>94</v>
      </c>
      <c r="G58" s="4" t="s">
        <v>127</v>
      </c>
      <c r="H58" s="5">
        <v>1.2112940503813E-3</v>
      </c>
      <c r="I58" s="6" t="s">
        <v>95</v>
      </c>
      <c r="J58" s="4">
        <v>89</v>
      </c>
      <c r="K58" s="4">
        <v>78</v>
      </c>
      <c r="L58" s="4">
        <v>196</v>
      </c>
      <c r="M58" s="4">
        <v>178</v>
      </c>
      <c r="N58" s="5">
        <v>0.266645571723441</v>
      </c>
      <c r="O58" s="1" t="str">
        <f t="shared" si="1"/>
        <v/>
      </c>
    </row>
    <row r="59" spans="1:15" x14ac:dyDescent="0.25">
      <c r="A59" s="13" t="s">
        <v>134</v>
      </c>
      <c r="B59" s="1" t="s">
        <v>49</v>
      </c>
      <c r="C59" s="3" t="s">
        <v>91</v>
      </c>
      <c r="D59" s="4" t="s">
        <v>92</v>
      </c>
      <c r="E59" s="4" t="s">
        <v>56</v>
      </c>
      <c r="F59" s="4" t="s">
        <v>94</v>
      </c>
      <c r="G59" s="4" t="s">
        <v>127</v>
      </c>
      <c r="H59" s="5">
        <v>1.2112940503813E-3</v>
      </c>
      <c r="I59" s="6" t="s">
        <v>95</v>
      </c>
      <c r="J59" s="4">
        <v>89</v>
      </c>
      <c r="K59" s="4">
        <v>78</v>
      </c>
      <c r="L59" s="4">
        <v>196</v>
      </c>
      <c r="M59" s="4">
        <v>178</v>
      </c>
      <c r="N59" s="5">
        <v>0.266645571723441</v>
      </c>
      <c r="O59" s="1" t="str">
        <f t="shared" si="1"/>
        <v/>
      </c>
    </row>
    <row r="60" spans="1:15" x14ac:dyDescent="0.25">
      <c r="A60" s="13" t="s">
        <v>135</v>
      </c>
      <c r="B60" s="1" t="s">
        <v>49</v>
      </c>
      <c r="C60" s="3" t="s">
        <v>91</v>
      </c>
      <c r="D60" s="4" t="s">
        <v>92</v>
      </c>
      <c r="E60" s="4" t="s">
        <v>56</v>
      </c>
      <c r="F60" s="4" t="s">
        <v>94</v>
      </c>
      <c r="G60" s="4" t="s">
        <v>131</v>
      </c>
      <c r="H60" s="5">
        <v>1.2112940503813E-3</v>
      </c>
      <c r="I60" s="6" t="s">
        <v>95</v>
      </c>
      <c r="J60" s="4">
        <v>89</v>
      </c>
      <c r="K60" s="4">
        <v>78</v>
      </c>
      <c r="L60" s="4">
        <v>196</v>
      </c>
      <c r="M60" s="4">
        <v>176</v>
      </c>
      <c r="N60" s="5">
        <v>0.36178282006692197</v>
      </c>
      <c r="O60" s="1" t="str">
        <f t="shared" si="1"/>
        <v/>
      </c>
    </row>
    <row r="61" spans="1:15" x14ac:dyDescent="0.25">
      <c r="A61" s="13" t="s">
        <v>116</v>
      </c>
      <c r="B61" s="1" t="s">
        <v>28</v>
      </c>
      <c r="C61" s="3" t="s">
        <v>91</v>
      </c>
      <c r="D61" s="4" t="s">
        <v>92</v>
      </c>
      <c r="E61" s="4" t="s">
        <v>31</v>
      </c>
      <c r="F61" s="4" t="s">
        <v>94</v>
      </c>
      <c r="G61" s="4" t="s">
        <v>117</v>
      </c>
      <c r="H61" s="5">
        <v>1.2072464828333401E-3</v>
      </c>
      <c r="I61" s="6" t="s">
        <v>95</v>
      </c>
      <c r="J61" s="4">
        <v>89</v>
      </c>
      <c r="K61" s="4">
        <v>77</v>
      </c>
      <c r="L61" s="4">
        <v>196</v>
      </c>
      <c r="M61" s="4">
        <v>178</v>
      </c>
      <c r="N61" s="5">
        <v>0.18613907129130999</v>
      </c>
      <c r="O61" s="1" t="str">
        <f t="shared" si="1"/>
        <v/>
      </c>
    </row>
    <row r="62" spans="1:15" x14ac:dyDescent="0.25">
      <c r="A62" s="13" t="s">
        <v>63</v>
      </c>
      <c r="B62" s="1" t="s">
        <v>49</v>
      </c>
      <c r="C62" s="3" t="s">
        <v>29</v>
      </c>
      <c r="D62" s="4" t="s">
        <v>30</v>
      </c>
      <c r="E62" s="4" t="s">
        <v>12</v>
      </c>
      <c r="F62" s="4" t="s">
        <v>32</v>
      </c>
      <c r="G62" s="4" t="s">
        <v>64</v>
      </c>
      <c r="H62" s="5">
        <v>1.69353677250608E-3</v>
      </c>
      <c r="I62" s="6" t="s">
        <v>29</v>
      </c>
      <c r="J62" s="4" t="s">
        <v>19</v>
      </c>
      <c r="K62" s="4" t="s">
        <v>19</v>
      </c>
      <c r="L62" s="4" t="s">
        <v>19</v>
      </c>
      <c r="M62" s="4" t="s">
        <v>19</v>
      </c>
      <c r="N62" s="5" t="s">
        <v>19</v>
      </c>
      <c r="O62" s="1" t="str">
        <f t="shared" si="1"/>
        <v/>
      </c>
    </row>
    <row r="63" spans="1:15" x14ac:dyDescent="0.25">
      <c r="A63" s="13" t="s">
        <v>63</v>
      </c>
      <c r="B63" s="1" t="s">
        <v>49</v>
      </c>
      <c r="C63" s="3" t="s">
        <v>91</v>
      </c>
      <c r="D63" s="4" t="s">
        <v>92</v>
      </c>
      <c r="E63" s="4" t="s">
        <v>15</v>
      </c>
      <c r="F63" s="4" t="s">
        <v>94</v>
      </c>
      <c r="G63" s="4" t="s">
        <v>136</v>
      </c>
      <c r="H63" s="5">
        <v>6.4602929052221295E-4</v>
      </c>
      <c r="I63" s="6" t="s">
        <v>95</v>
      </c>
      <c r="J63" s="4" t="s">
        <v>19</v>
      </c>
      <c r="K63" s="4" t="s">
        <v>19</v>
      </c>
      <c r="L63" s="4" t="s">
        <v>19</v>
      </c>
      <c r="M63" s="4" t="s">
        <v>19</v>
      </c>
      <c r="N63" s="5" t="s">
        <v>19</v>
      </c>
      <c r="O63" s="1" t="str">
        <f t="shared" si="1"/>
        <v/>
      </c>
    </row>
    <row r="64" spans="1:15" x14ac:dyDescent="0.25">
      <c r="A64" s="13" t="s">
        <v>72</v>
      </c>
      <c r="B64" s="1" t="s">
        <v>155</v>
      </c>
      <c r="C64" s="3" t="s">
        <v>73</v>
      </c>
      <c r="D64" s="4" t="s">
        <v>74</v>
      </c>
      <c r="E64" s="4" t="s">
        <v>75</v>
      </c>
      <c r="F64" s="4" t="s">
        <v>76</v>
      </c>
      <c r="G64" s="4" t="s">
        <v>77</v>
      </c>
      <c r="H64" s="5">
        <v>4.64819708410702E-4</v>
      </c>
      <c r="I64" s="6" t="s">
        <v>78</v>
      </c>
      <c r="J64" s="4" t="s">
        <v>19</v>
      </c>
      <c r="K64" s="4" t="s">
        <v>19</v>
      </c>
      <c r="L64" s="4" t="s">
        <v>19</v>
      </c>
      <c r="M64" s="4" t="s">
        <v>19</v>
      </c>
      <c r="N64" s="5" t="s">
        <v>19</v>
      </c>
      <c r="O64" s="1" t="str">
        <f t="shared" si="1"/>
        <v/>
      </c>
    </row>
    <row r="65" spans="1:22" x14ac:dyDescent="0.25">
      <c r="A65" s="13" t="s">
        <v>67</v>
      </c>
      <c r="B65" s="1" t="s">
        <v>155</v>
      </c>
      <c r="C65" s="3" t="s">
        <v>68</v>
      </c>
      <c r="D65" s="4" t="s">
        <v>69</v>
      </c>
      <c r="E65" s="4" t="s">
        <v>70</v>
      </c>
      <c r="F65" s="4" t="s">
        <v>71</v>
      </c>
      <c r="G65" s="4" t="s">
        <v>26</v>
      </c>
      <c r="H65" s="5">
        <v>5.5026636470375298E-4</v>
      </c>
      <c r="I65" s="6" t="s">
        <v>68</v>
      </c>
      <c r="J65" s="4">
        <v>201</v>
      </c>
      <c r="K65" s="4">
        <v>10</v>
      </c>
      <c r="L65" s="4">
        <v>84</v>
      </c>
      <c r="M65" s="4">
        <v>4</v>
      </c>
      <c r="N65" s="5">
        <v>0.60241398259775902</v>
      </c>
      <c r="O65" s="1" t="str">
        <f t="shared" si="1"/>
        <v/>
      </c>
    </row>
    <row r="67" spans="1:22" x14ac:dyDescent="0.25">
      <c r="A67" s="17" t="s">
        <v>159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spans="1:22" ht="17.25" x14ac:dyDescent="0.25">
      <c r="A68" s="13" t="s">
        <v>158</v>
      </c>
    </row>
    <row r="69" spans="1:22" ht="17.25" x14ac:dyDescent="0.25">
      <c r="A69" s="13" t="s">
        <v>160</v>
      </c>
    </row>
    <row r="70" spans="1:22" s="1" customFormat="1" ht="17.25" x14ac:dyDescent="0.25">
      <c r="A70" s="13" t="s">
        <v>161</v>
      </c>
      <c r="I70" s="13"/>
    </row>
    <row r="71" spans="1:22" s="1" customFormat="1" x14ac:dyDescent="0.25">
      <c r="A71" s="13"/>
      <c r="I71" s="13"/>
    </row>
  </sheetData>
  <sortState ref="A7:Q65">
    <sortCondition ref="P7:P65"/>
    <sortCondition ref="Q7:Q65"/>
  </sortState>
  <mergeCells count="3">
    <mergeCell ref="C5:H5"/>
    <mergeCell ref="I5:N5"/>
    <mergeCell ref="A67:V6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Wibom</dc:creator>
  <cp:lastModifiedBy>Carl Wibom</cp:lastModifiedBy>
  <dcterms:created xsi:type="dcterms:W3CDTF">2012-03-02T12:01:19Z</dcterms:created>
  <dcterms:modified xsi:type="dcterms:W3CDTF">2012-11-12T09:28:28Z</dcterms:modified>
</cp:coreProperties>
</file>