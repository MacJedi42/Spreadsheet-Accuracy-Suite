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90" windowWidth="19065" windowHeight="10830" activeTab="1"/>
  </bookViews>
  <sheets>
    <sheet name="Instructions" sheetId="5" r:id="rId1"/>
    <sheet name="XYZ" sheetId="1" r:id="rId2"/>
  </sheets>
  <calcPr calcId="145621"/>
</workbook>
</file>

<file path=xl/calcChain.xml><?xml version="1.0" encoding="utf-8"?>
<calcChain xmlns="http://schemas.openxmlformats.org/spreadsheetml/2006/main">
  <c r="K32" i="1" l="1"/>
  <c r="K31" i="1"/>
  <c r="K30" i="1"/>
  <c r="K29" i="1"/>
  <c r="K28" i="1"/>
  <c r="K27" i="1"/>
  <c r="K26" i="1"/>
  <c r="K25" i="1"/>
  <c r="K24" i="1"/>
  <c r="H44" i="1" l="1"/>
  <c r="E44" i="1"/>
  <c r="J32" i="1"/>
  <c r="I32" i="1"/>
  <c r="J31" i="1"/>
  <c r="I31" i="1"/>
  <c r="I30" i="1"/>
  <c r="J29" i="1"/>
  <c r="J28" i="1"/>
  <c r="I28" i="1"/>
  <c r="J27" i="1"/>
  <c r="I27" i="1"/>
  <c r="I26" i="1"/>
  <c r="J25" i="1"/>
  <c r="J24" i="1"/>
  <c r="I24" i="1"/>
  <c r="E24" i="1"/>
  <c r="D24" i="1"/>
  <c r="C24" i="1"/>
  <c r="B24" i="1"/>
  <c r="A24" i="1"/>
  <c r="K13" i="1"/>
  <c r="J13" i="1"/>
  <c r="H13" i="1"/>
  <c r="I13" i="1" s="1"/>
  <c r="K12" i="1"/>
  <c r="J12" i="1"/>
  <c r="H12" i="1"/>
  <c r="I12" i="1" s="1"/>
  <c r="K11" i="1"/>
  <c r="J11" i="1"/>
  <c r="H11" i="1"/>
  <c r="I11" i="1" s="1"/>
  <c r="K10" i="1"/>
  <c r="J10" i="1"/>
  <c r="H10" i="1"/>
  <c r="I10" i="1" s="1"/>
  <c r="K9" i="1"/>
  <c r="J9" i="1"/>
  <c r="H9" i="1"/>
  <c r="I9" i="1" s="1"/>
  <c r="K8" i="1"/>
  <c r="J8" i="1"/>
  <c r="H8" i="1"/>
  <c r="I8" i="1" s="1"/>
  <c r="K7" i="1"/>
  <c r="J7" i="1"/>
  <c r="H7" i="1"/>
  <c r="I7" i="1" s="1"/>
  <c r="K6" i="1"/>
  <c r="J6" i="1"/>
  <c r="I6" i="1"/>
  <c r="H6" i="1"/>
  <c r="K5" i="1"/>
  <c r="J5" i="1"/>
  <c r="H5" i="1"/>
  <c r="I5" i="1" s="1"/>
  <c r="E5" i="1"/>
  <c r="D5" i="1"/>
  <c r="C5" i="1"/>
  <c r="F24" i="1" l="1"/>
  <c r="I25" i="1"/>
  <c r="J26" i="1"/>
  <c r="I29" i="1"/>
  <c r="J30" i="1"/>
</calcChain>
</file>

<file path=xl/sharedStrings.xml><?xml version="1.0" encoding="utf-8"?>
<sst xmlns="http://schemas.openxmlformats.org/spreadsheetml/2006/main" count="140" uniqueCount="102">
  <si>
    <t>N</t>
  </si>
  <si>
    <t>Overall</t>
  </si>
  <si>
    <t>By credit union asset size</t>
  </si>
  <si>
    <t>*</t>
  </si>
  <si>
    <t>Purpose</t>
  </si>
  <si>
    <t>$20M-$50M</t>
  </si>
  <si>
    <t>$50M-$100M</t>
  </si>
  <si>
    <t>$100M-$200M</t>
  </si>
  <si>
    <t>Duties and Responsibilities</t>
  </si>
  <si>
    <t>$200M-$500M</t>
  </si>
  <si>
    <t>$500M-$1B</t>
  </si>
  <si>
    <t>$2M-$5M</t>
  </si>
  <si>
    <t>1</t>
  </si>
  <si>
    <t>2</t>
  </si>
  <si>
    <t>* Insufficient data.</t>
  </si>
  <si>
    <t>Minimum</t>
  </si>
  <si>
    <t>Midpoint</t>
  </si>
  <si>
    <t>Maximum</t>
  </si>
  <si>
    <t>NOTE: Limited to credit unions with established minimums, midpoints, and maximums for each job position.</t>
  </si>
  <si>
    <t>$1-$3B</t>
  </si>
  <si>
    <t>$3B or more</t>
  </si>
  <si>
    <t>44</t>
  </si>
  <si>
    <t>25</t>
  </si>
  <si>
    <t>7</t>
  </si>
  <si>
    <t>29</t>
  </si>
  <si>
    <t>23</t>
  </si>
  <si>
    <t>$58,231</t>
  </si>
  <si>
    <t>Copyright Notice</t>
  </si>
  <si>
    <t xml:space="preserve"> </t>
  </si>
  <si>
    <t>Any violation of CUNA’s rights with respect to these worksheets will cause CUNA irreparable harm and damages will result.</t>
  </si>
  <si>
    <t>Copyright ©2012 Credit Union National Association Inc. All rights reserved. The contents of these worksheets are copyright protected and are considered confidential by Credit Union National Association (CUNA). these worksheets, or any of the data contained in the worksheets, may not be printed, forwarded, shared, reproduced, copied or otherwise redistributed to anyone or any entity outside of the recipient’s own organization.</t>
  </si>
  <si>
    <t>Incorporating the worksheets, or any of the data contained in the worksheets, into compensation-related software other vehicles or products, or for any direct or indirect external use is also strictly prohibited without a license expressly granted by CUNA.</t>
  </si>
  <si>
    <t>154</t>
  </si>
  <si>
    <t>$85,798</t>
  </si>
  <si>
    <t>$111,504</t>
  </si>
  <si>
    <t>$137,211</t>
  </si>
  <si>
    <t>$47,972</t>
  </si>
  <si>
    <t>$68,490</t>
  </si>
  <si>
    <t>$57,710</t>
  </si>
  <si>
    <t>$73,032</t>
  </si>
  <si>
    <t>$88,353</t>
  </si>
  <si>
    <t>$67,157</t>
  </si>
  <si>
    <t>$85,191</t>
  </si>
  <si>
    <t>$103,225</t>
  </si>
  <si>
    <t>$86,445</t>
  </si>
  <si>
    <t>$113,503</t>
  </si>
  <si>
    <t>$140,560</t>
  </si>
  <si>
    <t>$110,818</t>
  </si>
  <si>
    <t>$144,651</t>
  </si>
  <si>
    <t>$178,483</t>
  </si>
  <si>
    <t>$148,993</t>
  </si>
  <si>
    <t>$196,495</t>
  </si>
  <si>
    <t>$243,997</t>
  </si>
  <si>
    <t>$133,622</t>
  </si>
  <si>
    <t>$193,554</t>
  </si>
  <si>
    <t>$253,485</t>
  </si>
  <si>
    <t>Enter your data in A5:</t>
  </si>
  <si>
    <t>The job description for each position is included to the right of the data table for the position.</t>
  </si>
  <si>
    <t xml:space="preserve">These worksheets calculate the minimum and maximum salary amounts for a given pay grade.  This is done by applying the desired percent pay spread between the minimum and maximum salary amounts.  </t>
  </si>
  <si>
    <t xml:space="preserve">Wider pay ranges allow for more wage movement within the job grade and are often used in positions where the incumbent is more likely to remain in the position for a long period of time, such as management positions. </t>
  </si>
  <si>
    <t>Narrower pay ranges or even a range of 0% are used for hourly jobs where pay rates do not vary by tenure, performance, or other employee traits that have an impact on salary.</t>
  </si>
  <si>
    <t xml:space="preserve">The midpoint of the salary range should reflect the market value for that position.  </t>
  </si>
  <si>
    <t xml:space="preserve">Among the pay ranges in the organization, the midpoint of the lowest grade should reflect the lowest monetary value of the lowest job when ranked by importance to the organization.  </t>
  </si>
  <si>
    <t>Likewise, the midpoint of the highest grade should reflect the highest monetary value of the highest job when ranked by importance to the organization.</t>
  </si>
  <si>
    <t xml:space="preserve">Enter the the midpoint of the pay range for the corresponding pay grade for your CU and enter the desired percent pay spread between the minimum and maximum salary amounts.  </t>
  </si>
  <si>
    <t>The minimum and maximum salary amounts will be calculated based on your CU's midpoing and the percent pay spread, and will also be calculated using the desired percent pay spread and CUNA's midpoint.</t>
  </si>
  <si>
    <t xml:space="preserve">These worksheets also test the pay grades for overlap. There is not a standard for the acceptable amount of overlap between pay grades.  </t>
  </si>
  <si>
    <t>Too much overlap can devalue promotions since the wage increase stemming from the promotion is low, while too little overlap leads to high wage increases when promotions occur, resulting in high costs for the organization.</t>
  </si>
  <si>
    <t xml:space="preserve">CUNA's national data tables from the 2012-2013 Complete Credit Union Staff Salary Survey are located to the right of the first table that calculates the minimum and maximum salary amounts.  </t>
  </si>
  <si>
    <t>Enter desired percent range spread from minimum to maximum in B5:</t>
  </si>
  <si>
    <t>Minimum of pay range based on CU midpoint:</t>
  </si>
  <si>
    <t>Maximum of pay range based on CU midpoint:</t>
  </si>
  <si>
    <t>Minimum of pay range based on CUNA midpoint:</t>
  </si>
  <si>
    <t>Maximum of pay range based on CUNA midpoint:</t>
  </si>
  <si>
    <t>CUNA percent range spread from minimum to maximum:</t>
  </si>
  <si>
    <t>CU Midpoint +/-</t>
  </si>
  <si>
    <t>CUNA Midpoint +/-</t>
  </si>
  <si>
    <t>*In option A, the minimum and maximum of the pay range is calculated by multiplying the desired percent range spread by the midpoint and applying that figure to the midpoint.</t>
  </si>
  <si>
    <t>(If the percent range spread is 40%, the minimum salary of the pay range would be 20% below the midpoint, while the maximum salary of the pay range would be 40% above the midpoint.)</t>
  </si>
  <si>
    <t>Figure for calculating minimum</t>
  </si>
  <si>
    <t>Figure for calculating maximum</t>
  </si>
  <si>
    <t>Maximum of pay range based on CU mipoint:</t>
  </si>
  <si>
    <t xml:space="preserve">*In option B, the minimum of the pay range is calculated by adding 100% and half of the desired percent range spread, then dividing that figure by the midpoint. </t>
  </si>
  <si>
    <t>The maximum of the pay range is calculated by multiplying the minimum (as calculated above) by the percentage of the pay range spread, then adding this figure to the minimum.</t>
  </si>
  <si>
    <t xml:space="preserve">(If the percent range spread is 40%, 100% and 20% would be added, then that figure would be divided by the midpoint to calculate the minimum. </t>
  </si>
  <si>
    <t>This minimum would be multiplied by 40%, then that figure would be added to the minimum to calculate the maximum.)</t>
  </si>
  <si>
    <t>Pay Grade for Position</t>
  </si>
  <si>
    <t>Pay Grade One Step Above</t>
  </si>
  <si>
    <t>Pay Grade One Step Below</t>
  </si>
  <si>
    <t>Overlap</t>
  </si>
  <si>
    <t xml:space="preserve">There is not a standard for the acceptable amount of overlap between pay grades.  </t>
  </si>
  <si>
    <t>Too much overlap can devalue promotions since the wage increase stemming from the promotion is low.</t>
  </si>
  <si>
    <t>Too little overlap leads to high wage increases when promotions occur, resulting in high costs for the organization.</t>
  </si>
  <si>
    <r>
      <t xml:space="preserve">TITLE: </t>
    </r>
    <r>
      <rPr>
        <b/>
        <sz val="10.5"/>
        <color indexed="8"/>
        <rFont val="Helvetica"/>
        <family val="2"/>
      </rPr>
      <t>XYZ Position -- Job description for position will be shown here</t>
    </r>
  </si>
  <si>
    <t>REPORTS TO: ABC</t>
  </si>
  <si>
    <t>Responsible for…..</t>
  </si>
  <si>
    <r>
      <t>1.</t>
    </r>
    <r>
      <rPr>
        <sz val="7"/>
        <color indexed="8"/>
        <rFont val="Times New Roman"/>
        <family val="1"/>
      </rPr>
      <t>   </t>
    </r>
  </si>
  <si>
    <t xml:space="preserve"> Table A-8</t>
  </si>
  <si>
    <t xml:space="preserve">XYZ Position Salary Range Averages </t>
  </si>
  <si>
    <t>XYZ POSITION PAY RANGE USING MIDPOINT OF PAY GRADE -- OPTION A*</t>
  </si>
  <si>
    <t>XYZ POSITION PAY RANGE USING MIDPOINT OF PAY GRADE -- OPTION B*</t>
  </si>
  <si>
    <t>EXISTING OF OVERLAP BETWEEN PAY GRADE FOR XYZ POSITION AND PAY GRADES ONE STEP ABOVE AND BELOW</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</si>
</sst>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0.0%"/>
    <numFmt numFmtId="165" formatCode="_(&quot;$&quot;* #,##0_);_(&quot;$&quot;* \(#,##0\);_(&quot;$&quot;* &quot;-&quot;??_);_(@_)"/>
  </numFmts>
  <fonts count="17" x14ac:knownFonts="1">
    <font>
      <sz val="11"/>
      <color theme="1"/>
      <name val="Calibri"/>
      <family val="2"/>
      <scheme val="minor"/>
    </font>
    <font>
      <b/>
      <sz val="10"/>
      <name val="Arial"/>
      <family val="2"/>
    </font>
    <font>
      <sz val="10"/>
      <name val="Arial"/>
      <family val="2"/>
    </font>
    <font>
      <b/>
      <sz val="14"/>
      <color rgb="FF2B3616"/>
      <name val="Calibri"/>
      <family val="2"/>
      <scheme val="minor"/>
    </font>
    <font>
      <b/>
      <sz val="10"/>
      <color theme="1"/>
      <name val="Calibri"/>
      <family val="2"/>
      <scheme val="minor"/>
    </font>
    <font>
      <sz val="10"/>
      <color theme="1"/>
      <name val="Calibri"/>
      <family val="2"/>
      <scheme val="minor"/>
    </font>
    <font>
      <b/>
      <u/>
      <sz val="10"/>
      <color theme="1"/>
      <name val="Calibri"/>
      <family val="2"/>
      <scheme val="minor"/>
    </font>
    <font>
      <sz val="14"/>
      <name val="Arial"/>
      <family val="2"/>
    </font>
    <font>
      <sz val="10.5"/>
      <color rgb="FF000000"/>
      <name val="Helvetica"/>
      <family val="2"/>
    </font>
    <font>
      <b/>
      <sz val="10.5"/>
      <color indexed="8"/>
      <name val="Helvetica"/>
      <family val="2"/>
    </font>
    <font>
      <i/>
      <sz val="10.5"/>
      <color rgb="FF000000"/>
      <name val="Helvetica"/>
      <family val="2"/>
    </font>
    <font>
      <sz val="8"/>
      <name val="Arial"/>
      <family val="2"/>
    </font>
    <font>
      <i/>
      <sz val="8"/>
      <color rgb="FF000000"/>
      <name val="Helvetica"/>
      <family val="2"/>
    </font>
    <font>
      <sz val="7"/>
      <color indexed="8"/>
      <name val="Times New Roman"/>
      <family val="1"/>
    </font>
    <font>
      <sz val="8"/>
      <color rgb="FF000000"/>
      <name val="Helvetica"/>
      <family val="2"/>
    </font>
    <font>
      <sz val="10"/>
      <name val="Arial"/>
      <family val="2"/>
    </font>
    <font>
      <sz val="11"/>
      <color theme="1"/>
      <name val="Calibri"/>
      <family val="2"/>
      <scheme val="minor"/>
    </font>
  </fonts>
  <fills count="2">
    <fill>
      <patternFill patternType="none"/>
    </fill>
    <fill>
      <patternFill patternType="gray125"/>
    </fill>
  </fills>
  <borders count="5">
    <border>
      <left/>
      <right/>
      <top/>
      <bottom/>
      <diagonal/>
    </border>
    <border>
      <left/>
      <right/>
      <top style="thin">
        <color indexed="8"/>
      </top>
      <bottom style="thin">
        <color indexed="8"/>
      </bottom>
      <diagonal/>
    </border>
    <border>
      <left/>
      <right/>
      <top/>
      <bottom style="medium">
        <color indexed="64"/>
      </bottom>
      <diagonal/>
    </border>
    <border>
      <left/>
      <right/>
      <top/>
      <bottom style="thin">
        <color indexed="8"/>
      </bottom>
      <diagonal/>
    </border>
    <border>
      <left/>
      <right/>
      <top style="medium">
        <color indexed="64"/>
      </top>
      <bottom style="medium">
        <color indexed="64"/>
      </bottom>
      <diagonal/>
    </border>
  </borders>
  <cellStyleXfs count="4">
    <xf numFmtId="0" fontId="0" fillId="0" borderId="0"/>
    <xf numFmtId="0" fontId="15" fillId="0" borderId="0"/>
    <xf numFmtId="44" fontId="16" fillId="0" borderId="0" applyFont="0" applyFill="0" applyBorder="0" applyAlignment="0" applyProtection="0"/>
    <xf numFmtId="9" fontId="16" fillId="0" borderId="0" applyFont="0" applyFill="0" applyBorder="0" applyAlignment="0" applyProtection="0"/>
  </cellStyleXfs>
  <cellXfs count="81">
    <xf numFmtId="0" fontId="0" fillId="0" borderId="0" xfId="0"/>
    <xf numFmtId="0" fontId="1" fillId="0" borderId="1" xfId="0" applyFont="1" applyBorder="1" applyAlignment="1">
      <alignment horizontal="center" wrapText="1"/>
    </xf>
    <xf numFmtId="0" fontId="2" fillId="0" borderId="0" xfId="0" applyFont="1" applyAlignment="1">
      <alignment horizontal="center"/>
    </xf>
    <xf numFmtId="0" fontId="2" fillId="0" borderId="2" xfId="0" applyFont="1" applyBorder="1" applyAlignment="1">
      <alignment horizontal="center"/>
    </xf>
    <xf numFmtId="0" fontId="2" fillId="0" borderId="0" xfId="0" applyFont="1" applyBorder="1" applyAlignment="1">
      <alignment horizontal="center"/>
    </xf>
    <xf numFmtId="0" fontId="0" fillId="0" borderId="0" xfId="0" applyAlignment="1">
      <alignment vertical="center"/>
    </xf>
    <xf numFmtId="0" fontId="3" fillId="0" borderId="0" xfId="0" applyFont="1" applyAlignment="1">
      <alignment vertical="center"/>
    </xf>
    <xf numFmtId="0" fontId="5" fillId="0" borderId="0" xfId="0" applyFont="1"/>
    <xf numFmtId="0" fontId="5" fillId="0" borderId="0" xfId="0" applyFont="1" applyAlignment="1">
      <alignment horizontal="left"/>
    </xf>
    <xf numFmtId="164" fontId="5" fillId="0" borderId="0" xfId="0" applyNumberFormat="1" applyFont="1" applyAlignment="1">
      <alignment horizontal="right"/>
    </xf>
    <xf numFmtId="0" fontId="5" fillId="0" borderId="2" xfId="0" applyFont="1" applyBorder="1"/>
    <xf numFmtId="164" fontId="5" fillId="0" borderId="2" xfId="0" applyNumberFormat="1" applyFont="1" applyBorder="1" applyAlignment="1">
      <alignment horizontal="right"/>
    </xf>
    <xf numFmtId="164" fontId="5" fillId="0" borderId="0" xfId="0" applyNumberFormat="1" applyFont="1" applyBorder="1" applyAlignment="1">
      <alignment horizontal="right"/>
    </xf>
    <xf numFmtId="0" fontId="5" fillId="0" borderId="0" xfId="0" applyFont="1" applyProtection="1">
      <protection locked="0"/>
    </xf>
    <xf numFmtId="0" fontId="0" fillId="0" borderId="0" xfId="0" applyAlignment="1">
      <alignment horizontal="left"/>
    </xf>
    <xf numFmtId="0" fontId="0" fillId="0" borderId="0" xfId="0" applyAlignment="1">
      <alignment horizontal="right"/>
    </xf>
    <xf numFmtId="0" fontId="5" fillId="0" borderId="0" xfId="0" applyFont="1" applyBorder="1" applyAlignment="1">
      <alignment horizontal="left"/>
    </xf>
    <xf numFmtId="0" fontId="0" fillId="0" borderId="0" xfId="0" applyBorder="1" applyAlignment="1">
      <alignment horizontal="left"/>
    </xf>
    <xf numFmtId="0" fontId="5" fillId="0" borderId="0" xfId="0" applyFont="1" applyBorder="1"/>
    <xf numFmtId="0" fontId="12" fillId="0" borderId="0" xfId="1" applyFont="1" applyAlignment="1">
      <alignment horizontal="left" vertical="center" indent="3"/>
    </xf>
    <xf numFmtId="0" fontId="8" fillId="0" borderId="0" xfId="1" applyFont="1" applyAlignment="1">
      <alignment horizontal="left" vertical="center" indent="4"/>
    </xf>
    <xf numFmtId="0" fontId="14" fillId="0" borderId="0" xfId="1" applyFont="1" applyAlignment="1">
      <alignment horizontal="left" vertical="center" indent="4"/>
    </xf>
    <xf numFmtId="0" fontId="8" fillId="0" borderId="0" xfId="1" applyFont="1" applyAlignment="1">
      <alignment vertical="center"/>
    </xf>
    <xf numFmtId="0" fontId="10" fillId="0" borderId="0" xfId="1" applyFont="1" applyAlignment="1">
      <alignment vertical="center"/>
    </xf>
    <xf numFmtId="0" fontId="8" fillId="0" borderId="0" xfId="1" applyFont="1" applyAlignment="1">
      <alignment horizontal="left" vertical="center" indent="1"/>
    </xf>
    <xf numFmtId="0" fontId="15" fillId="0" borderId="0" xfId="1"/>
    <xf numFmtId="0" fontId="0" fillId="0" borderId="0" xfId="0" applyBorder="1"/>
    <xf numFmtId="0" fontId="0" fillId="0" borderId="0" xfId="0" applyBorder="1" applyAlignment="1">
      <alignment horizontal="right"/>
    </xf>
    <xf numFmtId="0" fontId="4" fillId="0" borderId="0" xfId="0" applyFont="1" applyBorder="1" applyAlignment="1">
      <alignment horizontal="center" wrapText="1"/>
    </xf>
    <xf numFmtId="0" fontId="6" fillId="0" borderId="0" xfId="0" applyFont="1" applyBorder="1" applyAlignment="1">
      <alignment horizontal="center"/>
    </xf>
    <xf numFmtId="0" fontId="11" fillId="0" borderId="0" xfId="0" applyFont="1" applyAlignment="1">
      <alignment wrapText="1"/>
    </xf>
    <xf numFmtId="0" fontId="11" fillId="0" borderId="0" xfId="0" applyFont="1" applyAlignment="1">
      <alignment horizontal="center" wrapText="1"/>
    </xf>
    <xf numFmtId="0" fontId="7" fillId="0" borderId="0" xfId="0" applyFont="1" applyBorder="1" applyAlignment="1">
      <alignment horizontal="center" wrapText="1"/>
    </xf>
    <xf numFmtId="0" fontId="5" fillId="0" borderId="0" xfId="0" applyFont="1" applyBorder="1" applyProtection="1">
      <protection locked="0"/>
    </xf>
    <xf numFmtId="0" fontId="4" fillId="0" borderId="0" xfId="0" applyFont="1" applyBorder="1" applyAlignment="1">
      <alignment horizontal="center"/>
    </xf>
    <xf numFmtId="0" fontId="1" fillId="0" borderId="0" xfId="0" applyFont="1" applyBorder="1" applyAlignment="1">
      <alignment horizontal="center" wrapText="1"/>
    </xf>
    <xf numFmtId="0" fontId="4" fillId="0" borderId="0" xfId="0" applyFont="1" applyBorder="1" applyAlignment="1">
      <alignment horizontal="center" wrapText="1"/>
    </xf>
    <xf numFmtId="0" fontId="4" fillId="0" borderId="2" xfId="0" applyFont="1" applyBorder="1" applyAlignment="1">
      <alignment horizontal="center" wrapText="1"/>
    </xf>
    <xf numFmtId="0" fontId="5" fillId="0" borderId="0" xfId="0" applyFont="1" applyAlignment="1">
      <alignment horizontal="center"/>
    </xf>
    <xf numFmtId="165" fontId="5" fillId="0" borderId="0" xfId="2" applyNumberFormat="1" applyFont="1" applyProtection="1">
      <protection locked="0"/>
    </xf>
    <xf numFmtId="9" fontId="5" fillId="0" borderId="0" xfId="3" applyFont="1" applyProtection="1">
      <protection locked="0"/>
    </xf>
    <xf numFmtId="165" fontId="5" fillId="0" borderId="0" xfId="2" applyNumberFormat="1" applyFont="1" applyAlignment="1">
      <alignment horizontal="right"/>
    </xf>
    <xf numFmtId="9" fontId="5" fillId="0" borderId="0" xfId="3" applyFont="1" applyAlignment="1">
      <alignment horizontal="right"/>
    </xf>
    <xf numFmtId="165" fontId="5" fillId="0" borderId="2" xfId="2" applyNumberFormat="1" applyFont="1" applyBorder="1" applyAlignment="1">
      <alignment horizontal="right"/>
    </xf>
    <xf numFmtId="9" fontId="5" fillId="0" borderId="2" xfId="3" applyFont="1" applyBorder="1" applyAlignment="1">
      <alignment horizontal="right"/>
    </xf>
    <xf numFmtId="0" fontId="5" fillId="0" borderId="0" xfId="0" applyFont="1" applyAlignment="1" applyProtection="1">
      <alignment horizontal="center"/>
      <protection locked="0"/>
    </xf>
    <xf numFmtId="0" fontId="4" fillId="0" borderId="0" xfId="0" applyFont="1" applyBorder="1" applyAlignment="1" applyProtection="1">
      <alignment horizontal="center"/>
      <protection locked="0"/>
    </xf>
    <xf numFmtId="0" fontId="4" fillId="0" borderId="0" xfId="0" applyFont="1" applyBorder="1" applyAlignment="1" applyProtection="1">
      <alignment horizontal="center" wrapText="1"/>
      <protection locked="0"/>
    </xf>
    <xf numFmtId="0" fontId="4" fillId="0" borderId="2" xfId="0" applyFont="1" applyBorder="1" applyAlignment="1" applyProtection="1">
      <alignment horizontal="center" wrapText="1"/>
      <protection locked="0"/>
    </xf>
    <xf numFmtId="0" fontId="5" fillId="0" borderId="2" xfId="0" applyFont="1" applyBorder="1" applyProtection="1">
      <protection locked="0"/>
    </xf>
    <xf numFmtId="9" fontId="5" fillId="0" borderId="0" xfId="3" applyFont="1" applyAlignment="1" applyProtection="1">
      <alignment horizontal="right"/>
      <protection locked="0"/>
    </xf>
    <xf numFmtId="165" fontId="5" fillId="0" borderId="0" xfId="2" applyNumberFormat="1" applyFont="1" applyAlignment="1" applyProtection="1">
      <alignment horizontal="right"/>
      <protection locked="0"/>
    </xf>
    <xf numFmtId="0" fontId="5" fillId="0" borderId="0" xfId="0" applyFont="1" applyAlignment="1" applyProtection="1">
      <alignment horizontal="left"/>
      <protection locked="0"/>
    </xf>
    <xf numFmtId="164" fontId="5" fillId="0" borderId="0" xfId="0" applyNumberFormat="1" applyFont="1" applyAlignment="1" applyProtection="1">
      <alignment horizontal="right"/>
      <protection locked="0"/>
    </xf>
    <xf numFmtId="0" fontId="2" fillId="0" borderId="0" xfId="0" applyFont="1" applyAlignment="1" applyProtection="1">
      <alignment horizontal="center"/>
      <protection locked="0"/>
    </xf>
    <xf numFmtId="0" fontId="2" fillId="0" borderId="2" xfId="0" applyFont="1" applyBorder="1" applyAlignment="1" applyProtection="1">
      <alignment horizontal="center"/>
      <protection locked="0"/>
    </xf>
    <xf numFmtId="164" fontId="5" fillId="0" borderId="2" xfId="0" applyNumberFormat="1" applyFont="1" applyBorder="1" applyAlignment="1" applyProtection="1">
      <alignment horizontal="right"/>
      <protection locked="0"/>
    </xf>
    <xf numFmtId="165" fontId="5" fillId="0" borderId="2" xfId="2" applyNumberFormat="1" applyFont="1" applyBorder="1" applyAlignment="1" applyProtection="1">
      <alignment horizontal="right"/>
      <protection locked="0"/>
    </xf>
    <xf numFmtId="165" fontId="5" fillId="0" borderId="4" xfId="2" applyNumberFormat="1" applyFont="1" applyBorder="1" applyProtection="1">
      <protection locked="0"/>
    </xf>
    <xf numFmtId="9" fontId="5" fillId="0" borderId="4" xfId="3" applyFont="1" applyBorder="1" applyAlignment="1" applyProtection="1">
      <alignment horizontal="right"/>
    </xf>
    <xf numFmtId="9" fontId="5" fillId="0" borderId="0" xfId="3" applyFont="1" applyBorder="1" applyAlignment="1">
      <alignment horizontal="right"/>
    </xf>
    <xf numFmtId="165" fontId="5" fillId="0" borderId="0" xfId="2" applyNumberFormat="1" applyFont="1" applyBorder="1" applyAlignment="1" applyProtection="1">
      <alignment horizontal="right"/>
      <protection locked="0"/>
    </xf>
    <xf numFmtId="165" fontId="5" fillId="0" borderId="0" xfId="2" applyNumberFormat="1" applyFont="1" applyBorder="1" applyAlignment="1">
      <alignment horizontal="right"/>
    </xf>
    <xf numFmtId="0" fontId="5" fillId="0" borderId="0" xfId="0" applyFont="1" applyBorder="1" applyAlignment="1" applyProtection="1">
      <alignment horizontal="left"/>
      <protection locked="0"/>
    </xf>
    <xf numFmtId="0" fontId="0" fillId="0" borderId="2" xfId="0" applyBorder="1" applyAlignment="1">
      <alignment horizontal="left"/>
    </xf>
    <xf numFmtId="0" fontId="4" fillId="0" borderId="0" xfId="0" applyFont="1" applyBorder="1" applyAlignment="1">
      <alignment horizontal="center" wrapText="1"/>
    </xf>
    <xf numFmtId="0" fontId="4" fillId="0" borderId="2" xfId="0" applyFont="1" applyBorder="1" applyAlignment="1">
      <alignment horizontal="center" wrapText="1"/>
    </xf>
    <xf numFmtId="0" fontId="4" fillId="0" borderId="0" xfId="0" applyFont="1" applyBorder="1" applyAlignment="1" applyProtection="1">
      <alignment horizontal="center" wrapText="1"/>
      <protection locked="0"/>
    </xf>
    <xf numFmtId="0" fontId="4" fillId="0" borderId="2" xfId="0" applyFont="1" applyBorder="1" applyAlignment="1" applyProtection="1">
      <alignment horizontal="center" wrapText="1"/>
      <protection locked="0"/>
    </xf>
    <xf numFmtId="0" fontId="4" fillId="0" borderId="0" xfId="0" applyFont="1" applyAlignment="1" applyProtection="1">
      <alignment horizontal="center"/>
      <protection locked="0"/>
    </xf>
    <xf numFmtId="0" fontId="5" fillId="0" borderId="0" xfId="0" applyFont="1" applyAlignment="1" applyProtection="1">
      <alignment horizontal="center"/>
      <protection locked="0"/>
    </xf>
    <xf numFmtId="0" fontId="6" fillId="0" borderId="0" xfId="0" applyFont="1" applyAlignment="1">
      <alignment horizontal="center"/>
    </xf>
    <xf numFmtId="0" fontId="5" fillId="0" borderId="0" xfId="0" applyFont="1" applyAlignment="1">
      <alignment horizontal="center"/>
    </xf>
    <xf numFmtId="0" fontId="4" fillId="0" borderId="0" xfId="0" applyFont="1" applyAlignment="1" applyProtection="1">
      <alignment horizontal="center" wrapText="1"/>
      <protection locked="0"/>
    </xf>
    <xf numFmtId="0" fontId="11" fillId="0" borderId="0" xfId="0" applyFont="1" applyAlignment="1">
      <alignment horizontal="left" wrapText="1"/>
    </xf>
    <xf numFmtId="0" fontId="4" fillId="0" borderId="0" xfId="0" applyFont="1" applyAlignment="1">
      <alignment horizontal="center" wrapText="1"/>
    </xf>
    <xf numFmtId="0" fontId="4" fillId="0" borderId="0" xfId="0" applyFont="1" applyAlignment="1">
      <alignment horizontal="center"/>
    </xf>
    <xf numFmtId="0" fontId="6" fillId="0" borderId="0" xfId="0" applyFont="1" applyBorder="1" applyAlignment="1">
      <alignment horizontal="center"/>
    </xf>
    <xf numFmtId="0" fontId="7" fillId="0" borderId="3" xfId="0" applyFont="1" applyBorder="1" applyAlignment="1">
      <alignment horizontal="center" wrapText="1"/>
    </xf>
    <xf numFmtId="0" fontId="7" fillId="0" borderId="0" xfId="0" applyFont="1" applyAlignment="1">
      <alignment horizontal="center" wrapText="1"/>
    </xf>
    <xf numFmtId="0" fontId="8" fillId="0" borderId="0" xfId="1" applyFont="1" applyAlignment="1">
      <alignment horizontal="left" vertical="center" indent="3"/>
    </xf>
  </cellXfs>
  <cellStyles count="4">
    <cellStyle name="Currency" xfId="2" builtinId="4"/>
    <cellStyle name="Normal" xfId="0" builtinId="0"/>
    <cellStyle name="Normal 2" xfId="1"/>
    <cellStyle name="Percent" xfId="3" builtinId="5"/>
  </cellStyles>
  <dxfs count="51">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
      <font>
        <color rgb="FFC00000"/>
      </font>
    </dxf>
    <dxf>
      <font>
        <color rgb="FFC00000"/>
      </font>
    </dxf>
    <dxf>
      <font>
        <color theme="6" tint="-0.499984740745262"/>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7"/>
  <sheetViews>
    <sheetView workbookViewId="0"/>
  </sheetViews>
  <sheetFormatPr defaultRowHeight="15" x14ac:dyDescent="0.25"/>
  <sheetData>
    <row r="1" spans="1:1" x14ac:dyDescent="0.25">
      <c r="A1" t="s">
        <v>58</v>
      </c>
    </row>
    <row r="2" spans="1:1" x14ac:dyDescent="0.25">
      <c r="A2" t="s">
        <v>59</v>
      </c>
    </row>
    <row r="3" spans="1:1" x14ac:dyDescent="0.25">
      <c r="A3" t="s">
        <v>60</v>
      </c>
    </row>
    <row r="6" spans="1:1" x14ac:dyDescent="0.25">
      <c r="A6" t="s">
        <v>61</v>
      </c>
    </row>
    <row r="7" spans="1:1" x14ac:dyDescent="0.25">
      <c r="A7" t="s">
        <v>62</v>
      </c>
    </row>
    <row r="8" spans="1:1" x14ac:dyDescent="0.25">
      <c r="A8" t="s">
        <v>63</v>
      </c>
    </row>
    <row r="10" spans="1:1" x14ac:dyDescent="0.25">
      <c r="A10" t="s">
        <v>64</v>
      </c>
    </row>
    <row r="11" spans="1:1" x14ac:dyDescent="0.25">
      <c r="A11" t="s">
        <v>65</v>
      </c>
    </row>
    <row r="13" spans="1:1" x14ac:dyDescent="0.25">
      <c r="A13" t="s">
        <v>66</v>
      </c>
    </row>
    <row r="14" spans="1:1" x14ac:dyDescent="0.25">
      <c r="A14" t="s">
        <v>67</v>
      </c>
    </row>
    <row r="16" spans="1:1" x14ac:dyDescent="0.25">
      <c r="A16" t="s">
        <v>68</v>
      </c>
    </row>
    <row r="18" spans="1:1" x14ac:dyDescent="0.25">
      <c r="A18" t="s">
        <v>57</v>
      </c>
    </row>
    <row r="22" spans="1:1" ht="18.75" x14ac:dyDescent="0.25">
      <c r="A22" s="6" t="s">
        <v>27</v>
      </c>
    </row>
    <row r="23" spans="1:1" x14ac:dyDescent="0.25">
      <c r="A23" s="5"/>
    </row>
    <row r="24" spans="1:1" x14ac:dyDescent="0.25">
      <c r="A24" s="5" t="s">
        <v>30</v>
      </c>
    </row>
    <row r="25" spans="1:1" x14ac:dyDescent="0.25">
      <c r="A25" s="5" t="s">
        <v>28</v>
      </c>
    </row>
    <row r="26" spans="1:1" x14ac:dyDescent="0.25">
      <c r="A26" s="5" t="s">
        <v>31</v>
      </c>
    </row>
    <row r="27" spans="1:1" x14ac:dyDescent="0.25">
      <c r="A27" s="5"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71"/>
  <sheetViews>
    <sheetView tabSelected="1" workbookViewId="0">
      <selection sqref="A1:H1"/>
    </sheetView>
  </sheetViews>
  <sheetFormatPr defaultRowHeight="15" x14ac:dyDescent="0.25"/>
  <cols>
    <col min="1" max="1" width="17" style="7" customWidth="1"/>
    <col min="2" max="2" width="24" style="7" customWidth="1"/>
    <col min="3" max="3" width="14.140625" style="7" customWidth="1"/>
    <col min="4" max="4" width="14.140625" style="7" bestFit="1" customWidth="1"/>
    <col min="5" max="5" width="15" style="7" customWidth="1"/>
    <col min="6" max="6" width="16.140625" style="7" customWidth="1"/>
    <col min="7" max="7" width="12" style="7" bestFit="1" customWidth="1"/>
    <col min="8" max="8" width="18.5703125" style="7" customWidth="1"/>
    <col min="9" max="11" width="14.42578125" style="7" customWidth="1"/>
    <col min="12" max="12" width="12" style="7" bestFit="1" customWidth="1"/>
    <col min="13" max="13" width="29.140625" bestFit="1" customWidth="1"/>
    <col min="14" max="14" width="17.5703125" bestFit="1" customWidth="1"/>
    <col min="15" max="15" width="4" bestFit="1" customWidth="1"/>
    <col min="16" max="16" width="15.5703125" customWidth="1"/>
    <col min="17" max="17" width="13" customWidth="1"/>
    <col min="18" max="18" width="13.28515625" customWidth="1"/>
    <col min="19" max="19" width="12.85546875" customWidth="1"/>
    <col min="20" max="20" width="13.28515625" style="7" customWidth="1"/>
    <col min="21" max="16384" width="9.140625" style="7"/>
  </cols>
  <sheetData>
    <row r="1" spans="1:20" ht="18" customHeight="1" x14ac:dyDescent="0.25">
      <c r="A1" s="76" t="s">
        <v>99</v>
      </c>
      <c r="B1" s="72"/>
      <c r="C1" s="72"/>
      <c r="D1" s="72"/>
      <c r="E1" s="72"/>
      <c r="F1" s="72"/>
      <c r="G1" s="72"/>
      <c r="H1" s="72"/>
      <c r="I1" s="38"/>
      <c r="J1" s="38"/>
      <c r="K1" s="38"/>
      <c r="L1" s="29"/>
      <c r="S1" s="32"/>
      <c r="T1" s="22" t="s">
        <v>93</v>
      </c>
    </row>
    <row r="2" spans="1:20" ht="18" customHeight="1" x14ac:dyDescent="0.25">
      <c r="A2" s="75" t="s">
        <v>56</v>
      </c>
      <c r="B2" s="75" t="s">
        <v>69</v>
      </c>
      <c r="D2" s="65" t="s">
        <v>70</v>
      </c>
      <c r="E2" s="65" t="s">
        <v>71</v>
      </c>
      <c r="F2" s="34"/>
      <c r="G2" s="36"/>
      <c r="I2" s="65" t="s">
        <v>72</v>
      </c>
      <c r="J2" s="65" t="s">
        <v>73</v>
      </c>
      <c r="K2" s="75" t="s">
        <v>74</v>
      </c>
      <c r="L2" s="29"/>
      <c r="M2" s="79" t="s">
        <v>97</v>
      </c>
      <c r="N2" s="79"/>
      <c r="O2" s="79"/>
      <c r="P2" s="79"/>
      <c r="Q2" s="79"/>
      <c r="R2" s="79"/>
      <c r="S2" s="32"/>
      <c r="T2" s="22"/>
    </row>
    <row r="3" spans="1:20" ht="54" customHeight="1" x14ac:dyDescent="0.25">
      <c r="A3" s="75"/>
      <c r="B3" s="75"/>
      <c r="D3" s="65"/>
      <c r="E3" s="65"/>
      <c r="F3" s="34"/>
      <c r="G3" s="36"/>
      <c r="I3" s="65"/>
      <c r="J3" s="65"/>
      <c r="K3" s="75"/>
      <c r="L3" s="28"/>
      <c r="M3" s="78" t="s">
        <v>98</v>
      </c>
      <c r="N3" s="78"/>
      <c r="O3" s="78"/>
      <c r="P3" s="78"/>
      <c r="Q3" s="78"/>
      <c r="R3" s="78"/>
      <c r="S3" s="35"/>
      <c r="T3" s="22" t="s">
        <v>94</v>
      </c>
    </row>
    <row r="4" spans="1:20" ht="15.75" thickBot="1" x14ac:dyDescent="0.3">
      <c r="A4" s="37" t="s">
        <v>16</v>
      </c>
      <c r="B4" s="66"/>
      <c r="C4" s="37" t="s">
        <v>75</v>
      </c>
      <c r="D4" s="66"/>
      <c r="E4" s="66"/>
      <c r="F4" s="10"/>
      <c r="G4" s="37"/>
      <c r="H4" s="37" t="s">
        <v>76</v>
      </c>
      <c r="I4" s="66"/>
      <c r="J4" s="66"/>
      <c r="K4" s="66"/>
      <c r="L4" s="4"/>
      <c r="M4" s="1"/>
      <c r="N4" s="1"/>
      <c r="O4" s="1" t="s">
        <v>0</v>
      </c>
      <c r="P4" s="1" t="s">
        <v>15</v>
      </c>
      <c r="Q4" s="1" t="s">
        <v>16</v>
      </c>
      <c r="R4" s="1" t="s">
        <v>17</v>
      </c>
      <c r="S4" s="27"/>
      <c r="T4" s="22"/>
    </row>
    <row r="5" spans="1:20" x14ac:dyDescent="0.25">
      <c r="A5" s="39"/>
      <c r="B5" s="40"/>
      <c r="C5" s="41" t="str">
        <f>IF(A5=0, "N/A",($B$5/2)*$A$5)</f>
        <v>N/A</v>
      </c>
      <c r="D5" s="41" t="str">
        <f>IF(B5=0, "N/A",+$A$5-$C$5)</f>
        <v>N/A</v>
      </c>
      <c r="E5" s="41" t="str">
        <f>IF(B5=0, "N/A",+$A$5+$C$5)</f>
        <v>N/A</v>
      </c>
      <c r="F5" s="8" t="s">
        <v>1</v>
      </c>
      <c r="H5" s="41">
        <f>IF(R5="*", "N/A",$B$5*R5)</f>
        <v>0</v>
      </c>
      <c r="I5" s="41">
        <f>IF(R5="*", "N/A",R5-H5)</f>
        <v>137211</v>
      </c>
      <c r="J5" s="41">
        <f>IF(R5="*", "N/A",R5+H5)</f>
        <v>137211</v>
      </c>
      <c r="K5" s="42">
        <f>IF(R5="*", "N/A",(S5-Q5)/R5)</f>
        <v>-0.8126462164112207</v>
      </c>
      <c r="L5" s="4"/>
      <c r="M5" s="14" t="s">
        <v>1</v>
      </c>
      <c r="N5" s="14"/>
      <c r="O5" s="15" t="s">
        <v>32</v>
      </c>
      <c r="P5" s="15" t="s">
        <v>33</v>
      </c>
      <c r="Q5" s="15" t="s">
        <v>34</v>
      </c>
      <c r="R5" s="15" t="s">
        <v>35</v>
      </c>
      <c r="S5" s="27"/>
      <c r="T5" s="23" t="s">
        <v>4</v>
      </c>
    </row>
    <row r="6" spans="1:20" ht="15" customHeight="1" x14ac:dyDescent="0.25">
      <c r="C6" s="9"/>
      <c r="D6" s="2"/>
      <c r="F6" s="8" t="s">
        <v>2</v>
      </c>
      <c r="G6" s="14" t="s">
        <v>11</v>
      </c>
      <c r="H6" s="41" t="str">
        <f>IF(R6="*", "N/A",$B$5*R6)</f>
        <v>N/A</v>
      </c>
      <c r="I6" s="41" t="str">
        <f>IF(R6="*", "N/A",R6-H6)</f>
        <v>N/A</v>
      </c>
      <c r="J6" s="41" t="str">
        <f>IF(R6="*", "N/A",R6+H6)</f>
        <v>N/A</v>
      </c>
      <c r="K6" s="42" t="str">
        <f t="shared" ref="K6:K13" si="0">IF(R6="*", "N/A",(S6-Q6)/R6)</f>
        <v>N/A</v>
      </c>
      <c r="L6" s="4"/>
      <c r="M6" s="14" t="s">
        <v>2</v>
      </c>
      <c r="N6" s="14" t="s">
        <v>11</v>
      </c>
      <c r="O6" s="15" t="s">
        <v>12</v>
      </c>
      <c r="P6" s="15" t="s">
        <v>3</v>
      </c>
      <c r="Q6" s="15" t="s">
        <v>3</v>
      </c>
      <c r="R6" s="15" t="s">
        <v>3</v>
      </c>
      <c r="S6" s="27"/>
      <c r="T6" s="23"/>
    </row>
    <row r="7" spans="1:20" x14ac:dyDescent="0.25">
      <c r="C7" s="9"/>
      <c r="D7" s="2"/>
      <c r="G7" s="14" t="s">
        <v>5</v>
      </c>
      <c r="H7" s="41">
        <f t="shared" ref="H7:H13" si="1">IF(R7="*", "N/A",$B$5*R7)</f>
        <v>0</v>
      </c>
      <c r="I7" s="41">
        <f t="shared" ref="I7:I13" si="2">IF(R7="*", "N/A",R7-H7)</f>
        <v>68490</v>
      </c>
      <c r="J7" s="41">
        <f t="shared" ref="J7:J13" si="3">IF(R7="*", "N/A",R7+H7)</f>
        <v>68490</v>
      </c>
      <c r="K7" s="42">
        <f t="shared" si="0"/>
        <v>-0.85021170973864801</v>
      </c>
      <c r="L7" s="4"/>
      <c r="N7" s="14" t="s">
        <v>5</v>
      </c>
      <c r="O7" s="15" t="s">
        <v>23</v>
      </c>
      <c r="P7" s="15" t="s">
        <v>36</v>
      </c>
      <c r="Q7" s="15" t="s">
        <v>26</v>
      </c>
      <c r="R7" s="15" t="s">
        <v>37</v>
      </c>
      <c r="S7" s="27"/>
      <c r="T7" s="22" t="s">
        <v>95</v>
      </c>
    </row>
    <row r="8" spans="1:20" x14ac:dyDescent="0.25">
      <c r="C8" s="9"/>
      <c r="D8" s="2"/>
      <c r="G8" s="14" t="s">
        <v>6</v>
      </c>
      <c r="H8" s="41">
        <f t="shared" si="1"/>
        <v>0</v>
      </c>
      <c r="I8" s="41">
        <f t="shared" si="2"/>
        <v>88353</v>
      </c>
      <c r="J8" s="41">
        <f t="shared" si="3"/>
        <v>88353</v>
      </c>
      <c r="K8" s="42">
        <f t="shared" si="0"/>
        <v>-0.82659332450511014</v>
      </c>
      <c r="L8" s="4"/>
      <c r="N8" s="14" t="s">
        <v>6</v>
      </c>
      <c r="O8" s="15" t="s">
        <v>24</v>
      </c>
      <c r="P8" s="15" t="s">
        <v>38</v>
      </c>
      <c r="Q8" s="15" t="s">
        <v>39</v>
      </c>
      <c r="R8" s="15" t="s">
        <v>40</v>
      </c>
      <c r="S8" s="27"/>
      <c r="T8" s="22"/>
    </row>
    <row r="9" spans="1:20" x14ac:dyDescent="0.25">
      <c r="C9" s="9"/>
      <c r="D9" s="2"/>
      <c r="G9" s="14" t="s">
        <v>7</v>
      </c>
      <c r="H9" s="41">
        <f t="shared" si="1"/>
        <v>0</v>
      </c>
      <c r="I9" s="41">
        <f t="shared" si="2"/>
        <v>103225</v>
      </c>
      <c r="J9" s="41">
        <f t="shared" si="3"/>
        <v>103225</v>
      </c>
      <c r="K9" s="42">
        <f t="shared" si="0"/>
        <v>-0.82529426011140716</v>
      </c>
      <c r="L9" s="4"/>
      <c r="N9" s="14" t="s">
        <v>7</v>
      </c>
      <c r="O9" s="15" t="s">
        <v>25</v>
      </c>
      <c r="P9" s="15" t="s">
        <v>41</v>
      </c>
      <c r="Q9" s="15" t="s">
        <v>42</v>
      </c>
      <c r="R9" s="15" t="s">
        <v>43</v>
      </c>
      <c r="S9" s="27"/>
      <c r="T9" s="23" t="s">
        <v>8</v>
      </c>
    </row>
    <row r="10" spans="1:20" x14ac:dyDescent="0.25">
      <c r="C10" s="9"/>
      <c r="D10" s="2"/>
      <c r="G10" s="14" t="s">
        <v>9</v>
      </c>
      <c r="H10" s="41">
        <f t="shared" si="1"/>
        <v>0</v>
      </c>
      <c r="I10" s="41">
        <f t="shared" si="2"/>
        <v>140560</v>
      </c>
      <c r="J10" s="41">
        <f t="shared" si="3"/>
        <v>140560</v>
      </c>
      <c r="K10" s="42">
        <f t="shared" si="0"/>
        <v>-0.80750569151963569</v>
      </c>
      <c r="L10" s="4"/>
      <c r="N10" s="14" t="s">
        <v>9</v>
      </c>
      <c r="O10" s="15" t="s">
        <v>21</v>
      </c>
      <c r="P10" s="15" t="s">
        <v>44</v>
      </c>
      <c r="Q10" s="15" t="s">
        <v>45</v>
      </c>
      <c r="R10" s="15" t="s">
        <v>46</v>
      </c>
      <c r="S10" s="27"/>
      <c r="T10" s="19"/>
    </row>
    <row r="11" spans="1:20" x14ac:dyDescent="0.25">
      <c r="C11" s="9"/>
      <c r="D11" s="2"/>
      <c r="G11" s="14" t="s">
        <v>10</v>
      </c>
      <c r="H11" s="41">
        <f t="shared" si="1"/>
        <v>0</v>
      </c>
      <c r="I11" s="41">
        <f t="shared" si="2"/>
        <v>178483</v>
      </c>
      <c r="J11" s="41">
        <f t="shared" si="3"/>
        <v>178483</v>
      </c>
      <c r="K11" s="42">
        <f t="shared" si="0"/>
        <v>-0.81044693332138074</v>
      </c>
      <c r="L11" s="4"/>
      <c r="N11" s="14" t="s">
        <v>10</v>
      </c>
      <c r="O11" s="15" t="s">
        <v>22</v>
      </c>
      <c r="P11" s="15" t="s">
        <v>47</v>
      </c>
      <c r="Q11" s="15" t="s">
        <v>48</v>
      </c>
      <c r="R11" s="15" t="s">
        <v>49</v>
      </c>
      <c r="S11" s="27"/>
      <c r="T11" s="20" t="s">
        <v>96</v>
      </c>
    </row>
    <row r="12" spans="1:20" x14ac:dyDescent="0.25">
      <c r="C12" s="9"/>
      <c r="D12" s="2"/>
      <c r="G12" s="14" t="s">
        <v>19</v>
      </c>
      <c r="H12" s="41">
        <f t="shared" si="1"/>
        <v>0</v>
      </c>
      <c r="I12" s="41">
        <f t="shared" si="2"/>
        <v>243997</v>
      </c>
      <c r="J12" s="41">
        <f t="shared" si="3"/>
        <v>243997</v>
      </c>
      <c r="K12" s="42">
        <f t="shared" si="0"/>
        <v>-0.805317278491129</v>
      </c>
      <c r="L12" s="4"/>
      <c r="N12" s="14" t="s">
        <v>19</v>
      </c>
      <c r="O12" s="15" t="s">
        <v>25</v>
      </c>
      <c r="P12" s="15" t="s">
        <v>50</v>
      </c>
      <c r="Q12" s="15" t="s">
        <v>51</v>
      </c>
      <c r="R12" s="15" t="s">
        <v>52</v>
      </c>
      <c r="S12" s="27"/>
      <c r="T12" s="20"/>
    </row>
    <row r="13" spans="1:20" ht="15.75" thickBot="1" x14ac:dyDescent="0.3">
      <c r="A13" s="3"/>
      <c r="B13" s="3"/>
      <c r="C13" s="11"/>
      <c r="D13" s="3"/>
      <c r="E13" s="10"/>
      <c r="F13" s="10"/>
      <c r="G13" s="64" t="s">
        <v>20</v>
      </c>
      <c r="H13" s="43">
        <f t="shared" si="1"/>
        <v>0</v>
      </c>
      <c r="I13" s="43">
        <f t="shared" si="2"/>
        <v>253485</v>
      </c>
      <c r="J13" s="43">
        <f t="shared" si="3"/>
        <v>253485</v>
      </c>
      <c r="K13" s="44">
        <f t="shared" si="0"/>
        <v>-0.7635718089827801</v>
      </c>
      <c r="L13" s="4"/>
      <c r="N13" s="14" t="s">
        <v>20</v>
      </c>
      <c r="O13" s="15" t="s">
        <v>13</v>
      </c>
      <c r="P13" s="15" t="s">
        <v>53</v>
      </c>
      <c r="Q13" s="15" t="s">
        <v>54</v>
      </c>
      <c r="R13" s="15" t="s">
        <v>55</v>
      </c>
      <c r="S13" s="27"/>
      <c r="T13" s="20"/>
    </row>
    <row r="14" spans="1:20" ht="15" customHeight="1" x14ac:dyDescent="0.25">
      <c r="A14" s="8" t="s">
        <v>77</v>
      </c>
      <c r="G14" s="16"/>
      <c r="H14" s="62"/>
      <c r="I14" s="62"/>
      <c r="J14" s="62"/>
      <c r="K14" s="60"/>
      <c r="L14" s="4"/>
      <c r="M14" s="30" t="s">
        <v>14</v>
      </c>
      <c r="N14" s="30"/>
      <c r="O14" s="30"/>
      <c r="P14" s="30"/>
      <c r="Q14" s="30"/>
      <c r="R14" s="30"/>
      <c r="S14" s="27"/>
      <c r="T14" s="21"/>
    </row>
    <row r="15" spans="1:20" ht="15.75" customHeight="1" x14ac:dyDescent="0.25">
      <c r="A15" s="7" t="s">
        <v>78</v>
      </c>
      <c r="G15" s="16"/>
      <c r="H15" s="62"/>
      <c r="I15" s="62"/>
      <c r="J15" s="62"/>
      <c r="K15" s="60"/>
      <c r="L15" s="4"/>
      <c r="M15" s="74" t="s">
        <v>18</v>
      </c>
      <c r="N15" s="74"/>
      <c r="O15" s="74"/>
      <c r="P15" s="74"/>
      <c r="Q15" s="74"/>
      <c r="R15" s="74"/>
      <c r="S15" s="27"/>
      <c r="T15" s="20"/>
    </row>
    <row r="16" spans="1:20" x14ac:dyDescent="0.25">
      <c r="L16" s="4"/>
      <c r="M16" s="31"/>
      <c r="S16" s="27"/>
      <c r="T16" s="21"/>
    </row>
    <row r="17" spans="1:20" x14ac:dyDescent="0.25">
      <c r="L17" s="4"/>
      <c r="M17" s="31"/>
      <c r="N17" s="17"/>
      <c r="O17" s="27"/>
      <c r="P17" s="27"/>
      <c r="Q17" s="27"/>
      <c r="R17" s="27"/>
      <c r="S17" s="27"/>
      <c r="T17" s="24"/>
    </row>
    <row r="18" spans="1:20" x14ac:dyDescent="0.25">
      <c r="B18" s="18"/>
      <c r="C18" s="12"/>
      <c r="D18" s="4"/>
      <c r="E18" s="4"/>
      <c r="F18" s="12"/>
      <c r="G18" s="4"/>
      <c r="H18" s="4"/>
      <c r="I18" s="4"/>
      <c r="J18" s="4"/>
      <c r="K18" s="4"/>
      <c r="L18" s="4"/>
      <c r="M18" s="26"/>
      <c r="N18" s="17"/>
      <c r="O18" s="27"/>
      <c r="P18" s="27"/>
      <c r="Q18" s="27"/>
      <c r="R18" s="27"/>
      <c r="S18" s="27"/>
      <c r="T18" s="20"/>
    </row>
    <row r="19" spans="1:20" x14ac:dyDescent="0.25">
      <c r="A19" s="18"/>
      <c r="B19" s="18"/>
      <c r="C19" s="12"/>
      <c r="D19" s="4"/>
      <c r="E19" s="4"/>
      <c r="F19" s="12"/>
      <c r="G19" s="4"/>
      <c r="H19" s="4"/>
      <c r="I19" s="4"/>
      <c r="J19" s="4"/>
      <c r="K19" s="4"/>
      <c r="L19" s="4"/>
      <c r="M19" s="26"/>
      <c r="N19" s="17"/>
      <c r="O19" s="27"/>
      <c r="P19" s="27"/>
      <c r="Q19" s="27"/>
      <c r="R19" s="27"/>
      <c r="S19" s="27"/>
      <c r="T19" s="20"/>
    </row>
    <row r="20" spans="1:20" x14ac:dyDescent="0.25">
      <c r="A20" s="69" t="s">
        <v>100</v>
      </c>
      <c r="B20" s="70"/>
      <c r="C20" s="70"/>
      <c r="D20" s="70"/>
      <c r="E20" s="70"/>
      <c r="F20" s="70"/>
      <c r="G20" s="70"/>
      <c r="H20" s="70"/>
      <c r="I20" s="45"/>
      <c r="J20" s="45"/>
      <c r="K20" s="45"/>
      <c r="L20" s="4"/>
      <c r="M20" s="26"/>
      <c r="N20" s="17"/>
      <c r="O20" s="27"/>
      <c r="P20" s="27"/>
      <c r="Q20" s="27"/>
      <c r="R20" s="27"/>
      <c r="S20" s="27"/>
      <c r="T20" s="20"/>
    </row>
    <row r="21" spans="1:20" x14ac:dyDescent="0.25">
      <c r="A21" s="73" t="s">
        <v>56</v>
      </c>
      <c r="B21" s="73" t="s">
        <v>69</v>
      </c>
      <c r="C21" s="67" t="s">
        <v>79</v>
      </c>
      <c r="D21" s="67" t="s">
        <v>70</v>
      </c>
      <c r="E21" s="67" t="s">
        <v>80</v>
      </c>
      <c r="F21" s="67" t="s">
        <v>81</v>
      </c>
      <c r="G21" s="46"/>
      <c r="H21" s="47"/>
      <c r="I21" s="65" t="s">
        <v>72</v>
      </c>
      <c r="J21" s="67" t="s">
        <v>80</v>
      </c>
      <c r="K21" s="65" t="s">
        <v>73</v>
      </c>
      <c r="L21" s="4"/>
      <c r="M21" s="26"/>
      <c r="N21" s="17"/>
      <c r="O21" s="27"/>
      <c r="P21" s="27"/>
      <c r="Q21" s="27"/>
      <c r="R21" s="27"/>
      <c r="S21" s="27"/>
      <c r="T21" s="20"/>
    </row>
    <row r="22" spans="1:20" x14ac:dyDescent="0.25">
      <c r="A22" s="73"/>
      <c r="B22" s="73"/>
      <c r="C22" s="67"/>
      <c r="D22" s="67"/>
      <c r="E22" s="67"/>
      <c r="F22" s="67"/>
      <c r="G22" s="46"/>
      <c r="H22" s="47"/>
      <c r="I22" s="65"/>
      <c r="J22" s="67"/>
      <c r="K22" s="65"/>
      <c r="L22" s="4"/>
      <c r="M22" s="26"/>
      <c r="N22" s="17"/>
      <c r="O22" s="27"/>
      <c r="P22" s="27"/>
      <c r="Q22" s="27"/>
      <c r="R22" s="27"/>
      <c r="S22" s="27"/>
      <c r="T22" s="20"/>
    </row>
    <row r="23" spans="1:20" ht="15.75" thickBot="1" x14ac:dyDescent="0.3">
      <c r="A23" s="48" t="s">
        <v>16</v>
      </c>
      <c r="B23" s="68"/>
      <c r="C23" s="68"/>
      <c r="D23" s="68"/>
      <c r="E23" s="68"/>
      <c r="F23" s="68"/>
      <c r="G23" s="49"/>
      <c r="H23" s="48"/>
      <c r="I23" s="66"/>
      <c r="J23" s="68"/>
      <c r="K23" s="66"/>
      <c r="L23" s="4"/>
      <c r="M23" s="26"/>
      <c r="N23" s="17"/>
      <c r="O23" s="27"/>
      <c r="P23" s="27"/>
      <c r="Q23" s="27"/>
      <c r="R23" s="27"/>
      <c r="S23" s="27"/>
      <c r="T23" s="20"/>
    </row>
    <row r="24" spans="1:20" x14ac:dyDescent="0.25">
      <c r="A24" s="39">
        <f>A5</f>
        <v>0</v>
      </c>
      <c r="B24" s="40">
        <f>B5</f>
        <v>0</v>
      </c>
      <c r="C24" s="50" t="str">
        <f>IF(A24=0, "N/A",100%+(B24/2))</f>
        <v>N/A</v>
      </c>
      <c r="D24" s="51" t="str">
        <f>IF(B24=0, "N/A",+A24/C24)</f>
        <v>N/A</v>
      </c>
      <c r="E24" s="51" t="str">
        <f>IF(B24=0, "N/A",+D24*B24)</f>
        <v>N/A</v>
      </c>
      <c r="F24" s="51" t="str">
        <f>IF(B24=0, "N/A",+D24+E24)</f>
        <v>N/A</v>
      </c>
      <c r="G24" s="52" t="s">
        <v>1</v>
      </c>
      <c r="H24" s="13"/>
      <c r="I24" s="51" t="str">
        <f>IF($B$24=0, "N/A",+R5/$C$24)</f>
        <v>N/A</v>
      </c>
      <c r="J24" s="51" t="str">
        <f>IF($B$24=0, "N/A",+$B$24*I24)</f>
        <v>N/A</v>
      </c>
      <c r="K24" s="51" t="str">
        <f>IF($B$24=0, "N/A",+I24+J24)</f>
        <v>N/A</v>
      </c>
      <c r="L24" s="4"/>
      <c r="M24" s="17"/>
      <c r="N24" s="17"/>
      <c r="O24" s="27"/>
      <c r="P24" s="27"/>
      <c r="Q24" s="27"/>
      <c r="R24" s="27"/>
      <c r="S24" s="27"/>
      <c r="T24" s="80"/>
    </row>
    <row r="25" spans="1:20" x14ac:dyDescent="0.25">
      <c r="A25" s="13"/>
      <c r="B25" s="13"/>
      <c r="C25" s="53"/>
      <c r="D25" s="54"/>
      <c r="E25" s="13"/>
      <c r="G25" s="52" t="s">
        <v>2</v>
      </c>
      <c r="H25" s="14" t="s">
        <v>11</v>
      </c>
      <c r="I25" s="51" t="str">
        <f t="shared" ref="I25:I32" si="4">IF($B$24=0, "N/A",+R6/$C$24)</f>
        <v>N/A</v>
      </c>
      <c r="J25" s="51" t="str">
        <f t="shared" ref="J25:J32" si="5">IF($B$24=0, "N/A",+$B$24*I25)</f>
        <v>N/A</v>
      </c>
      <c r="K25" s="51" t="str">
        <f t="shared" ref="K25:K32" si="6">IF($B$24=0, "N/A",+I25+J25)</f>
        <v>N/A</v>
      </c>
      <c r="L25" s="4"/>
      <c r="M25" s="26"/>
      <c r="N25" s="17"/>
      <c r="O25" s="27"/>
      <c r="P25" s="27"/>
      <c r="Q25" s="27"/>
      <c r="R25" s="27"/>
      <c r="S25" s="27"/>
      <c r="T25" s="20"/>
    </row>
    <row r="26" spans="1:20" x14ac:dyDescent="0.25">
      <c r="A26" s="13"/>
      <c r="B26" s="13"/>
      <c r="C26" s="53"/>
      <c r="D26" s="54"/>
      <c r="E26" s="13"/>
      <c r="G26" s="13"/>
      <c r="H26" s="14" t="s">
        <v>5</v>
      </c>
      <c r="I26" s="51" t="str">
        <f t="shared" si="4"/>
        <v>N/A</v>
      </c>
      <c r="J26" s="51" t="str">
        <f t="shared" si="5"/>
        <v>N/A</v>
      </c>
      <c r="K26" s="51" t="str">
        <f t="shared" si="6"/>
        <v>N/A</v>
      </c>
      <c r="L26" s="4"/>
      <c r="M26" s="26"/>
      <c r="N26" s="17"/>
      <c r="O26" s="27"/>
      <c r="P26" s="27"/>
      <c r="Q26" s="27"/>
      <c r="R26" s="27"/>
      <c r="S26" s="27"/>
      <c r="T26" s="20"/>
    </row>
    <row r="27" spans="1:20" x14ac:dyDescent="0.25">
      <c r="A27" s="13"/>
      <c r="B27" s="13"/>
      <c r="C27" s="53"/>
      <c r="D27" s="54"/>
      <c r="E27" s="13"/>
      <c r="G27" s="13"/>
      <c r="H27" s="14" t="s">
        <v>6</v>
      </c>
      <c r="I27" s="51" t="str">
        <f t="shared" si="4"/>
        <v>N/A</v>
      </c>
      <c r="J27" s="51" t="str">
        <f t="shared" si="5"/>
        <v>N/A</v>
      </c>
      <c r="K27" s="51" t="str">
        <f t="shared" si="6"/>
        <v>N/A</v>
      </c>
      <c r="L27" s="4"/>
      <c r="M27" s="26"/>
      <c r="N27" s="17"/>
      <c r="O27" s="27"/>
      <c r="P27" s="27"/>
      <c r="Q27" s="27"/>
      <c r="R27" s="27"/>
      <c r="S27" s="27"/>
      <c r="T27" s="20"/>
    </row>
    <row r="28" spans="1:20" x14ac:dyDescent="0.25">
      <c r="A28" s="13"/>
      <c r="B28" s="13"/>
      <c r="C28" s="53"/>
      <c r="D28" s="54"/>
      <c r="E28" s="13"/>
      <c r="G28" s="13"/>
      <c r="H28" s="14" t="s">
        <v>7</v>
      </c>
      <c r="I28" s="51" t="str">
        <f t="shared" si="4"/>
        <v>N/A</v>
      </c>
      <c r="J28" s="51" t="str">
        <f t="shared" si="5"/>
        <v>N/A</v>
      </c>
      <c r="K28" s="51" t="str">
        <f t="shared" si="6"/>
        <v>N/A</v>
      </c>
      <c r="L28" s="4"/>
      <c r="M28" s="26"/>
      <c r="N28" s="17"/>
      <c r="O28" s="27"/>
      <c r="P28" s="27"/>
      <c r="Q28" s="27"/>
      <c r="R28" s="27"/>
      <c r="S28" s="27"/>
      <c r="T28" s="20"/>
    </row>
    <row r="29" spans="1:20" x14ac:dyDescent="0.25">
      <c r="A29" s="13"/>
      <c r="B29" s="13"/>
      <c r="C29" s="53"/>
      <c r="D29" s="54"/>
      <c r="E29" s="13"/>
      <c r="G29" s="13"/>
      <c r="H29" s="14" t="s">
        <v>9</v>
      </c>
      <c r="I29" s="51" t="str">
        <f t="shared" si="4"/>
        <v>N/A</v>
      </c>
      <c r="J29" s="51" t="str">
        <f t="shared" si="5"/>
        <v>N/A</v>
      </c>
      <c r="K29" s="51" t="str">
        <f t="shared" si="6"/>
        <v>N/A</v>
      </c>
      <c r="L29" s="4"/>
      <c r="M29" s="26"/>
      <c r="N29" s="17"/>
      <c r="O29" s="27"/>
      <c r="P29" s="27"/>
      <c r="Q29" s="27"/>
      <c r="R29" s="27"/>
      <c r="S29" s="27"/>
      <c r="T29" s="20"/>
    </row>
    <row r="30" spans="1:20" x14ac:dyDescent="0.25">
      <c r="A30" s="13"/>
      <c r="B30" s="13"/>
      <c r="C30" s="53"/>
      <c r="D30" s="54"/>
      <c r="E30" s="13"/>
      <c r="G30" s="13"/>
      <c r="H30" s="14" t="s">
        <v>10</v>
      </c>
      <c r="I30" s="51" t="str">
        <f t="shared" si="4"/>
        <v>N/A</v>
      </c>
      <c r="J30" s="51" t="str">
        <f t="shared" si="5"/>
        <v>N/A</v>
      </c>
      <c r="K30" s="51" t="str">
        <f t="shared" si="6"/>
        <v>N/A</v>
      </c>
      <c r="L30" s="4"/>
      <c r="M30" s="17"/>
      <c r="N30" s="17"/>
      <c r="O30" s="27"/>
      <c r="P30" s="27"/>
      <c r="Q30" s="27"/>
      <c r="R30" s="27"/>
      <c r="S30" s="27"/>
      <c r="T30" s="21"/>
    </row>
    <row r="31" spans="1:20" x14ac:dyDescent="0.25">
      <c r="A31" s="13"/>
      <c r="B31" s="13"/>
      <c r="C31" s="53"/>
      <c r="D31" s="54"/>
      <c r="E31" s="13"/>
      <c r="G31" s="13"/>
      <c r="H31" s="14" t="s">
        <v>19</v>
      </c>
      <c r="I31" s="51" t="str">
        <f t="shared" si="4"/>
        <v>N/A</v>
      </c>
      <c r="J31" s="51" t="str">
        <f t="shared" si="5"/>
        <v>N/A</v>
      </c>
      <c r="K31" s="51" t="str">
        <f t="shared" si="6"/>
        <v>N/A</v>
      </c>
      <c r="L31" s="4"/>
      <c r="M31" s="26"/>
      <c r="N31" s="17"/>
      <c r="O31" s="27"/>
      <c r="P31" s="27"/>
      <c r="Q31" s="27"/>
      <c r="R31" s="27"/>
      <c r="S31" s="27"/>
      <c r="T31" s="20"/>
    </row>
    <row r="32" spans="1:20" ht="15.75" thickBot="1" x14ac:dyDescent="0.3">
      <c r="A32" s="55"/>
      <c r="B32" s="55"/>
      <c r="C32" s="56"/>
      <c r="D32" s="55"/>
      <c r="E32" s="49"/>
      <c r="F32" s="10"/>
      <c r="G32" s="49"/>
      <c r="H32" s="64" t="s">
        <v>20</v>
      </c>
      <c r="I32" s="57" t="str">
        <f t="shared" si="4"/>
        <v>N/A</v>
      </c>
      <c r="J32" s="57" t="str">
        <f t="shared" si="5"/>
        <v>N/A</v>
      </c>
      <c r="K32" s="57" t="str">
        <f t="shared" si="6"/>
        <v>N/A</v>
      </c>
      <c r="L32" s="4"/>
      <c r="M32" s="26"/>
      <c r="N32" s="17"/>
      <c r="O32" s="27"/>
      <c r="P32" s="27"/>
      <c r="Q32" s="27"/>
      <c r="R32" s="27"/>
      <c r="S32" s="27"/>
      <c r="T32" s="20"/>
    </row>
    <row r="33" spans="1:20" x14ac:dyDescent="0.25">
      <c r="A33" s="52" t="s">
        <v>82</v>
      </c>
      <c r="B33" s="13"/>
      <c r="C33" s="53"/>
      <c r="D33" s="54"/>
      <c r="E33" s="13"/>
      <c r="G33" s="13"/>
      <c r="H33" s="63"/>
      <c r="I33" s="61"/>
      <c r="J33" s="61"/>
      <c r="K33" s="61"/>
      <c r="L33" s="4"/>
      <c r="M33" s="26"/>
      <c r="N33" s="17"/>
      <c r="O33" s="27"/>
      <c r="P33" s="27"/>
      <c r="Q33" s="27"/>
      <c r="R33" s="27"/>
      <c r="S33" s="27"/>
      <c r="T33" s="24"/>
    </row>
    <row r="34" spans="1:20" x14ac:dyDescent="0.25">
      <c r="A34" s="7" t="s">
        <v>83</v>
      </c>
      <c r="H34" s="63"/>
      <c r="I34" s="61"/>
      <c r="J34" s="61"/>
      <c r="K34" s="61"/>
      <c r="L34" s="4"/>
      <c r="M34" s="26"/>
      <c r="N34" s="17"/>
      <c r="O34" s="27"/>
      <c r="P34" s="27"/>
      <c r="Q34" s="27"/>
      <c r="R34" s="27"/>
      <c r="S34" s="27"/>
      <c r="T34" s="20"/>
    </row>
    <row r="35" spans="1:20" x14ac:dyDescent="0.25">
      <c r="A35" s="13" t="s">
        <v>84</v>
      </c>
      <c r="B35" s="13"/>
      <c r="C35" s="13"/>
      <c r="D35" s="13"/>
      <c r="E35" s="13"/>
      <c r="F35" s="13"/>
      <c r="G35" s="13"/>
      <c r="H35" s="13"/>
      <c r="I35" s="13"/>
      <c r="J35" s="13"/>
      <c r="K35" s="13"/>
      <c r="L35" s="4"/>
      <c r="M35" s="26"/>
      <c r="N35" s="17"/>
      <c r="O35" s="27"/>
      <c r="P35" s="27"/>
      <c r="Q35" s="27"/>
      <c r="R35" s="27"/>
      <c r="S35" s="27"/>
      <c r="T35" s="24"/>
    </row>
    <row r="36" spans="1:20" ht="15" customHeight="1" x14ac:dyDescent="0.25">
      <c r="A36" s="18" t="s">
        <v>85</v>
      </c>
      <c r="B36" s="13"/>
      <c r="C36" s="13"/>
      <c r="D36" s="13"/>
      <c r="E36" s="13"/>
      <c r="F36" s="77"/>
      <c r="G36" s="77"/>
      <c r="H36" s="77"/>
      <c r="I36" s="77"/>
      <c r="J36" s="77"/>
      <c r="K36" s="77"/>
      <c r="L36" s="77"/>
      <c r="T36" s="21"/>
    </row>
    <row r="37" spans="1:20" ht="17.25" customHeight="1" x14ac:dyDescent="0.25">
      <c r="B37" s="18"/>
      <c r="C37" s="12"/>
      <c r="D37" s="4"/>
      <c r="E37" s="4"/>
      <c r="F37" s="12"/>
      <c r="G37" s="4"/>
      <c r="H37" s="4"/>
      <c r="I37" s="4"/>
      <c r="J37" s="4"/>
      <c r="K37" s="4"/>
      <c r="L37" s="65"/>
      <c r="M37" s="7"/>
      <c r="N37" s="7"/>
      <c r="O37" s="7"/>
      <c r="P37" s="7"/>
      <c r="Q37" s="7"/>
      <c r="R37" s="7"/>
      <c r="T37" s="24"/>
    </row>
    <row r="38" spans="1:20" ht="17.25" customHeight="1" x14ac:dyDescent="0.25">
      <c r="B38" s="18"/>
      <c r="C38" s="12"/>
      <c r="D38" s="4"/>
      <c r="E38" s="4"/>
      <c r="F38" s="12"/>
      <c r="G38" s="4"/>
      <c r="H38" s="4"/>
      <c r="I38" s="4"/>
      <c r="J38" s="4"/>
      <c r="K38" s="4"/>
      <c r="L38" s="65"/>
      <c r="M38" s="7"/>
      <c r="N38" s="7"/>
      <c r="O38" s="7"/>
      <c r="P38" s="7"/>
      <c r="Q38" s="7"/>
      <c r="R38" s="7"/>
      <c r="T38" s="21"/>
    </row>
    <row r="39" spans="1:20" ht="15" customHeight="1" x14ac:dyDescent="0.25">
      <c r="A39" s="18"/>
      <c r="B39" s="16"/>
      <c r="C39" s="12"/>
      <c r="D39" s="4"/>
      <c r="E39" s="4"/>
      <c r="F39" s="12"/>
      <c r="G39" s="4"/>
      <c r="H39" s="4"/>
      <c r="I39" s="4"/>
      <c r="J39" s="4"/>
      <c r="K39" s="4"/>
      <c r="L39" s="28"/>
      <c r="M39" s="7"/>
      <c r="N39" s="7"/>
      <c r="O39" s="7"/>
      <c r="P39" s="7"/>
      <c r="Q39" s="7"/>
      <c r="R39" s="7"/>
      <c r="T39" s="24"/>
    </row>
    <row r="40" spans="1:20" ht="18" customHeight="1" x14ac:dyDescent="0.25">
      <c r="L40" s="33"/>
      <c r="M40" s="7"/>
      <c r="N40" s="7"/>
      <c r="O40" s="7"/>
      <c r="P40" s="7"/>
      <c r="Q40" s="7"/>
      <c r="R40" s="7"/>
      <c r="T40" s="25"/>
    </row>
    <row r="41" spans="1:20" ht="12.75" x14ac:dyDescent="0.2">
      <c r="A41" s="69" t="s">
        <v>101</v>
      </c>
      <c r="B41" s="70"/>
      <c r="C41" s="70"/>
      <c r="D41" s="70"/>
      <c r="E41" s="70"/>
      <c r="F41" s="70"/>
      <c r="G41" s="70"/>
      <c r="H41" s="70"/>
      <c r="L41" s="18"/>
      <c r="M41" s="7"/>
      <c r="N41" s="7"/>
      <c r="O41" s="7"/>
      <c r="P41" s="7"/>
      <c r="Q41" s="7"/>
      <c r="R41" s="7"/>
      <c r="S41" s="7"/>
      <c r="T41" s="25"/>
    </row>
    <row r="42" spans="1:20" ht="12.75" x14ac:dyDescent="0.2">
      <c r="A42" s="71" t="s">
        <v>86</v>
      </c>
      <c r="B42" s="71"/>
      <c r="C42" s="71" t="s">
        <v>87</v>
      </c>
      <c r="D42" s="72"/>
      <c r="F42" s="71" t="s">
        <v>88</v>
      </c>
      <c r="G42" s="72"/>
      <c r="L42" s="18"/>
      <c r="M42" s="7"/>
      <c r="N42" s="7"/>
      <c r="O42" s="7"/>
      <c r="P42" s="7"/>
      <c r="Q42" s="7"/>
      <c r="R42" s="7"/>
      <c r="S42" s="7"/>
      <c r="T42" s="25"/>
    </row>
    <row r="43" spans="1:20" ht="13.5" thickBot="1" x14ac:dyDescent="0.25">
      <c r="A43" s="48" t="s">
        <v>15</v>
      </c>
      <c r="B43" s="48" t="s">
        <v>17</v>
      </c>
      <c r="C43" s="48" t="s">
        <v>15</v>
      </c>
      <c r="D43" s="48" t="s">
        <v>17</v>
      </c>
      <c r="E43" s="48" t="s">
        <v>89</v>
      </c>
      <c r="F43" s="48" t="s">
        <v>15</v>
      </c>
      <c r="G43" s="48" t="s">
        <v>17</v>
      </c>
      <c r="H43" s="48" t="s">
        <v>89</v>
      </c>
      <c r="L43" s="18"/>
      <c r="M43" s="7"/>
      <c r="N43" s="7"/>
      <c r="O43" s="7"/>
      <c r="P43" s="7"/>
      <c r="Q43" s="7"/>
      <c r="R43" s="7"/>
      <c r="S43" s="7"/>
      <c r="T43" s="25"/>
    </row>
    <row r="44" spans="1:20" ht="13.5" thickBot="1" x14ac:dyDescent="0.25">
      <c r="A44" s="58"/>
      <c r="B44" s="58"/>
      <c r="C44" s="58"/>
      <c r="D44" s="58"/>
      <c r="E44" s="59" t="str">
        <f>IF(D44=0, "N/A",(D44-A44)/(D44-C44))</f>
        <v>N/A</v>
      </c>
      <c r="F44" s="58"/>
      <c r="G44" s="58"/>
      <c r="H44" s="59" t="str">
        <f>IF(G44=0, "N/A",(B44-F44)/(B44-A44))</f>
        <v>N/A</v>
      </c>
      <c r="L44" s="18"/>
      <c r="M44" s="7"/>
      <c r="N44" s="7"/>
      <c r="O44" s="7"/>
      <c r="P44" s="7"/>
      <c r="Q44" s="7"/>
      <c r="R44" s="7"/>
      <c r="S44" s="7"/>
      <c r="T44" s="25"/>
    </row>
    <row r="45" spans="1:20" ht="12.75" x14ac:dyDescent="0.2">
      <c r="A45" s="52" t="s">
        <v>90</v>
      </c>
      <c r="L45" s="18"/>
      <c r="M45" s="7"/>
      <c r="N45" s="7"/>
      <c r="O45" s="7"/>
      <c r="P45" s="7"/>
      <c r="Q45" s="7"/>
      <c r="R45" s="7"/>
      <c r="S45" s="7"/>
      <c r="T45" s="25"/>
    </row>
    <row r="46" spans="1:20" ht="12.75" x14ac:dyDescent="0.2">
      <c r="A46" s="52" t="s">
        <v>91</v>
      </c>
      <c r="L46" s="18"/>
      <c r="M46" s="7"/>
      <c r="N46" s="7"/>
      <c r="O46" s="7"/>
      <c r="P46" s="7"/>
      <c r="Q46" s="7"/>
      <c r="R46" s="7"/>
      <c r="S46" s="7"/>
      <c r="T46" s="25"/>
    </row>
    <row r="47" spans="1:20" ht="15" customHeight="1" x14ac:dyDescent="0.2">
      <c r="A47" s="52" t="s">
        <v>92</v>
      </c>
      <c r="L47" s="18"/>
      <c r="M47" s="7"/>
      <c r="N47" s="7"/>
      <c r="O47" s="7"/>
      <c r="P47" s="7"/>
      <c r="Q47" s="7"/>
      <c r="R47" s="7"/>
      <c r="S47" s="7"/>
      <c r="T47" s="25"/>
    </row>
    <row r="48" spans="1:20" ht="12.75" x14ac:dyDescent="0.2">
      <c r="L48" s="18"/>
      <c r="M48" s="7"/>
      <c r="N48" s="7"/>
      <c r="O48" s="7"/>
      <c r="P48" s="7"/>
      <c r="Q48" s="7"/>
      <c r="R48" s="7"/>
      <c r="S48" s="7"/>
      <c r="T48" s="25"/>
    </row>
    <row r="49" spans="12:19" ht="12.75" x14ac:dyDescent="0.2">
      <c r="L49" s="18"/>
      <c r="M49" s="7"/>
      <c r="N49" s="7"/>
      <c r="O49" s="7"/>
      <c r="P49" s="7"/>
      <c r="Q49" s="7"/>
      <c r="R49" s="7"/>
      <c r="S49" s="7"/>
    </row>
    <row r="50" spans="12:19" ht="18" customHeight="1" x14ac:dyDescent="0.2">
      <c r="L50" s="18"/>
      <c r="M50" s="7"/>
      <c r="N50" s="7"/>
      <c r="O50" s="7"/>
      <c r="P50" s="7"/>
      <c r="Q50" s="7"/>
      <c r="R50" s="7"/>
      <c r="S50" s="7"/>
    </row>
    <row r="51" spans="12:19" ht="12.75" x14ac:dyDescent="0.2">
      <c r="M51" s="7"/>
      <c r="N51" s="7"/>
      <c r="O51" s="7"/>
      <c r="P51" s="7"/>
      <c r="Q51" s="7"/>
      <c r="R51" s="7"/>
      <c r="S51" s="7"/>
    </row>
    <row r="55" spans="12:19" x14ac:dyDescent="0.25">
      <c r="L55" s="2"/>
      <c r="S55" s="7"/>
    </row>
    <row r="56" spans="12:19" x14ac:dyDescent="0.25">
      <c r="L56" s="2"/>
      <c r="S56" s="7"/>
    </row>
    <row r="57" spans="12:19" ht="12.75" x14ac:dyDescent="0.2">
      <c r="L57" s="2"/>
      <c r="M57" s="7"/>
      <c r="N57" s="7"/>
      <c r="O57" s="7"/>
      <c r="P57" s="7"/>
      <c r="Q57" s="7"/>
      <c r="R57" s="7"/>
      <c r="S57" s="7"/>
    </row>
    <row r="58" spans="12:19" ht="12.75" x14ac:dyDescent="0.2">
      <c r="L58" s="2"/>
      <c r="M58" s="7"/>
      <c r="N58" s="7"/>
      <c r="O58" s="7"/>
      <c r="P58" s="7"/>
      <c r="Q58" s="7"/>
      <c r="R58" s="7"/>
      <c r="S58" s="7"/>
    </row>
    <row r="59" spans="12:19" ht="12.75" x14ac:dyDescent="0.2">
      <c r="L59" s="2"/>
      <c r="M59" s="7"/>
      <c r="N59" s="7"/>
      <c r="O59" s="7"/>
      <c r="P59" s="7"/>
      <c r="Q59" s="7"/>
      <c r="R59" s="7"/>
      <c r="S59" s="7"/>
    </row>
    <row r="60" spans="12:19" ht="12.75" x14ac:dyDescent="0.2">
      <c r="L60" s="2"/>
      <c r="M60" s="7"/>
      <c r="N60" s="7"/>
      <c r="O60" s="7"/>
      <c r="P60" s="7"/>
      <c r="Q60" s="7"/>
      <c r="R60" s="7"/>
      <c r="S60" s="7"/>
    </row>
    <row r="61" spans="12:19" ht="12.75" x14ac:dyDescent="0.2">
      <c r="L61" s="2"/>
      <c r="M61" s="7"/>
      <c r="N61" s="7"/>
      <c r="O61" s="7"/>
      <c r="P61" s="7"/>
      <c r="Q61" s="7"/>
      <c r="R61" s="7"/>
      <c r="S61" s="7"/>
    </row>
    <row r="62" spans="12:19" ht="15" customHeight="1" x14ac:dyDescent="0.2">
      <c r="L62" s="2"/>
      <c r="M62" s="7"/>
      <c r="N62" s="7"/>
      <c r="O62" s="7"/>
      <c r="P62" s="7"/>
      <c r="Q62" s="7"/>
      <c r="R62" s="7"/>
      <c r="S62" s="7"/>
    </row>
    <row r="63" spans="12:19" ht="12.75" x14ac:dyDescent="0.2">
      <c r="L63" s="2"/>
      <c r="M63" s="7"/>
      <c r="N63" s="7"/>
      <c r="O63" s="7"/>
      <c r="P63" s="7"/>
      <c r="Q63" s="7"/>
      <c r="R63" s="7"/>
      <c r="S63" s="7"/>
    </row>
    <row r="64" spans="12:19" ht="12.75" x14ac:dyDescent="0.2">
      <c r="M64" s="7"/>
      <c r="N64" s="7"/>
      <c r="O64" s="7"/>
      <c r="P64" s="7"/>
      <c r="Q64" s="7"/>
      <c r="R64" s="7"/>
      <c r="S64" s="7"/>
    </row>
    <row r="65" spans="12:19" ht="12.75" x14ac:dyDescent="0.2">
      <c r="L65" s="2"/>
      <c r="M65" s="7"/>
      <c r="N65" s="7"/>
      <c r="O65" s="7"/>
      <c r="P65" s="7"/>
      <c r="Q65" s="7"/>
      <c r="R65" s="7"/>
      <c r="S65" s="7"/>
    </row>
    <row r="66" spans="12:19" ht="12.75" x14ac:dyDescent="0.2">
      <c r="L66" s="2"/>
      <c r="M66" s="7"/>
      <c r="N66" s="7"/>
      <c r="O66" s="7"/>
      <c r="P66" s="7"/>
      <c r="Q66" s="7"/>
      <c r="R66" s="7"/>
      <c r="S66" s="7"/>
    </row>
    <row r="67" spans="12:19" ht="12.75" x14ac:dyDescent="0.2">
      <c r="L67" s="2"/>
      <c r="M67" s="7"/>
      <c r="N67" s="7"/>
      <c r="O67" s="7"/>
      <c r="P67" s="7"/>
      <c r="Q67" s="7"/>
      <c r="R67" s="7"/>
      <c r="S67" s="7"/>
    </row>
    <row r="68" spans="12:19" ht="12.75" x14ac:dyDescent="0.2">
      <c r="L68" s="2"/>
      <c r="M68" s="7"/>
      <c r="N68" s="7"/>
      <c r="O68" s="7"/>
      <c r="P68" s="7"/>
      <c r="Q68" s="7"/>
      <c r="R68" s="7"/>
      <c r="S68" s="7"/>
    </row>
    <row r="69" spans="12:19" ht="12.75" x14ac:dyDescent="0.2">
      <c r="L69" s="2"/>
      <c r="M69" s="7"/>
      <c r="N69" s="7"/>
      <c r="O69" s="7"/>
      <c r="P69" s="7"/>
      <c r="Q69" s="7"/>
      <c r="R69" s="7"/>
      <c r="S69" s="7"/>
    </row>
    <row r="70" spans="12:19" ht="12.75" x14ac:dyDescent="0.2">
      <c r="L70" s="2"/>
      <c r="M70" s="7"/>
      <c r="N70" s="7"/>
      <c r="O70" s="7"/>
      <c r="P70" s="7"/>
      <c r="Q70" s="7"/>
      <c r="R70" s="7"/>
      <c r="S70" s="7"/>
    </row>
    <row r="71" spans="12:19" ht="12.75" x14ac:dyDescent="0.2">
      <c r="L71" s="2"/>
      <c r="M71" s="7"/>
      <c r="N71" s="7"/>
      <c r="O71" s="7"/>
      <c r="P71" s="7"/>
      <c r="Q71" s="7"/>
      <c r="R71" s="7"/>
      <c r="S71" s="7"/>
    </row>
    <row r="72" spans="12:19" ht="12.75" x14ac:dyDescent="0.2">
      <c r="L72" s="2"/>
      <c r="M72" s="7"/>
      <c r="N72" s="7"/>
      <c r="O72" s="7"/>
      <c r="P72" s="7"/>
      <c r="Q72" s="7"/>
      <c r="R72" s="7"/>
      <c r="S72" s="7"/>
    </row>
    <row r="73" spans="12:19" ht="12.75" x14ac:dyDescent="0.2">
      <c r="L73" s="2"/>
      <c r="M73" s="7"/>
      <c r="N73" s="7"/>
      <c r="O73" s="7"/>
      <c r="P73" s="7"/>
      <c r="Q73" s="7"/>
      <c r="R73" s="7"/>
      <c r="S73" s="7"/>
    </row>
    <row r="74" spans="12:19" ht="12.75" x14ac:dyDescent="0.2">
      <c r="L74" s="2"/>
      <c r="M74" s="7"/>
      <c r="N74" s="7"/>
      <c r="O74" s="7"/>
      <c r="P74" s="7"/>
      <c r="Q74" s="7"/>
      <c r="R74" s="7"/>
      <c r="S74" s="7"/>
    </row>
    <row r="75" spans="12:19" ht="12.75" x14ac:dyDescent="0.2">
      <c r="M75" s="7"/>
      <c r="N75" s="7"/>
      <c r="O75" s="7"/>
      <c r="P75" s="7"/>
      <c r="Q75" s="7"/>
      <c r="R75" s="7"/>
      <c r="S75" s="7"/>
    </row>
    <row r="76" spans="12:19" ht="12.75" x14ac:dyDescent="0.2">
      <c r="L76" s="2"/>
      <c r="M76" s="7"/>
      <c r="N76" s="7"/>
      <c r="O76" s="7"/>
      <c r="P76" s="7"/>
      <c r="Q76" s="7"/>
      <c r="R76" s="7"/>
      <c r="S76" s="7"/>
    </row>
    <row r="77" spans="12:19" ht="12.75" x14ac:dyDescent="0.2">
      <c r="L77" s="2"/>
      <c r="M77" s="7"/>
      <c r="N77" s="7"/>
      <c r="O77" s="7"/>
      <c r="P77" s="7"/>
      <c r="Q77" s="7"/>
      <c r="R77" s="7"/>
      <c r="S77" s="7"/>
    </row>
    <row r="78" spans="12:19" ht="12.75" x14ac:dyDescent="0.2">
      <c r="L78" s="2"/>
      <c r="M78" s="7"/>
      <c r="N78" s="7"/>
      <c r="O78" s="7"/>
      <c r="P78" s="7"/>
      <c r="Q78" s="7"/>
      <c r="R78" s="7"/>
      <c r="S78" s="7"/>
    </row>
    <row r="79" spans="12:19" ht="12.75" x14ac:dyDescent="0.2">
      <c r="L79" s="2"/>
      <c r="M79" s="7"/>
      <c r="N79" s="7"/>
      <c r="O79" s="7"/>
      <c r="P79" s="7"/>
      <c r="Q79" s="7"/>
      <c r="R79" s="7"/>
      <c r="S79" s="7"/>
    </row>
    <row r="80" spans="12:19" ht="12.75" x14ac:dyDescent="0.2">
      <c r="L80" s="2"/>
      <c r="M80" s="7"/>
      <c r="N80" s="7"/>
      <c r="O80" s="7"/>
      <c r="P80" s="7"/>
      <c r="Q80" s="7"/>
      <c r="R80" s="7"/>
      <c r="S80" s="7"/>
    </row>
    <row r="81" spans="12:19" ht="12.75" x14ac:dyDescent="0.2">
      <c r="L81" s="2"/>
      <c r="M81" s="7"/>
      <c r="N81" s="7"/>
      <c r="O81" s="7"/>
      <c r="P81" s="7"/>
      <c r="Q81" s="7"/>
      <c r="R81" s="7"/>
      <c r="S81" s="7"/>
    </row>
    <row r="82" spans="12:19" ht="12.75" x14ac:dyDescent="0.2">
      <c r="L82" s="2"/>
      <c r="M82" s="7"/>
      <c r="N82" s="7"/>
      <c r="O82" s="7"/>
      <c r="P82" s="7"/>
      <c r="Q82" s="7"/>
      <c r="R82" s="7"/>
      <c r="S82" s="7"/>
    </row>
    <row r="83" spans="12:19" ht="12.75" x14ac:dyDescent="0.2">
      <c r="L83" s="2"/>
      <c r="M83" s="7"/>
      <c r="N83" s="7"/>
      <c r="O83" s="7"/>
      <c r="P83" s="7"/>
      <c r="Q83" s="7"/>
      <c r="R83" s="7"/>
      <c r="S83" s="7"/>
    </row>
    <row r="84" spans="12:19" ht="12.75" x14ac:dyDescent="0.2">
      <c r="L84" s="2"/>
      <c r="M84" s="7"/>
      <c r="N84" s="7"/>
      <c r="O84" s="7"/>
      <c r="P84" s="7"/>
      <c r="Q84" s="7"/>
      <c r="R84" s="7"/>
      <c r="S84" s="7"/>
    </row>
    <row r="85" spans="12:19" ht="12.75" x14ac:dyDescent="0.2">
      <c r="L85" s="2"/>
      <c r="M85" s="7"/>
      <c r="N85" s="7"/>
      <c r="O85" s="7"/>
      <c r="P85" s="7"/>
      <c r="Q85" s="7"/>
      <c r="R85" s="7"/>
      <c r="S85" s="7"/>
    </row>
    <row r="86" spans="12:19" ht="12.75" x14ac:dyDescent="0.2">
      <c r="L86" s="2"/>
      <c r="M86" s="7"/>
      <c r="N86" s="7"/>
      <c r="O86" s="7"/>
      <c r="P86" s="7"/>
      <c r="Q86" s="7"/>
      <c r="R86" s="7"/>
      <c r="S86" s="7"/>
    </row>
    <row r="87" spans="12:19" ht="12.75" x14ac:dyDescent="0.2">
      <c r="M87" s="7"/>
      <c r="N87" s="7"/>
      <c r="O87" s="7"/>
      <c r="P87" s="7"/>
      <c r="Q87" s="7"/>
      <c r="R87" s="7"/>
      <c r="S87" s="7"/>
    </row>
    <row r="88" spans="12:19" ht="12.75" customHeight="1" x14ac:dyDescent="0.2">
      <c r="L88" s="2"/>
      <c r="M88" s="7"/>
      <c r="N88" s="7"/>
      <c r="O88" s="7"/>
      <c r="P88" s="7"/>
      <c r="Q88" s="7"/>
      <c r="R88" s="7"/>
      <c r="S88" s="7"/>
    </row>
    <row r="89" spans="12:19" ht="15" customHeight="1" x14ac:dyDescent="0.2">
      <c r="L89" s="2"/>
      <c r="M89" s="7"/>
      <c r="N89" s="7"/>
      <c r="O89" s="7"/>
      <c r="P89" s="7"/>
      <c r="Q89" s="7"/>
      <c r="R89" s="7"/>
      <c r="S89" s="7"/>
    </row>
    <row r="90" spans="12:19" ht="12.75" x14ac:dyDescent="0.2">
      <c r="L90" s="2"/>
      <c r="M90" s="7"/>
      <c r="N90" s="7"/>
      <c r="O90" s="7"/>
      <c r="P90" s="7"/>
      <c r="Q90" s="7"/>
      <c r="R90" s="7"/>
      <c r="S90" s="7"/>
    </row>
    <row r="91" spans="12:19" ht="12.75" x14ac:dyDescent="0.2">
      <c r="L91" s="2"/>
      <c r="M91" s="7"/>
      <c r="N91" s="7"/>
      <c r="O91" s="7"/>
      <c r="P91" s="7"/>
      <c r="Q91" s="7"/>
      <c r="R91" s="7"/>
      <c r="S91" s="7"/>
    </row>
    <row r="92" spans="12:19" ht="12.75" x14ac:dyDescent="0.2">
      <c r="L92" s="2"/>
      <c r="M92" s="7"/>
      <c r="N92" s="7"/>
      <c r="O92" s="7"/>
      <c r="P92" s="7"/>
      <c r="Q92" s="7"/>
      <c r="R92" s="7"/>
      <c r="S92" s="7"/>
    </row>
    <row r="93" spans="12:19" ht="12.75" x14ac:dyDescent="0.2">
      <c r="L93" s="2"/>
      <c r="M93" s="7"/>
      <c r="N93" s="7"/>
      <c r="O93" s="7"/>
      <c r="P93" s="7"/>
      <c r="Q93" s="7"/>
      <c r="R93" s="7"/>
      <c r="S93" s="7"/>
    </row>
    <row r="94" spans="12:19" ht="12.75" x14ac:dyDescent="0.2">
      <c r="L94" s="2"/>
      <c r="M94" s="7"/>
      <c r="N94" s="7"/>
      <c r="O94" s="7"/>
      <c r="P94" s="7"/>
      <c r="Q94" s="7"/>
      <c r="R94" s="7"/>
      <c r="S94" s="7"/>
    </row>
    <row r="95" spans="12:19" ht="12.75" x14ac:dyDescent="0.2">
      <c r="L95" s="2"/>
      <c r="M95" s="7"/>
      <c r="N95" s="7"/>
      <c r="O95" s="7"/>
      <c r="P95" s="7"/>
      <c r="Q95" s="7"/>
      <c r="R95" s="7"/>
      <c r="S95" s="7"/>
    </row>
    <row r="96" spans="12:19" ht="12.75" x14ac:dyDescent="0.2">
      <c r="L96" s="2"/>
      <c r="M96" s="7"/>
      <c r="N96" s="7"/>
      <c r="O96" s="7"/>
      <c r="P96" s="7"/>
      <c r="Q96" s="7"/>
      <c r="R96" s="7"/>
      <c r="S96" s="7"/>
    </row>
    <row r="97" spans="12:19" ht="12.75" x14ac:dyDescent="0.2">
      <c r="L97" s="2"/>
      <c r="M97" s="7"/>
      <c r="N97" s="7"/>
      <c r="O97" s="7"/>
      <c r="P97" s="7"/>
      <c r="Q97" s="7"/>
      <c r="R97" s="7"/>
      <c r="S97" s="7"/>
    </row>
    <row r="98" spans="12:19" ht="12.75" x14ac:dyDescent="0.2">
      <c r="M98" s="7"/>
      <c r="N98" s="7"/>
      <c r="O98" s="7"/>
      <c r="P98" s="7"/>
      <c r="Q98" s="7"/>
      <c r="R98" s="7"/>
      <c r="S98" s="7"/>
    </row>
    <row r="99" spans="12:19" ht="12.75" x14ac:dyDescent="0.2">
      <c r="L99" s="2"/>
      <c r="M99" s="7"/>
      <c r="N99" s="7"/>
      <c r="O99" s="7"/>
      <c r="P99" s="7"/>
      <c r="Q99" s="7"/>
      <c r="R99" s="7"/>
      <c r="S99" s="7"/>
    </row>
    <row r="100" spans="12:19" ht="12.75" x14ac:dyDescent="0.2">
      <c r="L100" s="2"/>
      <c r="M100" s="7"/>
      <c r="N100" s="7"/>
      <c r="O100" s="7"/>
      <c r="P100" s="7"/>
      <c r="Q100" s="7"/>
      <c r="R100" s="7"/>
      <c r="S100" s="7"/>
    </row>
    <row r="101" spans="12:19" ht="12.75" x14ac:dyDescent="0.2">
      <c r="L101" s="2"/>
      <c r="M101" s="7"/>
      <c r="N101" s="7"/>
      <c r="O101" s="7"/>
      <c r="P101" s="7"/>
      <c r="Q101" s="7"/>
      <c r="R101" s="7"/>
      <c r="S101" s="7"/>
    </row>
    <row r="102" spans="12:19" ht="12.75" x14ac:dyDescent="0.2">
      <c r="L102" s="2"/>
      <c r="M102" s="7"/>
      <c r="N102" s="7"/>
      <c r="O102" s="7"/>
      <c r="P102" s="7"/>
      <c r="Q102" s="7"/>
      <c r="R102" s="7"/>
      <c r="S102" s="7"/>
    </row>
    <row r="103" spans="12:19" ht="12.75" x14ac:dyDescent="0.2">
      <c r="L103" s="2"/>
      <c r="M103" s="7"/>
      <c r="N103" s="7"/>
      <c r="O103" s="7"/>
      <c r="P103" s="7"/>
      <c r="Q103" s="7"/>
      <c r="R103" s="7"/>
      <c r="S103" s="7"/>
    </row>
    <row r="104" spans="12:19" ht="12.75" x14ac:dyDescent="0.2">
      <c r="L104" s="2"/>
      <c r="M104" s="7"/>
      <c r="N104" s="7"/>
      <c r="O104" s="7"/>
      <c r="P104" s="7"/>
      <c r="Q104" s="7"/>
      <c r="R104" s="7"/>
      <c r="S104" s="7"/>
    </row>
    <row r="105" spans="12:19" ht="12.75" x14ac:dyDescent="0.2">
      <c r="L105" s="2"/>
      <c r="M105" s="7"/>
      <c r="N105" s="7"/>
      <c r="O105" s="7"/>
      <c r="P105" s="7"/>
      <c r="Q105" s="7"/>
      <c r="R105" s="7"/>
      <c r="S105" s="7"/>
    </row>
    <row r="106" spans="12:19" ht="12.75" x14ac:dyDescent="0.2">
      <c r="L106" s="2"/>
      <c r="M106" s="7"/>
      <c r="N106" s="7"/>
      <c r="O106" s="7"/>
      <c r="P106" s="7"/>
      <c r="Q106" s="7"/>
      <c r="R106" s="7"/>
      <c r="S106" s="7"/>
    </row>
    <row r="107" spans="12:19" ht="12.75" x14ac:dyDescent="0.2">
      <c r="L107" s="2"/>
      <c r="M107" s="7"/>
      <c r="N107" s="7"/>
      <c r="O107" s="7"/>
      <c r="P107" s="7"/>
      <c r="Q107" s="7"/>
      <c r="R107" s="7"/>
      <c r="S107" s="7"/>
    </row>
    <row r="108" spans="12:19" ht="12.75" x14ac:dyDescent="0.2">
      <c r="L108" s="2"/>
      <c r="M108" s="7"/>
      <c r="N108" s="7"/>
      <c r="O108" s="7"/>
      <c r="P108" s="7"/>
      <c r="Q108" s="7"/>
      <c r="R108" s="7"/>
      <c r="S108" s="7"/>
    </row>
    <row r="109" spans="12:19" ht="12.75" x14ac:dyDescent="0.2">
      <c r="M109" s="7"/>
      <c r="N109" s="7"/>
      <c r="O109" s="7"/>
      <c r="P109" s="7"/>
      <c r="Q109" s="7"/>
      <c r="R109" s="7"/>
      <c r="S109" s="7"/>
    </row>
    <row r="110" spans="12:19" ht="12.75" x14ac:dyDescent="0.2">
      <c r="L110" s="2"/>
      <c r="M110" s="7"/>
      <c r="N110" s="7"/>
      <c r="O110" s="7"/>
      <c r="P110" s="7"/>
      <c r="Q110" s="7"/>
      <c r="R110" s="7"/>
      <c r="S110" s="7"/>
    </row>
    <row r="111" spans="12:19" ht="12.75" x14ac:dyDescent="0.2">
      <c r="L111" s="2"/>
      <c r="M111" s="7"/>
      <c r="N111" s="7"/>
      <c r="O111" s="7"/>
      <c r="P111" s="7"/>
      <c r="Q111" s="7"/>
      <c r="R111" s="7"/>
      <c r="S111" s="7"/>
    </row>
    <row r="112" spans="12:19" ht="12.75" x14ac:dyDescent="0.2">
      <c r="L112" s="2"/>
      <c r="M112" s="7"/>
      <c r="N112" s="7"/>
      <c r="O112" s="7"/>
      <c r="P112" s="7"/>
      <c r="Q112" s="7"/>
      <c r="R112" s="7"/>
      <c r="S112" s="7"/>
    </row>
    <row r="113" spans="12:19" ht="12.75" x14ac:dyDescent="0.2">
      <c r="L113" s="2"/>
      <c r="M113" s="7"/>
      <c r="N113" s="7"/>
      <c r="O113" s="7"/>
      <c r="P113" s="7"/>
      <c r="Q113" s="7"/>
      <c r="R113" s="7"/>
      <c r="S113" s="7"/>
    </row>
    <row r="114" spans="12:19" ht="12.75" x14ac:dyDescent="0.2">
      <c r="L114" s="2"/>
      <c r="M114" s="7"/>
      <c r="N114" s="7"/>
      <c r="O114" s="7"/>
      <c r="P114" s="7"/>
      <c r="Q114" s="7"/>
      <c r="R114" s="7"/>
      <c r="S114" s="7"/>
    </row>
    <row r="115" spans="12:19" ht="12.75" x14ac:dyDescent="0.2">
      <c r="L115" s="2"/>
      <c r="M115" s="7"/>
      <c r="N115" s="7"/>
      <c r="O115" s="7"/>
      <c r="P115" s="7"/>
      <c r="Q115" s="7"/>
      <c r="R115" s="7"/>
      <c r="S115" s="7"/>
    </row>
    <row r="116" spans="12:19" ht="12.75" x14ac:dyDescent="0.2">
      <c r="L116" s="2"/>
      <c r="M116" s="7"/>
      <c r="N116" s="7"/>
      <c r="O116" s="7"/>
      <c r="P116" s="7"/>
      <c r="Q116" s="7"/>
      <c r="R116" s="7"/>
      <c r="S116" s="7"/>
    </row>
    <row r="117" spans="12:19" ht="12.75" x14ac:dyDescent="0.2">
      <c r="L117" s="2"/>
      <c r="M117" s="7"/>
      <c r="N117" s="7"/>
      <c r="O117" s="7"/>
      <c r="P117" s="7"/>
      <c r="Q117" s="7"/>
      <c r="R117" s="7"/>
      <c r="S117" s="7"/>
    </row>
    <row r="118" spans="12:19" ht="12.75" x14ac:dyDescent="0.2">
      <c r="L118" s="2"/>
      <c r="M118" s="7"/>
      <c r="N118" s="7"/>
      <c r="O118" s="7"/>
      <c r="P118" s="7"/>
      <c r="Q118" s="7"/>
      <c r="R118" s="7"/>
      <c r="S118" s="7"/>
    </row>
    <row r="119" spans="12:19" ht="12.75" x14ac:dyDescent="0.2">
      <c r="L119" s="2"/>
      <c r="M119" s="7"/>
      <c r="N119" s="7"/>
      <c r="O119" s="7"/>
      <c r="P119" s="7"/>
      <c r="Q119" s="7"/>
      <c r="R119" s="7"/>
      <c r="S119" s="7"/>
    </row>
    <row r="120" spans="12:19" ht="12.75" x14ac:dyDescent="0.2">
      <c r="M120" s="7"/>
      <c r="N120" s="7"/>
      <c r="O120" s="7"/>
      <c r="P120" s="7"/>
      <c r="Q120" s="7"/>
      <c r="R120" s="7"/>
      <c r="S120" s="7"/>
    </row>
    <row r="121" spans="12:19" ht="12.75" x14ac:dyDescent="0.2">
      <c r="L121" s="2"/>
      <c r="M121" s="7"/>
      <c r="N121" s="7"/>
      <c r="O121" s="7"/>
      <c r="P121" s="7"/>
      <c r="Q121" s="7"/>
      <c r="R121" s="7"/>
      <c r="S121" s="7"/>
    </row>
    <row r="122" spans="12:19" ht="12.75" x14ac:dyDescent="0.2">
      <c r="L122" s="2"/>
      <c r="M122" s="7"/>
      <c r="N122" s="7"/>
      <c r="O122" s="7"/>
      <c r="P122" s="7"/>
      <c r="Q122" s="7"/>
      <c r="R122" s="7"/>
      <c r="S122" s="7"/>
    </row>
    <row r="123" spans="12:19" ht="12.75" x14ac:dyDescent="0.2">
      <c r="L123" s="2"/>
      <c r="M123" s="7"/>
      <c r="N123" s="7"/>
      <c r="O123" s="7"/>
      <c r="P123" s="7"/>
      <c r="Q123" s="7"/>
      <c r="R123" s="7"/>
      <c r="S123" s="7"/>
    </row>
    <row r="124" spans="12:19" ht="12.75" x14ac:dyDescent="0.2">
      <c r="L124" s="2"/>
      <c r="M124" s="7"/>
      <c r="N124" s="7"/>
      <c r="O124" s="7"/>
      <c r="P124" s="7"/>
      <c r="Q124" s="7"/>
      <c r="R124" s="7"/>
      <c r="S124" s="7"/>
    </row>
    <row r="125" spans="12:19" ht="12.75" x14ac:dyDescent="0.2">
      <c r="L125" s="2"/>
      <c r="M125" s="7"/>
      <c r="N125" s="7"/>
      <c r="O125" s="7"/>
      <c r="P125" s="7"/>
      <c r="Q125" s="7"/>
      <c r="R125" s="7"/>
      <c r="S125" s="7"/>
    </row>
    <row r="126" spans="12:19" ht="12.75" x14ac:dyDescent="0.2">
      <c r="L126" s="2"/>
      <c r="M126" s="7"/>
      <c r="N126" s="7"/>
      <c r="O126" s="7"/>
      <c r="P126" s="7"/>
      <c r="Q126" s="7"/>
      <c r="R126" s="7"/>
      <c r="S126" s="7"/>
    </row>
    <row r="127" spans="12:19" ht="12.75" x14ac:dyDescent="0.2">
      <c r="L127" s="2"/>
      <c r="M127" s="7"/>
      <c r="N127" s="7"/>
      <c r="O127" s="7"/>
      <c r="P127" s="7"/>
      <c r="Q127" s="7"/>
      <c r="R127" s="7"/>
      <c r="S127" s="7"/>
    </row>
    <row r="128" spans="12:19" ht="12.75" x14ac:dyDescent="0.2">
      <c r="L128" s="2"/>
      <c r="M128" s="7"/>
      <c r="N128" s="7"/>
      <c r="O128" s="7"/>
      <c r="P128" s="7"/>
      <c r="Q128" s="7"/>
      <c r="R128" s="7"/>
      <c r="S128" s="7"/>
    </row>
    <row r="129" spans="12:19" ht="12.75" x14ac:dyDescent="0.2">
      <c r="L129" s="2"/>
      <c r="M129" s="7"/>
      <c r="N129" s="7"/>
      <c r="O129" s="7"/>
      <c r="P129" s="7"/>
      <c r="Q129" s="7"/>
      <c r="R129" s="7"/>
      <c r="S129" s="7"/>
    </row>
    <row r="130" spans="12:19" ht="12.75" x14ac:dyDescent="0.2">
      <c r="L130" s="4"/>
      <c r="M130" s="7"/>
      <c r="N130" s="7"/>
      <c r="O130" s="7"/>
      <c r="P130" s="7"/>
      <c r="Q130" s="7"/>
      <c r="R130" s="7"/>
      <c r="S130" s="7"/>
    </row>
    <row r="131" spans="12:19" ht="12.75" x14ac:dyDescent="0.2">
      <c r="M131" s="7"/>
      <c r="N131" s="7"/>
      <c r="O131" s="7"/>
      <c r="P131" s="7"/>
      <c r="Q131" s="7"/>
      <c r="R131" s="7"/>
      <c r="S131" s="7"/>
    </row>
    <row r="132" spans="12:19" ht="12.75" x14ac:dyDescent="0.2">
      <c r="M132" s="7"/>
      <c r="N132" s="7"/>
      <c r="O132" s="7"/>
      <c r="P132" s="7"/>
      <c r="Q132" s="7"/>
      <c r="R132" s="7"/>
      <c r="S132" s="7"/>
    </row>
    <row r="137" spans="12:19" ht="15" customHeight="1" x14ac:dyDescent="0.2">
      <c r="M137" s="7"/>
      <c r="N137" s="7"/>
      <c r="O137" s="7"/>
      <c r="P137" s="7"/>
      <c r="Q137" s="7"/>
      <c r="R137" s="7"/>
      <c r="S137" s="7"/>
    </row>
    <row r="138" spans="12:19" ht="13.5" customHeight="1" x14ac:dyDescent="0.2">
      <c r="M138" s="7"/>
      <c r="N138" s="7"/>
      <c r="O138" s="7"/>
      <c r="P138" s="7"/>
      <c r="Q138" s="7"/>
      <c r="R138" s="7"/>
      <c r="S138" s="7"/>
    </row>
    <row r="139" spans="12:19" ht="18" customHeight="1" x14ac:dyDescent="0.2">
      <c r="M139" s="7"/>
      <c r="N139" s="7"/>
      <c r="O139" s="7"/>
      <c r="P139" s="7"/>
      <c r="Q139" s="7"/>
      <c r="R139" s="7"/>
      <c r="S139" s="7"/>
    </row>
    <row r="157" spans="13:19" ht="18" customHeight="1" x14ac:dyDescent="0.2">
      <c r="M157" s="7"/>
      <c r="N157" s="7"/>
      <c r="O157" s="7"/>
      <c r="P157" s="7"/>
      <c r="Q157" s="7"/>
      <c r="R157" s="7"/>
      <c r="S157" s="7"/>
    </row>
    <row r="158" spans="13:19" ht="18" customHeight="1" x14ac:dyDescent="0.2">
      <c r="M158" s="7"/>
      <c r="N158" s="7"/>
      <c r="O158" s="7"/>
      <c r="P158" s="7"/>
      <c r="Q158" s="7"/>
      <c r="R158" s="7"/>
      <c r="S158" s="7"/>
    </row>
    <row r="171" spans="13:19" ht="12.75" customHeight="1" x14ac:dyDescent="0.2">
      <c r="M171" s="7"/>
      <c r="N171" s="7"/>
      <c r="O171" s="7"/>
      <c r="P171" s="7"/>
      <c r="Q171" s="7"/>
      <c r="R171" s="7"/>
      <c r="S171" s="7"/>
    </row>
  </sheetData>
  <sheetProtection password="D047" sheet="1" objects="1" scenarios="1"/>
  <mergeCells count="27">
    <mergeCell ref="A20:H20"/>
    <mergeCell ref="J2:J4"/>
    <mergeCell ref="M2:R2"/>
    <mergeCell ref="A1:H1"/>
    <mergeCell ref="A2:A3"/>
    <mergeCell ref="B2:B4"/>
    <mergeCell ref="D2:D4"/>
    <mergeCell ref="E2:E4"/>
    <mergeCell ref="M3:R3"/>
    <mergeCell ref="L37:L38"/>
    <mergeCell ref="M15:R15"/>
    <mergeCell ref="I21:I23"/>
    <mergeCell ref="J21:J23"/>
    <mergeCell ref="K21:K23"/>
    <mergeCell ref="I2:I4"/>
    <mergeCell ref="K2:K4"/>
    <mergeCell ref="A41:H41"/>
    <mergeCell ref="A42:B42"/>
    <mergeCell ref="C42:D42"/>
    <mergeCell ref="F42:G42"/>
    <mergeCell ref="B21:B23"/>
    <mergeCell ref="C21:C23"/>
    <mergeCell ref="D21:D23"/>
    <mergeCell ref="E21:E23"/>
    <mergeCell ref="F21:F23"/>
    <mergeCell ref="A21:A22"/>
    <mergeCell ref="F36:L36"/>
  </mergeCells>
  <conditionalFormatting sqref="L55:L63">
    <cfRule type="expression" dxfId="50" priority="364">
      <formula>IF(K55&gt;0.95,K55&lt;1.05)</formula>
    </cfRule>
    <cfRule type="expression" dxfId="49" priority="365">
      <formula>K55&gt;1.05</formula>
    </cfRule>
    <cfRule type="expression" dxfId="48" priority="366">
      <formula>K55&lt;0.95</formula>
    </cfRule>
  </conditionalFormatting>
  <conditionalFormatting sqref="L76:L86">
    <cfRule type="expression" dxfId="47" priority="334">
      <formula>IF(K76&gt;0.95,K76&lt;1.05)</formula>
    </cfRule>
    <cfRule type="expression" dxfId="46" priority="335">
      <formula>K76&gt;1.05</formula>
    </cfRule>
    <cfRule type="expression" dxfId="45" priority="336">
      <formula>K76&lt;0.95</formula>
    </cfRule>
  </conditionalFormatting>
  <conditionalFormatting sqref="L65:L74">
    <cfRule type="expression" dxfId="44" priority="349">
      <formula>IF(K65&gt;0.95,K65&lt;1.05)</formula>
    </cfRule>
    <cfRule type="expression" dxfId="43" priority="350">
      <formula>K65&gt;1.05</formula>
    </cfRule>
    <cfRule type="expression" dxfId="42" priority="351">
      <formula>K65&lt;0.95</formula>
    </cfRule>
  </conditionalFormatting>
  <conditionalFormatting sqref="L88:L97">
    <cfRule type="expression" dxfId="41" priority="319">
      <formula>IF(K88&gt;0.95,K88&lt;1.05)</formula>
    </cfRule>
    <cfRule type="expression" dxfId="40" priority="320">
      <formula>K88&gt;1.05</formula>
    </cfRule>
    <cfRule type="expression" dxfId="39" priority="321">
      <formula>K88&lt;0.95</formula>
    </cfRule>
  </conditionalFormatting>
  <conditionalFormatting sqref="L110:L119">
    <cfRule type="expression" dxfId="38" priority="286">
      <formula>IF(K110&gt;0.95,K110&lt;1.05)</formula>
    </cfRule>
    <cfRule type="expression" dxfId="37" priority="287">
      <formula>K110&gt;1.05</formula>
    </cfRule>
    <cfRule type="expression" dxfId="36" priority="288">
      <formula>K110&lt;0.95</formula>
    </cfRule>
  </conditionalFormatting>
  <conditionalFormatting sqref="L99:L108">
    <cfRule type="expression" dxfId="35" priority="304">
      <formula>IF(K99&gt;0.95,K99&lt;1.05)</formula>
    </cfRule>
    <cfRule type="expression" dxfId="34" priority="305">
      <formula>K99&gt;1.05</formula>
    </cfRule>
    <cfRule type="expression" dxfId="33" priority="306">
      <formula>K99&lt;0.95</formula>
    </cfRule>
  </conditionalFormatting>
  <conditionalFormatting sqref="L121:L129">
    <cfRule type="expression" dxfId="32" priority="274">
      <formula>IF(K121&gt;0.95,K121&lt;1.05)</formula>
    </cfRule>
    <cfRule type="expression" dxfId="31" priority="275">
      <formula>K121&gt;1.05</formula>
    </cfRule>
    <cfRule type="expression" dxfId="30" priority="276">
      <formula>K121&lt;0.95</formula>
    </cfRule>
  </conditionalFormatting>
  <conditionalFormatting sqref="L130">
    <cfRule type="expression" dxfId="29" priority="193">
      <formula>IF(K130&gt;0.95,K130&lt;1.05)</formula>
    </cfRule>
    <cfRule type="expression" dxfId="28" priority="194">
      <formula>K130&gt;1.05</formula>
    </cfRule>
    <cfRule type="expression" dxfId="27" priority="195">
      <formula>K130&lt;0.95</formula>
    </cfRule>
  </conditionalFormatting>
  <conditionalFormatting sqref="L4:L35 D32:D33">
    <cfRule type="expression" dxfId="26" priority="151">
      <formula>IF(C4&gt;0.949,C4&lt;1.051)</formula>
    </cfRule>
    <cfRule type="expression" dxfId="25" priority="152">
      <formula>C4&gt;1.05</formula>
    </cfRule>
    <cfRule type="expression" dxfId="24" priority="153">
      <formula>C4&lt;0.95</formula>
    </cfRule>
  </conditionalFormatting>
  <conditionalFormatting sqref="B13">
    <cfRule type="expression" dxfId="23" priority="19">
      <formula>IF(A13&gt;0.95,A13&lt;1.05)</formula>
    </cfRule>
    <cfRule type="expression" dxfId="22" priority="20">
      <formula>A13&gt;1.05</formula>
    </cfRule>
    <cfRule type="expression" dxfId="21" priority="21">
      <formula>A13&lt;0.95</formula>
    </cfRule>
  </conditionalFormatting>
  <conditionalFormatting sqref="D18:E19 G18:G19 G37:G39 D37:E39">
    <cfRule type="expression" dxfId="20" priority="16">
      <formula>IF(C18&gt;0.949,C18&lt;1.051)</formula>
    </cfRule>
    <cfRule type="expression" dxfId="19" priority="17">
      <formula>C18&gt;1.05</formula>
    </cfRule>
    <cfRule type="expression" dxfId="18" priority="18">
      <formula>C18&lt;0.95</formula>
    </cfRule>
  </conditionalFormatting>
  <conditionalFormatting sqref="H18:K19 H37:K39">
    <cfRule type="expression" dxfId="17" priority="13">
      <formula>IF(#REF!&gt;0.949,#REF!&lt;1.051)</formula>
    </cfRule>
    <cfRule type="expression" dxfId="16" priority="14">
      <formula>#REF!&gt;1.05</formula>
    </cfRule>
    <cfRule type="expression" dxfId="15" priority="15">
      <formula>#REF!&lt;0.95</formula>
    </cfRule>
  </conditionalFormatting>
  <conditionalFormatting sqref="A13">
    <cfRule type="expression" dxfId="14" priority="22">
      <formula>IF(XFA55&gt;0.95,XFA55&lt;1.05)</formula>
    </cfRule>
    <cfRule type="expression" dxfId="13" priority="23">
      <formula>XFA55&gt;1.05</formula>
    </cfRule>
    <cfRule type="expression" dxfId="12" priority="24">
      <formula>XFA55&lt;0.95</formula>
    </cfRule>
  </conditionalFormatting>
  <conditionalFormatting sqref="D6:D13">
    <cfRule type="expression" dxfId="11" priority="10">
      <formula>IF(C6&gt;0.949,C6&lt;1.051)</formula>
    </cfRule>
    <cfRule type="expression" dxfId="10" priority="11">
      <formula>C6&gt;1.05</formula>
    </cfRule>
    <cfRule type="expression" dxfId="9" priority="12">
      <formula>C6&lt;0.95</formula>
    </cfRule>
  </conditionalFormatting>
  <conditionalFormatting sqref="A32">
    <cfRule type="expression" dxfId="8" priority="7">
      <formula>IF(XFA74&gt;0.95,XFA74&lt;1.05)</formula>
    </cfRule>
    <cfRule type="expression" dxfId="7" priority="8">
      <formula>XFA74&gt;1.05</formula>
    </cfRule>
    <cfRule type="expression" dxfId="6" priority="9">
      <formula>XFA74&lt;0.95</formula>
    </cfRule>
  </conditionalFormatting>
  <conditionalFormatting sqref="D25:D31">
    <cfRule type="expression" dxfId="5" priority="1">
      <formula>IF(C25&gt;0.949,C25&lt;1.051)</formula>
    </cfRule>
    <cfRule type="expression" dxfId="4" priority="2">
      <formula>C25&gt;1.05</formula>
    </cfRule>
    <cfRule type="expression" dxfId="3" priority="3">
      <formula>C25&lt;0.95</formula>
    </cfRule>
  </conditionalFormatting>
  <conditionalFormatting sqref="B32">
    <cfRule type="expression" dxfId="2" priority="955">
      <formula>IF(A32&gt;0.95,A32&lt;1.05)</formula>
    </cfRule>
    <cfRule type="expression" dxfId="1" priority="956">
      <formula>A32&gt;1.05</formula>
    </cfRule>
    <cfRule type="expression" dxfId="0" priority="957">
      <formula>A32&lt;0.95</formula>
    </cfRule>
  </conditionalFormatting>
  <pageMargins left="0.25" right="0.25" top="0.25" bottom="0.25" header="0" footer="0"/>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XYZ</vt:lpstr>
    </vt:vector>
  </TitlesOfParts>
  <Company>Credit Union National Association,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Beth Soltis</dc:creator>
  <cp:lastModifiedBy>Beth Soltis</cp:lastModifiedBy>
  <cp:lastPrinted>2012-10-11T12:41:40Z</cp:lastPrinted>
  <dcterms:created xsi:type="dcterms:W3CDTF">2011-08-30T18:38:56Z</dcterms:created>
  <dcterms:modified xsi:type="dcterms:W3CDTF">2013-01-22T18:47:48Z</dcterms:modified>
</cp:coreProperties>
</file>