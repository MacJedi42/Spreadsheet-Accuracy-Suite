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5220" yWindow="-180" windowWidth="11880" windowHeight="6150" activeTab="9"/>
  </bookViews>
  <sheets>
    <sheet name="CDS-CHANGES" sheetId="12" r:id="rId1"/>
    <sheet name="CDS-A" sheetId="1" r:id="rId2"/>
    <sheet name="CDS-B" sheetId="2" r:id="rId3"/>
    <sheet name="CDS-C" sheetId="3" r:id="rId4"/>
    <sheet name="CDS-D" sheetId="5" r:id="rId5"/>
    <sheet name="CDS-E" sheetId="4" r:id="rId6"/>
    <sheet name="CDS-F" sheetId="6" r:id="rId7"/>
    <sheet name="CDS-G" sheetId="7" r:id="rId8"/>
    <sheet name="CDS-H" sheetId="8" r:id="rId9"/>
    <sheet name="CDS-I" sheetId="9" r:id="rId10"/>
    <sheet name="CDS-J" sheetId="10" r:id="rId11"/>
    <sheet name="CDS Definitions" sheetId="11" r:id="rId12"/>
  </sheets>
  <calcPr calcId="125725"/>
</workbook>
</file>

<file path=xl/calcChain.xml><?xml version="1.0" encoding="utf-8"?>
<calcChain xmlns="http://schemas.openxmlformats.org/spreadsheetml/2006/main">
  <c r="K23" i="9"/>
  <c r="K24"/>
  <c r="K25"/>
  <c r="K27"/>
  <c r="K28"/>
  <c r="K29"/>
  <c r="K30"/>
  <c r="K31"/>
  <c r="K22"/>
  <c r="F25" i="8" l="1"/>
  <c r="E25"/>
  <c r="F20"/>
  <c r="E20"/>
  <c r="E12" i="5"/>
  <c r="D187" i="3"/>
  <c r="E160"/>
  <c r="E168"/>
  <c r="D168"/>
  <c r="C168"/>
  <c r="D160"/>
  <c r="C160"/>
  <c r="F95" i="2"/>
  <c r="F83"/>
  <c r="F62"/>
  <c r="F58"/>
  <c r="F63"/>
  <c r="F69"/>
  <c r="F73"/>
  <c r="F33"/>
  <c r="D12" i="5"/>
  <c r="C12"/>
  <c r="K51" i="9"/>
  <c r="E45" i="10"/>
  <c r="D45"/>
  <c r="C45"/>
  <c r="F74" i="2" l="1"/>
</calcChain>
</file>

<file path=xl/sharedStrings.xml><?xml version="1.0" encoding="utf-8"?>
<sst xmlns="http://schemas.openxmlformats.org/spreadsheetml/2006/main" count="1954" uniqueCount="1103">
  <si>
    <t>Black or African American, non-Hispanic</t>
  </si>
  <si>
    <t>American Indian or Alaska Native, non-Hispanic</t>
  </si>
  <si>
    <t>Asian, non-Hispanic</t>
  </si>
  <si>
    <t>Native Hawaiian or other Pacific Islander, non-Hispanic</t>
  </si>
  <si>
    <t>Two or more races, non-Hispanic</t>
  </si>
  <si>
    <t>Race and/or ethnicity unknown</t>
  </si>
  <si>
    <t>Fall 2004 Cohort</t>
  </si>
  <si>
    <t>Initial 2004 cohort of first-time, full-time bachelor's (or equivalent) degree-seeking undergraduate students; total all students:</t>
  </si>
  <si>
    <t xml:space="preserve">Of the initial 2004 cohort, how many did not persist and did not graduate for the following reasons: death, permanent disability, service in the armed forces, foreign aid service of the federal government, or official church missions; total allowable exclusions: </t>
  </si>
  <si>
    <t>Final 2004 cohort, after adjusting for allowable exclusions: (subtract question B5 from question B4)</t>
  </si>
  <si>
    <t xml:space="preserve">Six-year graduation rate for 2004 cohort (question B10 divided by question B6): </t>
  </si>
  <si>
    <t xml:space="preserve">Of the initial 2004 cohort, how many completed the program in four years or less (by August 31, 2008): </t>
  </si>
  <si>
    <t xml:space="preserve">Of the initial 2004 cohort, how many completed the program in more than four years but in five years or less (after August 31, 2008 and by August 31, 2009): </t>
  </si>
  <si>
    <t xml:space="preserve">Of the initial 2004 cohort, how many completed the program in more than five years but in six years or less (after August 31, 2009 and by August 31, 2010): </t>
  </si>
  <si>
    <t>2007 Cohort</t>
  </si>
  <si>
    <t xml:space="preserve">Of the initial 2007 cohort, how many did not persist and did not graduate for the following reasons: death, permanent disability, service in the armed forces, foreign aid service of the federal government, or official church missions; total allowable exclusions: </t>
  </si>
  <si>
    <t>Final 2007 cohort, after adjusting for allowable exclusions (Subtract question B13 from question B12):</t>
  </si>
  <si>
    <t xml:space="preserve">Initial 2007 cohort, total of first-time, full-time degree/certificate-seeking students: </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</si>
  <si>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</si>
  <si>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</si>
  <si>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</si>
  <si>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</si>
  <si>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</si>
  <si>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</si>
  <si>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</si>
  <si>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</si>
  <si>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</si>
  <si>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</si>
  <si>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</si>
  <si>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</si>
  <si>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</si>
  <si>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</si>
  <si>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</si>
  <si>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</si>
  <si>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</si>
  <si>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</si>
  <si>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</si>
  <si>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</si>
  <si>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</si>
  <si>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</si>
  <si>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</si>
  <si>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</si>
  <si>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</si>
  <si>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</si>
  <si>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</si>
  <si>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</si>
  <si>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</si>
  <si>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</si>
  <si>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</si>
  <si>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Report for the cohort of full-time first-time bachelor's (or equivalent) degree-seeking undergraduate students who entered in Fall 2004. Include in the cohort those who entered your institution during the summer term preceding Fall 2004.</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</si>
  <si>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</si>
  <si>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</si>
  <si>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</si>
  <si>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</si>
  <si>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</si>
  <si>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</si>
  <si>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</si>
  <si>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</si>
  <si>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</si>
  <si>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</si>
  <si>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</si>
  <si>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</si>
  <si>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</si>
  <si>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</si>
  <si>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</si>
  <si>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</si>
  <si>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</si>
  <si>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</si>
  <si>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</si>
  <si>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</si>
  <si>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</si>
  <si>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</si>
  <si>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</si>
  <si>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</si>
  <si>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</si>
  <si>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</si>
  <si>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</si>
  <si>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</si>
  <si>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</si>
  <si>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</si>
  <si>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</si>
  <si>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</si>
  <si>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</si>
  <si>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</si>
  <si>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</si>
  <si>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</si>
  <si>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</si>
  <si>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</si>
  <si>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</si>
  <si>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</si>
  <si>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</si>
  <si>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</si>
  <si>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</si>
  <si>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</si>
  <si>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</si>
  <si>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</si>
  <si>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</si>
  <si>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</si>
  <si>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</si>
  <si>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</si>
  <si>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</si>
  <si>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</si>
  <si>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</si>
  <si>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</si>
  <si>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</si>
  <si>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</si>
  <si>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</si>
  <si>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</si>
  <si>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</si>
  <si>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</si>
  <si>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</si>
  <si>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</si>
  <si>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</si>
  <si>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</si>
  <si>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</si>
  <si>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</si>
  <si>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</si>
  <si>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</si>
  <si>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</si>
  <si>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</si>
  <si>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</si>
  <si>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</si>
  <si>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</si>
  <si>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</si>
  <si>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</si>
  <si>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</si>
  <si>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t>B12</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</si>
  <si>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</si>
  <si>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</si>
  <si>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</si>
  <si>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</si>
  <si>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</si>
  <si>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</si>
  <si>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</si>
  <si>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</si>
  <si>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</si>
  <si>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</si>
  <si>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</si>
  <si>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</si>
  <si>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</si>
  <si>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</si>
  <si>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</si>
  <si>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</si>
  <si>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</si>
  <si>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</si>
  <si>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</si>
  <si>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</si>
  <si>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</si>
  <si>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</si>
  <si>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</si>
  <si>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</si>
  <si>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</si>
  <si>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</si>
  <si>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</si>
  <si>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</si>
  <si>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</si>
  <si>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</si>
  <si>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</si>
  <si>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</si>
  <si>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</si>
  <si>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</si>
  <si>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</si>
  <si>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</si>
  <si>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</si>
  <si>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</si>
  <si>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</si>
  <si>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</si>
  <si>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</si>
  <si>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</si>
  <si>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</si>
  <si>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</si>
  <si>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Please provide the URL of your institution’s net price calculator: </t>
  </si>
  <si>
    <t xml:space="preserve">Do tuition and fees vary by undergraduate instructional program?                                </t>
  </si>
  <si>
    <t>If yes, what percentage of full-time undergraduates pay more than the tuition and fees reported in G1?</t>
  </si>
  <si>
    <t>Mathematics and statistics</t>
  </si>
  <si>
    <t>Military science and military technologies</t>
  </si>
  <si>
    <t>28 &amp; 29</t>
  </si>
  <si>
    <t>Homeland Security, law enforcement, firefighting, and protective services</t>
  </si>
  <si>
    <t>J</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</si>
  <si>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</si>
  <si>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</si>
  <si>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</si>
  <si>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</si>
  <si>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</si>
  <si>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</si>
  <si>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</si>
  <si>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</si>
  <si>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</si>
  <si>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</si>
  <si>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</si>
  <si>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</si>
  <si>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</si>
  <si>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</si>
  <si>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</si>
  <si>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</si>
  <si>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</si>
  <si>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</si>
  <si>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</si>
  <si>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</si>
  <si>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</si>
  <si>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</si>
  <si>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</si>
  <si>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</si>
  <si>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</si>
  <si>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</si>
  <si>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</si>
  <si>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</si>
  <si>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</si>
  <si>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</si>
  <si>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</si>
  <si>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</si>
  <si>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</si>
  <si>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</si>
  <si>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</si>
  <si>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</si>
  <si>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</si>
  <si>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</si>
  <si>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</si>
  <si>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</si>
  <si>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</si>
  <si>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</si>
  <si>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</si>
  <si>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</si>
  <si>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</si>
  <si>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</si>
  <si>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</si>
  <si>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</si>
  <si>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</si>
  <si>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</si>
  <si>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</si>
  <si>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</si>
  <si>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</si>
  <si>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</si>
  <si>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</si>
  <si>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</si>
  <si>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</si>
  <si>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</si>
  <si>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</si>
  <si>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</si>
  <si>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</si>
  <si>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</si>
  <si>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</si>
  <si>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</si>
  <si>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</si>
  <si>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</si>
  <si>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</si>
  <si>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</si>
  <si>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</si>
  <si>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</si>
  <si>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</si>
  <si>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</si>
  <si>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</si>
  <si>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</si>
  <si>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</si>
  <si>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</si>
  <si>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</si>
  <si>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</si>
  <si>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</si>
  <si>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</si>
  <si>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</si>
  <si>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</si>
  <si>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</si>
  <si>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</si>
  <si>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</si>
  <si>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</si>
  <si>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</si>
  <si>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</si>
  <si>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</si>
  <si>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</si>
  <si>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</si>
  <si>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</si>
  <si>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</si>
  <si>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</si>
  <si>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</si>
  <si>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</si>
  <si>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</si>
  <si>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</si>
  <si>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</si>
  <si>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</si>
  <si>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</si>
  <si>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</si>
  <si>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</si>
  <si>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</si>
  <si>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</si>
  <si>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</si>
  <si>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</si>
  <si>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</si>
  <si>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</si>
  <si>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</si>
  <si>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</si>
  <si>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</si>
  <si>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</si>
  <si>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</si>
  <si>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</si>
  <si>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</si>
  <si>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</si>
  <si>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</si>
  <si>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</si>
  <si>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</si>
  <si>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</si>
  <si>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</si>
  <si>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</si>
  <si>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</si>
  <si>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</si>
  <si>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</si>
  <si>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</si>
  <si>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</si>
  <si>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</si>
  <si>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</si>
  <si>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</si>
  <si>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</si>
  <si>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</si>
  <si>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</si>
  <si>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</si>
  <si>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</si>
  <si>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</si>
  <si>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</si>
  <si>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</si>
  <si>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</si>
  <si>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</si>
  <si>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</si>
  <si>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</si>
  <si>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</si>
  <si>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</si>
  <si>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</si>
  <si>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</si>
  <si>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</si>
  <si>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</si>
  <si>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</si>
  <si>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</si>
  <si>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</si>
  <si>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</si>
  <si>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</si>
  <si>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</si>
  <si>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</si>
  <si>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</si>
  <si>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</si>
  <si>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</si>
  <si>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</si>
  <si>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</si>
  <si>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</si>
  <si>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</si>
  <si>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</si>
  <si>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</si>
  <si>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</si>
  <si>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</si>
  <si>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</si>
  <si>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</si>
  <si>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</si>
  <si>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</si>
  <si>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</si>
  <si>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</si>
  <si>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</si>
  <si>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</si>
  <si>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</si>
  <si>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</si>
  <si>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</si>
  <si>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</si>
  <si>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</si>
  <si>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</si>
  <si>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</si>
  <si>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</si>
  <si>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</si>
  <si>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</si>
  <si>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The items listed below are shaded in yellow throughout the spreadsheet's worksheets.</t>
  </si>
  <si>
    <t>Parks and recreation</t>
  </si>
  <si>
    <t>Physical sciences</t>
  </si>
  <si>
    <t>Psychology</t>
  </si>
  <si>
    <t>Visual and performing arts</t>
  </si>
  <si>
    <t>Other</t>
  </si>
  <si>
    <t>Name of College/University:</t>
  </si>
  <si>
    <t xml:space="preserve">Must reply by (date):  </t>
  </si>
  <si>
    <t xml:space="preserve">No set date:  </t>
  </si>
  <si>
    <t>Must reply by May 1 or within _____ weeks if notified thereafter</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</si>
  <si>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</si>
  <si>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</si>
  <si>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</si>
  <si>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</si>
  <si>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</si>
  <si>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</si>
  <si>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</si>
  <si>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</si>
  <si>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</si>
  <si>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</si>
  <si>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</si>
  <si>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</si>
  <si>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</si>
  <si>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</si>
  <si>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</si>
  <si>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</si>
  <si>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</si>
  <si>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</si>
  <si>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</si>
  <si>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</si>
  <si>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</si>
  <si>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</si>
  <si>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B13</t>
  </si>
  <si>
    <t>B14</t>
  </si>
  <si>
    <t>B15</t>
  </si>
  <si>
    <t>B16</t>
  </si>
  <si>
    <t>B17</t>
  </si>
  <si>
    <t>B18</t>
  </si>
  <si>
    <t>B19</t>
  </si>
  <si>
    <t>B20</t>
  </si>
  <si>
    <t>B21</t>
  </si>
  <si>
    <t xml:space="preserve">Completers of programs of less than two years duration (total): </t>
  </si>
  <si>
    <t xml:space="preserve">Completers of programs of less than two years within 150 percent of normal time: </t>
  </si>
  <si>
    <t xml:space="preserve">Completers of programs of at least two but less than four years (total): </t>
  </si>
  <si>
    <t xml:space="preserve">Completers of programs of at least two but less than four-years within 150 percent of normal time: </t>
  </si>
  <si>
    <t xml:space="preserve">Total transfers-out (within three years) to other institutions: </t>
  </si>
  <si>
    <t xml:space="preserve">Total transfers to two-year institutions: </t>
  </si>
  <si>
    <t xml:space="preserve">Total transfers to four-year institutions: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</si>
  <si>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</si>
  <si>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</si>
  <si>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</si>
  <si>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</si>
  <si>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</si>
  <si>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</si>
  <si>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</si>
  <si>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</si>
  <si>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</si>
  <si>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</si>
  <si>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</si>
  <si>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</si>
  <si>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</si>
  <si>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</si>
  <si>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</si>
  <si>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</si>
  <si>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</si>
  <si>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</si>
  <si>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</si>
  <si>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</si>
  <si>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</si>
  <si>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</si>
  <si>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</si>
  <si>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</si>
  <si>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</si>
  <si>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</si>
  <si>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rPr>
      <t xml:space="preserve">, </t>
    </r>
    <r>
      <rPr>
        <b/>
        <sz val="10"/>
        <rFont val="Arial"/>
        <family val="2"/>
      </rPr>
      <t>g</t>
    </r>
    <r>
      <rPr>
        <sz val="10"/>
        <rFont val="Arial"/>
      </rPr>
      <t xml:space="preserve">, </t>
    </r>
    <r>
      <rPr>
        <b/>
        <sz val="10"/>
        <rFont val="Arial"/>
        <family val="2"/>
      </rPr>
      <t>h</t>
    </r>
    <r>
      <rPr>
        <sz val="10"/>
        <rFont val="Arial"/>
      </rPr>
      <t xml:space="preserve">, and </t>
    </r>
    <r>
      <rPr>
        <b/>
        <sz val="10"/>
        <rFont val="Arial"/>
        <family val="2"/>
      </rPr>
      <t>i</t>
    </r>
    <r>
      <rPr>
        <sz val="10"/>
        <rFont val="Arial"/>
      </rPr>
      <t xml:space="preserve"> must sum up to item </t>
    </r>
    <r>
      <rPr>
        <b/>
        <sz val="10"/>
        <rFont val="Arial"/>
        <family val="2"/>
      </rPr>
      <t>a</t>
    </r>
    <r>
      <rPr>
        <sz val="10"/>
        <rFont val="Arial"/>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</si>
  <si>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</si>
  <si>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</si>
  <si>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</si>
  <si>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</si>
  <si>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</si>
  <si>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</si>
  <si>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</si>
  <si>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</si>
  <si>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</si>
  <si>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t>CHANGED ITEMS</t>
  </si>
  <si>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</si>
  <si>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</si>
  <si>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</si>
  <si>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</si>
  <si>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</si>
  <si>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</si>
  <si>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</si>
  <si>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</si>
  <si>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</si>
  <si>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</si>
  <si>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</si>
  <si>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</si>
  <si>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</si>
  <si>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</si>
  <si>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</si>
  <si>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</si>
  <si>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</si>
  <si>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</si>
  <si>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</si>
  <si>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</si>
  <si>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</si>
  <si>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</si>
  <si>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</si>
  <si>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</si>
  <si>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</si>
  <si>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</si>
  <si>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</si>
  <si>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</si>
  <si>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</si>
  <si>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</si>
  <si>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</si>
  <si>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</si>
  <si>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</si>
  <si>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</si>
  <si>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</si>
  <si>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</si>
  <si>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</si>
  <si>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</si>
  <si>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</si>
  <si>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</si>
  <si>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</si>
  <si>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</si>
  <si>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</si>
  <si>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</si>
  <si>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</si>
  <si>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</si>
  <si>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</si>
  <si>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</si>
  <si>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</si>
  <si>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</si>
  <si>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</si>
  <si>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</si>
  <si>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</si>
  <si>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</si>
  <si>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</si>
  <si>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</si>
  <si>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</si>
  <si>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</si>
  <si>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</si>
  <si>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</si>
  <si>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</si>
  <si>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</si>
  <si>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</si>
  <si>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</si>
  <si>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</si>
  <si>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</si>
  <si>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</si>
  <si>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</si>
  <si>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</si>
  <si>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</si>
  <si>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</si>
  <si>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</si>
  <si>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</si>
  <si>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</si>
  <si>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</si>
  <si>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</si>
  <si>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</si>
  <si>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</si>
  <si>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</si>
  <si>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</si>
  <si>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</si>
  <si>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</si>
  <si>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</si>
  <si>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</si>
  <si>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</si>
  <si>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</si>
  <si>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</si>
  <si>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</si>
  <si>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</si>
  <si>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</si>
  <si>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</si>
  <si>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</si>
  <si>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</si>
  <si>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</si>
  <si>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</si>
  <si>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</si>
  <si>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</si>
  <si>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</si>
  <si>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</si>
  <si>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</si>
  <si>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</si>
  <si>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</si>
  <si>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</si>
  <si>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</si>
  <si>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</si>
  <si>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</si>
  <si>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</si>
  <si>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</si>
  <si>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</si>
  <si>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</si>
  <si>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</si>
  <si>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</si>
  <si>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</si>
  <si>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</si>
  <si>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</si>
  <si>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</si>
  <si>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</si>
  <si>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</si>
  <si>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</si>
  <si>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</si>
  <si>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</si>
  <si>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</si>
  <si>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</si>
  <si>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</si>
  <si>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</si>
  <si>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</si>
  <si>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</si>
  <si>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</si>
  <si>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</si>
  <si>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</si>
  <si>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</si>
  <si>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</si>
  <si>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</si>
  <si>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</si>
  <si>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</si>
  <si>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</si>
  <si>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</si>
  <si>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</si>
  <si>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</si>
  <si>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</si>
  <si>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</si>
  <si>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</si>
  <si>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</si>
  <si>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</si>
  <si>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</si>
  <si>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</si>
  <si>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</si>
  <si>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</si>
  <si>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</si>
  <si>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</si>
  <si>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</si>
  <si>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</si>
  <si>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</si>
  <si>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</si>
  <si>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</si>
  <si>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</si>
  <si>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</si>
  <si>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</si>
  <si>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</si>
  <si>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</si>
  <si>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</si>
  <si>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</si>
  <si>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</si>
  <si>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</si>
  <si>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</si>
  <si>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</si>
  <si>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</si>
  <si>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</si>
  <si>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</si>
  <si>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</si>
  <si>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</si>
  <si>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</si>
  <si>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</si>
  <si>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</si>
  <si>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</si>
  <si>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</si>
  <si>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</si>
  <si>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</si>
  <si>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</si>
  <si>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</si>
  <si>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</si>
  <si>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</si>
  <si>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</si>
  <si>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</si>
  <si>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</si>
  <si>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</si>
  <si>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</si>
  <si>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</si>
  <si>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</si>
  <si>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</si>
  <si>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</si>
  <si>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</si>
  <si>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</si>
  <si>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</si>
  <si>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</si>
  <si>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</si>
  <si>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</si>
  <si>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</si>
  <si>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</si>
  <si>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</si>
  <si>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</si>
  <si>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</si>
  <si>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</si>
  <si>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</si>
  <si>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</si>
  <si>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</si>
  <si>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</si>
  <si>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</si>
  <si>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</si>
  <si>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</si>
  <si>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</si>
  <si>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</si>
  <si>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</si>
  <si>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</si>
  <si>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</si>
  <si>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</si>
  <si>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</si>
  <si>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</si>
  <si>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</si>
  <si>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</si>
  <si>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</si>
  <si>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</si>
  <si>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</si>
  <si>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</si>
  <si>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</si>
  <si>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</si>
  <si>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</si>
  <si>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</si>
  <si>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</si>
  <si>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</si>
  <si>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</si>
  <si>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</si>
  <si>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</si>
  <si>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</si>
  <si>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</si>
  <si>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</si>
  <si>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</si>
  <si>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</si>
  <si>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</si>
  <si>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</si>
  <si>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</si>
  <si>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</si>
  <si>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</si>
  <si>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</si>
  <si>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</si>
  <si>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</si>
  <si>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</si>
  <si>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</si>
  <si>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</si>
  <si>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</si>
  <si>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</si>
  <si>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</si>
  <si>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</si>
  <si>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</si>
  <si>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</si>
  <si>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</si>
  <si>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</si>
  <si>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</si>
  <si>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</si>
  <si>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</si>
  <si>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</si>
  <si>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</si>
  <si>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</si>
  <si>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</si>
  <si>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</si>
  <si>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</si>
  <si>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</si>
  <si>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</si>
  <si>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</si>
  <si>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</si>
  <si>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</si>
  <si>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</si>
  <si>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</si>
  <si>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</si>
  <si>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</si>
  <si>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</si>
  <si>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</si>
  <si>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</si>
  <si>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</si>
  <si>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</si>
  <si>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</si>
  <si>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</si>
  <si>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</si>
  <si>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</si>
  <si>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</si>
  <si>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</si>
  <si>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</si>
  <si>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</si>
  <si>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</si>
  <si>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</si>
  <si>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</si>
  <si>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</si>
  <si>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</si>
  <si>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</si>
  <si>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</si>
  <si>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</si>
  <si>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</si>
  <si>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</si>
  <si>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</si>
  <si>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</si>
  <si>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</si>
  <si>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</si>
  <si>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</si>
  <si>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</si>
  <si>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</si>
  <si>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</si>
  <si>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</si>
  <si>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</si>
  <si>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</si>
  <si>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</si>
  <si>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</si>
  <si>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</si>
  <si>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</si>
  <si>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</si>
  <si>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</si>
  <si>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</si>
  <si>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</si>
  <si>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</si>
  <si>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</si>
  <si>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</si>
  <si>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</si>
  <si>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</si>
  <si>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</si>
  <si>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</si>
  <si>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</si>
  <si>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</si>
  <si>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</si>
  <si>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</si>
  <si>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</si>
  <si>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</si>
  <si>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</si>
  <si>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</si>
  <si>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</si>
  <si>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</si>
  <si>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</si>
  <si>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</si>
  <si>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</si>
  <si>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</si>
  <si>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</si>
  <si>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</si>
  <si>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</si>
  <si>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</si>
  <si>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</si>
  <si>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</si>
  <si>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</si>
  <si>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</si>
  <si>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</si>
  <si>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</si>
  <si>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</si>
  <si>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</si>
  <si>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</si>
  <si>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</si>
  <si>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</si>
  <si>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</si>
  <si>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</si>
  <si>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</si>
  <si>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</si>
  <si>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r>
      <t xml:space="preserve">ROTC </t>
    </r>
    <r>
      <rPr>
        <sz val="10"/>
        <rFont val="Arial"/>
        <family val="2"/>
      </rPr>
      <t>(program offered in cooperation with Reserve Officers' Training Corps)</t>
    </r>
  </si>
  <si>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</si>
  <si>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</si>
  <si>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</si>
  <si>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</si>
  <si>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</si>
  <si>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</si>
  <si>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</si>
  <si>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</si>
  <si>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</si>
  <si>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</si>
  <si>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</si>
  <si>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</si>
  <si>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</si>
  <si>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</si>
  <si>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</si>
  <si>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</si>
  <si>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</si>
  <si>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</si>
  <si>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</si>
  <si>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</si>
  <si>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</si>
  <si>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</si>
  <si>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</si>
  <si>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</si>
  <si>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</si>
  <si>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</si>
  <si>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</si>
  <si>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</si>
  <si>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</si>
  <si>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</si>
  <si>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</si>
  <si>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</si>
  <si>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</si>
  <si>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</si>
  <si>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</si>
  <si>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</si>
  <si>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</si>
  <si>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</si>
  <si>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</si>
  <si>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</si>
  <si>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</si>
  <si>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</si>
  <si>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</si>
  <si>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</si>
  <si>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</si>
  <si>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</si>
  <si>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</si>
  <si>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</si>
  <si>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</si>
  <si>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</si>
  <si>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</si>
  <si>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</si>
  <si>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</si>
  <si>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</si>
  <si>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</si>
  <si>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</si>
  <si>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</si>
  <si>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</si>
  <si>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</si>
  <si>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</si>
  <si>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</si>
  <si>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</si>
  <si>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</si>
  <si>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</si>
  <si>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</si>
  <si>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</si>
  <si>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</si>
  <si>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</si>
  <si>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</si>
  <si>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</si>
  <si>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</si>
  <si>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</si>
  <si>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</si>
  <si>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</si>
  <si>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</si>
  <si>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</si>
  <si>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</si>
  <si>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</si>
  <si>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</si>
  <si>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</si>
  <si>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</si>
  <si>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</si>
  <si>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</si>
  <si>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</si>
  <si>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</si>
  <si>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</si>
  <si>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</si>
  <si>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</si>
  <si>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</si>
  <si>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</si>
  <si>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</si>
  <si>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</si>
  <si>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</si>
  <si>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</si>
  <si>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</si>
  <si>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</si>
  <si>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</si>
  <si>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</si>
  <si>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</si>
  <si>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</si>
  <si>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</si>
  <si>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</si>
  <si>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</si>
  <si>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</si>
  <si>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</si>
  <si>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</si>
  <si>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</si>
  <si>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</si>
  <si>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</si>
  <si>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</si>
  <si>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</si>
  <si>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</si>
  <si>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</si>
  <si>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</si>
  <si>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</si>
  <si>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</si>
  <si>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</si>
  <si>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</si>
  <si>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</si>
  <si>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</si>
  <si>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</si>
  <si>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</si>
  <si>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</si>
  <si>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</si>
  <si>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</si>
  <si>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</si>
  <si>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</si>
  <si>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</si>
  <si>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</si>
  <si>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</si>
  <si>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</si>
  <si>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</si>
  <si>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</si>
  <si>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</si>
  <si>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</si>
  <si>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</si>
  <si>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</si>
  <si>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</si>
  <si>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</si>
  <si>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</si>
  <si>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</si>
  <si>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</si>
  <si>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</si>
  <si>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</si>
  <si>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</si>
  <si>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</si>
  <si>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</si>
  <si>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</si>
  <si>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</si>
  <si>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</si>
  <si>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</si>
  <si>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</si>
  <si>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</si>
  <si>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</si>
  <si>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</si>
  <si>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</si>
  <si>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</si>
  <si>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</si>
  <si>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</si>
  <si>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</si>
  <si>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</si>
  <si>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</si>
  <si>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</si>
  <si>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</si>
  <si>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</si>
  <si>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</si>
  <si>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</si>
  <si>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</si>
  <si>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</si>
  <si>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</si>
  <si>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</si>
  <si>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</si>
  <si>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</si>
  <si>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</si>
  <si>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</si>
  <si>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</si>
  <si>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</si>
  <si>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</si>
  <si>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</si>
  <si>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</si>
  <si>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</si>
  <si>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</si>
  <si>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</si>
  <si>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</si>
  <si>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</si>
  <si>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</si>
  <si>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</si>
  <si>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</si>
  <si>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</si>
  <si>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</si>
  <si>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</si>
  <si>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</si>
  <si>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</si>
  <si>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</si>
  <si>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</si>
  <si>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</si>
  <si>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</si>
  <si>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</si>
  <si>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CIP category 16 description now reads: Foreign languages, literatures, and linguistics</t>
  </si>
  <si>
    <t>CIP category 51 description now reads: Health professions and related programs</t>
  </si>
  <si>
    <t>If yes, place check marks in the appropriate boxes below to reflect your institution’s policies for use in admission for Fall 2013.</t>
  </si>
  <si>
    <t>If your institution will make use of the ACT in admission decisions for first-time, first-year, degree-seeking applicants for Fall 2013, please indicate which ONE of the following applies: (regardless of whether the writing score will be used in the admissions process):</t>
  </si>
  <si>
    <t>Provide 2012-2013 academic year costs of attendance for the following categories that are applicable to your institution.</t>
  </si>
  <si>
    <t xml:space="preserve">Check here if your institution's 2012-2013 academic year costs of attendance are not available at this time and provide an approximate date (i.e., month/day) when your institution's final 2012-2013 academic year costs of attendance will be available:  </t>
  </si>
  <si>
    <t>Undergraduate full-time tuition, required fees, room and board List the typical tuition, required fees, and room and board for a full-time undergraduate student for the FULL 2012-2013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</si>
  <si>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SUMMARY OF SIGNIFICANT CHANGES TO THE CDS FOR 2011-2012</t>
  </si>
  <si>
    <t>Institutional Enrollment - Men and Women Provide numbers of students for each of the following categories as of the institution's official fall reporting date or as of October 15, 2011. Note: Report students formerly designated as “first professional” in the graduate cells.</t>
  </si>
  <si>
    <t xml:space="preserve">Enrollment by Racial/Ethnic Category. Provide numbers of undergraduate students for each of the following categories as of the institution's official fall reporting date or as of October 15, 2011.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</si>
  <si>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The items in this section correspond to data elements collected by the IPEDS Web-based Data Collection System's Graduation Rate Survey (GRS). For complete instructions and definitions of data elements, see the IPEDS GRS instructions and glossary on the 2011 Web-based survey.</t>
  </si>
  <si>
    <t>First-time, first-year, (freshmen) students: Provide the number of degree-seeking, first-time, first-year students who applied, were admitted, and enrolled (full- or part-time) in Fall 2011.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</si>
  <si>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If yes, please answer the questions below for Fall 2011 admissions:</t>
  </si>
  <si>
    <t>Provide percentages for ALL enrolled, degree-seeking, full-time and part-time, first-time, first-year (freshman) students enrolled in Fall 2011, including students who began studies during summer, international students/nonresident aliens, and students admitted under special arrangements.</t>
  </si>
  <si>
    <t>Percent and number of first-time, first-year (freshman) students enrolled in Fall 2011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</si>
  <si>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For the Fall 2011 entering class:</t>
  </si>
  <si>
    <t>Provide the number of students who applied, were admitted, and enrolled as degree-seeking transfer students in Fall 2011.</t>
  </si>
  <si>
    <t>Percentages of first-time, first-year (freshman) degree-seeking students and degree-seeking undergraduates enrolled in Fall 2011 who fit the following categories:</t>
  </si>
  <si>
    <t>2011-2012 estimated</t>
  </si>
  <si>
    <t>Number of degree-seeking undergraduate students (CDS Item B1 if reporting on Fall 2011 cohort)</t>
  </si>
  <si>
    <t>Please report the number of instructional faculty members in each category for Fall 2011. Include faculty who are on your institution’s payroll on the census date your institution uses for IPEDS/AAUP.</t>
  </si>
  <si>
    <t>Report the Fall 2011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</si>
  <si>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2011 Student to Faculty ratio</t>
  </si>
  <si>
    <t>In the table below, please use the following definitions to report information about the size of classes and class sections offered in the Fall 2011 term.</t>
  </si>
  <si>
    <t xml:space="preserve">Using the above definitions, please report for each of the following class-size intervals the number of class sections and class subsections offered in Fall 2011. For example, a lecture class with 800 students who met at another time in 40 separate labs with 20 students should be counted once in the “100+” column in the class section column and 40 times under the “20-29” column of the class subsections table. </t>
  </si>
  <si>
    <t>Number of degrees awarded from July 1, 2010 to June 30, 2011</t>
  </si>
  <si>
    <t>Report for the cohort of all full-time, first-time bachelor’s (or equivalent) degree-seeking undergraduate students who entered in Fall 2010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</si>
  <si>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2010 (or the preceding summer term), what percentage was enrolled at your institution as of the date your institution calculates its official enrollment in Fall 2011? </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</si>
  <si>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2010-2011 academic year (see the next item below), use the 2010-2011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</si>
  <si>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2010-2011
final</t>
  </si>
  <si>
    <t>Degrees conferred between July 1, 2010 and June 30, 2011</t>
  </si>
  <si>
    <t>2008 Cohort</t>
  </si>
  <si>
    <t xml:space="preserve">Initial 2008 cohort, total of first-time, full-time degree/certificate-seeking students: </t>
  </si>
  <si>
    <t xml:space="preserve">Of the initial 2008 cohort, how many did not persist and did not graduate for the following reasons: death, permanent disability, service in the armed forces, foreign aid service of the federal government, or official church missions; total allowable exclusions: </t>
  </si>
  <si>
    <t>Final 2008 cohort, after adjusting for allowable exclusions (Subtract question B13 from question B12):</t>
  </si>
  <si>
    <t>Please provide data for the 2008 cohort if available. If 2008 cohort data are not available, provide data for the 2007 cohort.</t>
  </si>
  <si>
    <t>Fall 2005 Cohort</t>
  </si>
  <si>
    <t>Report for the cohort of full-time first-time bachelor's (or equivalent) degree-seeking undergraduate students who entered in Fall 2005. Include in the cohort those who entered your institution during the summer term preceding Fall 2005.</t>
  </si>
  <si>
    <t>Initial 2005 cohort of first-time, full-time bachelor's (or equivalent) degree-seeking undergraduate students; total all students:</t>
  </si>
  <si>
    <t xml:space="preserve">Of the initial 2005 cohort, how many did not persist and did not graduate for the following reasons: death, permanent disability, service in the armed forces, foreign aid service of the federal government, or official church missions; total allowable exclusions: </t>
  </si>
  <si>
    <t>Final 2005 cohort, after adjusting for allowable exclusions: (subtract question B5 from question B4)</t>
  </si>
  <si>
    <t xml:space="preserve">Of the initial 2005 cohort, how many completed the program in four years or less (by August 31, 2009): </t>
  </si>
  <si>
    <t xml:space="preserve">Of the initial 2005 cohort, how many completed the program in more than four years but in five years or less (after August 31, 2009 and by August 31, 2010): </t>
  </si>
  <si>
    <t xml:space="preserve">Of the initial 2005 cohort, how many completed the program in more than five years but in six years or less (after August 31, 2010 and by August 31, 2011): </t>
  </si>
  <si>
    <t xml:space="preserve">Six-year graduation rate for 2005 cohort (question B10 divided by question B6): </t>
  </si>
  <si>
    <t>Please provide data for the Fall 2005 cohort if available. If Fall 2005 cohort data are 
not available, provide data for the Fall 2004 cohort.</t>
  </si>
  <si>
    <t>CIP 2010 Categories to Include</t>
  </si>
  <si>
    <t>CIP category 3 description now reads: Natural resources and conservation</t>
  </si>
  <si>
    <t>CIP category 5 description now reads: Area, ethnic, and gender studies</t>
  </si>
  <si>
    <t>Natural resources and conservation</t>
  </si>
  <si>
    <t>Area, ethnic, and gender studies</t>
  </si>
  <si>
    <t>Foreign languages, literatures, and linguistics</t>
  </si>
  <si>
    <t>Health professions and related programs</t>
  </si>
  <si>
    <t>Column heading for CIP categories to include now reads: CIP 2010 Categories to Include</t>
  </si>
  <si>
    <t>X</t>
  </si>
  <si>
    <t>IWU, IPFW</t>
  </si>
  <si>
    <t>x</t>
  </si>
  <si>
    <t>n/a</t>
  </si>
  <si>
    <t>N/A</t>
  </si>
  <si>
    <t>"C"</t>
  </si>
  <si>
    <t>NONE</t>
  </si>
  <si>
    <t>15 of last 20</t>
  </si>
  <si>
    <t>30 of last 40</t>
  </si>
  <si>
    <t>Same as Social Studies</t>
  </si>
  <si>
    <t>June test</t>
  </si>
  <si>
    <t>Non-traditional applicants (over age 23) typically do not have to submit standardized test scores.</t>
  </si>
  <si>
    <t>Yes, student must submit documentation</t>
  </si>
  <si>
    <t>August 15</t>
  </si>
  <si>
    <t>March 1</t>
  </si>
  <si>
    <t>2 weeks</t>
  </si>
  <si>
    <t>one year</t>
  </si>
  <si>
    <t>Living Learning Communities</t>
  </si>
  <si>
    <t>Returned with Housing Contract</t>
  </si>
  <si>
    <t>we do not have an open admission policy</t>
  </si>
  <si>
    <t>Percent Unknown</t>
  </si>
  <si>
    <t>Jolene Pastir</t>
  </si>
  <si>
    <t>Assessment Research Analyst</t>
  </si>
  <si>
    <t>Office of Academic Assessment and Institutional Research</t>
  </si>
  <si>
    <t>West Quad #200</t>
  </si>
  <si>
    <t>Muncie, IN 47306</t>
  </si>
  <si>
    <t>765-285-5974</t>
  </si>
  <si>
    <t>765-285-2374</t>
  </si>
  <si>
    <t>jmsitzman2@bsu.edu</t>
  </si>
  <si>
    <t>http://cms.bsu.edu/About/AdministrativeOffices/Assessment/OfficialStatistics/CommonData.aspx</t>
  </si>
  <si>
    <t>Ball State University</t>
  </si>
  <si>
    <t>2000 W. University Ave.</t>
  </si>
  <si>
    <t xml:space="preserve">Muncie, IN 47306 </t>
  </si>
  <si>
    <t>www.bsu.edu</t>
  </si>
  <si>
    <t>765-289-1241</t>
  </si>
  <si>
    <t>765-285-8300</t>
  </si>
  <si>
    <t>1-800-482-4278</t>
  </si>
  <si>
    <t>Admissions Office, Ball State University</t>
  </si>
  <si>
    <t xml:space="preserve">Muncie, IN 47306-0855 </t>
  </si>
  <si>
    <t>765-285-1632</t>
  </si>
  <si>
    <t>askus@bsu.edu</t>
  </si>
  <si>
    <t>www.bsu.edu/admissions/apply</t>
  </si>
  <si>
    <t xml:space="preserve">Include:   * 2011 undergraduate class who graduated between July 1, 2010 and June 30, 2011 who started at your institution as first- time students and received a bachelor's degree between July 1, 2010 and June 30, 2011.
  * only loans made to students who borrowed while enrolled at your institution.
  * co-signed loans.
</t>
  </si>
  <si>
    <t>https://bsu.studentaidcalculator.com/welcome.aspx</t>
  </si>
</sst>
</file>

<file path=xl/styles.xml><?xml version="1.0" encoding="utf-8"?>
<styleSheet xmlns="http://schemas.openxmlformats.org/spreadsheetml/2006/main">
  <numFmts count="13">
    <numFmt numFmtId="5" formatCode="&quot;$&quot;#,##0_);\(&quot;$&quot;#,##0\)"/>
    <numFmt numFmtId="44" formatCode="_(&quot;$&quot;* #,##0.00_);_(&quot;$&quot;* \(#,##0.00\);_(&quot;$&quot;* &quot;-&quot;??_);_(@_)"/>
    <numFmt numFmtId="43" formatCode="_(* #,##0.00_);_(* \(#,##0.00\);_(* &quot;-&quot;??_);_(@_)"/>
    <numFmt numFmtId="164" formatCode="mmmm\ d\,\ yyyy"/>
    <numFmt numFmtId="165" formatCode="&quot;$&quot;#,##0.00"/>
    <numFmt numFmtId="166" formatCode="m/d"/>
    <numFmt numFmtId="167" formatCode="&quot;$&quot;#,##0"/>
    <numFmt numFmtId="168" formatCode="&quot;$&quot;#,##0;[Red]&quot;$&quot;#,##0"/>
    <numFmt numFmtId="169" formatCode="0.0%"/>
    <numFmt numFmtId="170" formatCode="_(&quot;$&quot;\ \ \ #,##0_);_(&quot;$&quot;* \(#,##0\);_(&quot;$&quot;* &quot;-&quot;??_);_(@_)"/>
    <numFmt numFmtId="171" formatCode="_(&quot;$&quot;\ \ \ #,##0_);_(&quot;$&quot;* \(#,##0\);_(&quot;$&quot;\ \ &quot;0&quot;??_);_(@_)"/>
    <numFmt numFmtId="172" formatCode="@\)"/>
    <numFmt numFmtId="173" formatCode="_(* #,##0_);_(* \(#,##0\);_(* &quot;-&quot;??_);_(@_)"/>
  </numFmts>
  <fonts count="36">
    <font>
      <sz val="10"/>
      <name val="Arial"/>
    </font>
    <font>
      <sz val="10"/>
      <name val="Arial"/>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sz val="12"/>
      <name val="Wingdings"/>
      <charset val="2"/>
    </font>
    <font>
      <b/>
      <i/>
      <sz val="10"/>
      <name val="Arial"/>
      <family val="2"/>
    </font>
    <font>
      <u/>
      <sz val="9"/>
      <name val="Arial"/>
      <family val="2"/>
    </font>
    <font>
      <i/>
      <sz val="9"/>
      <name val="Arial"/>
      <family val="2"/>
    </font>
    <font>
      <u/>
      <sz val="10"/>
      <color indexed="12"/>
      <name val="Arial"/>
    </font>
    <font>
      <b/>
      <sz val="10"/>
      <name val="Times New Roman"/>
      <family val="1"/>
    </font>
    <font>
      <sz val="8"/>
      <name val="Arial"/>
    </font>
    <font>
      <sz val="10"/>
      <color indexed="8"/>
      <name val="Arial"/>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sz val="12"/>
      <name val="Times New Roman"/>
      <family val="1"/>
    </font>
    <font>
      <sz val="12"/>
      <name val="Arial Narrow"/>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5" fillId="0" borderId="0" applyNumberFormat="0" applyFill="0" applyBorder="0" applyAlignment="0" applyProtection="0">
      <alignment vertical="top"/>
      <protection locked="0"/>
    </xf>
    <xf numFmtId="9" fontId="1" fillId="0" borderId="0" applyFont="0" applyFill="0" applyBorder="0" applyAlignment="0" applyProtection="0"/>
  </cellStyleXfs>
  <cellXfs count="626">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3" fillId="0" borderId="0" xfId="0" applyFont="1" applyFill="1" applyBorder="1" applyAlignment="1">
      <alignment horizontal="left" vertical="top"/>
    </xf>
    <xf numFmtId="0" fontId="0" fillId="0" borderId="1" xfId="0" applyBorder="1" applyAlignment="1">
      <alignment horizontal="center"/>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4" fillId="0" borderId="1" xfId="0" applyFont="1" applyBorder="1" applyAlignment="1">
      <alignment horizontal="left" vertical="top" wrapText="1"/>
    </xf>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14" fillId="0" borderId="1" xfId="0" applyFont="1" applyBorder="1" applyAlignment="1">
      <alignment horizontal="center" vertical="center" wrapText="1"/>
    </xf>
    <xf numFmtId="0" fontId="0" fillId="0" borderId="8" xfId="0" applyBorder="1"/>
    <xf numFmtId="164" fontId="0" fillId="0" borderId="1" xfId="0" applyNumberFormat="1" applyBorder="1" applyAlignment="1">
      <alignment horizontal="center" vertical="center"/>
    </xf>
    <xf numFmtId="164"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1" fontId="4" fillId="0" borderId="1" xfId="0" applyNumberFormat="1" applyFont="1" applyBorder="1" applyAlignment="1">
      <alignment horizontal="right" vertical="center" wrapText="1"/>
    </xf>
    <xf numFmtId="9" fontId="4" fillId="0" borderId="1" xfId="0" applyNumberFormat="1" applyFont="1" applyBorder="1" applyAlignment="1">
      <alignment horizontal="right" vertical="center" wrapText="1"/>
    </xf>
    <xf numFmtId="9" fontId="0" fillId="0" borderId="1" xfId="0" applyNumberFormat="1" applyBorder="1"/>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5" fontId="0" fillId="0" borderId="0" xfId="2" applyNumberFormat="1" applyFont="1" applyBorder="1" applyAlignment="1">
      <alignment horizontal="center"/>
    </xf>
    <xf numFmtId="9" fontId="0" fillId="0" borderId="1" xfId="4" applyFont="1" applyBorder="1" applyAlignment="1">
      <alignment horizontal="right"/>
    </xf>
    <xf numFmtId="165" fontId="0" fillId="0" borderId="1" xfId="0" applyNumberFormat="1" applyBorder="1"/>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37" fontId="0" fillId="0" borderId="1" xfId="0" applyNumberFormat="1" applyBorder="1" applyAlignment="1">
      <alignment horizontal="right"/>
    </xf>
    <xf numFmtId="37" fontId="3" fillId="0" borderId="1" xfId="0" applyNumberFormat="1" applyFont="1" applyBorder="1" applyAlignment="1">
      <alignment horizontal="right"/>
    </xf>
    <xf numFmtId="0" fontId="0" fillId="0" borderId="1" xfId="0" applyBorder="1" applyAlignment="1">
      <alignment horizontal="right"/>
    </xf>
    <xf numFmtId="9" fontId="1" fillId="0" borderId="1" xfId="4" applyBorder="1" applyAlignment="1">
      <alignment horizontal="right"/>
    </xf>
    <xf numFmtId="0" fontId="0" fillId="0" borderId="0" xfId="0" applyAlignment="1">
      <alignment horizontal="right"/>
    </xf>
    <xf numFmtId="1" fontId="0" fillId="0" borderId="1" xfId="0" applyNumberFormat="1" applyBorder="1"/>
    <xf numFmtId="166"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0" fillId="0" borderId="3" xfId="0" applyBorder="1" applyAlignment="1">
      <alignment horizontal="right" vertical="top"/>
    </xf>
    <xf numFmtId="0" fontId="3" fillId="0" borderId="0" xfId="0" applyFont="1" applyBorder="1" applyAlignment="1">
      <alignment horizontal="center" vertical="center"/>
    </xf>
    <xf numFmtId="37" fontId="1" fillId="0" borderId="1" xfId="1" applyNumberFormat="1" applyBorder="1" applyAlignment="1">
      <alignment horizontal="center" vertical="center"/>
    </xf>
    <xf numFmtId="37" fontId="1" fillId="0" borderId="0" xfId="1" applyNumberFormat="1" applyBorder="1" applyAlignment="1">
      <alignment vertical="center"/>
    </xf>
    <xf numFmtId="37" fontId="3" fillId="0" borderId="1" xfId="1" applyNumberFormat="1" applyFont="1" applyBorder="1" applyAlignment="1">
      <alignment horizontal="center"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0" fillId="2" borderId="1" xfId="0" applyFill="1" applyBorder="1"/>
    <xf numFmtId="49" fontId="21"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6" fontId="0" fillId="0" borderId="1" xfId="0" applyNumberFormat="1" applyBorder="1" applyAlignment="1">
      <alignment horizontal="right"/>
    </xf>
    <xf numFmtId="0" fontId="4" fillId="0" borderId="1" xfId="0" applyFont="1" applyBorder="1" applyAlignment="1">
      <alignment horizontal="center" vertical="center" wrapText="1"/>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7" fontId="0" fillId="0" borderId="1" xfId="2" applyNumberFormat="1" applyFont="1" applyBorder="1" applyAlignment="1">
      <alignment horizontal="right"/>
    </xf>
    <xf numFmtId="167" fontId="0" fillId="2" borderId="9" xfId="2" applyNumberFormat="1" applyFont="1" applyFill="1" applyBorder="1" applyAlignment="1">
      <alignment horizontal="right"/>
    </xf>
    <xf numFmtId="167" fontId="0" fillId="2" borderId="5" xfId="2" applyNumberFormat="1" applyFont="1" applyFill="1" applyBorder="1" applyAlignment="1">
      <alignment horizontal="right"/>
    </xf>
    <xf numFmtId="167" fontId="0" fillId="0" borderId="1" xfId="0" applyNumberFormat="1" applyBorder="1" applyAlignment="1">
      <alignment horizontal="right"/>
    </xf>
    <xf numFmtId="167" fontId="0" fillId="0" borderId="0" xfId="0" applyNumberFormat="1" applyBorder="1" applyAlignment="1">
      <alignment horizontal="right"/>
    </xf>
    <xf numFmtId="167" fontId="0" fillId="2" borderId="1" xfId="0" applyNumberFormat="1" applyFill="1" applyBorder="1" applyAlignment="1">
      <alignment horizontal="right"/>
    </xf>
    <xf numFmtId="165" fontId="12" fillId="0" borderId="1" xfId="0" applyNumberFormat="1" applyFont="1" applyBorder="1" applyAlignment="1">
      <alignment horizontal="right" wrapText="1"/>
    </xf>
    <xf numFmtId="168" fontId="3" fillId="0" borderId="1" xfId="0" applyNumberFormat="1" applyFont="1" applyBorder="1"/>
    <xf numFmtId="0" fontId="20" fillId="0" borderId="6"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horizontal="center" vertical="center"/>
    </xf>
    <xf numFmtId="169" fontId="20" fillId="0" borderId="1" xfId="4" applyNumberFormat="1" applyFont="1" applyBorder="1" applyAlignment="1">
      <alignment horizontal="center" vertical="center"/>
    </xf>
    <xf numFmtId="170" fontId="20" fillId="0" borderId="1" xfId="2" applyNumberFormat="1" applyFont="1" applyBorder="1" applyAlignment="1">
      <alignment horizontal="center" vertical="center"/>
    </xf>
    <xf numFmtId="0" fontId="20" fillId="0" borderId="6" xfId="0" applyFont="1" applyBorder="1" applyAlignment="1">
      <alignment vertical="center"/>
    </xf>
    <xf numFmtId="0" fontId="20" fillId="0" borderId="5" xfId="0" applyFont="1" applyBorder="1" applyAlignment="1">
      <alignment vertical="center" wrapText="1"/>
    </xf>
    <xf numFmtId="171" fontId="20" fillId="0" borderId="1" xfId="2" applyNumberFormat="1" applyFont="1" applyBorder="1" applyAlignment="1">
      <alignment horizontal="center" vertical="center"/>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9" fontId="3" fillId="0" borderId="1" xfId="0" applyNumberFormat="1" applyFont="1" applyBorder="1" applyAlignment="1">
      <alignment horizontal="right" wrapText="1"/>
    </xf>
    <xf numFmtId="167" fontId="3" fillId="0" borderId="1" xfId="0" applyNumberFormat="1" applyFont="1" applyBorder="1" applyAlignment="1">
      <alignment horizontal="right" wrapText="1"/>
    </xf>
    <xf numFmtId="171" fontId="0" fillId="0" borderId="0" xfId="2" applyNumberFormat="1" applyFont="1" applyBorder="1" applyAlignment="1">
      <alignment horizontal="center"/>
    </xf>
    <xf numFmtId="0" fontId="0" fillId="0" borderId="7" xfId="0" quotePrefix="1" applyBorder="1" applyAlignment="1">
      <alignment horizontal="center"/>
    </xf>
    <xf numFmtId="0" fontId="0" fillId="0" borderId="0" xfId="0" quotePrefix="1" applyBorder="1" applyAlignment="1">
      <alignment horizontal="center"/>
    </xf>
    <xf numFmtId="166" fontId="0" fillId="0" borderId="1" xfId="0" applyNumberFormat="1" applyBorder="1"/>
    <xf numFmtId="166"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166" fontId="0" fillId="0" borderId="12" xfId="0" applyNumberFormat="1"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2" fontId="0" fillId="0" borderId="6" xfId="0" applyNumberFormat="1" applyBorder="1" applyAlignment="1">
      <alignment vertical="center"/>
    </xf>
    <xf numFmtId="172"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10" fontId="0" fillId="0" borderId="1" xfId="0" applyNumberFormat="1" applyBorder="1"/>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5" xfId="0" applyBorder="1" applyAlignment="1">
      <alignment horizontal="center"/>
    </xf>
    <xf numFmtId="0" fontId="0" fillId="0" borderId="14" xfId="0" applyBorder="1" applyAlignment="1">
      <alignment horizontal="left" vertical="top" wrapText="1"/>
    </xf>
    <xf numFmtId="0" fontId="1" fillId="0" borderId="4" xfId="0" applyFont="1" applyBorder="1"/>
    <xf numFmtId="0" fontId="1" fillId="0" borderId="8" xfId="0" applyFont="1"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2" fillId="0" borderId="0" xfId="0" applyFont="1" applyAlignment="1">
      <alignment horizontal="left" vertical="center" wrapText="1"/>
    </xf>
    <xf numFmtId="0" fontId="22" fillId="0" borderId="0" xfId="0" applyFont="1" applyAlignment="1">
      <alignment horizontal="left" vertical="center"/>
    </xf>
    <xf numFmtId="0" fontId="4" fillId="0" borderId="0" xfId="0" applyFont="1" applyAlignment="1">
      <alignment horizontal="right"/>
    </xf>
    <xf numFmtId="0" fontId="22" fillId="0" borderId="0" xfId="0" applyFont="1"/>
    <xf numFmtId="0" fontId="0" fillId="0" borderId="0" xfId="0" applyBorder="1" applyAlignment="1">
      <alignment horizontal="right"/>
    </xf>
    <xf numFmtId="9" fontId="0" fillId="0" borderId="0" xfId="0" applyNumberFormat="1"/>
    <xf numFmtId="9" fontId="0" fillId="0" borderId="0" xfId="4" applyFont="1" applyBorder="1" applyAlignment="1">
      <alignment horizontal="left"/>
    </xf>
    <xf numFmtId="0" fontId="4" fillId="0" borderId="1" xfId="0" applyFont="1" applyBorder="1" applyAlignment="1">
      <alignment horizontal="left" vertical="top"/>
    </xf>
    <xf numFmtId="166"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0" fontId="12" fillId="0" borderId="0" xfId="0" applyFont="1" applyAlignment="1">
      <alignment vertical="top" wrapText="1"/>
    </xf>
    <xf numFmtId="0" fontId="26"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vertical="top"/>
    </xf>
    <xf numFmtId="10" fontId="0" fillId="0" borderId="1" xfId="0" applyNumberFormat="1" applyBorder="1" applyAlignment="1">
      <alignment horizontal="right"/>
    </xf>
    <xf numFmtId="10" fontId="0" fillId="0" borderId="1" xfId="4" applyNumberFormat="1" applyFont="1" applyBorder="1" applyAlignment="1">
      <alignment horizontal="right"/>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1" fontId="20" fillId="0" borderId="0" xfId="2" applyNumberFormat="1" applyFont="1" applyBorder="1" applyAlignment="1">
      <alignment horizontal="center" vertical="center"/>
    </xf>
    <xf numFmtId="0" fontId="30"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2" fontId="0" fillId="0" borderId="1" xfId="0" applyNumberFormat="1" applyBorder="1" applyAlignment="1">
      <alignment vertical="center"/>
    </xf>
    <xf numFmtId="1" fontId="4" fillId="0" borderId="1" xfId="0" applyNumberFormat="1" applyFont="1" applyBorder="1" applyAlignment="1">
      <alignment vertical="top"/>
    </xf>
    <xf numFmtId="0" fontId="11" fillId="0" borderId="1" xfId="0" applyFont="1" applyBorder="1" applyAlignment="1">
      <alignment vertical="top"/>
    </xf>
    <xf numFmtId="0" fontId="3" fillId="0" borderId="0" xfId="0" applyFont="1" applyFill="1" applyAlignment="1">
      <alignment horizontal="left" vertical="top"/>
    </xf>
    <xf numFmtId="0" fontId="28" fillId="0" borderId="0" xfId="3" applyFont="1" applyBorder="1" applyAlignment="1" applyProtection="1">
      <alignment horizontal="left" vertical="top" wrapText="1"/>
    </xf>
    <xf numFmtId="0" fontId="28" fillId="0" borderId="0" xfId="0" applyFont="1" applyBorder="1" applyAlignment="1">
      <alignment horizontal="left" vertical="top" wrapText="1"/>
    </xf>
    <xf numFmtId="0" fontId="0" fillId="0" borderId="6" xfId="0" applyBorder="1" applyAlignment="1">
      <alignment horizontal="left" vertical="top"/>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1"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1" xfId="0" applyFont="1" applyFill="1" applyBorder="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horizontal="center" vertical="top" wrapText="1"/>
    </xf>
    <xf numFmtId="0" fontId="15" fillId="0" borderId="18"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3"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2" fontId="0" fillId="0" borderId="12" xfId="0" applyNumberFormat="1" applyBorder="1"/>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10" fontId="0" fillId="0" borderId="1" xfId="0" applyNumberFormat="1" applyFill="1" applyBorder="1" applyAlignment="1">
      <alignment horizontal="right"/>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6" fillId="0" borderId="21" xfId="0" applyFont="1" applyFill="1" applyBorder="1" applyAlignment="1">
      <alignment horizontal="center"/>
    </xf>
    <xf numFmtId="0" fontId="26"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5" xfId="0" applyFill="1" applyBorder="1" applyAlignment="1">
      <alignment vertical="top" wrapText="1"/>
    </xf>
    <xf numFmtId="0" fontId="0" fillId="0" borderId="26" xfId="0" applyFill="1" applyBorder="1" applyAlignment="1">
      <alignment vertical="top" wrapText="1"/>
    </xf>
    <xf numFmtId="0" fontId="0" fillId="0" borderId="20" xfId="0" applyFill="1" applyBorder="1" applyAlignment="1">
      <alignment horizontal="left" vertical="top" wrapText="1"/>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5" borderId="18"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49" fontId="0" fillId="0" borderId="1" xfId="0" applyNumberFormat="1" applyFill="1" applyBorder="1" applyAlignment="1">
      <alignment horizontal="left" vertical="center" indent="2"/>
    </xf>
    <xf numFmtId="0" fontId="3" fillId="5" borderId="1" xfId="0" applyFont="1" applyFill="1" applyBorder="1" applyAlignment="1">
      <alignment horizontal="center" vertical="center" wrapText="1"/>
    </xf>
    <xf numFmtId="0" fontId="4" fillId="0" borderId="0" xfId="0" applyFont="1" applyFill="1" applyAlignment="1">
      <alignment horizontal="left" vertical="center"/>
    </xf>
    <xf numFmtId="0" fontId="0" fillId="0" borderId="5" xfId="0" applyBorder="1" applyAlignment="1">
      <alignment horizontal="left" vertical="top" wrapText="1"/>
    </xf>
    <xf numFmtId="0" fontId="0" fillId="0" borderId="1" xfId="0" applyBorder="1" applyAlignment="1">
      <alignment horizontal="center" vertical="top"/>
    </xf>
    <xf numFmtId="2" fontId="4" fillId="0" borderId="1" xfId="0" applyNumberFormat="1" applyFont="1" applyBorder="1" applyAlignment="1">
      <alignment horizontal="center" wrapText="1"/>
    </xf>
    <xf numFmtId="173" fontId="0" fillId="0" borderId="1" xfId="1" applyNumberFormat="1" applyFont="1" applyBorder="1" applyAlignment="1"/>
    <xf numFmtId="0" fontId="13" fillId="0" borderId="1" xfId="0" applyFont="1" applyBorder="1" applyAlignment="1">
      <alignment horizontal="center" vertical="top" wrapText="1"/>
    </xf>
    <xf numFmtId="0" fontId="0" fillId="0" borderId="1" xfId="0" applyFill="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9" fillId="3" borderId="9" xfId="0" applyFont="1" applyFill="1" applyBorder="1" applyAlignment="1">
      <alignment vertical="center"/>
    </xf>
    <xf numFmtId="0" fontId="9" fillId="3" borderId="5" xfId="0" applyFont="1" applyFill="1" applyBorder="1" applyAlignment="1">
      <alignment vertical="center"/>
    </xf>
    <xf numFmtId="0" fontId="0" fillId="0" borderId="0" xfId="0" applyBorder="1" applyAlignment="1">
      <alignment horizontal="center" vertical="center"/>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0" fillId="0" borderId="23" xfId="0" applyFill="1" applyBorder="1" applyAlignment="1">
      <alignment horizontal="center" vertical="top" wrapText="1"/>
    </xf>
    <xf numFmtId="166" fontId="4" fillId="0" borderId="1" xfId="0" applyNumberFormat="1" applyFont="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4" fillId="0" borderId="1" xfId="0" applyFont="1" applyFill="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top"/>
    </xf>
    <xf numFmtId="16" fontId="4" fillId="0" borderId="1" xfId="0" quotePrefix="1" applyNumberFormat="1" applyFont="1" applyBorder="1" applyAlignment="1">
      <alignment horizontal="left"/>
    </xf>
    <xf numFmtId="166" fontId="4" fillId="0" borderId="1" xfId="0" quotePrefix="1" applyNumberFormat="1" applyFont="1" applyBorder="1" applyAlignment="1">
      <alignment horizontal="left" vertical="top"/>
    </xf>
    <xf numFmtId="49" fontId="0" fillId="0" borderId="1" xfId="0" applyNumberFormat="1" applyBorder="1" applyAlignment="1">
      <alignment horizontal="center" vertical="center"/>
    </xf>
    <xf numFmtId="49" fontId="4" fillId="0" borderId="1" xfId="0" applyNumberFormat="1" applyFont="1" applyBorder="1" applyAlignment="1">
      <alignment horizontal="center" vertical="center"/>
    </xf>
    <xf numFmtId="165" fontId="0" fillId="0" borderId="1" xfId="2" applyNumberFormat="1" applyFont="1" applyBorder="1" applyAlignment="1">
      <alignment horizontal="right" vertical="top"/>
    </xf>
    <xf numFmtId="166" fontId="0" fillId="0" borderId="1" xfId="0" applyNumberFormat="1" applyBorder="1" applyAlignment="1">
      <alignment horizontal="center" vertical="top"/>
    </xf>
    <xf numFmtId="169" fontId="0" fillId="0" borderId="1" xfId="0" applyNumberFormat="1" applyBorder="1" applyAlignment="1">
      <alignment horizontal="right"/>
    </xf>
    <xf numFmtId="0" fontId="0" fillId="0" borderId="1" xfId="0" applyBorder="1" applyAlignment="1">
      <alignment vertical="center"/>
    </xf>
    <xf numFmtId="0" fontId="3" fillId="0" borderId="1" xfId="0" applyFont="1" applyBorder="1" applyAlignment="1">
      <alignment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37" fontId="1" fillId="0" borderId="1" xfId="1" applyNumberFormat="1" applyBorder="1" applyAlignment="1">
      <alignment horizontal="right"/>
    </xf>
    <xf numFmtId="37" fontId="3" fillId="0" borderId="1" xfId="1" applyNumberFormat="1" applyFont="1" applyBorder="1" applyAlignment="1">
      <alignment horizontal="right"/>
    </xf>
    <xf numFmtId="0" fontId="5" fillId="2" borderId="1" xfId="0" applyFont="1" applyFill="1" applyBorder="1" applyAlignment="1">
      <alignment horizontal="right"/>
    </xf>
    <xf numFmtId="0" fontId="4" fillId="0" borderId="1" xfId="0" applyFont="1" applyFill="1" applyBorder="1" applyAlignment="1">
      <alignment horizontal="right"/>
    </xf>
    <xf numFmtId="0" fontId="3" fillId="0" borderId="1" xfId="0" applyFont="1" applyFill="1" applyBorder="1" applyAlignment="1">
      <alignment horizontal="right"/>
    </xf>
    <xf numFmtId="37" fontId="1" fillId="0" borderId="2" xfId="1" applyNumberFormat="1" applyBorder="1" applyAlignment="1">
      <alignment horizontal="right"/>
    </xf>
    <xf numFmtId="37" fontId="0" fillId="0" borderId="9" xfId="0" applyNumberFormat="1" applyBorder="1" applyAlignment="1">
      <alignment horizontal="right"/>
    </xf>
    <xf numFmtId="37" fontId="3" fillId="0" borderId="9" xfId="1" applyNumberFormat="1" applyFont="1" applyBorder="1" applyAlignment="1">
      <alignment horizontal="right"/>
    </xf>
    <xf numFmtId="0" fontId="0" fillId="0" borderId="1" xfId="0" applyBorder="1" applyAlignment="1">
      <alignment horizontal="center"/>
    </xf>
    <xf numFmtId="37" fontId="0" fillId="0" borderId="1" xfId="0" applyNumberFormat="1" applyBorder="1" applyAlignment="1">
      <alignment horizontal="right"/>
    </xf>
    <xf numFmtId="37" fontId="3" fillId="0" borderId="1" xfId="0" applyNumberFormat="1" applyFont="1" applyBorder="1" applyAlignment="1">
      <alignment horizontal="right"/>
    </xf>
    <xf numFmtId="10" fontId="0" fillId="0" borderId="1" xfId="0" applyNumberFormat="1" applyBorder="1" applyAlignment="1">
      <alignment horizontal="right"/>
    </xf>
    <xf numFmtId="10" fontId="0" fillId="0" borderId="1" xfId="0" applyNumberFormat="1" applyFill="1" applyBorder="1" applyAlignment="1">
      <alignment horizontal="right"/>
    </xf>
    <xf numFmtId="10" fontId="0" fillId="0" borderId="1" xfId="4" applyNumberFormat="1" applyFont="1" applyBorder="1" applyAlignment="1">
      <alignment horizontal="right"/>
    </xf>
    <xf numFmtId="0" fontId="0" fillId="0" borderId="0" xfId="0"/>
    <xf numFmtId="0" fontId="3" fillId="0" borderId="0" xfId="0" applyFont="1" applyAlignment="1">
      <alignment horizontal="left" vertical="top"/>
    </xf>
    <xf numFmtId="9" fontId="0" fillId="0" borderId="0" xfId="4" applyFont="1" applyBorder="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169" fontId="0" fillId="0" borderId="1" xfId="0" applyNumberFormat="1" applyBorder="1"/>
    <xf numFmtId="169" fontId="0" fillId="0" borderId="3" xfId="0" applyNumberFormat="1" applyBorder="1"/>
    <xf numFmtId="49" fontId="34" fillId="0" borderId="1" xfId="0" applyNumberFormat="1" applyFont="1" applyBorder="1" applyAlignment="1">
      <alignment horizontal="center" vertical="center"/>
    </xf>
    <xf numFmtId="9" fontId="0" fillId="0" borderId="1" xfId="0" applyNumberFormat="1" applyBorder="1" applyAlignment="1">
      <alignment horizontal="right"/>
    </xf>
    <xf numFmtId="9" fontId="0" fillId="0" borderId="1" xfId="0" applyNumberFormat="1" applyBorder="1" applyAlignment="1">
      <alignment horizontal="right" wrapText="1"/>
    </xf>
    <xf numFmtId="9" fontId="0" fillId="0" borderId="1" xfId="4" applyNumberFormat="1" applyFont="1" applyBorder="1" applyAlignment="1">
      <alignment horizontal="right"/>
    </xf>
    <xf numFmtId="1" fontId="0" fillId="0" borderId="1" xfId="0" applyNumberFormat="1" applyBorder="1" applyAlignment="1">
      <alignment horizontal="right"/>
    </xf>
    <xf numFmtId="5" fontId="0" fillId="0" borderId="1" xfId="0" applyNumberFormat="1" applyBorder="1"/>
    <xf numFmtId="168" fontId="0" fillId="0" borderId="1" xfId="0" applyNumberFormat="1" applyFill="1" applyBorder="1"/>
    <xf numFmtId="168" fontId="0" fillId="0" borderId="5" xfId="0" applyNumberFormat="1" applyFill="1" applyBorder="1"/>
    <xf numFmtId="168" fontId="0" fillId="0" borderId="1" xfId="0" applyNumberFormat="1" applyBorder="1"/>
    <xf numFmtId="0" fontId="0" fillId="0" borderId="0" xfId="0" applyAlignment="1"/>
    <xf numFmtId="0" fontId="0" fillId="0" borderId="0" xfId="0" applyAlignment="1">
      <alignment horizontal="left" vertical="top" wrapText="1"/>
    </xf>
    <xf numFmtId="0" fontId="0" fillId="0" borderId="0" xfId="0" applyBorder="1" applyAlignment="1"/>
    <xf numFmtId="0" fontId="0" fillId="0" borderId="1" xfId="0" applyBorder="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4" fillId="0" borderId="0" xfId="0" applyFont="1" applyBorder="1" applyAlignment="1">
      <alignment horizontal="left" vertical="top" wrapText="1"/>
    </xf>
    <xf numFmtId="0" fontId="0" fillId="0" borderId="0" xfId="0" applyBorder="1" applyAlignment="1">
      <alignment horizontal="left" vertical="top" wrapText="1"/>
    </xf>
    <xf numFmtId="0" fontId="0" fillId="0" borderId="1" xfId="0" applyBorder="1" applyAlignment="1"/>
    <xf numFmtId="0" fontId="4" fillId="0" borderId="0" xfId="0" applyFont="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xf>
    <xf numFmtId="0" fontId="4" fillId="0" borderId="1" xfId="0" applyFont="1" applyBorder="1" applyAlignment="1">
      <alignment horizontal="center" vertical="center" wrapText="1"/>
    </xf>
    <xf numFmtId="0" fontId="4" fillId="0" borderId="0" xfId="0" applyFont="1" applyFill="1" applyAlignment="1">
      <alignment wrapText="1"/>
    </xf>
    <xf numFmtId="0" fontId="0" fillId="2" borderId="1" xfId="0" applyFill="1" applyBorder="1"/>
    <xf numFmtId="0" fontId="0" fillId="0" borderId="1" xfId="0" applyBorder="1"/>
    <xf numFmtId="0" fontId="7" fillId="0" borderId="0" xfId="0" applyFont="1" applyAlignment="1">
      <alignment horizontal="left" vertical="top" wrapText="1"/>
    </xf>
    <xf numFmtId="0" fontId="0" fillId="0" borderId="0" xfId="0"/>
    <xf numFmtId="0" fontId="3" fillId="0" borderId="1" xfId="0" applyFont="1" applyBorder="1" applyAlignment="1">
      <alignment horizontal="center" vertical="center" wrapText="1"/>
    </xf>
    <xf numFmtId="0" fontId="3" fillId="0" borderId="0" xfId="0" applyFont="1" applyAlignment="1">
      <alignment horizontal="left" vertical="top"/>
    </xf>
    <xf numFmtId="0" fontId="2" fillId="0" borderId="0" xfId="0" applyFont="1" applyFill="1" applyAlignment="1">
      <alignment horizontal="center" vertical="center"/>
    </xf>
    <xf numFmtId="49" fontId="4" fillId="0" borderId="1" xfId="0" applyNumberFormat="1" applyFont="1" applyBorder="1" applyAlignment="1">
      <alignment horizontal="center" vertical="center" wrapText="1"/>
    </xf>
    <xf numFmtId="0" fontId="11" fillId="0" borderId="1" xfId="0" applyFont="1" applyFill="1" applyBorder="1" applyAlignment="1">
      <alignment horizontal="left" vertical="top" wrapText="1"/>
    </xf>
    <xf numFmtId="165" fontId="12" fillId="0" borderId="1" xfId="0" applyNumberFormat="1" applyFont="1" applyFill="1" applyBorder="1" applyAlignment="1">
      <alignment horizontal="right" wrapText="1"/>
    </xf>
    <xf numFmtId="0" fontId="0" fillId="0" borderId="0" xfId="0" applyAlignment="1"/>
    <xf numFmtId="0" fontId="3" fillId="0" borderId="0" xfId="0" applyFont="1" applyAlignment="1">
      <alignment vertical="top" wrapText="1"/>
    </xf>
    <xf numFmtId="0" fontId="0" fillId="0" borderId="1" xfId="0" applyBorder="1"/>
    <xf numFmtId="0" fontId="0" fillId="0" borderId="0" xfId="0"/>
    <xf numFmtId="49" fontId="35" fillId="0" borderId="1" xfId="0" applyNumberFormat="1" applyFont="1" applyBorder="1" applyAlignment="1">
      <alignment horizontal="center" vertical="center"/>
    </xf>
    <xf numFmtId="169" fontId="15" fillId="0" borderId="17" xfId="4" applyNumberFormat="1" applyFont="1" applyBorder="1" applyAlignment="1">
      <alignment vertical="top" wrapText="1"/>
    </xf>
    <xf numFmtId="169" fontId="15" fillId="0" borderId="19" xfId="4" applyNumberFormat="1" applyFont="1" applyBorder="1" applyAlignment="1">
      <alignment vertical="top" wrapText="1"/>
    </xf>
    <xf numFmtId="169" fontId="15" fillId="0" borderId="19" xfId="4" applyNumberFormat="1" applyFont="1" applyFill="1" applyBorder="1" applyAlignment="1">
      <alignment vertical="top" wrapText="1"/>
    </xf>
    <xf numFmtId="169" fontId="0" fillId="0" borderId="1" xfId="4" applyNumberFormat="1" applyFont="1" applyFill="1" applyBorder="1" applyAlignment="1">
      <alignment horizontal="center" vertical="center"/>
    </xf>
    <xf numFmtId="0" fontId="0" fillId="0" borderId="1" xfId="0" applyBorder="1"/>
    <xf numFmtId="0" fontId="12" fillId="4" borderId="0" xfId="0" applyFont="1" applyFill="1" applyAlignment="1">
      <alignment horizontal="left" vertical="top" wrapText="1"/>
    </xf>
    <xf numFmtId="0" fontId="26" fillId="0" borderId="0" xfId="0" applyFont="1" applyAlignment="1">
      <alignment horizontal="left" vertical="top" wrapText="1"/>
    </xf>
    <xf numFmtId="0" fontId="28" fillId="0" borderId="1" xfId="0" applyFont="1" applyBorder="1" applyAlignment="1">
      <alignment horizontal="left" vertical="top" wrapText="1"/>
    </xf>
    <xf numFmtId="0" fontId="28" fillId="0" borderId="1" xfId="3" applyFont="1" applyBorder="1" applyAlignment="1" applyProtection="1">
      <alignment horizontal="left" vertical="top" wrapText="1"/>
    </xf>
    <xf numFmtId="0" fontId="28" fillId="0" borderId="6" xfId="0" applyFont="1" applyBorder="1" applyAlignment="1">
      <alignment horizontal="left" vertical="top" wrapText="1"/>
    </xf>
    <xf numFmtId="0" fontId="28"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3" fillId="0" borderId="0" xfId="0" applyFont="1" applyBorder="1" applyAlignment="1">
      <alignment horizontal="left" vertical="center" wrapText="1"/>
    </xf>
    <xf numFmtId="0" fontId="0" fillId="0" borderId="0" xfId="0" applyBorder="1" applyAlignment="1"/>
    <xf numFmtId="0" fontId="0" fillId="0" borderId="0" xfId="0" applyAlignment="1">
      <alignment horizontal="left" vertical="center" wrapText="1"/>
    </xf>
    <xf numFmtId="0" fontId="3"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vertical="center"/>
    </xf>
    <xf numFmtId="0" fontId="4" fillId="0" borderId="6" xfId="0" applyFont="1" applyFill="1" applyBorder="1" applyAlignment="1"/>
    <xf numFmtId="0" fontId="0" fillId="0" borderId="5" xfId="0" applyFill="1" applyBorder="1" applyAlignment="1"/>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0" fillId="0" borderId="1" xfId="0" applyBorder="1" applyAlignment="1">
      <alignment horizontal="left" vertical="top" wrapText="1"/>
    </xf>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0" xfId="0" applyFont="1" applyAlignment="1">
      <alignment horizontal="left" wrapText="1"/>
    </xf>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11" fillId="0" borderId="6" xfId="0" applyFont="1" applyFill="1" applyBorder="1" applyAlignment="1"/>
    <xf numFmtId="0" fontId="3" fillId="0" borderId="0" xfId="0" applyFont="1" applyAlignment="1"/>
    <xf numFmtId="0" fontId="0" fillId="0" borderId="0" xfId="0" applyFill="1" applyAlignment="1"/>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4" xfId="0" applyFont="1"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16" fillId="2" borderId="6" xfId="0" applyFont="1" applyFill="1" applyBorder="1" applyAlignment="1"/>
    <xf numFmtId="0" fontId="0" fillId="0" borderId="9" xfId="0" applyBorder="1" applyAlignment="1"/>
    <xf numFmtId="0" fontId="0" fillId="0" borderId="5" xfId="0"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4" fillId="0" borderId="10"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4" xfId="0" applyBorder="1" applyAlignment="1"/>
    <xf numFmtId="0" fontId="0" fillId="0" borderId="2" xfId="0" applyBorder="1" applyAlignment="1"/>
    <xf numFmtId="0" fontId="0" fillId="0" borderId="8" xfId="0" applyBorder="1" applyAlignment="1"/>
    <xf numFmtId="0" fontId="4" fillId="0" borderId="3" xfId="0" applyFont="1" applyBorder="1" applyAlignment="1">
      <alignment horizontal="left" vertical="top" wrapText="1"/>
    </xf>
    <xf numFmtId="0" fontId="11" fillId="0" borderId="0" xfId="0" applyFont="1" applyAlignment="1">
      <alignment horizontal="left" vertical="top" wrapText="1"/>
    </xf>
    <xf numFmtId="0" fontId="0" fillId="0" borderId="6" xfId="0" applyFill="1" applyBorder="1" applyAlignment="1"/>
    <xf numFmtId="0" fontId="0" fillId="0" borderId="9" xfId="0" applyFill="1" applyBorder="1" applyAlignment="1"/>
    <xf numFmtId="0" fontId="0" fillId="0" borderId="1" xfId="0" applyFill="1" applyBorder="1" applyAlignment="1">
      <alignment horizontal="left" vertical="top" wrapText="1"/>
    </xf>
    <xf numFmtId="0" fontId="11" fillId="0" borderId="1" xfId="0" applyFont="1" applyBorder="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6" fillId="2" borderId="1" xfId="0" applyFont="1" applyFill="1" applyBorder="1" applyAlignment="1"/>
    <xf numFmtId="0" fontId="0" fillId="2" borderId="1" xfId="0" applyFill="1" applyBorder="1" applyAlignment="1"/>
    <xf numFmtId="0" fontId="3" fillId="0" borderId="0" xfId="0"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0" fillId="0" borderId="6" xfId="0" applyBorder="1" applyAlignment="1">
      <alignment horizontal="left" vertical="top" wrapText="1"/>
    </xf>
    <xf numFmtId="0" fontId="0" fillId="0" borderId="5" xfId="0" applyBorder="1" applyAlignment="1">
      <alignment wrapText="1"/>
    </xf>
    <xf numFmtId="0" fontId="0" fillId="0" borderId="0" xfId="0" applyAlignment="1">
      <alignment horizontal="center" vertical="center"/>
    </xf>
    <xf numFmtId="0" fontId="0" fillId="0" borderId="6" xfId="0" applyBorder="1" applyAlignment="1"/>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1" fillId="0" borderId="6" xfId="0" applyFont="1" applyBorder="1" applyAlignment="1"/>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0" fillId="0" borderId="1" xfId="0" applyFill="1" applyBorder="1" applyAlignment="1"/>
    <xf numFmtId="0" fontId="3" fillId="0" borderId="0" xfId="0" applyFont="1" applyAlignment="1">
      <alignment vertical="top"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applyAlignment="1">
      <alignment vertical="top" wrapText="1"/>
    </xf>
    <xf numFmtId="0" fontId="0" fillId="0" borderId="2" xfId="0" applyBorder="1" applyAlignment="1">
      <alignment vertical="top" wrapText="1"/>
    </xf>
    <xf numFmtId="0" fontId="11" fillId="0" borderId="20" xfId="0" applyFont="1" applyBorder="1" applyAlignment="1"/>
    <xf numFmtId="0" fontId="0" fillId="0" borderId="20" xfId="0" applyBorder="1" applyAlignment="1"/>
    <xf numFmtId="0" fontId="0" fillId="0" borderId="15" xfId="0" applyBorder="1" applyAlignment="1">
      <alignment horizontal="left" vertical="top" wrapText="1"/>
    </xf>
    <xf numFmtId="0" fontId="15" fillId="0" borderId="0" xfId="0" applyFont="1" applyFill="1" applyAlignment="1"/>
    <xf numFmtId="0" fontId="11" fillId="0" borderId="0" xfId="0" applyFont="1" applyFill="1" applyBorder="1" applyAlignment="1">
      <alignment horizontal="left" vertical="top" wrapText="1"/>
    </xf>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0" fillId="0" borderId="0" xfId="0" applyFill="1" applyBorder="1" applyAlignment="1"/>
    <xf numFmtId="0" fontId="0" fillId="0" borderId="11" xfId="0" applyBorder="1" applyAlignment="1">
      <alignment horizontal="left" vertical="top"/>
    </xf>
    <xf numFmtId="0" fontId="11" fillId="0" borderId="6" xfId="0" applyFont="1" applyBorder="1" applyAlignment="1">
      <alignment horizontal="left" vertical="top" wrapText="1"/>
    </xf>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11" fillId="0" borderId="0" xfId="0" applyFont="1" applyFill="1" applyBorder="1" applyAlignment="1">
      <alignment vertical="top" wrapText="1"/>
    </xf>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xf numFmtId="0" fontId="11" fillId="0" borderId="7" xfId="0" applyFont="1" applyFill="1" applyBorder="1" applyAlignment="1"/>
    <xf numFmtId="0" fontId="0" fillId="0" borderId="14" xfId="0" applyFill="1" applyBorder="1" applyAlignment="1"/>
    <xf numFmtId="0" fontId="4" fillId="0" borderId="11"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7" fillId="0" borderId="0" xfId="0" applyFont="1" applyAlignment="1">
      <alignment horizontal="left" vertical="top"/>
    </xf>
    <xf numFmtId="0" fontId="4" fillId="0" borderId="0" xfId="0" applyFont="1" applyAlignment="1">
      <alignment vertical="top" wrapText="1"/>
    </xf>
    <xf numFmtId="0" fontId="4" fillId="0" borderId="2" xfId="0" applyFont="1" applyBorder="1" applyAlignment="1">
      <alignment horizontal="left" vertical="top"/>
    </xf>
    <xf numFmtId="0" fontId="4" fillId="0" borderId="0" xfId="0" applyFont="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3" fillId="0" borderId="0" xfId="0" applyFont="1" applyAlignment="1">
      <alignment horizontal="left" vertical="top" wrapText="1"/>
    </xf>
    <xf numFmtId="0" fontId="0" fillId="0" borderId="0" xfId="0" applyAlignment="1">
      <alignment wrapText="1"/>
    </xf>
    <xf numFmtId="0" fontId="0" fillId="0" borderId="4"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6" xfId="0" applyBorder="1" applyAlignment="1">
      <alignment horizontal="left" vertical="top"/>
    </xf>
    <xf numFmtId="0" fontId="0" fillId="0" borderId="6" xfId="0" applyFill="1" applyBorder="1" applyAlignment="1">
      <alignment horizontal="left" vertical="top"/>
    </xf>
    <xf numFmtId="0" fontId="0" fillId="0" borderId="1" xfId="0" applyBorder="1"/>
    <xf numFmtId="0" fontId="0" fillId="0" borderId="9" xfId="0" applyFill="1" applyBorder="1" applyAlignment="1">
      <alignment horizontal="left" vertical="top" wrapText="1"/>
    </xf>
    <xf numFmtId="0" fontId="22" fillId="0" borderId="6" xfId="0" applyFont="1" applyBorder="1" applyAlignment="1">
      <alignment horizontal="left" vertical="top" wrapText="1"/>
    </xf>
    <xf numFmtId="0" fontId="22" fillId="0" borderId="9" xfId="0" applyFont="1" applyBorder="1" applyAlignment="1">
      <alignment horizontal="left" vertical="top" wrapText="1"/>
    </xf>
    <xf numFmtId="0" fontId="22" fillId="0" borderId="5" xfId="0" applyFont="1" applyBorder="1" applyAlignment="1">
      <alignment horizontal="left" vertical="top" wrapText="1"/>
    </xf>
    <xf numFmtId="0" fontId="10" fillId="2" borderId="6" xfId="0" applyFont="1" applyFill="1" applyBorder="1"/>
    <xf numFmtId="0" fontId="10" fillId="2" borderId="9" xfId="0" applyFont="1" applyFill="1" applyBorder="1"/>
    <xf numFmtId="0" fontId="10" fillId="2" borderId="5" xfId="0" applyFont="1" applyFill="1" applyBorder="1"/>
    <xf numFmtId="0" fontId="0" fillId="2" borderId="6" xfId="0" applyFill="1" applyBorder="1"/>
    <xf numFmtId="0" fontId="0" fillId="2" borderId="9" xfId="0" applyFill="1" applyBorder="1"/>
    <xf numFmtId="0" fontId="0" fillId="2" borderId="5" xfId="0" applyFill="1" applyBorder="1"/>
    <xf numFmtId="0" fontId="0" fillId="0" borderId="1" xfId="0" applyBorder="1" applyAlignment="1">
      <alignment horizontal="left" vertical="center"/>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4" fillId="0" borderId="0" xfId="0" applyFont="1" applyFill="1" applyAlignment="1">
      <alignment horizontal="left" vertical="top"/>
    </xf>
    <xf numFmtId="0" fontId="22" fillId="0" borderId="0" xfId="0" applyFont="1" applyAlignment="1">
      <alignment horizontal="left" vertical="top" wrapText="1"/>
    </xf>
    <xf numFmtId="0" fontId="20" fillId="0" borderId="1" xfId="0" applyFont="1" applyFill="1" applyBorder="1" applyAlignment="1">
      <alignment vertical="top" wrapText="1"/>
    </xf>
    <xf numFmtId="0" fontId="24" fillId="0" borderId="0" xfId="0" applyFont="1" applyFill="1" applyAlignment="1">
      <alignment horizontal="left" vertical="top" wrapText="1"/>
    </xf>
    <xf numFmtId="0" fontId="20" fillId="0" borderId="0" xfId="0" applyFont="1" applyFill="1" applyAlignment="1">
      <alignment horizontal="left" vertical="top" wrapText="1"/>
    </xf>
    <xf numFmtId="0" fontId="24" fillId="0" borderId="0" xfId="0" applyFont="1" applyAlignment="1">
      <alignment horizontal="left" vertical="top" wrapText="1"/>
    </xf>
    <xf numFmtId="0" fontId="20" fillId="0" borderId="0" xfId="0" applyFont="1" applyAlignment="1">
      <alignment horizontal="left" vertical="top" wrapText="1"/>
    </xf>
    <xf numFmtId="0" fontId="0" fillId="0" borderId="0" xfId="0"/>
    <xf numFmtId="0" fontId="3" fillId="0" borderId="1" xfId="0" applyFont="1" applyBorder="1" applyAlignment="1">
      <alignment horizontal="center" vertical="center" wrapText="1"/>
    </xf>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0" xfId="0" applyFont="1" applyFill="1" applyAlignment="1">
      <alignment horizontal="center" vertical="center"/>
    </xf>
    <xf numFmtId="0" fontId="0" fillId="0" borderId="1" xfId="0" applyFill="1" applyBorder="1" applyAlignment="1">
      <alignment horizontal="right"/>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B17"/>
  <sheetViews>
    <sheetView zoomScaleNormal="100" workbookViewId="0">
      <selection activeCell="B6" sqref="B6"/>
    </sheetView>
  </sheetViews>
  <sheetFormatPr defaultRowHeight="12.75"/>
  <cols>
    <col min="1" max="1" width="13.140625" style="214" customWidth="1"/>
    <col min="2" max="2" width="83" style="212" customWidth="1"/>
    <col min="3" max="3" width="11" style="215" customWidth="1"/>
    <col min="4" max="16384" width="9.140625" style="215"/>
  </cols>
  <sheetData>
    <row r="1" spans="1:2">
      <c r="A1" s="420" t="s">
        <v>1012</v>
      </c>
      <c r="B1" s="420"/>
    </row>
    <row r="2" spans="1:2">
      <c r="A2" s="213"/>
      <c r="B2" s="213"/>
    </row>
    <row r="3" spans="1:2">
      <c r="A3" s="419" t="s">
        <v>364</v>
      </c>
      <c r="B3" s="419"/>
    </row>
    <row r="4" spans="1:2">
      <c r="A4" s="213"/>
    </row>
    <row r="5" spans="1:2" ht="12.75" customHeight="1">
      <c r="A5" s="420" t="s">
        <v>448</v>
      </c>
      <c r="B5" s="420"/>
    </row>
    <row r="6" spans="1:2">
      <c r="A6" s="214" t="s">
        <v>178</v>
      </c>
      <c r="B6" s="212" t="s">
        <v>1058</v>
      </c>
    </row>
    <row r="7" spans="1:2">
      <c r="A7" s="214" t="s">
        <v>178</v>
      </c>
      <c r="B7" s="212" t="s">
        <v>1052</v>
      </c>
    </row>
    <row r="8" spans="1:2">
      <c r="A8" s="214" t="s">
        <v>178</v>
      </c>
      <c r="B8" s="212" t="s">
        <v>1053</v>
      </c>
    </row>
    <row r="9" spans="1:2">
      <c r="A9" s="214" t="s">
        <v>178</v>
      </c>
      <c r="B9" s="212" t="s">
        <v>1005</v>
      </c>
    </row>
    <row r="10" spans="1:2">
      <c r="A10" s="214" t="s">
        <v>178</v>
      </c>
      <c r="B10" s="212" t="s">
        <v>1006</v>
      </c>
    </row>
    <row r="17" ht="13.5" customHeight="1"/>
  </sheetData>
  <mergeCells count="3">
    <mergeCell ref="A3:B3"/>
    <mergeCell ref="A1:B1"/>
    <mergeCell ref="A5:B5"/>
  </mergeCells>
  <phoneticPr fontId="27" type="noConversion"/>
  <pageMargins left="1" right="1" top="1" bottom="1" header="0.5" footer="0.5"/>
  <pageSetup scale="86" orientation="portrait" r:id="rId1"/>
  <headerFooter alignWithMargins="0">
    <oddHeader>&amp;CCommon Data Set 2011-2012</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F70"/>
  <sheetViews>
    <sheetView zoomScaleNormal="100" workbookViewId="0">
      <selection activeCell="D63" sqref="D63"/>
    </sheetView>
  </sheetViews>
  <sheetFormatPr defaultRowHeight="12.75"/>
  <cols>
    <col min="1" max="1" width="4.5703125" style="1" bestFit="1" customWidth="1"/>
    <col min="2" max="2" width="31.85546875" bestFit="1" customWidth="1"/>
    <col min="3" max="3" width="4" customWidth="1"/>
    <col min="4" max="4" width="45.5703125" customWidth="1"/>
  </cols>
  <sheetData>
    <row r="1" spans="1:6" ht="18">
      <c r="A1" s="425" t="s">
        <v>236</v>
      </c>
      <c r="B1" s="425"/>
      <c r="C1" s="425"/>
      <c r="D1" s="426"/>
    </row>
    <row r="2" spans="1:6">
      <c r="C2" s="427"/>
      <c r="D2" s="427"/>
    </row>
    <row r="3" spans="1:6">
      <c r="A3" s="2" t="s">
        <v>153</v>
      </c>
      <c r="B3" s="194" t="s">
        <v>154</v>
      </c>
      <c r="C3" s="49"/>
      <c r="D3" s="49"/>
    </row>
    <row r="4" spans="1:6">
      <c r="A4" s="2" t="s">
        <v>153</v>
      </c>
      <c r="B4" s="195" t="s">
        <v>155</v>
      </c>
      <c r="C4" s="186"/>
      <c r="D4" s="318" t="s">
        <v>1080</v>
      </c>
    </row>
    <row r="5" spans="1:6">
      <c r="A5" s="2" t="s">
        <v>153</v>
      </c>
      <c r="B5" s="195" t="s">
        <v>156</v>
      </c>
      <c r="C5" s="186"/>
      <c r="D5" s="318" t="s">
        <v>1081</v>
      </c>
    </row>
    <row r="6" spans="1:6" ht="25.5">
      <c r="A6" s="2" t="s">
        <v>153</v>
      </c>
      <c r="B6" s="195" t="s">
        <v>157</v>
      </c>
      <c r="C6" s="186"/>
      <c r="D6" s="318" t="s">
        <v>1082</v>
      </c>
    </row>
    <row r="7" spans="1:6">
      <c r="A7" s="2" t="s">
        <v>153</v>
      </c>
      <c r="B7" s="195" t="s">
        <v>238</v>
      </c>
      <c r="C7" s="186"/>
      <c r="D7" s="318" t="s">
        <v>1083</v>
      </c>
    </row>
    <row r="8" spans="1:6">
      <c r="A8" s="2" t="s">
        <v>153</v>
      </c>
      <c r="B8" s="195" t="s">
        <v>158</v>
      </c>
      <c r="C8" s="186"/>
      <c r="D8" s="318" t="s">
        <v>1084</v>
      </c>
    </row>
    <row r="9" spans="1:6">
      <c r="A9" s="2" t="s">
        <v>153</v>
      </c>
      <c r="B9" s="195" t="s">
        <v>159</v>
      </c>
      <c r="C9" s="186"/>
      <c r="D9" s="318" t="s">
        <v>1085</v>
      </c>
    </row>
    <row r="10" spans="1:6">
      <c r="A10" s="2" t="s">
        <v>153</v>
      </c>
      <c r="B10" s="195" t="s">
        <v>160</v>
      </c>
      <c r="C10" s="186"/>
      <c r="D10" s="318" t="s">
        <v>1086</v>
      </c>
    </row>
    <row r="11" spans="1:6">
      <c r="A11" s="2" t="s">
        <v>153</v>
      </c>
      <c r="B11" s="195" t="s">
        <v>161</v>
      </c>
      <c r="C11" s="186"/>
      <c r="D11" s="318" t="s">
        <v>1087</v>
      </c>
    </row>
    <row r="12" spans="1:6">
      <c r="A12" s="2" t="s">
        <v>153</v>
      </c>
      <c r="B12" s="46" t="s">
        <v>162</v>
      </c>
      <c r="C12" s="49"/>
      <c r="D12" s="191"/>
      <c r="E12" s="190" t="s">
        <v>544</v>
      </c>
      <c r="F12" s="26" t="s">
        <v>545</v>
      </c>
    </row>
    <row r="13" spans="1:6">
      <c r="A13" s="2"/>
      <c r="B13" s="46"/>
      <c r="C13" s="49"/>
      <c r="D13" s="191"/>
      <c r="E13" s="190" t="s">
        <v>1059</v>
      </c>
      <c r="F13" s="9"/>
    </row>
    <row r="14" spans="1:6">
      <c r="A14" s="2" t="s">
        <v>153</v>
      </c>
      <c r="B14" s="196" t="s">
        <v>163</v>
      </c>
      <c r="C14" s="197"/>
      <c r="D14" s="198"/>
    </row>
    <row r="15" spans="1:6">
      <c r="A15" s="2"/>
      <c r="B15" s="192" t="s">
        <v>1088</v>
      </c>
      <c r="C15" s="189"/>
      <c r="D15" s="193"/>
    </row>
    <row r="16" spans="1:6">
      <c r="A16" s="2"/>
      <c r="B16" s="227"/>
      <c r="C16" s="228"/>
      <c r="D16" s="228"/>
    </row>
    <row r="17" spans="1:4" ht="53.25" customHeight="1">
      <c r="A17" s="236" t="s">
        <v>363</v>
      </c>
      <c r="B17" s="429" t="s">
        <v>763</v>
      </c>
      <c r="C17" s="429"/>
      <c r="D17" s="429"/>
    </row>
    <row r="18" spans="1:4" ht="53.25" customHeight="1">
      <c r="A18" s="2"/>
      <c r="B18" s="430"/>
      <c r="C18" s="431"/>
      <c r="D18" s="432"/>
    </row>
    <row r="19" spans="1:4">
      <c r="C19" s="7"/>
      <c r="D19" s="7"/>
    </row>
    <row r="20" spans="1:4">
      <c r="A20" s="2" t="s">
        <v>755</v>
      </c>
      <c r="B20" s="10" t="s">
        <v>237</v>
      </c>
      <c r="C20" s="428"/>
      <c r="D20" s="428"/>
    </row>
    <row r="21" spans="1:4">
      <c r="A21" s="2" t="s">
        <v>755</v>
      </c>
      <c r="B21" s="9" t="s">
        <v>370</v>
      </c>
      <c r="C21" s="421" t="s">
        <v>1089</v>
      </c>
      <c r="D21" s="421"/>
    </row>
    <row r="22" spans="1:4">
      <c r="A22" s="2" t="s">
        <v>755</v>
      </c>
      <c r="B22" s="9" t="s">
        <v>238</v>
      </c>
      <c r="C22" s="421" t="s">
        <v>1090</v>
      </c>
      <c r="D22" s="421"/>
    </row>
    <row r="23" spans="1:4">
      <c r="A23" s="2" t="s">
        <v>755</v>
      </c>
      <c r="B23" s="183" t="s">
        <v>743</v>
      </c>
      <c r="C23" s="421" t="s">
        <v>1091</v>
      </c>
      <c r="D23" s="421"/>
    </row>
    <row r="24" spans="1:4">
      <c r="A24" s="2" t="s">
        <v>755</v>
      </c>
      <c r="B24" s="183" t="s">
        <v>742</v>
      </c>
      <c r="C24" s="423"/>
      <c r="D24" s="424"/>
    </row>
    <row r="25" spans="1:4">
      <c r="A25" s="2" t="s">
        <v>755</v>
      </c>
      <c r="B25" s="183" t="s">
        <v>743</v>
      </c>
      <c r="C25" s="423"/>
      <c r="D25" s="424"/>
    </row>
    <row r="26" spans="1:4">
      <c r="A26" s="2" t="s">
        <v>755</v>
      </c>
      <c r="B26" s="9" t="s">
        <v>744</v>
      </c>
      <c r="C26" s="421" t="s">
        <v>1093</v>
      </c>
      <c r="D26" s="421"/>
    </row>
    <row r="27" spans="1:4">
      <c r="A27" s="2" t="s">
        <v>755</v>
      </c>
      <c r="B27" s="9" t="s">
        <v>239</v>
      </c>
      <c r="C27" s="422" t="s">
        <v>1092</v>
      </c>
      <c r="D27" s="421"/>
    </row>
    <row r="28" spans="1:4">
      <c r="A28" s="2" t="s">
        <v>755</v>
      </c>
      <c r="B28" s="9" t="s">
        <v>240</v>
      </c>
      <c r="C28" s="421" t="s">
        <v>1094</v>
      </c>
      <c r="D28" s="421"/>
    </row>
    <row r="29" spans="1:4">
      <c r="A29" s="2" t="s">
        <v>755</v>
      </c>
      <c r="B29" s="9" t="s">
        <v>241</v>
      </c>
      <c r="C29" s="421" t="s">
        <v>1095</v>
      </c>
      <c r="D29" s="421"/>
    </row>
    <row r="30" spans="1:4">
      <c r="A30" s="2" t="s">
        <v>755</v>
      </c>
      <c r="B30" s="9" t="s">
        <v>745</v>
      </c>
      <c r="C30" s="423" t="s">
        <v>1096</v>
      </c>
      <c r="D30" s="424"/>
    </row>
    <row r="31" spans="1:4">
      <c r="A31" s="2" t="s">
        <v>755</v>
      </c>
      <c r="B31" s="9" t="s">
        <v>743</v>
      </c>
      <c r="C31" s="423" t="s">
        <v>1097</v>
      </c>
      <c r="D31" s="424"/>
    </row>
    <row r="32" spans="1:4">
      <c r="A32" s="2" t="s">
        <v>755</v>
      </c>
      <c r="B32" s="9" t="s">
        <v>882</v>
      </c>
      <c r="C32" s="421" t="s">
        <v>1098</v>
      </c>
      <c r="D32" s="421"/>
    </row>
    <row r="33" spans="1:4">
      <c r="A33" s="2" t="s">
        <v>755</v>
      </c>
      <c r="B33" s="9" t="s">
        <v>242</v>
      </c>
      <c r="C33" s="422" t="s">
        <v>1099</v>
      </c>
      <c r="D33" s="421"/>
    </row>
    <row r="34" spans="1:4" ht="38.25">
      <c r="A34" s="236" t="s">
        <v>755</v>
      </c>
      <c r="B34" s="269" t="s">
        <v>418</v>
      </c>
      <c r="C34" s="422" t="s">
        <v>1100</v>
      </c>
      <c r="D34" s="421"/>
    </row>
    <row r="35" spans="1:4" ht="51">
      <c r="A35" s="236" t="s">
        <v>755</v>
      </c>
      <c r="B35" s="268" t="s">
        <v>419</v>
      </c>
      <c r="C35" s="237"/>
      <c r="D35" s="238"/>
    </row>
    <row r="37" spans="1:4">
      <c r="A37" s="2" t="s">
        <v>756</v>
      </c>
      <c r="B37" s="433" t="s">
        <v>243</v>
      </c>
      <c r="C37" s="434"/>
      <c r="D37" s="426"/>
    </row>
    <row r="38" spans="1:4">
      <c r="A38" s="2" t="s">
        <v>756</v>
      </c>
      <c r="B38" s="11" t="s">
        <v>244</v>
      </c>
      <c r="C38" s="343" t="s">
        <v>1059</v>
      </c>
    </row>
    <row r="39" spans="1:4">
      <c r="A39" s="2" t="s">
        <v>756</v>
      </c>
      <c r="B39" s="11" t="s">
        <v>245</v>
      </c>
      <c r="C39" s="93"/>
    </row>
    <row r="40" spans="1:4">
      <c r="A40" s="2" t="s">
        <v>756</v>
      </c>
      <c r="B40" s="11" t="s">
        <v>246</v>
      </c>
      <c r="C40" s="93"/>
    </row>
    <row r="41" spans="1:4">
      <c r="A41" s="2"/>
      <c r="B41" s="3"/>
    </row>
    <row r="42" spans="1:4">
      <c r="A42" s="2" t="s">
        <v>757</v>
      </c>
      <c r="B42" s="3" t="s">
        <v>746</v>
      </c>
    </row>
    <row r="43" spans="1:4">
      <c r="A43" s="2" t="s">
        <v>757</v>
      </c>
      <c r="B43" s="11" t="s">
        <v>247</v>
      </c>
      <c r="C43" s="343" t="s">
        <v>1059</v>
      </c>
    </row>
    <row r="44" spans="1:4">
      <c r="A44" s="2" t="s">
        <v>757</v>
      </c>
      <c r="B44" s="11" t="s">
        <v>248</v>
      </c>
      <c r="C44" s="93"/>
    </row>
    <row r="45" spans="1:4">
      <c r="A45" s="2" t="s">
        <v>757</v>
      </c>
      <c r="B45" s="11" t="s">
        <v>249</v>
      </c>
      <c r="C45" s="93"/>
    </row>
    <row r="46" spans="1:4">
      <c r="A46" s="2"/>
      <c r="B46" s="3"/>
    </row>
    <row r="47" spans="1:4">
      <c r="A47" s="2" t="s">
        <v>758</v>
      </c>
      <c r="B47" s="3" t="s">
        <v>250</v>
      </c>
      <c r="C47" s="5"/>
    </row>
    <row r="48" spans="1:4">
      <c r="A48" s="2" t="s">
        <v>758</v>
      </c>
      <c r="B48" s="11" t="s">
        <v>251</v>
      </c>
      <c r="C48" s="343" t="s">
        <v>1059</v>
      </c>
    </row>
    <row r="49" spans="1:3">
      <c r="A49" s="2" t="s">
        <v>758</v>
      </c>
      <c r="B49" s="11" t="s">
        <v>252</v>
      </c>
      <c r="C49" s="92"/>
    </row>
    <row r="50" spans="1:3">
      <c r="A50" s="2" t="s">
        <v>758</v>
      </c>
      <c r="B50" s="11" t="s">
        <v>253</v>
      </c>
      <c r="C50" s="92"/>
    </row>
    <row r="51" spans="1:3">
      <c r="A51" s="2" t="s">
        <v>758</v>
      </c>
      <c r="B51" s="12" t="s">
        <v>254</v>
      </c>
      <c r="C51" s="92"/>
    </row>
    <row r="52" spans="1:3">
      <c r="A52" s="2" t="s">
        <v>758</v>
      </c>
      <c r="B52" s="11" t="s">
        <v>255</v>
      </c>
      <c r="C52" s="92"/>
    </row>
    <row r="53" spans="1:3">
      <c r="A53" s="2" t="s">
        <v>758</v>
      </c>
      <c r="B53" s="13" t="s">
        <v>256</v>
      </c>
      <c r="C53" s="92"/>
    </row>
    <row r="54" spans="1:3">
      <c r="A54" s="2"/>
      <c r="B54" s="95"/>
      <c r="C54" s="94"/>
    </row>
    <row r="55" spans="1:3">
      <c r="A55" s="2" t="s">
        <v>758</v>
      </c>
      <c r="B55" s="13" t="s">
        <v>257</v>
      </c>
      <c r="C55" s="92"/>
    </row>
    <row r="56" spans="1:3">
      <c r="A56" s="2"/>
      <c r="B56" s="15"/>
      <c r="C56" s="16"/>
    </row>
    <row r="57" spans="1:3">
      <c r="A57" s="2"/>
      <c r="B57" s="3"/>
      <c r="C57" s="5"/>
    </row>
    <row r="58" spans="1:3">
      <c r="A58" s="2" t="s">
        <v>759</v>
      </c>
      <c r="B58" s="3" t="s">
        <v>747</v>
      </c>
    </row>
    <row r="59" spans="1:3">
      <c r="A59" s="2" t="s">
        <v>759</v>
      </c>
      <c r="B59" s="11" t="s">
        <v>258</v>
      </c>
      <c r="C59" s="93"/>
    </row>
    <row r="60" spans="1:3">
      <c r="A60" s="2" t="s">
        <v>759</v>
      </c>
      <c r="B60" s="11" t="s">
        <v>259</v>
      </c>
      <c r="C60" s="93"/>
    </row>
    <row r="61" spans="1:3">
      <c r="A61" s="2" t="s">
        <v>759</v>
      </c>
      <c r="B61" s="11" t="s">
        <v>260</v>
      </c>
      <c r="C61" s="343" t="s">
        <v>1059</v>
      </c>
    </row>
    <row r="62" spans="1:3">
      <c r="A62" s="2" t="s">
        <v>759</v>
      </c>
      <c r="B62" s="11" t="s">
        <v>261</v>
      </c>
      <c r="C62" s="93"/>
    </row>
    <row r="63" spans="1:3">
      <c r="A63" s="2" t="s">
        <v>759</v>
      </c>
      <c r="B63" s="11" t="s">
        <v>262</v>
      </c>
      <c r="C63" s="93"/>
    </row>
    <row r="64" spans="1:3">
      <c r="A64" s="2" t="s">
        <v>759</v>
      </c>
      <c r="B64" s="11" t="s">
        <v>263</v>
      </c>
      <c r="C64" s="343" t="s">
        <v>1059</v>
      </c>
    </row>
    <row r="65" spans="1:3">
      <c r="A65" s="2" t="s">
        <v>759</v>
      </c>
      <c r="B65" s="11" t="s">
        <v>264</v>
      </c>
      <c r="C65" s="343" t="s">
        <v>1059</v>
      </c>
    </row>
    <row r="66" spans="1:3">
      <c r="A66" s="2" t="s">
        <v>759</v>
      </c>
      <c r="B66" s="11" t="s">
        <v>265</v>
      </c>
      <c r="C66" s="343" t="s">
        <v>1059</v>
      </c>
    </row>
    <row r="67" spans="1:3">
      <c r="A67" s="2" t="s">
        <v>759</v>
      </c>
      <c r="B67" s="11" t="s">
        <v>266</v>
      </c>
      <c r="C67" s="343" t="s">
        <v>1059</v>
      </c>
    </row>
    <row r="68" spans="1:3" ht="25.5">
      <c r="A68" s="2" t="s">
        <v>759</v>
      </c>
      <c r="B68" s="300" t="s">
        <v>595</v>
      </c>
      <c r="C68" s="343" t="s">
        <v>1059</v>
      </c>
    </row>
    <row r="69" spans="1:3" ht="25.5">
      <c r="A69" s="2" t="s">
        <v>759</v>
      </c>
      <c r="B69" s="300" t="s">
        <v>596</v>
      </c>
      <c r="C69" s="343" t="s">
        <v>1059</v>
      </c>
    </row>
    <row r="70" spans="1:3">
      <c r="A70" s="2" t="s">
        <v>759</v>
      </c>
      <c r="B70" s="308" t="s">
        <v>597</v>
      </c>
      <c r="C70" s="343"/>
    </row>
  </sheetData>
  <mergeCells count="20">
    <mergeCell ref="C34:D34"/>
    <mergeCell ref="B37:D37"/>
    <mergeCell ref="C28:D28"/>
    <mergeCell ref="C29:D29"/>
    <mergeCell ref="C32:D32"/>
    <mergeCell ref="C33:D33"/>
    <mergeCell ref="C30:D30"/>
    <mergeCell ref="C31:D31"/>
    <mergeCell ref="A1:D1"/>
    <mergeCell ref="C2:D2"/>
    <mergeCell ref="C20:D20"/>
    <mergeCell ref="C21:D21"/>
    <mergeCell ref="B17:D17"/>
    <mergeCell ref="B18:D18"/>
    <mergeCell ref="C22:D22"/>
    <mergeCell ref="C23:D23"/>
    <mergeCell ref="C26:D26"/>
    <mergeCell ref="C27:D27"/>
    <mergeCell ref="C24:D24"/>
    <mergeCell ref="C25:D25"/>
  </mergeCells>
  <phoneticPr fontId="0" type="noConversion"/>
  <pageMargins left="0.75" right="0.75" top="1" bottom="1" header="0.5" footer="0.5"/>
  <pageSetup scale="59" orientation="portrait" r:id="rId1"/>
  <headerFooter alignWithMargins="0">
    <oddHeader>&amp;CCommon Data Set 2011-2012</oddHeader>
    <oddFooter>&amp;C&amp;A&amp;RPage &amp;P</oddFooter>
  </headerFooter>
</worksheet>
</file>

<file path=xl/worksheets/sheet3.xml><?xml version="1.0" encoding="utf-8"?>
<worksheet xmlns="http://schemas.openxmlformats.org/spreadsheetml/2006/main" xmlns:r="http://schemas.openxmlformats.org/officeDocument/2006/relationships">
  <dimension ref="A1:F110"/>
  <sheetViews>
    <sheetView topLeftCell="A94" zoomScaleNormal="100" workbookViewId="0">
      <selection activeCell="D40" sqref="D40"/>
    </sheetView>
  </sheetViews>
  <sheetFormatPr defaultRowHeight="12.75"/>
  <cols>
    <col min="1" max="1" width="4.42578125" style="1" customWidth="1"/>
    <col min="2" max="2" width="27.85546875" customWidth="1"/>
    <col min="3" max="3" width="12.42578125" customWidth="1"/>
    <col min="4" max="4" width="14.7109375" customWidth="1"/>
    <col min="5" max="6" width="15.42578125" customWidth="1"/>
  </cols>
  <sheetData>
    <row r="1" spans="1:6" ht="18">
      <c r="A1" s="425" t="s">
        <v>267</v>
      </c>
      <c r="B1" s="425"/>
      <c r="C1" s="425"/>
      <c r="D1" s="425"/>
      <c r="E1" s="425"/>
      <c r="F1" s="425"/>
    </row>
    <row r="3" spans="1:6" ht="50.25" customHeight="1">
      <c r="A3" s="2" t="s">
        <v>135</v>
      </c>
      <c r="B3" s="436" t="s">
        <v>1013</v>
      </c>
      <c r="C3" s="457"/>
      <c r="D3" s="457"/>
      <c r="E3" s="457"/>
      <c r="F3" s="457"/>
    </row>
    <row r="4" spans="1:6">
      <c r="A4" s="2" t="s">
        <v>135</v>
      </c>
      <c r="B4" s="91"/>
      <c r="C4" s="458" t="s">
        <v>268</v>
      </c>
      <c r="D4" s="458"/>
      <c r="E4" s="458" t="s">
        <v>269</v>
      </c>
      <c r="F4" s="458"/>
    </row>
    <row r="5" spans="1:6">
      <c r="A5" s="2" t="s">
        <v>135</v>
      </c>
      <c r="B5" s="115"/>
      <c r="C5" s="18" t="s">
        <v>270</v>
      </c>
      <c r="D5" s="18" t="s">
        <v>271</v>
      </c>
      <c r="E5" s="18" t="s">
        <v>270</v>
      </c>
      <c r="F5" s="18" t="s">
        <v>271</v>
      </c>
    </row>
    <row r="6" spans="1:6">
      <c r="A6" s="2" t="s">
        <v>135</v>
      </c>
      <c r="B6" s="19" t="s">
        <v>272</v>
      </c>
      <c r="C6" s="20"/>
      <c r="D6" s="20"/>
      <c r="E6" s="20"/>
      <c r="F6" s="20"/>
    </row>
    <row r="7" spans="1:6" ht="25.5">
      <c r="A7" s="2" t="s">
        <v>135</v>
      </c>
      <c r="B7" s="350" t="s">
        <v>273</v>
      </c>
      <c r="C7" s="354">
        <v>1512</v>
      </c>
      <c r="D7" s="354">
        <v>2318</v>
      </c>
      <c r="E7" s="354">
        <v>6</v>
      </c>
      <c r="F7" s="354">
        <v>8</v>
      </c>
    </row>
    <row r="8" spans="1:6">
      <c r="A8" s="2" t="s">
        <v>135</v>
      </c>
      <c r="B8" s="348" t="s">
        <v>274</v>
      </c>
      <c r="C8" s="354">
        <v>577</v>
      </c>
      <c r="D8" s="354">
        <v>527</v>
      </c>
      <c r="E8" s="354">
        <v>24</v>
      </c>
      <c r="F8" s="354">
        <v>27</v>
      </c>
    </row>
    <row r="9" spans="1:6">
      <c r="A9" s="2" t="s">
        <v>135</v>
      </c>
      <c r="B9" s="348" t="s">
        <v>275</v>
      </c>
      <c r="C9" s="354">
        <v>5038</v>
      </c>
      <c r="D9" s="354">
        <v>6225</v>
      </c>
      <c r="E9" s="354">
        <v>372</v>
      </c>
      <c r="F9" s="354">
        <v>509</v>
      </c>
    </row>
    <row r="10" spans="1:6">
      <c r="A10" s="2" t="s">
        <v>135</v>
      </c>
      <c r="B10" s="351" t="s">
        <v>276</v>
      </c>
      <c r="C10" s="355">
        <v>7127</v>
      </c>
      <c r="D10" s="355">
        <v>9070</v>
      </c>
      <c r="E10" s="355">
        <v>402</v>
      </c>
      <c r="F10" s="355">
        <v>544</v>
      </c>
    </row>
    <row r="11" spans="1:6" ht="25.5">
      <c r="A11" s="2" t="s">
        <v>135</v>
      </c>
      <c r="B11" s="350" t="s">
        <v>444</v>
      </c>
      <c r="C11" s="354">
        <v>11</v>
      </c>
      <c r="D11" s="354">
        <v>10</v>
      </c>
      <c r="E11" s="354">
        <v>175</v>
      </c>
      <c r="F11" s="354">
        <v>288</v>
      </c>
    </row>
    <row r="12" spans="1:6">
      <c r="A12" s="2" t="s">
        <v>135</v>
      </c>
      <c r="B12" s="351" t="s">
        <v>445</v>
      </c>
      <c r="C12" s="355">
        <v>7138</v>
      </c>
      <c r="D12" s="355">
        <v>9080</v>
      </c>
      <c r="E12" s="355">
        <v>577</v>
      </c>
      <c r="F12" s="355">
        <v>832</v>
      </c>
    </row>
    <row r="13" spans="1:6">
      <c r="A13" s="2" t="s">
        <v>135</v>
      </c>
      <c r="B13" s="349" t="s">
        <v>835</v>
      </c>
      <c r="C13" s="356"/>
      <c r="D13" s="356"/>
      <c r="E13" s="356"/>
      <c r="F13" s="356"/>
    </row>
    <row r="14" spans="1:6">
      <c r="A14" s="2" t="s">
        <v>135</v>
      </c>
      <c r="B14" s="353" t="s">
        <v>836</v>
      </c>
      <c r="C14" s="357">
        <v>236</v>
      </c>
      <c r="D14" s="357">
        <v>289</v>
      </c>
      <c r="E14" s="357">
        <v>90</v>
      </c>
      <c r="F14" s="354">
        <v>302</v>
      </c>
    </row>
    <row r="15" spans="1:6">
      <c r="A15" s="2" t="s">
        <v>135</v>
      </c>
      <c r="B15" s="353" t="s">
        <v>275</v>
      </c>
      <c r="C15" s="357">
        <v>351</v>
      </c>
      <c r="D15" s="357">
        <v>494</v>
      </c>
      <c r="E15" s="357">
        <v>717</v>
      </c>
      <c r="F15" s="354">
        <v>1707</v>
      </c>
    </row>
    <row r="16" spans="1:6" ht="25.5">
      <c r="A16" s="2" t="s">
        <v>135</v>
      </c>
      <c r="B16" s="352" t="s">
        <v>837</v>
      </c>
      <c r="C16" s="357">
        <v>52</v>
      </c>
      <c r="D16" s="357">
        <v>33</v>
      </c>
      <c r="E16" s="357">
        <v>49</v>
      </c>
      <c r="F16" s="357">
        <v>200</v>
      </c>
    </row>
    <row r="17" spans="1:6">
      <c r="A17" s="2" t="s">
        <v>135</v>
      </c>
      <c r="B17" s="351" t="s">
        <v>838</v>
      </c>
      <c r="C17" s="358">
        <v>639</v>
      </c>
      <c r="D17" s="358">
        <v>816</v>
      </c>
      <c r="E17" s="358">
        <v>856</v>
      </c>
      <c r="F17" s="355">
        <v>2209</v>
      </c>
    </row>
    <row r="18" spans="1:6">
      <c r="A18" s="2" t="s">
        <v>135</v>
      </c>
      <c r="B18" s="426" t="s">
        <v>839</v>
      </c>
      <c r="C18" s="426"/>
      <c r="D18" s="426"/>
      <c r="E18" s="426"/>
      <c r="F18" s="359">
        <v>17627</v>
      </c>
    </row>
    <row r="19" spans="1:6">
      <c r="A19" s="2" t="s">
        <v>135</v>
      </c>
      <c r="B19" s="461" t="s">
        <v>598</v>
      </c>
      <c r="C19" s="461"/>
      <c r="D19" s="461"/>
      <c r="E19" s="461"/>
      <c r="F19" s="360">
        <v>4520</v>
      </c>
    </row>
    <row r="20" spans="1:6" ht="20.25" customHeight="1">
      <c r="A20" s="2" t="s">
        <v>135</v>
      </c>
      <c r="B20" s="460" t="s">
        <v>840</v>
      </c>
      <c r="C20" s="460"/>
      <c r="D20" s="460"/>
      <c r="E20" s="460"/>
      <c r="F20" s="361">
        <v>22147</v>
      </c>
    </row>
    <row r="22" spans="1:6" ht="105" customHeight="1">
      <c r="A22" s="2" t="s">
        <v>136</v>
      </c>
      <c r="B22" s="436" t="s">
        <v>1014</v>
      </c>
      <c r="C22" s="437"/>
      <c r="D22" s="437"/>
      <c r="E22" s="437"/>
      <c r="F22" s="437"/>
    </row>
    <row r="23" spans="1:6" ht="60">
      <c r="A23" s="2" t="s">
        <v>136</v>
      </c>
      <c r="B23" s="438"/>
      <c r="C23" s="438"/>
      <c r="D23" s="130" t="s">
        <v>841</v>
      </c>
      <c r="E23" s="130" t="s">
        <v>437</v>
      </c>
      <c r="F23" s="130" t="s">
        <v>134</v>
      </c>
    </row>
    <row r="24" spans="1:6">
      <c r="A24" s="2" t="s">
        <v>136</v>
      </c>
      <c r="B24" s="439" t="s">
        <v>842</v>
      </c>
      <c r="C24" s="439"/>
      <c r="D24" s="363">
        <v>17</v>
      </c>
      <c r="E24" s="363">
        <v>341</v>
      </c>
      <c r="F24" s="98"/>
    </row>
    <row r="25" spans="1:6">
      <c r="A25" s="2" t="s">
        <v>136</v>
      </c>
      <c r="B25" s="459" t="s">
        <v>115</v>
      </c>
      <c r="C25" s="442"/>
      <c r="D25" s="363">
        <v>148</v>
      </c>
      <c r="E25" s="363">
        <v>501</v>
      </c>
      <c r="F25" s="98"/>
    </row>
    <row r="26" spans="1:6">
      <c r="A26" s="2" t="s">
        <v>136</v>
      </c>
      <c r="B26" s="440" t="s">
        <v>0</v>
      </c>
      <c r="C26" s="440"/>
      <c r="D26" s="363">
        <v>233</v>
      </c>
      <c r="E26" s="363">
        <v>1053</v>
      </c>
      <c r="F26" s="98"/>
    </row>
    <row r="27" spans="1:6">
      <c r="A27" s="2" t="s">
        <v>136</v>
      </c>
      <c r="B27" s="441" t="s">
        <v>116</v>
      </c>
      <c r="C27" s="442"/>
      <c r="D27" s="363">
        <v>3255</v>
      </c>
      <c r="E27" s="363">
        <v>14433</v>
      </c>
      <c r="F27" s="98"/>
    </row>
    <row r="28" spans="1:6" ht="15" customHeight="1">
      <c r="A28" s="2" t="s">
        <v>136</v>
      </c>
      <c r="B28" s="440" t="s">
        <v>1</v>
      </c>
      <c r="C28" s="440"/>
      <c r="D28" s="363">
        <v>8</v>
      </c>
      <c r="E28" s="363">
        <v>39</v>
      </c>
      <c r="F28" s="98"/>
    </row>
    <row r="29" spans="1:6">
      <c r="A29" s="2" t="s">
        <v>136</v>
      </c>
      <c r="B29" s="440" t="s">
        <v>2</v>
      </c>
      <c r="C29" s="440"/>
      <c r="D29" s="363">
        <v>33</v>
      </c>
      <c r="E29" s="363">
        <v>120</v>
      </c>
      <c r="F29" s="98"/>
    </row>
    <row r="30" spans="1:6" ht="26.25" customHeight="1">
      <c r="A30" s="2" t="s">
        <v>136</v>
      </c>
      <c r="B30" s="443" t="s">
        <v>3</v>
      </c>
      <c r="C30" s="444"/>
      <c r="D30" s="363">
        <v>5</v>
      </c>
      <c r="E30" s="363">
        <v>13</v>
      </c>
      <c r="F30" s="98"/>
    </row>
    <row r="31" spans="1:6">
      <c r="A31" s="2" t="s">
        <v>136</v>
      </c>
      <c r="B31" s="440" t="s">
        <v>4</v>
      </c>
      <c r="C31" s="440"/>
      <c r="D31" s="363">
        <v>108</v>
      </c>
      <c r="E31" s="363">
        <v>369</v>
      </c>
      <c r="F31" s="98"/>
    </row>
    <row r="32" spans="1:6">
      <c r="A32" s="2" t="s">
        <v>136</v>
      </c>
      <c r="B32" s="440" t="s">
        <v>5</v>
      </c>
      <c r="C32" s="440"/>
      <c r="D32" s="363">
        <v>37</v>
      </c>
      <c r="E32" s="363">
        <v>274</v>
      </c>
      <c r="F32" s="98"/>
    </row>
    <row r="33" spans="1:6">
      <c r="A33" s="2" t="s">
        <v>136</v>
      </c>
      <c r="B33" s="445" t="s">
        <v>117</v>
      </c>
      <c r="C33" s="445"/>
      <c r="D33" s="364">
        <v>3844</v>
      </c>
      <c r="E33" s="364">
        <v>17143</v>
      </c>
      <c r="F33" s="99">
        <f>SUM(F24:F32)</f>
        <v>0</v>
      </c>
    </row>
    <row r="35" spans="1:6" ht="15.75">
      <c r="B35" s="21" t="s">
        <v>118</v>
      </c>
    </row>
    <row r="36" spans="1:6">
      <c r="A36" s="2" t="s">
        <v>137</v>
      </c>
      <c r="B36" s="3" t="s">
        <v>1030</v>
      </c>
      <c r="F36" s="22"/>
    </row>
    <row r="37" spans="1:6">
      <c r="A37" s="2" t="s">
        <v>137</v>
      </c>
      <c r="B37" s="11" t="s">
        <v>119</v>
      </c>
      <c r="C37" s="100"/>
      <c r="F37" s="22"/>
    </row>
    <row r="38" spans="1:6">
      <c r="A38" s="2" t="s">
        <v>137</v>
      </c>
      <c r="B38" s="11" t="s">
        <v>120</v>
      </c>
      <c r="C38" s="100">
        <v>446</v>
      </c>
      <c r="F38" s="22"/>
    </row>
    <row r="39" spans="1:6">
      <c r="A39" s="2" t="s">
        <v>137</v>
      </c>
      <c r="B39" s="11" t="s">
        <v>121</v>
      </c>
      <c r="C39" s="100">
        <v>3173</v>
      </c>
      <c r="F39" s="22"/>
    </row>
    <row r="40" spans="1:6">
      <c r="A40" s="2" t="s">
        <v>137</v>
      </c>
      <c r="B40" s="11" t="s">
        <v>748</v>
      </c>
      <c r="C40" s="100">
        <v>51</v>
      </c>
      <c r="F40" s="22"/>
    </row>
    <row r="41" spans="1:6">
      <c r="A41" s="2" t="s">
        <v>137</v>
      </c>
      <c r="B41" s="11" t="s">
        <v>122</v>
      </c>
      <c r="C41" s="100">
        <v>1303</v>
      </c>
      <c r="F41" s="22"/>
    </row>
    <row r="42" spans="1:6">
      <c r="A42" s="2" t="s">
        <v>137</v>
      </c>
      <c r="B42" s="11" t="s">
        <v>123</v>
      </c>
      <c r="C42" s="100">
        <v>6</v>
      </c>
      <c r="F42" s="22"/>
    </row>
    <row r="43" spans="1:6" ht="25.5">
      <c r="A43" s="2" t="s">
        <v>137</v>
      </c>
      <c r="B43" s="300" t="s">
        <v>599</v>
      </c>
      <c r="C43" s="100">
        <v>60</v>
      </c>
      <c r="F43" s="22"/>
    </row>
    <row r="44" spans="1:6" ht="25.5">
      <c r="A44" s="2" t="s">
        <v>137</v>
      </c>
      <c r="B44" s="300" t="s">
        <v>600</v>
      </c>
      <c r="C44" s="100">
        <v>5</v>
      </c>
      <c r="F44" s="22"/>
    </row>
    <row r="45" spans="1:6">
      <c r="A45" s="2" t="s">
        <v>137</v>
      </c>
      <c r="B45" s="308" t="s">
        <v>601</v>
      </c>
      <c r="C45" s="100"/>
      <c r="F45" s="22"/>
    </row>
    <row r="47" spans="1:6" ht="15.75">
      <c r="B47" s="23" t="s">
        <v>124</v>
      </c>
      <c r="C47" s="4"/>
      <c r="D47" s="4"/>
      <c r="E47" s="4"/>
      <c r="F47" s="4"/>
    </row>
    <row r="48" spans="1:6" ht="54.75" customHeight="1">
      <c r="B48" s="435" t="s">
        <v>1015</v>
      </c>
      <c r="C48" s="435"/>
      <c r="D48" s="435"/>
      <c r="E48" s="435"/>
      <c r="F48" s="435"/>
    </row>
    <row r="49" spans="1:6">
      <c r="A49" s="7"/>
      <c r="B49" s="4"/>
      <c r="C49" s="4"/>
      <c r="D49" s="4"/>
      <c r="E49" s="4"/>
      <c r="F49" s="4"/>
    </row>
    <row r="50" spans="1:6">
      <c r="B50" s="462" t="s">
        <v>394</v>
      </c>
      <c r="C50" s="463"/>
      <c r="D50" s="24"/>
      <c r="E50" s="24"/>
      <c r="F50" s="24"/>
    </row>
    <row r="51" spans="1:6">
      <c r="A51" s="188"/>
      <c r="B51" s="199"/>
      <c r="C51" s="199"/>
      <c r="D51" s="199"/>
      <c r="E51" s="199"/>
      <c r="F51" s="199"/>
    </row>
    <row r="52" spans="1:6" ht="42.75" customHeight="1">
      <c r="A52" s="188"/>
      <c r="B52" s="464" t="s">
        <v>1050</v>
      </c>
      <c r="C52" s="464"/>
      <c r="D52" s="464"/>
      <c r="E52" s="464"/>
      <c r="F52" s="199"/>
    </row>
    <row r="53" spans="1:6">
      <c r="A53" s="188"/>
      <c r="B53" s="187"/>
      <c r="C53" s="187"/>
      <c r="D53" s="187"/>
      <c r="E53" s="187"/>
      <c r="F53" s="199"/>
    </row>
    <row r="54" spans="1:6">
      <c r="A54" s="188"/>
      <c r="B54" s="201" t="s">
        <v>1041</v>
      </c>
      <c r="C54" s="187"/>
      <c r="D54" s="187"/>
      <c r="E54" s="187"/>
      <c r="F54" s="199"/>
    </row>
    <row r="55" spans="1:6" s="200" customFormat="1" ht="48" customHeight="1">
      <c r="A55" s="1"/>
      <c r="B55" s="464" t="s">
        <v>1042</v>
      </c>
      <c r="C55" s="435"/>
      <c r="D55" s="435"/>
      <c r="E55" s="435"/>
      <c r="F55" s="435"/>
    </row>
    <row r="56" spans="1:6" s="200" customFormat="1" ht="38.25" customHeight="1">
      <c r="A56" s="2" t="s">
        <v>138</v>
      </c>
      <c r="B56" s="453" t="s">
        <v>1043</v>
      </c>
      <c r="C56" s="454"/>
      <c r="D56" s="454"/>
      <c r="E56" s="455"/>
      <c r="F56" s="98"/>
    </row>
    <row r="57" spans="1:6" s="200" customFormat="1" ht="65.25" customHeight="1">
      <c r="A57" s="2" t="s">
        <v>139</v>
      </c>
      <c r="B57" s="450" t="s">
        <v>1044</v>
      </c>
      <c r="C57" s="451"/>
      <c r="D57" s="451"/>
      <c r="E57" s="452"/>
      <c r="F57" s="98"/>
    </row>
    <row r="58" spans="1:6" s="200" customFormat="1" ht="35.25" customHeight="1">
      <c r="A58" s="2" t="s">
        <v>140</v>
      </c>
      <c r="B58" s="447" t="s">
        <v>1045</v>
      </c>
      <c r="C58" s="448"/>
      <c r="D58" s="448"/>
      <c r="E58" s="449"/>
      <c r="F58" s="98">
        <f>F56-F57</f>
        <v>0</v>
      </c>
    </row>
    <row r="59" spans="1:6" ht="36" customHeight="1">
      <c r="A59" s="2" t="s">
        <v>141</v>
      </c>
      <c r="B59" s="447" t="s">
        <v>1046</v>
      </c>
      <c r="C59" s="448"/>
      <c r="D59" s="448"/>
      <c r="E59" s="449"/>
      <c r="F59" s="98"/>
    </row>
    <row r="60" spans="1:6" ht="35.25" customHeight="1">
      <c r="A60" s="2" t="s">
        <v>142</v>
      </c>
      <c r="B60" s="447" t="s">
        <v>1047</v>
      </c>
      <c r="C60" s="448"/>
      <c r="D60" s="448"/>
      <c r="E60" s="449"/>
      <c r="F60" s="98"/>
    </row>
    <row r="61" spans="1:6" ht="38.25" customHeight="1">
      <c r="A61" s="2" t="s">
        <v>143</v>
      </c>
      <c r="B61" s="450" t="s">
        <v>1048</v>
      </c>
      <c r="C61" s="451"/>
      <c r="D61" s="451"/>
      <c r="E61" s="452"/>
      <c r="F61" s="98"/>
    </row>
    <row r="62" spans="1:6" ht="26.25" customHeight="1">
      <c r="A62" s="2" t="s">
        <v>144</v>
      </c>
      <c r="B62" s="447" t="s">
        <v>395</v>
      </c>
      <c r="C62" s="448"/>
      <c r="D62" s="448"/>
      <c r="E62" s="449"/>
      <c r="F62" s="98">
        <f>SUM(F59:F61)</f>
        <v>0</v>
      </c>
    </row>
    <row r="63" spans="1:6" ht="25.5" customHeight="1">
      <c r="A63" s="2" t="s">
        <v>711</v>
      </c>
      <c r="B63" s="447" t="s">
        <v>1049</v>
      </c>
      <c r="C63" s="448"/>
      <c r="D63" s="448"/>
      <c r="E63" s="449"/>
      <c r="F63" s="101" t="e">
        <f>F62/F58</f>
        <v>#DIV/0!</v>
      </c>
    </row>
    <row r="64" spans="1:6" ht="27.75" customHeight="1">
      <c r="A64" s="188"/>
      <c r="B64" s="187"/>
      <c r="C64" s="187"/>
      <c r="D64" s="187"/>
      <c r="E64" s="187"/>
      <c r="F64" s="199"/>
    </row>
    <row r="65" spans="1:6" ht="30.75" customHeight="1">
      <c r="A65" s="188"/>
      <c r="B65" s="202" t="s">
        <v>6</v>
      </c>
      <c r="C65" s="199"/>
      <c r="D65" s="199"/>
      <c r="E65" s="199"/>
      <c r="F65" s="199"/>
    </row>
    <row r="66" spans="1:6" ht="42" customHeight="1">
      <c r="B66" s="464" t="s">
        <v>49</v>
      </c>
      <c r="C66" s="435"/>
      <c r="D66" s="435"/>
      <c r="E66" s="435"/>
      <c r="F66" s="435"/>
    </row>
    <row r="67" spans="1:6" ht="37.5" customHeight="1">
      <c r="A67" s="2" t="s">
        <v>138</v>
      </c>
      <c r="B67" s="453" t="s">
        <v>7</v>
      </c>
      <c r="C67" s="454"/>
      <c r="D67" s="454"/>
      <c r="E67" s="455"/>
      <c r="F67" s="98">
        <v>3350</v>
      </c>
    </row>
    <row r="68" spans="1:6" s="200" customFormat="1" ht="57.75" customHeight="1">
      <c r="A68" s="2" t="s">
        <v>139</v>
      </c>
      <c r="B68" s="450" t="s">
        <v>8</v>
      </c>
      <c r="C68" s="451"/>
      <c r="D68" s="451"/>
      <c r="E68" s="452"/>
      <c r="F68" s="98">
        <v>1</v>
      </c>
    </row>
    <row r="69" spans="1:6" s="200" customFormat="1" ht="31.5" customHeight="1">
      <c r="A69" s="2" t="s">
        <v>140</v>
      </c>
      <c r="B69" s="447" t="s">
        <v>9</v>
      </c>
      <c r="C69" s="448"/>
      <c r="D69" s="448"/>
      <c r="E69" s="449"/>
      <c r="F69" s="98">
        <f>F67-F68</f>
        <v>3349</v>
      </c>
    </row>
    <row r="70" spans="1:6" ht="39.75" customHeight="1">
      <c r="A70" s="2" t="s">
        <v>141</v>
      </c>
      <c r="B70" s="447" t="s">
        <v>11</v>
      </c>
      <c r="C70" s="448"/>
      <c r="D70" s="448"/>
      <c r="E70" s="449"/>
      <c r="F70" s="98">
        <v>1141</v>
      </c>
    </row>
    <row r="71" spans="1:6" ht="27" customHeight="1">
      <c r="A71" s="2" t="s">
        <v>142</v>
      </c>
      <c r="B71" s="447" t="s">
        <v>12</v>
      </c>
      <c r="C71" s="448"/>
      <c r="D71" s="448"/>
      <c r="E71" s="449"/>
      <c r="F71" s="98">
        <v>625</v>
      </c>
    </row>
    <row r="72" spans="1:6" ht="41.25" customHeight="1">
      <c r="A72" s="2" t="s">
        <v>143</v>
      </c>
      <c r="B72" s="450" t="s">
        <v>13</v>
      </c>
      <c r="C72" s="451"/>
      <c r="D72" s="451"/>
      <c r="E72" s="452"/>
      <c r="F72" s="98">
        <v>134</v>
      </c>
    </row>
    <row r="73" spans="1:6" ht="26.25" customHeight="1">
      <c r="A73" s="2" t="s">
        <v>144</v>
      </c>
      <c r="B73" s="447" t="s">
        <v>395</v>
      </c>
      <c r="C73" s="448"/>
      <c r="D73" s="448"/>
      <c r="E73" s="449"/>
      <c r="F73" s="98">
        <f>SUM(F70:F72)</f>
        <v>1900</v>
      </c>
    </row>
    <row r="74" spans="1:6" ht="25.5" customHeight="1">
      <c r="A74" s="2" t="s">
        <v>711</v>
      </c>
      <c r="B74" s="447" t="s">
        <v>10</v>
      </c>
      <c r="C74" s="448"/>
      <c r="D74" s="448"/>
      <c r="E74" s="449"/>
      <c r="F74" s="101">
        <f>F73/F69</f>
        <v>0.56733353239773066</v>
      </c>
    </row>
    <row r="75" spans="1:6" ht="27.75" customHeight="1">
      <c r="F75" s="102"/>
    </row>
    <row r="76" spans="1:6" ht="30.75" customHeight="1">
      <c r="B76" s="3" t="s">
        <v>520</v>
      </c>
      <c r="F76" s="102"/>
    </row>
    <row r="77" spans="1:6" ht="14.25" customHeight="1">
      <c r="A77" s="188"/>
      <c r="B77" s="200"/>
      <c r="C77" s="200"/>
      <c r="D77" s="200"/>
      <c r="E77" s="200"/>
      <c r="F77" s="203"/>
    </row>
    <row r="78" spans="1:6" ht="27" customHeight="1">
      <c r="A78" s="188"/>
      <c r="B78" s="456" t="s">
        <v>1040</v>
      </c>
      <c r="C78" s="456"/>
      <c r="D78" s="456"/>
      <c r="E78" s="456"/>
      <c r="F78" s="203"/>
    </row>
    <row r="79" spans="1:6">
      <c r="A79" s="188"/>
      <c r="B79" s="200"/>
      <c r="C79" s="200"/>
      <c r="D79" s="200"/>
      <c r="E79" s="200"/>
      <c r="F79" s="203"/>
    </row>
    <row r="80" spans="1:6">
      <c r="A80" s="188"/>
      <c r="B80" s="204" t="s">
        <v>1036</v>
      </c>
      <c r="C80" s="200"/>
      <c r="D80" s="200"/>
      <c r="E80" s="200"/>
      <c r="F80" s="203"/>
    </row>
    <row r="81" spans="1:6" s="200" customFormat="1" ht="17.25" customHeight="1">
      <c r="A81" s="2" t="s">
        <v>126</v>
      </c>
      <c r="B81" s="446" t="s">
        <v>1037</v>
      </c>
      <c r="C81" s="446"/>
      <c r="D81" s="446"/>
      <c r="E81" s="446"/>
      <c r="F81" s="100"/>
    </row>
    <row r="82" spans="1:6" s="200" customFormat="1" ht="57" customHeight="1">
      <c r="A82" s="25" t="s">
        <v>396</v>
      </c>
      <c r="B82" s="446" t="s">
        <v>1038</v>
      </c>
      <c r="C82" s="446"/>
      <c r="D82" s="446"/>
      <c r="E82" s="446"/>
      <c r="F82" s="100"/>
    </row>
    <row r="83" spans="1:6" s="200" customFormat="1" ht="30.75" customHeight="1">
      <c r="A83" s="25" t="s">
        <v>397</v>
      </c>
      <c r="B83" s="446" t="s">
        <v>1039</v>
      </c>
      <c r="C83" s="446"/>
      <c r="D83" s="446"/>
      <c r="E83" s="446"/>
      <c r="F83" s="100">
        <f>F81-F82</f>
        <v>0</v>
      </c>
    </row>
    <row r="84" spans="1:6" s="200" customFormat="1" ht="23.25" customHeight="1">
      <c r="A84" s="25" t="s">
        <v>398</v>
      </c>
      <c r="B84" s="446" t="s">
        <v>405</v>
      </c>
      <c r="C84" s="446"/>
      <c r="D84" s="446"/>
      <c r="E84" s="446"/>
      <c r="F84" s="100"/>
    </row>
    <row r="85" spans="1:6" s="200" customFormat="1" ht="21.75" customHeight="1">
      <c r="A85" s="2" t="s">
        <v>399</v>
      </c>
      <c r="B85" s="446" t="s">
        <v>406</v>
      </c>
      <c r="C85" s="446"/>
      <c r="D85" s="446"/>
      <c r="E85" s="446"/>
      <c r="F85" s="100"/>
    </row>
    <row r="86" spans="1:6" s="200" customFormat="1" ht="24.75" customHeight="1">
      <c r="A86" s="2" t="s">
        <v>400</v>
      </c>
      <c r="B86" s="446" t="s">
        <v>407</v>
      </c>
      <c r="C86" s="446"/>
      <c r="D86" s="446"/>
      <c r="E86" s="446"/>
      <c r="F86" s="100"/>
    </row>
    <row r="87" spans="1:6" s="200" customFormat="1" ht="30" customHeight="1">
      <c r="A87" s="2" t="s">
        <v>401</v>
      </c>
      <c r="B87" s="446" t="s">
        <v>408</v>
      </c>
      <c r="C87" s="446"/>
      <c r="D87" s="446"/>
      <c r="E87" s="446"/>
      <c r="F87" s="100"/>
    </row>
    <row r="88" spans="1:6" s="200" customFormat="1">
      <c r="A88" s="2" t="s">
        <v>402</v>
      </c>
      <c r="B88" s="446" t="s">
        <v>409</v>
      </c>
      <c r="C88" s="446"/>
      <c r="D88" s="446"/>
      <c r="E88" s="446"/>
      <c r="F88" s="100"/>
    </row>
    <row r="89" spans="1:6" s="200" customFormat="1">
      <c r="A89" s="2" t="s">
        <v>403</v>
      </c>
      <c r="B89" s="446" t="s">
        <v>410</v>
      </c>
      <c r="C89" s="446"/>
      <c r="D89" s="446"/>
      <c r="E89" s="446"/>
      <c r="F89" s="100"/>
    </row>
    <row r="90" spans="1:6" s="200" customFormat="1">
      <c r="A90" s="2" t="s">
        <v>404</v>
      </c>
      <c r="B90" s="446" t="s">
        <v>411</v>
      </c>
      <c r="C90" s="446"/>
      <c r="D90" s="446"/>
      <c r="E90" s="446"/>
      <c r="F90" s="100"/>
    </row>
    <row r="91" spans="1:6" s="200" customFormat="1" ht="25.5" customHeight="1">
      <c r="A91" s="2"/>
      <c r="B91" s="49"/>
      <c r="C91" s="49"/>
      <c r="D91" s="49"/>
      <c r="E91" s="49"/>
      <c r="F91" s="205"/>
    </row>
    <row r="92" spans="1:6" s="200" customFormat="1">
      <c r="A92" s="188"/>
      <c r="B92" s="204" t="s">
        <v>14</v>
      </c>
      <c r="F92" s="203"/>
    </row>
    <row r="93" spans="1:6" s="200" customFormat="1" ht="18.75" customHeight="1">
      <c r="A93" s="2" t="s">
        <v>126</v>
      </c>
      <c r="B93" s="446" t="s">
        <v>17</v>
      </c>
      <c r="C93" s="446"/>
      <c r="D93" s="446"/>
      <c r="E93" s="446"/>
      <c r="F93" s="100"/>
    </row>
    <row r="94" spans="1:6" s="200" customFormat="1" ht="53.25" customHeight="1">
      <c r="A94" s="25" t="s">
        <v>396</v>
      </c>
      <c r="B94" s="446" t="s">
        <v>15</v>
      </c>
      <c r="C94" s="446"/>
      <c r="D94" s="446"/>
      <c r="E94" s="446"/>
      <c r="F94" s="100"/>
    </row>
    <row r="95" spans="1:6" s="200" customFormat="1" ht="30" customHeight="1">
      <c r="A95" s="25" t="s">
        <v>397</v>
      </c>
      <c r="B95" s="446" t="s">
        <v>16</v>
      </c>
      <c r="C95" s="446"/>
      <c r="D95" s="446"/>
      <c r="E95" s="446"/>
      <c r="F95" s="100">
        <f>F93-F94</f>
        <v>0</v>
      </c>
    </row>
    <row r="96" spans="1:6" s="200" customFormat="1">
      <c r="A96" s="25" t="s">
        <v>398</v>
      </c>
      <c r="B96" s="446" t="s">
        <v>405</v>
      </c>
      <c r="C96" s="446"/>
      <c r="D96" s="446"/>
      <c r="E96" s="446"/>
      <c r="F96" s="100"/>
    </row>
    <row r="97" spans="1:6">
      <c r="A97" s="2" t="s">
        <v>399</v>
      </c>
      <c r="B97" s="446" t="s">
        <v>406</v>
      </c>
      <c r="C97" s="446"/>
      <c r="D97" s="446"/>
      <c r="E97" s="446"/>
      <c r="F97" s="100"/>
    </row>
    <row r="98" spans="1:6" ht="23.25" customHeight="1">
      <c r="A98" s="2" t="s">
        <v>400</v>
      </c>
      <c r="B98" s="446" t="s">
        <v>407</v>
      </c>
      <c r="C98" s="446"/>
      <c r="D98" s="446"/>
      <c r="E98" s="446"/>
      <c r="F98" s="100"/>
    </row>
    <row r="99" spans="1:6" ht="27.75" customHeight="1">
      <c r="A99" s="2" t="s">
        <v>401</v>
      </c>
      <c r="B99" s="446" t="s">
        <v>408</v>
      </c>
      <c r="C99" s="446"/>
      <c r="D99" s="446"/>
      <c r="E99" s="446"/>
      <c r="F99" s="100"/>
    </row>
    <row r="100" spans="1:6">
      <c r="A100" s="2" t="s">
        <v>402</v>
      </c>
      <c r="B100" s="446" t="s">
        <v>409</v>
      </c>
      <c r="C100" s="446"/>
      <c r="D100" s="446"/>
      <c r="E100" s="446"/>
      <c r="F100" s="100"/>
    </row>
    <row r="101" spans="1:6">
      <c r="A101" s="2" t="s">
        <v>403</v>
      </c>
      <c r="B101" s="446" t="s">
        <v>410</v>
      </c>
      <c r="C101" s="446"/>
      <c r="D101" s="446"/>
      <c r="E101" s="446"/>
      <c r="F101" s="100"/>
    </row>
    <row r="102" spans="1:6">
      <c r="A102" s="2" t="s">
        <v>404</v>
      </c>
      <c r="B102" s="446" t="s">
        <v>411</v>
      </c>
      <c r="C102" s="446"/>
      <c r="D102" s="446"/>
      <c r="E102" s="446"/>
      <c r="F102" s="100"/>
    </row>
    <row r="103" spans="1:6" ht="24.75" customHeight="1"/>
    <row r="104" spans="1:6">
      <c r="B104" s="3" t="s">
        <v>125</v>
      </c>
    </row>
    <row r="105" spans="1:6" ht="78.75" customHeight="1">
      <c r="B105" s="427" t="s">
        <v>1031</v>
      </c>
      <c r="C105" s="427"/>
      <c r="D105" s="427"/>
      <c r="E105" s="427"/>
      <c r="F105" s="427"/>
    </row>
    <row r="106" spans="1:6" ht="59.25" customHeight="1">
      <c r="A106" s="2" t="s">
        <v>412</v>
      </c>
      <c r="B106" s="446" t="s">
        <v>1032</v>
      </c>
      <c r="C106" s="446"/>
      <c r="D106" s="446"/>
      <c r="E106" s="446"/>
      <c r="F106" s="347">
        <v>0.79400000000000004</v>
      </c>
    </row>
    <row r="109" spans="1:6" ht="65.25" customHeight="1"/>
    <row r="110" spans="1:6" ht="51.75" customHeight="1"/>
  </sheetData>
  <mergeCells count="63">
    <mergeCell ref="B90:E90"/>
    <mergeCell ref="B94:E94"/>
    <mergeCell ref="B95:E95"/>
    <mergeCell ref="B96:E96"/>
    <mergeCell ref="B97:E97"/>
    <mergeCell ref="B93:E93"/>
    <mergeCell ref="B106:E106"/>
    <mergeCell ref="B98:E98"/>
    <mergeCell ref="B99:E99"/>
    <mergeCell ref="B100:E100"/>
    <mergeCell ref="B101:E101"/>
    <mergeCell ref="B105:F105"/>
    <mergeCell ref="B102:E102"/>
    <mergeCell ref="B81:E81"/>
    <mergeCell ref="B50:C50"/>
    <mergeCell ref="B66:F66"/>
    <mergeCell ref="B52:E52"/>
    <mergeCell ref="B55:F55"/>
    <mergeCell ref="B56:E56"/>
    <mergeCell ref="B57:E57"/>
    <mergeCell ref="B58:E58"/>
    <mergeCell ref="B59:E59"/>
    <mergeCell ref="B69:E69"/>
    <mergeCell ref="B71:E71"/>
    <mergeCell ref="B70:E70"/>
    <mergeCell ref="B72:E72"/>
    <mergeCell ref="B73:E73"/>
    <mergeCell ref="A1:F1"/>
    <mergeCell ref="B3:F3"/>
    <mergeCell ref="C4:D4"/>
    <mergeCell ref="E4:F4"/>
    <mergeCell ref="B26:C26"/>
    <mergeCell ref="B25:C25"/>
    <mergeCell ref="B20:E20"/>
    <mergeCell ref="B18:E18"/>
    <mergeCell ref="B19:E19"/>
    <mergeCell ref="B88:E88"/>
    <mergeCell ref="B89:E89"/>
    <mergeCell ref="B60:E60"/>
    <mergeCell ref="B61:E61"/>
    <mergeCell ref="B62:E62"/>
    <mergeCell ref="B63:E63"/>
    <mergeCell ref="B67:E67"/>
    <mergeCell ref="B68:E68"/>
    <mergeCell ref="B74:E74"/>
    <mergeCell ref="B82:E82"/>
    <mergeCell ref="B83:E83"/>
    <mergeCell ref="B84:E84"/>
    <mergeCell ref="B85:E85"/>
    <mergeCell ref="B86:E86"/>
    <mergeCell ref="B87:E87"/>
    <mergeCell ref="B78:E78"/>
    <mergeCell ref="B48:F48"/>
    <mergeCell ref="B22:F22"/>
    <mergeCell ref="B23:C23"/>
    <mergeCell ref="B24:C24"/>
    <mergeCell ref="B28:C28"/>
    <mergeCell ref="B27:C27"/>
    <mergeCell ref="B29:C29"/>
    <mergeCell ref="B30:C30"/>
    <mergeCell ref="B31:C31"/>
    <mergeCell ref="B32:C32"/>
    <mergeCell ref="B33:C33"/>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AD271"/>
  <sheetViews>
    <sheetView zoomScaleNormal="100" workbookViewId="0">
      <selection activeCell="F191" sqref="F191"/>
    </sheetView>
  </sheetViews>
  <sheetFormatPr defaultRowHeight="12.75"/>
  <cols>
    <col min="1" max="1" width="4.42578125" style="1" customWidth="1"/>
    <col min="2" max="2" width="27" customWidth="1"/>
    <col min="3" max="3" width="14.7109375" customWidth="1"/>
    <col min="4" max="4" width="15.85546875" customWidth="1"/>
    <col min="5" max="6" width="14.7109375" customWidth="1"/>
  </cols>
  <sheetData>
    <row r="1" spans="1:6" ht="18">
      <c r="A1" s="425" t="s">
        <v>413</v>
      </c>
      <c r="B1" s="500"/>
      <c r="C1" s="500"/>
      <c r="D1" s="500"/>
      <c r="E1" s="500"/>
      <c r="F1" s="500"/>
    </row>
    <row r="3" spans="1:6" ht="15.75">
      <c r="B3" s="21" t="s">
        <v>414</v>
      </c>
    </row>
    <row r="4" spans="1:6" ht="107.25" customHeight="1">
      <c r="A4" s="2" t="s">
        <v>662</v>
      </c>
      <c r="B4" s="494" t="s">
        <v>1016</v>
      </c>
      <c r="C4" s="502"/>
      <c r="D4" s="502"/>
      <c r="E4" s="502"/>
      <c r="F4" s="426"/>
    </row>
    <row r="5" spans="1:6">
      <c r="A5" s="2" t="s">
        <v>662</v>
      </c>
      <c r="B5" s="447" t="s">
        <v>329</v>
      </c>
      <c r="C5" s="471"/>
      <c r="D5" s="472"/>
      <c r="E5" s="321">
        <v>5789</v>
      </c>
    </row>
    <row r="6" spans="1:6">
      <c r="A6" s="2" t="s">
        <v>662</v>
      </c>
      <c r="B6" s="501" t="s">
        <v>330</v>
      </c>
      <c r="C6" s="469"/>
      <c r="D6" s="470"/>
      <c r="E6" s="321">
        <v>8513</v>
      </c>
    </row>
    <row r="7" spans="1:6">
      <c r="A7" s="2"/>
      <c r="B7" s="14"/>
      <c r="C7" s="41"/>
      <c r="D7" s="41"/>
      <c r="E7" s="321"/>
    </row>
    <row r="8" spans="1:6">
      <c r="A8" s="2" t="s">
        <v>662</v>
      </c>
      <c r="B8" s="501" t="s">
        <v>331</v>
      </c>
      <c r="C8" s="469"/>
      <c r="D8" s="470"/>
      <c r="E8" s="321">
        <v>3675</v>
      </c>
    </row>
    <row r="9" spans="1:6">
      <c r="A9" s="2" t="s">
        <v>662</v>
      </c>
      <c r="B9" s="501" t="s">
        <v>807</v>
      </c>
      <c r="C9" s="469"/>
      <c r="D9" s="470"/>
      <c r="E9" s="321">
        <v>5984</v>
      </c>
    </row>
    <row r="10" spans="1:6">
      <c r="A10" s="2"/>
      <c r="B10" s="14"/>
      <c r="C10" s="28"/>
      <c r="D10" s="28"/>
      <c r="E10" s="321"/>
    </row>
    <row r="11" spans="1:6">
      <c r="A11" s="2" t="s">
        <v>662</v>
      </c>
      <c r="B11" s="501" t="s">
        <v>797</v>
      </c>
      <c r="C11" s="469"/>
      <c r="D11" s="470"/>
      <c r="E11" s="321">
        <v>1512</v>
      </c>
    </row>
    <row r="12" spans="1:6">
      <c r="A12" s="2" t="s">
        <v>662</v>
      </c>
      <c r="B12" s="484" t="s">
        <v>798</v>
      </c>
      <c r="C12" s="469"/>
      <c r="D12" s="470"/>
      <c r="E12" s="321">
        <v>6</v>
      </c>
    </row>
    <row r="13" spans="1:6">
      <c r="A13" s="2"/>
      <c r="B13" s="14"/>
      <c r="C13" s="28"/>
      <c r="D13" s="28"/>
      <c r="E13" s="321"/>
    </row>
    <row r="14" spans="1:6">
      <c r="A14" s="2" t="s">
        <v>662</v>
      </c>
      <c r="B14" s="505" t="s">
        <v>799</v>
      </c>
      <c r="C14" s="469"/>
      <c r="D14" s="470"/>
      <c r="E14" s="321">
        <v>2318</v>
      </c>
    </row>
    <row r="15" spans="1:6">
      <c r="A15" s="2" t="s">
        <v>662</v>
      </c>
      <c r="B15" s="484" t="s">
        <v>800</v>
      </c>
      <c r="C15" s="469"/>
      <c r="D15" s="470"/>
      <c r="E15" s="321">
        <v>8</v>
      </c>
    </row>
    <row r="17" spans="1:6" ht="29.25" customHeight="1">
      <c r="A17" s="2" t="s">
        <v>663</v>
      </c>
      <c r="B17" s="494" t="s">
        <v>801</v>
      </c>
      <c r="C17" s="502"/>
      <c r="D17" s="502"/>
      <c r="E17" s="502"/>
      <c r="F17" s="426"/>
    </row>
    <row r="18" spans="1:6">
      <c r="A18" s="2"/>
      <c r="B18" s="492"/>
      <c r="C18" s="493"/>
      <c r="D18" s="493"/>
      <c r="E18" s="32" t="s">
        <v>544</v>
      </c>
      <c r="F18" s="32" t="s">
        <v>545</v>
      </c>
    </row>
    <row r="19" spans="1:6">
      <c r="A19" s="2" t="s">
        <v>663</v>
      </c>
      <c r="B19" s="504" t="s">
        <v>415</v>
      </c>
      <c r="C19" s="504"/>
      <c r="D19" s="504"/>
      <c r="E19" s="32"/>
      <c r="F19" s="32" t="s">
        <v>1059</v>
      </c>
    </row>
    <row r="20" spans="1:6">
      <c r="A20" s="2" t="s">
        <v>663</v>
      </c>
      <c r="B20" s="480" t="s">
        <v>1017</v>
      </c>
      <c r="C20" s="480"/>
      <c r="D20" s="480"/>
      <c r="E20" s="40"/>
      <c r="F20" s="28"/>
    </row>
    <row r="21" spans="1:6">
      <c r="A21" s="2" t="s">
        <v>663</v>
      </c>
      <c r="B21" s="506" t="s">
        <v>698</v>
      </c>
      <c r="C21" s="507"/>
      <c r="D21" s="508"/>
      <c r="E21" s="9"/>
      <c r="F21" s="28"/>
    </row>
    <row r="22" spans="1:6">
      <c r="A22" s="2" t="s">
        <v>663</v>
      </c>
      <c r="B22" s="509" t="s">
        <v>484</v>
      </c>
      <c r="C22" s="509"/>
      <c r="D22" s="509"/>
      <c r="E22" s="9"/>
      <c r="F22" s="28"/>
    </row>
    <row r="23" spans="1:6">
      <c r="A23" s="2" t="s">
        <v>663</v>
      </c>
      <c r="B23" s="509" t="s">
        <v>485</v>
      </c>
      <c r="C23" s="509"/>
      <c r="D23" s="509"/>
      <c r="E23" s="9"/>
    </row>
    <row r="24" spans="1:6">
      <c r="A24" s="2" t="s">
        <v>663</v>
      </c>
      <c r="B24" s="270" t="s">
        <v>699</v>
      </c>
      <c r="C24" s="240"/>
      <c r="D24" s="240"/>
      <c r="E24" s="31"/>
    </row>
    <row r="25" spans="1:6">
      <c r="A25" s="2" t="s">
        <v>663</v>
      </c>
      <c r="B25" s="518" t="s">
        <v>700</v>
      </c>
      <c r="C25" s="461"/>
      <c r="D25" s="240"/>
      <c r="E25" s="31"/>
    </row>
    <row r="26" spans="1:6">
      <c r="A26" s="2" t="s">
        <v>663</v>
      </c>
      <c r="B26" s="518" t="s">
        <v>701</v>
      </c>
      <c r="C26" s="461"/>
      <c r="D26" s="240"/>
      <c r="E26" s="31"/>
    </row>
    <row r="27" spans="1:6">
      <c r="B27" s="6"/>
      <c r="C27" s="6"/>
      <c r="D27" s="6"/>
    </row>
    <row r="28" spans="1:6" ht="15.75">
      <c r="A28" s="45"/>
      <c r="B28" s="21" t="s">
        <v>416</v>
      </c>
    </row>
    <row r="29" spans="1:6">
      <c r="A29" s="2" t="s">
        <v>661</v>
      </c>
      <c r="B29" s="3" t="s">
        <v>749</v>
      </c>
    </row>
    <row r="30" spans="1:6" ht="25.5" customHeight="1">
      <c r="A30" s="2" t="s">
        <v>661</v>
      </c>
      <c r="B30" s="446" t="s">
        <v>417</v>
      </c>
      <c r="C30" s="446"/>
      <c r="D30" s="32" t="s">
        <v>1059</v>
      </c>
      <c r="F30" s="28"/>
    </row>
    <row r="31" spans="1:6" ht="24.75" customHeight="1">
      <c r="A31" s="2" t="s">
        <v>661</v>
      </c>
      <c r="B31" s="487" t="s">
        <v>486</v>
      </c>
      <c r="C31" s="446"/>
      <c r="D31" s="32"/>
      <c r="F31" s="28"/>
    </row>
    <row r="32" spans="1:6" ht="12.75" customHeight="1">
      <c r="A32" s="2" t="s">
        <v>661</v>
      </c>
      <c r="B32" s="446" t="s">
        <v>487</v>
      </c>
      <c r="C32" s="446"/>
      <c r="D32" s="32"/>
      <c r="F32" s="28"/>
    </row>
    <row r="34" spans="1:6" ht="29.25" customHeight="1">
      <c r="A34" s="2" t="s">
        <v>664</v>
      </c>
      <c r="B34" s="510" t="s">
        <v>967</v>
      </c>
      <c r="C34" s="510"/>
      <c r="D34" s="510"/>
      <c r="E34" s="510"/>
      <c r="F34" s="426"/>
    </row>
    <row r="35" spans="1:6">
      <c r="A35" s="2" t="s">
        <v>664</v>
      </c>
      <c r="B35" s="446" t="s">
        <v>488</v>
      </c>
      <c r="C35" s="446"/>
      <c r="D35" s="32" t="s">
        <v>1059</v>
      </c>
      <c r="F35" s="28"/>
    </row>
    <row r="36" spans="1:6">
      <c r="A36" s="2" t="s">
        <v>664</v>
      </c>
      <c r="B36" s="487" t="s">
        <v>489</v>
      </c>
      <c r="C36" s="446"/>
      <c r="D36" s="32"/>
      <c r="F36" s="28"/>
    </row>
    <row r="37" spans="1:6" ht="12.75" customHeight="1">
      <c r="A37" s="2" t="s">
        <v>664</v>
      </c>
      <c r="B37" s="446" t="s">
        <v>490</v>
      </c>
      <c r="C37" s="446"/>
      <c r="D37" s="32"/>
      <c r="F37" s="28"/>
    </row>
    <row r="39" spans="1:6" ht="54.75" customHeight="1">
      <c r="A39" s="2" t="s">
        <v>665</v>
      </c>
      <c r="B39" s="494" t="s">
        <v>630</v>
      </c>
      <c r="C39" s="495"/>
      <c r="D39" s="495"/>
      <c r="E39" s="495"/>
      <c r="F39" s="426"/>
    </row>
    <row r="40" spans="1:6" ht="24">
      <c r="A40" s="2" t="s">
        <v>665</v>
      </c>
      <c r="B40" s="172"/>
      <c r="C40" s="29" t="s">
        <v>968</v>
      </c>
      <c r="D40" s="30" t="s">
        <v>969</v>
      </c>
      <c r="E40" s="46"/>
      <c r="F40" s="31"/>
    </row>
    <row r="41" spans="1:6">
      <c r="A41" s="2" t="s">
        <v>665</v>
      </c>
      <c r="B41" s="44" t="s">
        <v>970</v>
      </c>
      <c r="C41" s="32"/>
      <c r="D41" s="33"/>
      <c r="F41" s="31"/>
    </row>
    <row r="42" spans="1:6">
      <c r="A42" s="2" t="s">
        <v>665</v>
      </c>
      <c r="B42" s="44" t="s">
        <v>971</v>
      </c>
      <c r="C42" s="32">
        <v>4</v>
      </c>
      <c r="D42" s="33"/>
      <c r="F42" s="31"/>
    </row>
    <row r="43" spans="1:6">
      <c r="A43" s="2" t="s">
        <v>665</v>
      </c>
      <c r="B43" s="44" t="s">
        <v>972</v>
      </c>
      <c r="C43" s="32">
        <v>3</v>
      </c>
      <c r="D43" s="33">
        <v>4</v>
      </c>
      <c r="F43" s="31"/>
    </row>
    <row r="44" spans="1:6">
      <c r="A44" s="2" t="s">
        <v>665</v>
      </c>
      <c r="B44" s="44" t="s">
        <v>973</v>
      </c>
      <c r="C44" s="32">
        <v>3</v>
      </c>
      <c r="D44" s="33"/>
      <c r="F44" s="31"/>
    </row>
    <row r="45" spans="1:6" ht="25.5">
      <c r="A45" s="2" t="s">
        <v>665</v>
      </c>
      <c r="B45" s="47" t="s">
        <v>750</v>
      </c>
      <c r="C45" s="32">
        <v>2</v>
      </c>
      <c r="D45" s="33"/>
      <c r="F45" s="31"/>
    </row>
    <row r="46" spans="1:6">
      <c r="A46" s="2" t="s">
        <v>665</v>
      </c>
      <c r="B46" s="44" t="s">
        <v>974</v>
      </c>
      <c r="C46" s="32"/>
      <c r="D46" s="33">
        <v>3</v>
      </c>
      <c r="F46" s="31"/>
    </row>
    <row r="47" spans="1:6">
      <c r="A47" s="2" t="s">
        <v>665</v>
      </c>
      <c r="B47" s="44" t="s">
        <v>975</v>
      </c>
      <c r="C47" s="32">
        <v>3</v>
      </c>
      <c r="D47" s="33"/>
      <c r="F47" s="31"/>
    </row>
    <row r="48" spans="1:6">
      <c r="A48" s="2" t="s">
        <v>665</v>
      </c>
      <c r="B48" s="44" t="s">
        <v>976</v>
      </c>
      <c r="C48" s="511" t="s">
        <v>1068</v>
      </c>
      <c r="D48" s="512"/>
      <c r="F48" s="31"/>
    </row>
    <row r="49" spans="1:6" ht="13.5" thickBot="1">
      <c r="A49" s="2" t="s">
        <v>665</v>
      </c>
      <c r="B49" s="288" t="s">
        <v>977</v>
      </c>
      <c r="C49" s="32"/>
      <c r="D49" s="33"/>
      <c r="F49" s="31"/>
    </row>
    <row r="50" spans="1:6" ht="13.5" thickBot="1">
      <c r="A50" s="2" t="s">
        <v>665</v>
      </c>
      <c r="B50" s="298" t="s">
        <v>392</v>
      </c>
      <c r="C50" s="33"/>
      <c r="D50" s="33"/>
      <c r="F50" s="31"/>
    </row>
    <row r="51" spans="1:6" ht="13.5" thickBot="1">
      <c r="A51" s="2" t="s">
        <v>665</v>
      </c>
      <c r="B51" s="298" t="s">
        <v>393</v>
      </c>
      <c r="C51" s="33"/>
      <c r="D51" s="33"/>
      <c r="F51" s="31"/>
    </row>
    <row r="52" spans="1:6">
      <c r="A52" s="2" t="s">
        <v>665</v>
      </c>
      <c r="B52" s="289" t="s">
        <v>631</v>
      </c>
      <c r="C52" s="32"/>
      <c r="D52" s="33"/>
      <c r="F52" s="31"/>
    </row>
    <row r="54" spans="1:6" ht="15.75">
      <c r="B54" s="34" t="s">
        <v>978</v>
      </c>
    </row>
    <row r="55" spans="1:6" ht="38.25" customHeight="1">
      <c r="A55" s="2" t="s">
        <v>666</v>
      </c>
      <c r="B55" s="496" t="s">
        <v>658</v>
      </c>
      <c r="C55" s="497"/>
      <c r="D55" s="497"/>
      <c r="E55" s="497"/>
      <c r="F55" s="426"/>
    </row>
    <row r="56" spans="1:6">
      <c r="A56" s="2" t="s">
        <v>666</v>
      </c>
      <c r="B56" s="503" t="s">
        <v>659</v>
      </c>
      <c r="C56" s="504"/>
      <c r="D56" s="504"/>
      <c r="E56" s="35"/>
      <c r="F56" s="28"/>
    </row>
    <row r="57" spans="1:6">
      <c r="A57" s="2" t="s">
        <v>666</v>
      </c>
      <c r="B57" s="474" t="s">
        <v>521</v>
      </c>
      <c r="C57" s="446"/>
      <c r="D57" s="446"/>
      <c r="E57" s="123"/>
      <c r="F57" s="28"/>
    </row>
    <row r="58" spans="1:6">
      <c r="A58" s="2" t="s">
        <v>666</v>
      </c>
      <c r="B58" s="474" t="s">
        <v>523</v>
      </c>
      <c r="C58" s="474"/>
      <c r="D58" s="474"/>
      <c r="E58" s="35"/>
      <c r="F58" s="28"/>
    </row>
    <row r="59" spans="1:6">
      <c r="A59" s="2" t="s">
        <v>666</v>
      </c>
      <c r="B59" s="474" t="s">
        <v>522</v>
      </c>
      <c r="C59" s="474"/>
      <c r="D59" s="474"/>
      <c r="E59" s="35"/>
      <c r="F59" s="28"/>
    </row>
    <row r="60" spans="1:6">
      <c r="A60" s="2" t="s">
        <v>666</v>
      </c>
      <c r="B60" s="515" t="s">
        <v>660</v>
      </c>
      <c r="C60" s="516"/>
      <c r="D60" s="516"/>
      <c r="E60" s="220"/>
      <c r="F60" s="28"/>
    </row>
    <row r="61" spans="1:6">
      <c r="B61" s="479" t="s">
        <v>1078</v>
      </c>
      <c r="C61" s="480"/>
      <c r="D61" s="480"/>
      <c r="E61" s="43"/>
    </row>
    <row r="62" spans="1:6">
      <c r="B62" s="6"/>
      <c r="C62" s="6"/>
      <c r="D62" s="6"/>
    </row>
    <row r="63" spans="1:6" ht="28.5" customHeight="1">
      <c r="A63" s="2" t="s">
        <v>667</v>
      </c>
      <c r="B63" s="513" t="s">
        <v>979</v>
      </c>
      <c r="C63" s="513"/>
      <c r="D63" s="513"/>
      <c r="E63" s="513"/>
      <c r="F63" s="514"/>
    </row>
    <row r="64" spans="1:6" ht="25.5">
      <c r="A64" s="2" t="s">
        <v>667</v>
      </c>
      <c r="B64" s="91"/>
      <c r="C64" s="35" t="s">
        <v>980</v>
      </c>
      <c r="D64" s="35" t="s">
        <v>981</v>
      </c>
      <c r="E64" s="35" t="s">
        <v>982</v>
      </c>
      <c r="F64" s="35" t="s">
        <v>983</v>
      </c>
    </row>
    <row r="65" spans="1:6" ht="15">
      <c r="A65" s="2" t="s">
        <v>667</v>
      </c>
      <c r="B65" s="74" t="s">
        <v>984</v>
      </c>
      <c r="C65" s="75"/>
      <c r="D65" s="75"/>
      <c r="E65" s="75"/>
      <c r="F65" s="76"/>
    </row>
    <row r="66" spans="1:6" ht="25.5">
      <c r="A66" s="2" t="s">
        <v>667</v>
      </c>
      <c r="B66" s="271" t="s">
        <v>702</v>
      </c>
      <c r="C66" s="330" t="s">
        <v>1059</v>
      </c>
      <c r="D66" s="325"/>
      <c r="E66" s="325"/>
      <c r="F66" s="325"/>
    </row>
    <row r="67" spans="1:6">
      <c r="A67" s="2" t="s">
        <v>667</v>
      </c>
      <c r="B67" s="36" t="s">
        <v>985</v>
      </c>
      <c r="C67" s="325"/>
      <c r="D67" s="325"/>
      <c r="E67" s="325"/>
      <c r="F67" s="330" t="s">
        <v>1059</v>
      </c>
    </row>
    <row r="68" spans="1:6">
      <c r="A68" s="2" t="s">
        <v>667</v>
      </c>
      <c r="B68" s="272" t="s">
        <v>703</v>
      </c>
      <c r="C68" s="330" t="s">
        <v>1059</v>
      </c>
      <c r="D68" s="325"/>
      <c r="E68" s="325"/>
      <c r="F68" s="325"/>
    </row>
    <row r="69" spans="1:6">
      <c r="A69" s="2" t="s">
        <v>667</v>
      </c>
      <c r="B69" s="36" t="s">
        <v>987</v>
      </c>
      <c r="C69" s="330" t="s">
        <v>1059</v>
      </c>
      <c r="D69" s="325"/>
      <c r="E69" s="325"/>
      <c r="F69" s="325"/>
    </row>
    <row r="70" spans="1:6">
      <c r="A70" s="2" t="s">
        <v>667</v>
      </c>
      <c r="B70" s="273" t="s">
        <v>704</v>
      </c>
      <c r="C70" s="325"/>
      <c r="D70" s="325"/>
      <c r="E70" s="330" t="s">
        <v>1059</v>
      </c>
      <c r="F70" s="325"/>
    </row>
    <row r="71" spans="1:6">
      <c r="A71" s="2" t="s">
        <v>667</v>
      </c>
      <c r="B71" s="36" t="s">
        <v>986</v>
      </c>
      <c r="C71" s="325"/>
      <c r="D71" s="325"/>
      <c r="E71" s="330" t="s">
        <v>1059</v>
      </c>
      <c r="F71" s="325"/>
    </row>
    <row r="72" spans="1:6" ht="15">
      <c r="A72" s="2" t="s">
        <v>667</v>
      </c>
      <c r="B72" s="74" t="s">
        <v>988</v>
      </c>
      <c r="C72" s="327"/>
      <c r="D72" s="327"/>
      <c r="E72" s="327"/>
      <c r="F72" s="328"/>
    </row>
    <row r="73" spans="1:6">
      <c r="A73" s="2" t="s">
        <v>667</v>
      </c>
      <c r="B73" s="36" t="s">
        <v>989</v>
      </c>
      <c r="C73" s="325"/>
      <c r="D73" s="325"/>
      <c r="E73" s="325"/>
      <c r="F73" s="330" t="s">
        <v>1059</v>
      </c>
    </row>
    <row r="74" spans="1:6">
      <c r="A74" s="2" t="s">
        <v>667</v>
      </c>
      <c r="B74" s="36" t="s">
        <v>990</v>
      </c>
      <c r="C74" s="325"/>
      <c r="D74" s="325"/>
      <c r="E74" s="330" t="s">
        <v>1059</v>
      </c>
      <c r="F74" s="325"/>
    </row>
    <row r="75" spans="1:6">
      <c r="A75" s="2" t="s">
        <v>667</v>
      </c>
      <c r="B75" s="36" t="s">
        <v>991</v>
      </c>
      <c r="C75" s="325"/>
      <c r="D75" s="325"/>
      <c r="E75" s="330" t="s">
        <v>1059</v>
      </c>
      <c r="F75" s="325"/>
    </row>
    <row r="76" spans="1:6">
      <c r="A76" s="2" t="s">
        <v>667</v>
      </c>
      <c r="B76" s="36" t="s">
        <v>992</v>
      </c>
      <c r="C76" s="325"/>
      <c r="D76" s="325"/>
      <c r="E76" s="325"/>
      <c r="F76" s="330" t="s">
        <v>1059</v>
      </c>
    </row>
    <row r="77" spans="1:6">
      <c r="A77" s="2" t="s">
        <v>667</v>
      </c>
      <c r="B77" s="273" t="s">
        <v>705</v>
      </c>
      <c r="C77" s="325"/>
      <c r="D77" s="325"/>
      <c r="E77" s="325"/>
      <c r="F77" s="330" t="s">
        <v>1059</v>
      </c>
    </row>
    <row r="78" spans="1:6">
      <c r="A78" s="2" t="s">
        <v>667</v>
      </c>
      <c r="B78" s="36" t="s">
        <v>993</v>
      </c>
      <c r="C78" s="325"/>
      <c r="D78" s="325"/>
      <c r="E78" s="325"/>
      <c r="F78" s="330" t="s">
        <v>1059</v>
      </c>
    </row>
    <row r="79" spans="1:6">
      <c r="A79" s="2" t="s">
        <v>667</v>
      </c>
      <c r="B79" s="36" t="s">
        <v>994</v>
      </c>
      <c r="C79" s="325"/>
      <c r="D79" s="325"/>
      <c r="E79" s="325"/>
      <c r="F79" s="330" t="s">
        <v>1059</v>
      </c>
    </row>
    <row r="80" spans="1:6">
      <c r="A80" s="2" t="s">
        <v>667</v>
      </c>
      <c r="B80" s="36" t="s">
        <v>995</v>
      </c>
      <c r="C80" s="325"/>
      <c r="D80" s="325"/>
      <c r="E80" s="325"/>
      <c r="F80" s="330" t="s">
        <v>1059</v>
      </c>
    </row>
    <row r="81" spans="1:8" ht="25.5">
      <c r="A81" s="2" t="s">
        <v>667</v>
      </c>
      <c r="B81" s="48" t="s">
        <v>996</v>
      </c>
      <c r="C81" s="325"/>
      <c r="D81" s="325"/>
      <c r="E81" s="325"/>
      <c r="F81" s="330" t="s">
        <v>1059</v>
      </c>
    </row>
    <row r="82" spans="1:8">
      <c r="A82" s="2" t="s">
        <v>667</v>
      </c>
      <c r="B82" s="273" t="s">
        <v>706</v>
      </c>
      <c r="C82" s="325"/>
      <c r="D82" s="325"/>
      <c r="E82" s="325"/>
      <c r="F82" s="330" t="s">
        <v>1059</v>
      </c>
    </row>
    <row r="83" spans="1:8">
      <c r="A83" s="2" t="s">
        <v>667</v>
      </c>
      <c r="B83" s="36" t="s">
        <v>998</v>
      </c>
      <c r="C83" s="325"/>
      <c r="D83" s="325"/>
      <c r="E83" s="330" t="s">
        <v>1059</v>
      </c>
      <c r="F83" s="330"/>
    </row>
    <row r="84" spans="1:8">
      <c r="A84" s="2" t="s">
        <v>667</v>
      </c>
      <c r="B84" s="36" t="s">
        <v>999</v>
      </c>
      <c r="C84" s="325"/>
      <c r="D84" s="325"/>
      <c r="E84" s="330" t="s">
        <v>1059</v>
      </c>
      <c r="F84" s="325"/>
    </row>
    <row r="85" spans="1:8">
      <c r="A85" s="2" t="s">
        <v>667</v>
      </c>
      <c r="B85" s="274" t="s">
        <v>707</v>
      </c>
      <c r="C85" s="329"/>
      <c r="D85" s="329"/>
      <c r="E85" s="329"/>
      <c r="F85" s="331" t="s">
        <v>1059</v>
      </c>
    </row>
    <row r="87" spans="1:8" ht="15.75">
      <c r="B87" s="21" t="s">
        <v>1000</v>
      </c>
    </row>
    <row r="88" spans="1:8">
      <c r="A88" s="2" t="s">
        <v>668</v>
      </c>
      <c r="B88" s="54" t="s">
        <v>684</v>
      </c>
      <c r="C88" s="50"/>
      <c r="D88" s="50"/>
      <c r="E88" s="50"/>
      <c r="F88" s="50"/>
      <c r="G88" s="50"/>
      <c r="H88" s="51"/>
    </row>
    <row r="89" spans="1:8">
      <c r="A89" s="2"/>
      <c r="B89" s="492"/>
      <c r="C89" s="493"/>
      <c r="D89" s="493"/>
      <c r="E89" s="32" t="s">
        <v>544</v>
      </c>
      <c r="F89" s="32" t="s">
        <v>545</v>
      </c>
      <c r="G89" s="50"/>
      <c r="H89" s="51"/>
    </row>
    <row r="90" spans="1:8" ht="39.75" customHeight="1">
      <c r="A90" s="2" t="s">
        <v>685</v>
      </c>
      <c r="B90" s="529" t="s">
        <v>452</v>
      </c>
      <c r="C90" s="448"/>
      <c r="D90" s="449"/>
      <c r="E90" s="326" t="s">
        <v>1059</v>
      </c>
      <c r="F90" s="65"/>
      <c r="G90" s="50"/>
      <c r="H90" s="50"/>
    </row>
    <row r="91" spans="1:8" ht="26.25" customHeight="1">
      <c r="A91" s="2" t="s">
        <v>685</v>
      </c>
      <c r="B91" s="523" t="s">
        <v>1007</v>
      </c>
      <c r="C91" s="524"/>
      <c r="D91" s="524"/>
      <c r="E91" s="524"/>
      <c r="F91" s="525"/>
      <c r="G91" s="52"/>
      <c r="H91" s="52"/>
    </row>
    <row r="92" spans="1:8" ht="12.75" customHeight="1">
      <c r="A92" s="2" t="s">
        <v>685</v>
      </c>
      <c r="B92" s="180"/>
      <c r="C92" s="530" t="s">
        <v>944</v>
      </c>
      <c r="D92" s="531"/>
      <c r="E92" s="531"/>
      <c r="F92" s="532"/>
      <c r="G92" s="499"/>
      <c r="H92" s="52"/>
    </row>
    <row r="93" spans="1:8" ht="24" customHeight="1">
      <c r="A93" s="2" t="s">
        <v>685</v>
      </c>
      <c r="B93" s="181"/>
      <c r="C93" s="58" t="s">
        <v>488</v>
      </c>
      <c r="D93" s="58" t="s">
        <v>489</v>
      </c>
      <c r="E93" s="58" t="s">
        <v>960</v>
      </c>
      <c r="F93" s="88" t="s">
        <v>961</v>
      </c>
      <c r="G93" s="182" t="s">
        <v>945</v>
      </c>
      <c r="H93" s="52"/>
    </row>
    <row r="94" spans="1:8" ht="12.75" customHeight="1">
      <c r="A94" s="2" t="s">
        <v>685</v>
      </c>
      <c r="B94" s="275" t="s">
        <v>773</v>
      </c>
      <c r="C94" s="183"/>
      <c r="D94" s="183"/>
      <c r="E94" s="324" t="s">
        <v>1059</v>
      </c>
      <c r="F94" s="183"/>
      <c r="G94" s="55"/>
      <c r="H94" s="52"/>
    </row>
    <row r="95" spans="1:8" ht="12.75" customHeight="1">
      <c r="A95" s="2" t="s">
        <v>685</v>
      </c>
      <c r="B95" s="275" t="s">
        <v>764</v>
      </c>
      <c r="C95" s="183"/>
      <c r="D95" s="183"/>
      <c r="E95" s="183"/>
      <c r="F95" s="183"/>
      <c r="G95" s="55"/>
      <c r="H95" s="52"/>
    </row>
    <row r="96" spans="1:8" ht="12.75" customHeight="1">
      <c r="A96" s="2" t="s">
        <v>685</v>
      </c>
      <c r="B96" s="275" t="s">
        <v>774</v>
      </c>
      <c r="C96" s="183"/>
      <c r="D96" s="183"/>
      <c r="E96" s="183"/>
      <c r="F96" s="183"/>
      <c r="G96" s="55"/>
      <c r="H96" s="52"/>
    </row>
    <row r="97" spans="1:8" ht="25.5">
      <c r="A97" s="2" t="s">
        <v>685</v>
      </c>
      <c r="B97" s="59" t="s">
        <v>775</v>
      </c>
      <c r="C97" s="183"/>
      <c r="D97" s="183"/>
      <c r="E97" s="183"/>
      <c r="F97" s="183"/>
      <c r="G97" s="322" t="s">
        <v>1059</v>
      </c>
      <c r="H97" s="52"/>
    </row>
    <row r="98" spans="1:8">
      <c r="A98" s="2" t="s">
        <v>685</v>
      </c>
      <c r="B98" s="184" t="s">
        <v>765</v>
      </c>
      <c r="C98" s="183"/>
      <c r="D98" s="183"/>
      <c r="E98" s="183"/>
      <c r="F98" s="183"/>
      <c r="G98" s="322" t="s">
        <v>1059</v>
      </c>
      <c r="H98" s="52"/>
    </row>
    <row r="99" spans="1:8" ht="12.75" customHeight="1">
      <c r="A99" s="2"/>
      <c r="B99" s="62"/>
      <c r="C99" s="63"/>
      <c r="D99" s="63"/>
      <c r="E99" s="63"/>
      <c r="F99" s="63"/>
      <c r="G99" s="61"/>
      <c r="H99" s="52"/>
    </row>
    <row r="100" spans="1:8" ht="39" customHeight="1">
      <c r="A100" s="241" t="s">
        <v>543</v>
      </c>
      <c r="B100" s="533" t="s">
        <v>1008</v>
      </c>
      <c r="C100" s="533"/>
      <c r="D100" s="533"/>
      <c r="E100" s="533"/>
      <c r="F100" s="533"/>
      <c r="G100" s="533"/>
      <c r="H100" s="52"/>
    </row>
    <row r="101" spans="1:8" s="229" customFormat="1" ht="18.75" customHeight="1">
      <c r="A101" s="241" t="s">
        <v>543</v>
      </c>
      <c r="B101" s="519" t="s">
        <v>766</v>
      </c>
      <c r="C101" s="519"/>
      <c r="D101" s="519"/>
      <c r="E101" s="242"/>
      <c r="F101" s="231"/>
      <c r="G101" s="61"/>
      <c r="H101" s="52"/>
    </row>
    <row r="102" spans="1:8" s="229" customFormat="1" ht="12.75" customHeight="1">
      <c r="A102" s="241" t="s">
        <v>543</v>
      </c>
      <c r="B102" s="519" t="s">
        <v>776</v>
      </c>
      <c r="C102" s="519"/>
      <c r="D102" s="519"/>
      <c r="E102" s="323" t="s">
        <v>1059</v>
      </c>
      <c r="F102" s="231"/>
      <c r="G102" s="61"/>
      <c r="H102" s="52"/>
    </row>
    <row r="103" spans="1:8" s="229" customFormat="1" ht="12.75" customHeight="1">
      <c r="A103" s="241" t="s">
        <v>543</v>
      </c>
      <c r="B103" s="519" t="s">
        <v>767</v>
      </c>
      <c r="C103" s="519"/>
      <c r="D103" s="519"/>
      <c r="E103" s="242"/>
      <c r="F103" s="231"/>
      <c r="G103" s="61"/>
      <c r="H103" s="52"/>
    </row>
    <row r="104" spans="1:8" s="229" customFormat="1" ht="12.75" customHeight="1">
      <c r="A104" s="27"/>
      <c r="B104" s="230"/>
      <c r="C104" s="231"/>
      <c r="D104" s="231"/>
      <c r="E104" s="231"/>
      <c r="F104" s="231"/>
      <c r="G104" s="61"/>
      <c r="H104" s="52"/>
    </row>
    <row r="105" spans="1:8" s="229" customFormat="1" ht="12.75" customHeight="1" thickBot="1">
      <c r="A105" s="241" t="s">
        <v>507</v>
      </c>
      <c r="B105" s="519" t="s">
        <v>777</v>
      </c>
      <c r="C105" s="519"/>
      <c r="D105" s="519"/>
      <c r="E105" s="519"/>
      <c r="F105" s="519"/>
      <c r="G105" s="519"/>
      <c r="H105" s="52"/>
    </row>
    <row r="106" spans="1:8" s="229" customFormat="1" ht="12.75" customHeight="1">
      <c r="A106" s="241" t="s">
        <v>507</v>
      </c>
      <c r="B106" s="262"/>
      <c r="C106" s="262"/>
      <c r="D106" s="262"/>
      <c r="E106" s="301" t="s">
        <v>113</v>
      </c>
      <c r="F106" s="302" t="s">
        <v>114</v>
      </c>
      <c r="G106" s="262"/>
      <c r="H106" s="52"/>
    </row>
    <row r="107" spans="1:8" s="229" customFormat="1" ht="13.5" customHeight="1">
      <c r="A107" s="241" t="s">
        <v>507</v>
      </c>
      <c r="B107" s="262" t="s">
        <v>778</v>
      </c>
      <c r="C107" s="262"/>
      <c r="D107" s="262"/>
      <c r="E107" s="332" t="s">
        <v>1059</v>
      </c>
      <c r="F107" s="304"/>
      <c r="G107" s="61"/>
      <c r="H107" s="52"/>
    </row>
    <row r="108" spans="1:8" s="229" customFormat="1" ht="12.75" customHeight="1">
      <c r="A108" s="241" t="s">
        <v>507</v>
      </c>
      <c r="B108" s="262" t="s">
        <v>779</v>
      </c>
      <c r="C108" s="262"/>
      <c r="D108" s="262"/>
      <c r="E108" s="332" t="s">
        <v>1059</v>
      </c>
      <c r="F108" s="304"/>
      <c r="G108" s="61"/>
      <c r="H108" s="52"/>
    </row>
    <row r="109" spans="1:8" s="229" customFormat="1" ht="15.75" customHeight="1">
      <c r="A109" s="241" t="s">
        <v>507</v>
      </c>
      <c r="B109" s="263" t="s">
        <v>780</v>
      </c>
      <c r="C109" s="276"/>
      <c r="D109" s="276"/>
      <c r="E109" s="332" t="s">
        <v>1059</v>
      </c>
      <c r="F109" s="304"/>
      <c r="G109" s="61"/>
      <c r="H109" s="52"/>
    </row>
    <row r="110" spans="1:8" s="229" customFormat="1" ht="12.75" customHeight="1">
      <c r="A110" s="241" t="s">
        <v>507</v>
      </c>
      <c r="B110" s="277" t="s">
        <v>781</v>
      </c>
      <c r="C110" s="276"/>
      <c r="D110" s="276"/>
      <c r="E110" s="303"/>
      <c r="F110" s="304"/>
      <c r="G110" s="61"/>
      <c r="H110" s="52"/>
    </row>
    <row r="111" spans="1:8" s="229" customFormat="1" ht="28.5" customHeight="1">
      <c r="A111" s="241" t="s">
        <v>507</v>
      </c>
      <c r="B111" s="278" t="s">
        <v>782</v>
      </c>
      <c r="C111" s="276"/>
      <c r="D111" s="276"/>
      <c r="E111" s="303"/>
      <c r="F111" s="304"/>
      <c r="G111" s="61"/>
      <c r="H111" s="52"/>
    </row>
    <row r="112" spans="1:8" s="229" customFormat="1" ht="15" customHeight="1">
      <c r="A112" s="241" t="s">
        <v>507</v>
      </c>
      <c r="B112" s="277" t="s">
        <v>783</v>
      </c>
      <c r="C112" s="276"/>
      <c r="D112" s="276"/>
      <c r="E112" s="303"/>
      <c r="F112" s="304"/>
      <c r="G112" s="61"/>
      <c r="H112" s="52"/>
    </row>
    <row r="113" spans="1:8" s="229" customFormat="1" ht="12.75" customHeight="1" thickBot="1">
      <c r="A113" s="241" t="s">
        <v>507</v>
      </c>
      <c r="B113" s="277" t="s">
        <v>495</v>
      </c>
      <c r="C113" s="276"/>
      <c r="D113" s="276"/>
      <c r="E113" s="305"/>
      <c r="F113" s="306"/>
      <c r="G113" s="61"/>
      <c r="H113" s="52"/>
    </row>
    <row r="114" spans="1:8" s="229" customFormat="1" ht="12.75" customHeight="1">
      <c r="A114" s="2"/>
      <c r="B114" s="62"/>
      <c r="C114" s="63"/>
      <c r="D114" s="63"/>
      <c r="E114" s="63"/>
      <c r="F114" s="63"/>
      <c r="G114" s="52"/>
      <c r="H114" s="52"/>
    </row>
    <row r="115" spans="1:8">
      <c r="A115" s="2" t="s">
        <v>508</v>
      </c>
      <c r="B115" s="526" t="s">
        <v>784</v>
      </c>
      <c r="C115" s="527"/>
      <c r="D115" s="527"/>
      <c r="E115" s="527"/>
      <c r="F115" s="527"/>
      <c r="G115" s="52"/>
      <c r="H115" s="52"/>
    </row>
    <row r="116" spans="1:8">
      <c r="A116" s="2" t="s">
        <v>508</v>
      </c>
      <c r="B116" s="64"/>
      <c r="C116" s="32" t="s">
        <v>544</v>
      </c>
      <c r="D116" s="32"/>
      <c r="E116" s="14"/>
      <c r="F116" s="14"/>
      <c r="G116" s="52"/>
      <c r="H116" s="52"/>
    </row>
    <row r="117" spans="1:8">
      <c r="A117" s="2"/>
      <c r="B117" s="60"/>
      <c r="C117" s="61"/>
      <c r="D117" s="52"/>
      <c r="E117" s="52"/>
      <c r="F117" s="52"/>
      <c r="G117" s="52"/>
      <c r="H117" s="52"/>
    </row>
    <row r="118" spans="1:8">
      <c r="C118" s="56"/>
      <c r="D118" s="57"/>
      <c r="E118" s="31"/>
      <c r="F118" s="28"/>
      <c r="H118" s="52"/>
    </row>
    <row r="119" spans="1:8">
      <c r="A119" s="2" t="s">
        <v>768</v>
      </c>
      <c r="B119" s="487" t="s">
        <v>772</v>
      </c>
      <c r="C119" s="446"/>
      <c r="D119" s="446"/>
      <c r="E119" s="67" t="s">
        <v>1069</v>
      </c>
      <c r="F119" s="28"/>
    </row>
    <row r="120" spans="1:8" ht="27" customHeight="1">
      <c r="A120" s="2" t="s">
        <v>768</v>
      </c>
      <c r="B120" s="446" t="s">
        <v>771</v>
      </c>
      <c r="C120" s="446"/>
      <c r="D120" s="446"/>
      <c r="E120" s="67">
        <v>40756</v>
      </c>
      <c r="F120" s="28"/>
    </row>
    <row r="121" spans="1:8" ht="27" customHeight="1">
      <c r="A121" s="2"/>
      <c r="B121" s="49"/>
      <c r="C121" s="49"/>
      <c r="D121" s="49"/>
      <c r="E121" s="68"/>
      <c r="F121" s="28"/>
    </row>
    <row r="122" spans="1:8" ht="27" customHeight="1">
      <c r="A122" s="2" t="s">
        <v>770</v>
      </c>
      <c r="B122" s="475" t="s">
        <v>509</v>
      </c>
      <c r="C122" s="517"/>
      <c r="D122" s="517"/>
      <c r="E122" s="517"/>
      <c r="F122" s="528"/>
    </row>
    <row r="123" spans="1:8" ht="27" customHeight="1">
      <c r="A123" s="2" t="s">
        <v>770</v>
      </c>
      <c r="B123" s="465" t="s">
        <v>1070</v>
      </c>
      <c r="C123" s="466"/>
      <c r="D123" s="466"/>
      <c r="E123" s="466"/>
      <c r="F123" s="467"/>
    </row>
    <row r="124" spans="1:8">
      <c r="A124" s="2"/>
      <c r="B124" s="165"/>
      <c r="C124" s="165"/>
      <c r="D124" s="165"/>
      <c r="E124" s="68"/>
      <c r="F124" s="28"/>
    </row>
    <row r="125" spans="1:8" ht="15.75" customHeight="1">
      <c r="A125" s="236" t="s">
        <v>785</v>
      </c>
      <c r="B125" s="520" t="s">
        <v>18</v>
      </c>
      <c r="C125" s="521"/>
      <c r="D125" s="521"/>
      <c r="E125" s="521"/>
      <c r="F125" s="521"/>
      <c r="G125" s="52"/>
    </row>
    <row r="126" spans="1:8" ht="17.25" customHeight="1">
      <c r="A126" s="236" t="s">
        <v>785</v>
      </c>
      <c r="B126" s="279" t="s">
        <v>19</v>
      </c>
      <c r="C126" s="337" t="s">
        <v>1059</v>
      </c>
      <c r="D126" s="59"/>
      <c r="E126" s="59"/>
      <c r="F126" s="51"/>
      <c r="G126" s="52"/>
      <c r="H126" s="52"/>
    </row>
    <row r="127" spans="1:8">
      <c r="A127" s="236" t="s">
        <v>785</v>
      </c>
      <c r="B127" s="279" t="s">
        <v>683</v>
      </c>
      <c r="C127" s="337" t="s">
        <v>1059</v>
      </c>
      <c r="D127" s="59"/>
      <c r="E127" s="59"/>
      <c r="F127" s="51"/>
      <c r="H127" s="52"/>
    </row>
    <row r="128" spans="1:8">
      <c r="A128" s="236" t="s">
        <v>785</v>
      </c>
      <c r="B128" s="279" t="s">
        <v>769</v>
      </c>
      <c r="C128" s="337" t="s">
        <v>1059</v>
      </c>
      <c r="D128" s="59"/>
      <c r="E128" s="59"/>
      <c r="F128" s="51"/>
    </row>
    <row r="129" spans="1:11">
      <c r="A129" s="236" t="s">
        <v>785</v>
      </c>
      <c r="B129" s="279" t="s">
        <v>20</v>
      </c>
      <c r="C129" s="337" t="s">
        <v>1059</v>
      </c>
      <c r="D129" s="59"/>
      <c r="E129" s="59"/>
      <c r="F129" s="51"/>
    </row>
    <row r="130" spans="1:11">
      <c r="A130" s="236" t="s">
        <v>785</v>
      </c>
      <c r="B130" s="265" t="s">
        <v>21</v>
      </c>
      <c r="C130" s="337" t="s">
        <v>1059</v>
      </c>
      <c r="D130" s="49"/>
      <c r="E130" s="68"/>
      <c r="F130" s="28"/>
    </row>
    <row r="131" spans="1:11">
      <c r="A131" s="236" t="s">
        <v>785</v>
      </c>
      <c r="B131" s="279" t="s">
        <v>22</v>
      </c>
      <c r="C131" s="337" t="s">
        <v>1059</v>
      </c>
    </row>
    <row r="132" spans="1:11">
      <c r="A132" s="236" t="s">
        <v>785</v>
      </c>
      <c r="B132" s="279" t="s">
        <v>23</v>
      </c>
      <c r="C132" s="484"/>
      <c r="D132" s="485"/>
      <c r="E132" s="442"/>
    </row>
    <row r="133" spans="1:11">
      <c r="A133" s="2"/>
      <c r="B133" s="49"/>
      <c r="C133" s="49"/>
      <c r="D133" s="49"/>
      <c r="E133" s="68"/>
      <c r="F133" s="28"/>
    </row>
    <row r="134" spans="1:11" ht="15.75">
      <c r="B134" s="21" t="s">
        <v>1001</v>
      </c>
      <c r="C134" s="56"/>
      <c r="D134" s="37"/>
      <c r="F134" s="28"/>
    </row>
    <row r="135" spans="1:11" ht="39" customHeight="1">
      <c r="B135" s="483" t="s">
        <v>1018</v>
      </c>
      <c r="C135" s="427"/>
      <c r="D135" s="427"/>
      <c r="E135" s="427"/>
      <c r="F135" s="427"/>
    </row>
    <row r="136" spans="1:11" ht="41.25" customHeight="1">
      <c r="B136" s="21"/>
      <c r="C136" s="56"/>
      <c r="D136" s="37"/>
      <c r="F136" s="28"/>
    </row>
    <row r="137" spans="1:11" ht="98.25" customHeight="1">
      <c r="A137" s="2" t="s">
        <v>669</v>
      </c>
      <c r="B137" s="490" t="s">
        <v>1019</v>
      </c>
      <c r="C137" s="491"/>
      <c r="D137" s="491"/>
      <c r="E137" s="491"/>
      <c r="F137" s="491"/>
      <c r="H137" s="267"/>
      <c r="I137" s="6"/>
      <c r="J137" s="6"/>
      <c r="K137" s="6"/>
    </row>
    <row r="138" spans="1:11" ht="13.5" customHeight="1">
      <c r="A138" s="2"/>
      <c r="B138" s="70"/>
      <c r="C138" s="69"/>
      <c r="D138" s="69"/>
      <c r="E138" s="69"/>
      <c r="F138" s="69"/>
      <c r="H138" s="283"/>
    </row>
    <row r="139" spans="1:11">
      <c r="A139" s="2" t="s">
        <v>669</v>
      </c>
      <c r="B139" s="129" t="s">
        <v>1002</v>
      </c>
      <c r="C139" s="72">
        <v>0.71</v>
      </c>
      <c r="D139" s="487" t="s">
        <v>1003</v>
      </c>
      <c r="E139" s="474"/>
      <c r="F139" s="71">
        <v>2709</v>
      </c>
    </row>
    <row r="140" spans="1:11">
      <c r="A140" s="2" t="s">
        <v>669</v>
      </c>
      <c r="B140" s="129" t="s">
        <v>1004</v>
      </c>
      <c r="C140" s="72">
        <v>0.28999999999999998</v>
      </c>
      <c r="D140" s="487" t="s">
        <v>284</v>
      </c>
      <c r="E140" s="474"/>
      <c r="F140" s="71">
        <v>1096</v>
      </c>
    </row>
    <row r="141" spans="1:11">
      <c r="A141" s="2"/>
      <c r="B141" s="70"/>
      <c r="C141" s="69"/>
      <c r="D141" s="69"/>
      <c r="E141" s="69"/>
      <c r="F141" s="69"/>
    </row>
    <row r="142" spans="1:11">
      <c r="A142" s="2" t="s">
        <v>669</v>
      </c>
      <c r="B142" s="38"/>
      <c r="C142" s="128" t="s">
        <v>285</v>
      </c>
      <c r="D142" s="128" t="s">
        <v>286</v>
      </c>
    </row>
    <row r="143" spans="1:11">
      <c r="A143" s="2" t="s">
        <v>669</v>
      </c>
      <c r="B143" s="218" t="s">
        <v>496</v>
      </c>
      <c r="C143" s="26">
        <v>480</v>
      </c>
      <c r="D143" s="26">
        <v>580</v>
      </c>
    </row>
    <row r="144" spans="1:11">
      <c r="A144" s="2" t="s">
        <v>669</v>
      </c>
      <c r="B144" s="9" t="s">
        <v>453</v>
      </c>
      <c r="C144" s="26">
        <v>480</v>
      </c>
      <c r="D144" s="26">
        <v>580</v>
      </c>
    </row>
    <row r="145" spans="1:6">
      <c r="A145" s="2"/>
      <c r="B145" s="218" t="s">
        <v>497</v>
      </c>
      <c r="C145" s="26">
        <v>460</v>
      </c>
      <c r="D145" s="26">
        <v>560</v>
      </c>
    </row>
    <row r="146" spans="1:6">
      <c r="A146" s="2"/>
      <c r="B146" s="218" t="s">
        <v>498</v>
      </c>
      <c r="C146" s="362" t="s">
        <v>1062</v>
      </c>
      <c r="D146" s="362" t="s">
        <v>1062</v>
      </c>
    </row>
    <row r="147" spans="1:6">
      <c r="A147" s="2" t="s">
        <v>669</v>
      </c>
      <c r="B147" s="9" t="s">
        <v>287</v>
      </c>
      <c r="C147" s="26">
        <v>20</v>
      </c>
      <c r="D147" s="26">
        <v>24</v>
      </c>
    </row>
    <row r="148" spans="1:6">
      <c r="A148" s="2" t="s">
        <v>669</v>
      </c>
      <c r="B148" s="9" t="s">
        <v>289</v>
      </c>
      <c r="C148" s="26">
        <v>19</v>
      </c>
      <c r="D148" s="26">
        <v>24</v>
      </c>
    </row>
    <row r="149" spans="1:6">
      <c r="A149" s="2" t="s">
        <v>669</v>
      </c>
      <c r="B149" s="9" t="s">
        <v>288</v>
      </c>
      <c r="C149" s="26">
        <v>19</v>
      </c>
      <c r="D149" s="26">
        <v>24</v>
      </c>
    </row>
    <row r="150" spans="1:6">
      <c r="A150" s="2" t="s">
        <v>669</v>
      </c>
      <c r="B150" s="290" t="s">
        <v>499</v>
      </c>
      <c r="C150" s="26">
        <v>19</v>
      </c>
      <c r="D150" s="26">
        <v>23</v>
      </c>
    </row>
    <row r="151" spans="1:6">
      <c r="C151" s="206"/>
      <c r="D151" s="206"/>
    </row>
    <row r="152" spans="1:6">
      <c r="A152" s="2" t="s">
        <v>669</v>
      </c>
      <c r="B152" s="488" t="s">
        <v>332</v>
      </c>
      <c r="C152" s="489"/>
      <c r="D152" s="489"/>
      <c r="E152" s="489"/>
      <c r="F152" s="489"/>
    </row>
    <row r="153" spans="1:6" ht="25.5">
      <c r="A153" s="2" t="s">
        <v>669</v>
      </c>
      <c r="B153" s="38"/>
      <c r="C153" s="291" t="s">
        <v>496</v>
      </c>
      <c r="D153" s="128" t="s">
        <v>453</v>
      </c>
      <c r="E153" s="292" t="s">
        <v>497</v>
      </c>
    </row>
    <row r="154" spans="1:6">
      <c r="A154" s="2" t="s">
        <v>669</v>
      </c>
      <c r="B154" s="9" t="s">
        <v>290</v>
      </c>
      <c r="C154" s="365">
        <v>0.02</v>
      </c>
      <c r="D154" s="365">
        <v>0.01</v>
      </c>
      <c r="E154" s="366">
        <v>0.01</v>
      </c>
    </row>
    <row r="155" spans="1:6">
      <c r="A155" s="2" t="s">
        <v>669</v>
      </c>
      <c r="B155" s="9" t="s">
        <v>291</v>
      </c>
      <c r="C155" s="365">
        <v>0.17</v>
      </c>
      <c r="D155" s="365">
        <v>0.19</v>
      </c>
      <c r="E155" s="366">
        <v>0.12</v>
      </c>
    </row>
    <row r="156" spans="1:6">
      <c r="A156" s="2" t="s">
        <v>669</v>
      </c>
      <c r="B156" s="9" t="s">
        <v>456</v>
      </c>
      <c r="C156" s="365">
        <v>0.47</v>
      </c>
      <c r="D156" s="365">
        <v>0.47</v>
      </c>
      <c r="E156" s="366">
        <v>0.46</v>
      </c>
    </row>
    <row r="157" spans="1:6">
      <c r="A157" s="2" t="s">
        <v>669</v>
      </c>
      <c r="B157" s="9" t="s">
        <v>457</v>
      </c>
      <c r="C157" s="365">
        <v>0.33</v>
      </c>
      <c r="D157" s="365">
        <v>0.32</v>
      </c>
      <c r="E157" s="366">
        <v>0.39</v>
      </c>
    </row>
    <row r="158" spans="1:6">
      <c r="A158" s="2" t="s">
        <v>669</v>
      </c>
      <c r="B158" s="9" t="s">
        <v>458</v>
      </c>
      <c r="C158" s="365">
        <v>0.01</v>
      </c>
      <c r="D158" s="365">
        <v>0.01</v>
      </c>
      <c r="E158" s="366">
        <v>0.02</v>
      </c>
    </row>
    <row r="159" spans="1:6">
      <c r="A159" s="2" t="s">
        <v>669</v>
      </c>
      <c r="B159" s="9" t="s">
        <v>459</v>
      </c>
      <c r="C159" s="216"/>
      <c r="D159" s="216"/>
      <c r="E159" s="293"/>
    </row>
    <row r="160" spans="1:6">
      <c r="B160" s="218" t="s">
        <v>741</v>
      </c>
      <c r="C160" s="216">
        <f>SUM(C154:C159)</f>
        <v>1</v>
      </c>
      <c r="D160" s="216">
        <f>SUM(D154:D159)</f>
        <v>1</v>
      </c>
      <c r="E160" s="293">
        <f>SUM(E154:E159)</f>
        <v>1</v>
      </c>
    </row>
    <row r="161" spans="1:6">
      <c r="A161" s="2" t="s">
        <v>669</v>
      </c>
      <c r="B161" s="38"/>
      <c r="C161" s="128" t="s">
        <v>287</v>
      </c>
      <c r="D161" s="128" t="s">
        <v>288</v>
      </c>
      <c r="E161" s="128" t="s">
        <v>289</v>
      </c>
    </row>
    <row r="162" spans="1:6">
      <c r="A162" s="2" t="s">
        <v>669</v>
      </c>
      <c r="B162" s="9" t="s">
        <v>460</v>
      </c>
      <c r="C162" s="367">
        <v>0.03</v>
      </c>
      <c r="D162" s="367">
        <v>0.06</v>
      </c>
      <c r="E162" s="367">
        <v>0.04</v>
      </c>
    </row>
    <row r="163" spans="1:6">
      <c r="A163" s="2" t="s">
        <v>669</v>
      </c>
      <c r="B163" s="9" t="s">
        <v>461</v>
      </c>
      <c r="C163" s="367">
        <v>0.26</v>
      </c>
      <c r="D163" s="367">
        <v>0.28000000000000003</v>
      </c>
      <c r="E163" s="367">
        <v>0.28999999999999998</v>
      </c>
    </row>
    <row r="164" spans="1:6">
      <c r="A164" s="2" t="s">
        <v>669</v>
      </c>
      <c r="B164" s="9" t="s">
        <v>462</v>
      </c>
      <c r="C164" s="367">
        <v>0.69</v>
      </c>
      <c r="D164" s="367">
        <v>0.53</v>
      </c>
      <c r="E164" s="367">
        <v>0.54</v>
      </c>
    </row>
    <row r="165" spans="1:6">
      <c r="A165" s="2" t="s">
        <v>669</v>
      </c>
      <c r="B165" s="39" t="s">
        <v>463</v>
      </c>
      <c r="C165" s="367">
        <v>0.02</v>
      </c>
      <c r="D165" s="367">
        <v>0.13</v>
      </c>
      <c r="E165" s="367">
        <v>0.13</v>
      </c>
    </row>
    <row r="166" spans="1:6">
      <c r="A166" s="2" t="s">
        <v>669</v>
      </c>
      <c r="B166" s="39" t="s">
        <v>464</v>
      </c>
      <c r="C166" s="217"/>
      <c r="D166" s="217"/>
      <c r="E166" s="217"/>
    </row>
    <row r="167" spans="1:6">
      <c r="A167" s="2" t="s">
        <v>669</v>
      </c>
      <c r="B167" s="9" t="s">
        <v>465</v>
      </c>
      <c r="C167" s="217"/>
      <c r="D167" s="217"/>
      <c r="E167" s="217"/>
    </row>
    <row r="168" spans="1:6">
      <c r="B168" s="9" t="s">
        <v>741</v>
      </c>
      <c r="C168" s="216">
        <f>SUM(C162:C167)</f>
        <v>1</v>
      </c>
      <c r="D168" s="216">
        <f>SUM(D162:D167)</f>
        <v>1</v>
      </c>
      <c r="E168" s="216">
        <f>SUM(E162:E167)</f>
        <v>1</v>
      </c>
    </row>
    <row r="169" spans="1:6" ht="46.5" customHeight="1">
      <c r="A169" s="2" t="s">
        <v>670</v>
      </c>
      <c r="B169" s="522" t="s">
        <v>152</v>
      </c>
      <c r="C169" s="522"/>
      <c r="D169" s="522"/>
      <c r="E169" s="522"/>
      <c r="F169" s="522"/>
    </row>
    <row r="170" spans="1:6">
      <c r="A170" s="2" t="s">
        <v>670</v>
      </c>
      <c r="B170" s="473" t="s">
        <v>466</v>
      </c>
      <c r="C170" s="473"/>
      <c r="D170" s="473"/>
      <c r="E170" s="73">
        <v>0.17</v>
      </c>
      <c r="F170" s="56"/>
    </row>
    <row r="171" spans="1:6">
      <c r="A171" s="2" t="s">
        <v>670</v>
      </c>
      <c r="B171" s="446" t="s">
        <v>467</v>
      </c>
      <c r="C171" s="446"/>
      <c r="D171" s="446"/>
      <c r="E171" s="73">
        <v>0.48</v>
      </c>
      <c r="F171" s="56"/>
    </row>
    <row r="172" spans="1:6">
      <c r="A172" s="2" t="s">
        <v>670</v>
      </c>
      <c r="B172" s="446" t="s">
        <v>468</v>
      </c>
      <c r="C172" s="446"/>
      <c r="D172" s="446"/>
      <c r="E172" s="73">
        <v>0.89</v>
      </c>
      <c r="F172" s="207" t="s">
        <v>546</v>
      </c>
    </row>
    <row r="173" spans="1:6">
      <c r="A173" s="2" t="s">
        <v>670</v>
      </c>
      <c r="B173" s="446" t="s">
        <v>312</v>
      </c>
      <c r="C173" s="446"/>
      <c r="D173" s="446"/>
      <c r="E173" s="73">
        <v>0.11</v>
      </c>
      <c r="F173" s="207" t="s">
        <v>547</v>
      </c>
    </row>
    <row r="174" spans="1:6">
      <c r="A174" s="2" t="s">
        <v>670</v>
      </c>
      <c r="B174" s="446" t="s">
        <v>313</v>
      </c>
      <c r="C174" s="446"/>
      <c r="D174" s="446"/>
      <c r="E174" s="73">
        <v>0.01</v>
      </c>
      <c r="F174" s="56"/>
    </row>
    <row r="175" spans="1:6" ht="26.25" customHeight="1">
      <c r="A175" s="2" t="s">
        <v>670</v>
      </c>
      <c r="B175" s="498" t="s">
        <v>751</v>
      </c>
      <c r="C175" s="448"/>
      <c r="D175" s="448"/>
      <c r="E175" s="499"/>
      <c r="F175" s="78">
        <v>0.69</v>
      </c>
    </row>
    <row r="176" spans="1:6" ht="25.5" customHeight="1">
      <c r="F176" s="28"/>
    </row>
    <row r="177" spans="1:30" ht="38.25" customHeight="1">
      <c r="A177" s="2" t="s">
        <v>671</v>
      </c>
      <c r="B177" s="483" t="s">
        <v>803</v>
      </c>
      <c r="C177" s="427"/>
      <c r="D177" s="427"/>
      <c r="E177" s="427"/>
      <c r="F177" s="427"/>
    </row>
    <row r="178" spans="1:30">
      <c r="A178" s="2" t="s">
        <v>671</v>
      </c>
      <c r="B178" s="486" t="s">
        <v>24</v>
      </c>
      <c r="C178" s="486"/>
      <c r="D178" s="373">
        <v>0.2056</v>
      </c>
      <c r="F178" s="56"/>
    </row>
    <row r="179" spans="1:30">
      <c r="A179" s="2" t="s">
        <v>671</v>
      </c>
      <c r="B179" s="486" t="s">
        <v>25</v>
      </c>
      <c r="C179" s="486"/>
      <c r="D179" s="373">
        <v>0.1603</v>
      </c>
      <c r="F179" s="56"/>
    </row>
    <row r="180" spans="1:30">
      <c r="A180" s="2" t="s">
        <v>671</v>
      </c>
      <c r="B180" s="486" t="s">
        <v>26</v>
      </c>
      <c r="C180" s="486"/>
      <c r="D180" s="373">
        <v>0.19040000000000001</v>
      </c>
      <c r="F180" s="56"/>
    </row>
    <row r="181" spans="1:30">
      <c r="A181" s="2" t="s">
        <v>671</v>
      </c>
      <c r="B181" s="486" t="s">
        <v>27</v>
      </c>
      <c r="C181" s="486"/>
      <c r="D181" s="373">
        <v>0.1933</v>
      </c>
      <c r="F181" s="56"/>
    </row>
    <row r="182" spans="1:30">
      <c r="A182" s="2" t="s">
        <v>671</v>
      </c>
      <c r="B182" s="486" t="s">
        <v>28</v>
      </c>
      <c r="C182" s="486"/>
      <c r="D182" s="373">
        <v>0.2404</v>
      </c>
      <c r="F182" s="56"/>
    </row>
    <row r="183" spans="1:30">
      <c r="A183" s="2" t="s">
        <v>671</v>
      </c>
      <c r="B183" s="486" t="s">
        <v>29</v>
      </c>
      <c r="C183" s="486"/>
      <c r="D183" s="373">
        <v>3.5999999999999999E-3</v>
      </c>
      <c r="F183" s="56"/>
    </row>
    <row r="184" spans="1:30">
      <c r="A184" s="2" t="s">
        <v>671</v>
      </c>
      <c r="B184" s="446" t="s">
        <v>314</v>
      </c>
      <c r="C184" s="446"/>
      <c r="D184" s="185"/>
      <c r="F184" s="56"/>
    </row>
    <row r="185" spans="1:30">
      <c r="A185" s="2" t="s">
        <v>671</v>
      </c>
      <c r="B185" s="446" t="s">
        <v>315</v>
      </c>
      <c r="C185" s="446"/>
      <c r="D185" s="185"/>
      <c r="F185" s="56"/>
    </row>
    <row r="186" spans="1:30" s="368" customFormat="1">
      <c r="A186" s="369"/>
      <c r="B186" s="371" t="s">
        <v>1079</v>
      </c>
      <c r="C186" s="372"/>
      <c r="D186" s="374">
        <v>6.0000000000000001E-3</v>
      </c>
      <c r="F186" s="370"/>
    </row>
    <row r="187" spans="1:30">
      <c r="B187" s="534" t="s">
        <v>741</v>
      </c>
      <c r="C187" s="535"/>
      <c r="D187" s="374">
        <f>SUM(D178:D186)</f>
        <v>0.99960000000000004</v>
      </c>
    </row>
    <row r="188" spans="1:30">
      <c r="A188" s="239"/>
      <c r="B188" s="243"/>
      <c r="C188" s="243"/>
      <c r="D188" s="243"/>
      <c r="E188" s="243"/>
    </row>
    <row r="189" spans="1:30" s="243" customFormat="1" ht="31.5" customHeight="1">
      <c r="A189" s="2" t="s">
        <v>672</v>
      </c>
      <c r="B189" s="537" t="s">
        <v>804</v>
      </c>
      <c r="C189" s="538"/>
      <c r="D189" s="538"/>
      <c r="E189" s="287">
        <v>3.33</v>
      </c>
      <c r="F189"/>
      <c r="G189"/>
      <c r="H189"/>
      <c r="I189"/>
      <c r="J189"/>
      <c r="K189"/>
      <c r="L189"/>
      <c r="M189"/>
      <c r="N189"/>
      <c r="O189"/>
      <c r="P189"/>
      <c r="Q189"/>
      <c r="R189"/>
      <c r="S189"/>
      <c r="T189"/>
      <c r="U189"/>
      <c r="V189"/>
      <c r="W189"/>
      <c r="X189"/>
      <c r="Y189"/>
      <c r="Z189"/>
      <c r="AA189"/>
      <c r="AB189"/>
      <c r="AC189"/>
      <c r="AD189"/>
    </row>
    <row r="190" spans="1:30" ht="27" customHeight="1">
      <c r="A190" s="2" t="s">
        <v>672</v>
      </c>
      <c r="B190" s="487" t="s">
        <v>857</v>
      </c>
      <c r="C190" s="446"/>
      <c r="D190" s="446"/>
      <c r="E190" s="185">
        <v>0.99399999999999999</v>
      </c>
    </row>
    <row r="191" spans="1:30" ht="24.75" customHeight="1">
      <c r="F191" s="31"/>
    </row>
    <row r="192" spans="1:30" ht="15.75">
      <c r="B192" s="21" t="s">
        <v>316</v>
      </c>
      <c r="F192" s="31"/>
    </row>
    <row r="193" spans="1:8">
      <c r="A193" s="2" t="s">
        <v>673</v>
      </c>
      <c r="B193" s="3" t="s">
        <v>317</v>
      </c>
      <c r="F193" s="31"/>
    </row>
    <row r="194" spans="1:8">
      <c r="A194" s="2" t="s">
        <v>673</v>
      </c>
      <c r="B194" s="64"/>
      <c r="C194" s="32" t="s">
        <v>544</v>
      </c>
      <c r="D194" s="32" t="s">
        <v>545</v>
      </c>
      <c r="E194" s="14"/>
      <c r="F194" s="14"/>
      <c r="G194" s="52"/>
    </row>
    <row r="195" spans="1:8" ht="25.5">
      <c r="A195" s="2" t="s">
        <v>673</v>
      </c>
      <c r="B195" s="42" t="s">
        <v>318</v>
      </c>
      <c r="C195" s="334" t="s">
        <v>1059</v>
      </c>
      <c r="D195" s="32"/>
      <c r="F195" s="28"/>
      <c r="H195" s="52"/>
    </row>
    <row r="196" spans="1:8">
      <c r="A196" s="2" t="s">
        <v>673</v>
      </c>
      <c r="B196" s="9" t="s">
        <v>319</v>
      </c>
      <c r="C196" s="79">
        <v>55</v>
      </c>
      <c r="F196" s="77"/>
    </row>
    <row r="197" spans="1:8">
      <c r="A197" s="2" t="s">
        <v>673</v>
      </c>
      <c r="B197" s="64"/>
      <c r="C197" s="32" t="s">
        <v>544</v>
      </c>
      <c r="D197" s="32" t="s">
        <v>545</v>
      </c>
      <c r="E197" s="14"/>
      <c r="F197" s="14"/>
      <c r="G197" s="52"/>
    </row>
    <row r="198" spans="1:8" ht="38.25">
      <c r="A198" s="2" t="s">
        <v>673</v>
      </c>
      <c r="B198" s="8" t="s">
        <v>320</v>
      </c>
      <c r="C198" s="335" t="s">
        <v>1071</v>
      </c>
      <c r="D198" s="32"/>
      <c r="F198" s="28"/>
      <c r="H198" s="52"/>
    </row>
    <row r="199" spans="1:8">
      <c r="A199" s="2"/>
      <c r="B199" s="49"/>
      <c r="C199" s="105"/>
      <c r="D199" s="105"/>
      <c r="F199" s="28"/>
    </row>
    <row r="200" spans="1:8">
      <c r="A200" s="2" t="s">
        <v>673</v>
      </c>
      <c r="B200" s="542" t="s">
        <v>30</v>
      </c>
      <c r="C200" s="461"/>
      <c r="D200" s="461"/>
      <c r="F200" s="28"/>
    </row>
    <row r="201" spans="1:8" ht="27" customHeight="1">
      <c r="A201" s="2" t="s">
        <v>673</v>
      </c>
      <c r="B201" s="264" t="s">
        <v>31</v>
      </c>
      <c r="C201" s="336" t="s">
        <v>1059</v>
      </c>
      <c r="D201" s="105"/>
      <c r="F201" s="28"/>
    </row>
    <row r="202" spans="1:8">
      <c r="A202" s="2" t="s">
        <v>673</v>
      </c>
      <c r="B202" s="264" t="s">
        <v>32</v>
      </c>
      <c r="C202" s="242"/>
      <c r="D202" s="105"/>
      <c r="F202" s="28"/>
    </row>
    <row r="203" spans="1:8">
      <c r="A203" s="2" t="s">
        <v>673</v>
      </c>
      <c r="B203" s="264" t="s">
        <v>33</v>
      </c>
      <c r="C203" s="242"/>
      <c r="D203" s="105"/>
      <c r="F203" s="28"/>
    </row>
    <row r="204" spans="1:8">
      <c r="B204" s="49"/>
      <c r="C204" s="105"/>
      <c r="D204" s="105"/>
      <c r="F204" s="28"/>
    </row>
    <row r="205" spans="1:8">
      <c r="A205" s="2" t="s">
        <v>673</v>
      </c>
      <c r="B205" s="64"/>
      <c r="C205" s="32" t="s">
        <v>544</v>
      </c>
      <c r="D205" s="32" t="s">
        <v>545</v>
      </c>
      <c r="F205" s="28"/>
    </row>
    <row r="206" spans="1:8" ht="38.25">
      <c r="A206" s="2" t="s">
        <v>673</v>
      </c>
      <c r="B206" s="264" t="s">
        <v>34</v>
      </c>
      <c r="C206" s="334" t="s">
        <v>1059</v>
      </c>
      <c r="D206" s="32"/>
      <c r="F206" s="28"/>
    </row>
    <row r="207" spans="1:8">
      <c r="F207" s="31"/>
    </row>
    <row r="208" spans="1:8">
      <c r="A208" s="2" t="s">
        <v>674</v>
      </c>
      <c r="B208" s="3" t="s">
        <v>321</v>
      </c>
      <c r="F208" s="31"/>
    </row>
    <row r="209" spans="1:8">
      <c r="A209" s="2" t="s">
        <v>674</v>
      </c>
      <c r="B209" s="64"/>
      <c r="C209" s="32" t="s">
        <v>544</v>
      </c>
      <c r="D209" s="32" t="s">
        <v>545</v>
      </c>
      <c r="E209" s="14"/>
      <c r="F209" s="14"/>
      <c r="G209" s="52"/>
    </row>
    <row r="210" spans="1:8" ht="25.5">
      <c r="A210" s="2" t="s">
        <v>674</v>
      </c>
      <c r="B210" s="42" t="s">
        <v>322</v>
      </c>
      <c r="C210" s="341" t="s">
        <v>1072</v>
      </c>
      <c r="D210" s="9"/>
      <c r="F210" s="28"/>
      <c r="H210" s="52"/>
    </row>
    <row r="211" spans="1:8">
      <c r="A211" s="2" t="s">
        <v>674</v>
      </c>
      <c r="B211" s="80" t="s">
        <v>858</v>
      </c>
      <c r="C211" s="342" t="s">
        <v>1073</v>
      </c>
      <c r="F211" s="31"/>
    </row>
    <row r="212" spans="1:8">
      <c r="A212" s="2" t="s">
        <v>674</v>
      </c>
      <c r="B212" s="80" t="s">
        <v>859</v>
      </c>
      <c r="C212" s="104"/>
      <c r="F212" s="31"/>
    </row>
    <row r="213" spans="1:8">
      <c r="B213" s="53"/>
      <c r="F213" s="31"/>
    </row>
    <row r="214" spans="1:8">
      <c r="A214" s="2" t="s">
        <v>675</v>
      </c>
      <c r="B214" s="468"/>
      <c r="C214" s="469"/>
      <c r="D214" s="470"/>
      <c r="E214" s="32" t="s">
        <v>544</v>
      </c>
      <c r="F214" s="32" t="s">
        <v>545</v>
      </c>
      <c r="G214" s="52"/>
    </row>
    <row r="215" spans="1:8">
      <c r="A215" s="2" t="s">
        <v>675</v>
      </c>
      <c r="B215" s="539" t="s">
        <v>35</v>
      </c>
      <c r="C215" s="540"/>
      <c r="D215" s="541"/>
      <c r="E215" s="339" t="s">
        <v>1059</v>
      </c>
      <c r="F215" s="32"/>
      <c r="H215" s="52"/>
    </row>
    <row r="216" spans="1:8" ht="28.5" customHeight="1">
      <c r="F216" s="31"/>
    </row>
    <row r="217" spans="1:8">
      <c r="A217" s="2" t="s">
        <v>676</v>
      </c>
      <c r="B217" s="54" t="s">
        <v>860</v>
      </c>
      <c r="F217" s="31"/>
    </row>
    <row r="218" spans="1:8" ht="25.5">
      <c r="A218" s="2" t="s">
        <v>676</v>
      </c>
      <c r="B218" s="42" t="s">
        <v>861</v>
      </c>
      <c r="C218" s="338" t="s">
        <v>1059</v>
      </c>
      <c r="D218" s="46"/>
      <c r="E218" s="31"/>
      <c r="F218" s="31"/>
    </row>
    <row r="219" spans="1:8">
      <c r="A219" s="2" t="s">
        <v>676</v>
      </c>
      <c r="B219" s="80" t="s">
        <v>862</v>
      </c>
      <c r="C219" s="9"/>
      <c r="D219" s="46"/>
      <c r="E219" s="31"/>
      <c r="F219" s="31"/>
    </row>
    <row r="220" spans="1:8">
      <c r="A220" s="2" t="s">
        <v>676</v>
      </c>
      <c r="B220" s="81" t="s">
        <v>863</v>
      </c>
      <c r="C220" s="82"/>
      <c r="D220" s="46"/>
      <c r="E220" s="31"/>
      <c r="F220" s="31"/>
    </row>
    <row r="221" spans="1:8">
      <c r="A221" s="2"/>
      <c r="B221" s="83"/>
      <c r="C221" s="66"/>
      <c r="D221" s="46"/>
      <c r="E221" s="31"/>
      <c r="F221" s="31"/>
    </row>
    <row r="222" spans="1:8">
      <c r="B222" s="31"/>
      <c r="C222" s="31"/>
      <c r="D222" s="31"/>
      <c r="E222" s="31"/>
      <c r="F222" s="31"/>
    </row>
    <row r="223" spans="1:8">
      <c r="A223" s="2" t="s">
        <v>677</v>
      </c>
      <c r="B223" s="3" t="s">
        <v>752</v>
      </c>
      <c r="F223" s="31"/>
    </row>
    <row r="224" spans="1:8">
      <c r="A224" s="2" t="s">
        <v>677</v>
      </c>
      <c r="B224" s="96" t="s">
        <v>371</v>
      </c>
      <c r="C224" s="104"/>
      <c r="F224" s="31"/>
    </row>
    <row r="225" spans="1:6">
      <c r="A225" s="2" t="s">
        <v>677</v>
      </c>
      <c r="B225" s="96" t="s">
        <v>372</v>
      </c>
      <c r="C225" s="93"/>
      <c r="F225" s="31"/>
    </row>
    <row r="226" spans="1:6" ht="38.25">
      <c r="A226" s="2" t="s">
        <v>677</v>
      </c>
      <c r="B226" s="96" t="s">
        <v>373</v>
      </c>
      <c r="C226" s="103" t="s">
        <v>1074</v>
      </c>
      <c r="F226" s="31"/>
    </row>
    <row r="227" spans="1:6">
      <c r="A227" s="2" t="s">
        <v>677</v>
      </c>
      <c r="B227" s="81" t="s">
        <v>863</v>
      </c>
      <c r="C227" s="82"/>
      <c r="F227" s="31"/>
    </row>
    <row r="228" spans="1:6">
      <c r="A228" s="2"/>
      <c r="B228" s="244"/>
      <c r="C228" s="245"/>
      <c r="F228" s="31"/>
    </row>
    <row r="229" spans="1:6" ht="25.5">
      <c r="A229" s="2" t="s">
        <v>677</v>
      </c>
      <c r="B229" s="544" t="s">
        <v>503</v>
      </c>
      <c r="C229" s="545"/>
      <c r="D229" s="333" t="s">
        <v>1077</v>
      </c>
      <c r="F229" s="31"/>
    </row>
    <row r="230" spans="1:6">
      <c r="A230" s="2" t="s">
        <v>677</v>
      </c>
      <c r="B230" s="544" t="s">
        <v>36</v>
      </c>
      <c r="C230" s="545"/>
      <c r="D230" s="345">
        <v>125</v>
      </c>
      <c r="F230" s="31"/>
    </row>
    <row r="231" spans="1:6">
      <c r="A231" s="2" t="s">
        <v>677</v>
      </c>
      <c r="B231" s="544" t="s">
        <v>37</v>
      </c>
      <c r="C231" s="545"/>
      <c r="F231" s="31"/>
    </row>
    <row r="232" spans="1:6">
      <c r="A232" s="2" t="s">
        <v>677</v>
      </c>
      <c r="B232" s="280" t="s">
        <v>38</v>
      </c>
      <c r="C232" s="104"/>
      <c r="F232" s="31"/>
    </row>
    <row r="233" spans="1:6">
      <c r="A233" s="2" t="s">
        <v>677</v>
      </c>
      <c r="B233" s="280" t="s">
        <v>39</v>
      </c>
      <c r="C233" s="104"/>
      <c r="F233" s="31"/>
    </row>
    <row r="234" spans="1:6">
      <c r="A234" s="2" t="s">
        <v>677</v>
      </c>
      <c r="B234" s="281" t="s">
        <v>40</v>
      </c>
      <c r="C234" s="346" t="s">
        <v>1059</v>
      </c>
      <c r="D234" s="31"/>
      <c r="E234" s="31"/>
      <c r="F234" s="31"/>
    </row>
    <row r="235" spans="1:6">
      <c r="F235" s="31"/>
    </row>
    <row r="236" spans="1:6">
      <c r="A236" s="2" t="s">
        <v>678</v>
      </c>
      <c r="B236" s="3" t="s">
        <v>323</v>
      </c>
      <c r="F236" s="31"/>
    </row>
    <row r="237" spans="1:6">
      <c r="A237" s="2" t="s">
        <v>678</v>
      </c>
      <c r="B237" s="468"/>
      <c r="C237" s="469"/>
      <c r="D237" s="470"/>
      <c r="E237" s="32" t="s">
        <v>544</v>
      </c>
      <c r="F237" s="32" t="s">
        <v>545</v>
      </c>
    </row>
    <row r="238" spans="1:6" ht="29.25" customHeight="1">
      <c r="A238" s="2" t="s">
        <v>678</v>
      </c>
      <c r="B238" s="447" t="s">
        <v>324</v>
      </c>
      <c r="C238" s="471"/>
      <c r="D238" s="472"/>
      <c r="E238" s="339" t="s">
        <v>1059</v>
      </c>
      <c r="F238" s="32"/>
    </row>
    <row r="239" spans="1:6">
      <c r="A239" s="2" t="s">
        <v>678</v>
      </c>
      <c r="B239" s="473" t="s">
        <v>325</v>
      </c>
      <c r="C239" s="473"/>
      <c r="D239" s="340" t="s">
        <v>1075</v>
      </c>
      <c r="F239" s="28"/>
    </row>
    <row r="240" spans="1:6">
      <c r="F240" s="31"/>
    </row>
    <row r="241" spans="1:6">
      <c r="A241" s="2" t="s">
        <v>679</v>
      </c>
      <c r="B241" s="3" t="s">
        <v>326</v>
      </c>
      <c r="F241" s="31"/>
    </row>
    <row r="242" spans="1:6">
      <c r="A242" s="2" t="s">
        <v>679</v>
      </c>
      <c r="B242" s="468"/>
      <c r="C242" s="469"/>
      <c r="D242" s="470"/>
      <c r="E242" s="32" t="s">
        <v>544</v>
      </c>
      <c r="F242" s="32" t="s">
        <v>545</v>
      </c>
    </row>
    <row r="243" spans="1:6" ht="45.75" customHeight="1">
      <c r="A243" s="2" t="s">
        <v>679</v>
      </c>
      <c r="B243" s="447" t="s">
        <v>901</v>
      </c>
      <c r="C243" s="471"/>
      <c r="D243" s="472"/>
      <c r="E243" s="32"/>
      <c r="F243" s="339" t="s">
        <v>1059</v>
      </c>
    </row>
    <row r="244" spans="1:6" ht="40.5" customHeight="1">
      <c r="F244" s="31"/>
    </row>
    <row r="245" spans="1:6">
      <c r="A245" s="2" t="s">
        <v>680</v>
      </c>
      <c r="B245" s="294" t="s">
        <v>753</v>
      </c>
      <c r="C245" s="543" t="s">
        <v>500</v>
      </c>
      <c r="D245" s="527"/>
      <c r="E245" s="266" t="s">
        <v>645</v>
      </c>
      <c r="F245" s="31"/>
    </row>
    <row r="246" spans="1:6">
      <c r="F246" s="31"/>
    </row>
    <row r="247" spans="1:6" ht="15.75">
      <c r="B247" s="21" t="s">
        <v>327</v>
      </c>
      <c r="F247" s="31"/>
    </row>
    <row r="248" spans="1:6">
      <c r="A248" s="2" t="s">
        <v>681</v>
      </c>
      <c r="B248" s="3" t="s">
        <v>548</v>
      </c>
      <c r="F248" s="31"/>
    </row>
    <row r="249" spans="1:6">
      <c r="A249" s="2" t="s">
        <v>681</v>
      </c>
      <c r="B249" s="468"/>
      <c r="C249" s="469"/>
      <c r="D249" s="470"/>
      <c r="E249" s="32" t="s">
        <v>544</v>
      </c>
      <c r="F249" s="32" t="s">
        <v>545</v>
      </c>
    </row>
    <row r="250" spans="1:6" ht="65.25" customHeight="1">
      <c r="A250" s="2" t="s">
        <v>681</v>
      </c>
      <c r="B250" s="447" t="s">
        <v>549</v>
      </c>
      <c r="C250" s="471"/>
      <c r="D250" s="472"/>
      <c r="E250" s="32"/>
      <c r="F250" s="339" t="s">
        <v>1059</v>
      </c>
    </row>
    <row r="251" spans="1:6">
      <c r="A251" s="2" t="s">
        <v>681</v>
      </c>
      <c r="B251" s="476" t="s">
        <v>550</v>
      </c>
      <c r="C251" s="476"/>
      <c r="D251" s="517"/>
      <c r="E251" s="105"/>
      <c r="F251" s="105"/>
    </row>
    <row r="252" spans="1:6">
      <c r="A252" s="2" t="s">
        <v>681</v>
      </c>
      <c r="B252" s="474" t="s">
        <v>551</v>
      </c>
      <c r="C252" s="474"/>
      <c r="D252" s="474"/>
      <c r="E252" s="104"/>
      <c r="F252" s="105"/>
    </row>
    <row r="253" spans="1:6">
      <c r="A253" s="2" t="s">
        <v>681</v>
      </c>
      <c r="B253" s="474" t="s">
        <v>552</v>
      </c>
      <c r="C253" s="474"/>
      <c r="D253" s="474"/>
      <c r="E253" s="104"/>
      <c r="F253" s="105"/>
    </row>
    <row r="254" spans="1:6">
      <c r="A254" s="2" t="s">
        <v>681</v>
      </c>
      <c r="B254" s="474" t="s">
        <v>553</v>
      </c>
      <c r="C254" s="474"/>
      <c r="D254" s="474"/>
      <c r="E254" s="104"/>
      <c r="F254" s="105"/>
    </row>
    <row r="255" spans="1:6">
      <c r="A255" s="2" t="s">
        <v>681</v>
      </c>
      <c r="B255" s="474" t="s">
        <v>554</v>
      </c>
      <c r="C255" s="474"/>
      <c r="D255" s="474"/>
      <c r="E255" s="104"/>
      <c r="F255" s="105"/>
    </row>
    <row r="256" spans="1:6">
      <c r="A256" s="2" t="s">
        <v>681</v>
      </c>
      <c r="B256" s="536" t="s">
        <v>1020</v>
      </c>
      <c r="C256" s="536"/>
      <c r="D256" s="536"/>
      <c r="E256" s="105"/>
      <c r="F256" s="105"/>
    </row>
    <row r="257" spans="1:7">
      <c r="A257" s="2" t="s">
        <v>681</v>
      </c>
      <c r="B257" s="474" t="s">
        <v>555</v>
      </c>
      <c r="C257" s="474"/>
      <c r="D257" s="474"/>
      <c r="E257" s="106"/>
      <c r="F257" s="105"/>
    </row>
    <row r="258" spans="1:7">
      <c r="A258" s="2" t="s">
        <v>681</v>
      </c>
      <c r="B258" s="482" t="s">
        <v>556</v>
      </c>
      <c r="C258" s="482"/>
      <c r="D258" s="482"/>
      <c r="E258" s="107"/>
      <c r="F258" s="105"/>
    </row>
    <row r="259" spans="1:7">
      <c r="A259" s="2" t="s">
        <v>681</v>
      </c>
      <c r="B259" s="475" t="s">
        <v>557</v>
      </c>
      <c r="C259" s="476"/>
      <c r="D259" s="476"/>
      <c r="E259" s="477"/>
      <c r="F259" s="478"/>
    </row>
    <row r="260" spans="1:7">
      <c r="A260" s="2"/>
      <c r="B260" s="479"/>
      <c r="C260" s="480"/>
      <c r="D260" s="480"/>
      <c r="E260" s="480"/>
      <c r="F260" s="481"/>
    </row>
    <row r="261" spans="1:7">
      <c r="F261" s="31"/>
    </row>
    <row r="262" spans="1:7">
      <c r="A262" s="2" t="s">
        <v>682</v>
      </c>
      <c r="B262" s="3" t="s">
        <v>328</v>
      </c>
      <c r="F262" s="31"/>
    </row>
    <row r="263" spans="1:7">
      <c r="A263" s="2" t="s">
        <v>682</v>
      </c>
      <c r="B263" s="468"/>
      <c r="C263" s="469"/>
      <c r="D263" s="470"/>
      <c r="E263" s="32" t="s">
        <v>544</v>
      </c>
      <c r="F263" s="32" t="s">
        <v>545</v>
      </c>
    </row>
    <row r="264" spans="1:7" ht="63" customHeight="1">
      <c r="A264" s="2" t="s">
        <v>682</v>
      </c>
      <c r="B264" s="447" t="s">
        <v>41</v>
      </c>
      <c r="C264" s="471"/>
      <c r="D264" s="472"/>
      <c r="E264" s="32"/>
      <c r="F264" s="339" t="s">
        <v>1059</v>
      </c>
    </row>
    <row r="265" spans="1:7">
      <c r="A265" s="2" t="s">
        <v>682</v>
      </c>
      <c r="B265" s="476" t="s">
        <v>550</v>
      </c>
      <c r="C265" s="476"/>
      <c r="D265" s="517"/>
      <c r="E265" s="105"/>
    </row>
    <row r="266" spans="1:7">
      <c r="A266" s="2" t="s">
        <v>682</v>
      </c>
      <c r="B266" s="474" t="s">
        <v>558</v>
      </c>
      <c r="C266" s="474"/>
      <c r="D266" s="474"/>
      <c r="E266" s="104"/>
    </row>
    <row r="267" spans="1:7">
      <c r="A267" s="2" t="s">
        <v>682</v>
      </c>
      <c r="B267" s="474" t="s">
        <v>559</v>
      </c>
      <c r="C267" s="474"/>
      <c r="D267" s="474"/>
      <c r="E267" s="104"/>
    </row>
    <row r="268" spans="1:7">
      <c r="F268" s="31"/>
    </row>
    <row r="269" spans="1:7">
      <c r="A269" s="2" t="s">
        <v>682</v>
      </c>
      <c r="B269" s="461" t="s">
        <v>42</v>
      </c>
      <c r="C269" s="461"/>
      <c r="D269" s="461"/>
      <c r="E269" s="461"/>
      <c r="F269" s="461"/>
      <c r="G269" s="461"/>
    </row>
    <row r="270" spans="1:7">
      <c r="A270" s="2" t="s">
        <v>682</v>
      </c>
      <c r="B270" s="282" t="s">
        <v>544</v>
      </c>
      <c r="C270" s="282" t="s">
        <v>545</v>
      </c>
      <c r="F270" s="31"/>
    </row>
    <row r="271" spans="1:7">
      <c r="A271" s="2" t="s">
        <v>682</v>
      </c>
      <c r="B271" s="282"/>
      <c r="C271" s="282"/>
    </row>
  </sheetData>
  <mergeCells count="105">
    <mergeCell ref="B256:D256"/>
    <mergeCell ref="B257:D257"/>
    <mergeCell ref="B250:D250"/>
    <mergeCell ref="B251:D251"/>
    <mergeCell ref="B189:D189"/>
    <mergeCell ref="B190:D190"/>
    <mergeCell ref="B214:D214"/>
    <mergeCell ref="B215:D215"/>
    <mergeCell ref="B200:D200"/>
    <mergeCell ref="C245:D245"/>
    <mergeCell ref="B229:C229"/>
    <mergeCell ref="B230:C230"/>
    <mergeCell ref="B231:C231"/>
    <mergeCell ref="B63:F63"/>
    <mergeCell ref="B60:D60"/>
    <mergeCell ref="B263:D263"/>
    <mergeCell ref="B264:D264"/>
    <mergeCell ref="B265:D265"/>
    <mergeCell ref="B266:D266"/>
    <mergeCell ref="B25:C25"/>
    <mergeCell ref="B26:C26"/>
    <mergeCell ref="B105:G105"/>
    <mergeCell ref="B101:D101"/>
    <mergeCell ref="B102:D102"/>
    <mergeCell ref="B103:D103"/>
    <mergeCell ref="B135:F135"/>
    <mergeCell ref="B120:D120"/>
    <mergeCell ref="B125:F125"/>
    <mergeCell ref="B169:F169"/>
    <mergeCell ref="B91:F91"/>
    <mergeCell ref="B115:F115"/>
    <mergeCell ref="B122:F122"/>
    <mergeCell ref="B90:D90"/>
    <mergeCell ref="B89:D89"/>
    <mergeCell ref="C92:G92"/>
    <mergeCell ref="B100:G100"/>
    <mergeCell ref="B187:C187"/>
    <mergeCell ref="B59:D59"/>
    <mergeCell ref="B20:D20"/>
    <mergeCell ref="B21:D21"/>
    <mergeCell ref="B22:D22"/>
    <mergeCell ref="B23:D23"/>
    <mergeCell ref="B34:F34"/>
    <mergeCell ref="B30:C30"/>
    <mergeCell ref="B31:C31"/>
    <mergeCell ref="B32:C32"/>
    <mergeCell ref="C48:D48"/>
    <mergeCell ref="B18:D18"/>
    <mergeCell ref="B119:D119"/>
    <mergeCell ref="B61:D61"/>
    <mergeCell ref="B39:F39"/>
    <mergeCell ref="B55:F55"/>
    <mergeCell ref="B35:C35"/>
    <mergeCell ref="B175:E175"/>
    <mergeCell ref="A1:F1"/>
    <mergeCell ref="B5:D5"/>
    <mergeCell ref="B6:D6"/>
    <mergeCell ref="B8:D8"/>
    <mergeCell ref="B4:F4"/>
    <mergeCell ref="B56:D56"/>
    <mergeCell ref="B57:D57"/>
    <mergeCell ref="B36:C36"/>
    <mergeCell ref="B37:C37"/>
    <mergeCell ref="B9:D9"/>
    <mergeCell ref="B11:D11"/>
    <mergeCell ref="B12:D12"/>
    <mergeCell ref="B17:F17"/>
    <mergeCell ref="B14:D14"/>
    <mergeCell ref="B15:D15"/>
    <mergeCell ref="B19:D19"/>
    <mergeCell ref="B58:D58"/>
    <mergeCell ref="B184:C184"/>
    <mergeCell ref="B178:C178"/>
    <mergeCell ref="B179:C179"/>
    <mergeCell ref="B180:C180"/>
    <mergeCell ref="B181:C181"/>
    <mergeCell ref="B174:D174"/>
    <mergeCell ref="D140:E140"/>
    <mergeCell ref="B152:F152"/>
    <mergeCell ref="B137:F137"/>
    <mergeCell ref="D139:E139"/>
    <mergeCell ref="B123:F123"/>
    <mergeCell ref="B269:G269"/>
    <mergeCell ref="B237:D237"/>
    <mergeCell ref="B238:D238"/>
    <mergeCell ref="B239:C239"/>
    <mergeCell ref="B242:D242"/>
    <mergeCell ref="B243:D243"/>
    <mergeCell ref="B252:D252"/>
    <mergeCell ref="B253:D253"/>
    <mergeCell ref="B249:D249"/>
    <mergeCell ref="B267:D267"/>
    <mergeCell ref="B259:F260"/>
    <mergeCell ref="B254:D254"/>
    <mergeCell ref="B255:D255"/>
    <mergeCell ref="B258:D258"/>
    <mergeCell ref="B177:F177"/>
    <mergeCell ref="B170:D170"/>
    <mergeCell ref="B171:D171"/>
    <mergeCell ref="B172:D172"/>
    <mergeCell ref="B173:D173"/>
    <mergeCell ref="C132:E132"/>
    <mergeCell ref="B182:C182"/>
    <mergeCell ref="B183:C183"/>
    <mergeCell ref="B185:C185"/>
  </mergeCells>
  <phoneticPr fontId="0" type="noConversion"/>
  <pageMargins left="0.75" right="0.75" top="1" bottom="1" header="0.5" footer="0.5"/>
  <pageSetup scale="89" fitToHeight="10" orientation="portrait" r:id="rId1"/>
  <headerFooter alignWithMargins="0">
    <oddHeader>&amp;CCommon Data Set 2011-2012</oddHeader>
    <oddFooter>&amp;C&amp;A&amp;RPage &amp;P</oddFooter>
  </headerFooter>
</worksheet>
</file>

<file path=xl/worksheets/sheet5.xml><?xml version="1.0" encoding="utf-8"?>
<worksheet xmlns="http://schemas.openxmlformats.org/spreadsheetml/2006/main" xmlns:r="http://schemas.openxmlformats.org/officeDocument/2006/relationships">
  <dimension ref="A1:G68"/>
  <sheetViews>
    <sheetView zoomScaleNormal="100" workbookViewId="0">
      <selection activeCell="F10" sqref="F10"/>
    </sheetView>
  </sheetViews>
  <sheetFormatPr defaultRowHeight="12.75"/>
  <cols>
    <col min="1" max="1" width="4.42578125" style="1" customWidth="1"/>
    <col min="2" max="2" width="22.7109375" customWidth="1"/>
    <col min="3" max="7" width="12.7109375" customWidth="1"/>
  </cols>
  <sheetData>
    <row r="1" spans="1:7" ht="18">
      <c r="A1" s="425" t="s">
        <v>560</v>
      </c>
      <c r="B1" s="425"/>
      <c r="C1" s="425"/>
      <c r="D1" s="425"/>
      <c r="E1" s="425"/>
      <c r="F1" s="425"/>
      <c r="G1" s="425"/>
    </row>
    <row r="3" spans="1:7" ht="15.75">
      <c r="B3" s="21" t="s">
        <v>561</v>
      </c>
    </row>
    <row r="4" spans="1:7">
      <c r="A4" s="2" t="s">
        <v>76</v>
      </c>
      <c r="B4" s="468"/>
      <c r="C4" s="469"/>
      <c r="D4" s="470"/>
      <c r="E4" s="32" t="s">
        <v>544</v>
      </c>
      <c r="F4" s="32" t="s">
        <v>545</v>
      </c>
      <c r="G4" s="112"/>
    </row>
    <row r="5" spans="1:7" ht="26.25" customHeight="1">
      <c r="A5" s="2" t="s">
        <v>76</v>
      </c>
      <c r="B5" s="447" t="s">
        <v>74</v>
      </c>
      <c r="C5" s="471"/>
      <c r="D5" s="472"/>
      <c r="E5" s="32" t="s">
        <v>1059</v>
      </c>
      <c r="F5" s="32"/>
      <c r="G5" s="46"/>
    </row>
    <row r="6" spans="1:7" ht="41.25" customHeight="1">
      <c r="A6" s="2" t="s">
        <v>76</v>
      </c>
      <c r="B6" s="447" t="s">
        <v>75</v>
      </c>
      <c r="C6" s="471"/>
      <c r="D6" s="472"/>
      <c r="E6" s="32" t="s">
        <v>1059</v>
      </c>
      <c r="F6" s="32"/>
      <c r="G6" s="31"/>
    </row>
    <row r="7" spans="1:7">
      <c r="B7" s="97"/>
      <c r="C7" s="97"/>
      <c r="D7" s="97"/>
      <c r="E7" s="105"/>
      <c r="F7" s="105"/>
      <c r="G7" s="31"/>
    </row>
    <row r="8" spans="1:7" ht="29.25" customHeight="1">
      <c r="A8" s="2" t="s">
        <v>77</v>
      </c>
      <c r="B8" s="550" t="s">
        <v>1021</v>
      </c>
      <c r="C8" s="550"/>
      <c r="D8" s="550"/>
      <c r="E8" s="550"/>
      <c r="F8" s="550"/>
      <c r="G8" s="550"/>
    </row>
    <row r="9" spans="1:7" ht="25.5">
      <c r="A9" s="2" t="s">
        <v>77</v>
      </c>
      <c r="B9" s="113"/>
      <c r="C9" s="120" t="s">
        <v>562</v>
      </c>
      <c r="D9" s="120" t="s">
        <v>292</v>
      </c>
      <c r="E9" s="120" t="s">
        <v>293</v>
      </c>
      <c r="F9" s="108"/>
    </row>
    <row r="10" spans="1:7">
      <c r="A10" s="2" t="s">
        <v>77</v>
      </c>
      <c r="B10" s="17" t="s">
        <v>270</v>
      </c>
      <c r="C10" s="109">
        <v>866</v>
      </c>
      <c r="D10" s="109">
        <v>523</v>
      </c>
      <c r="E10" s="109">
        <v>378</v>
      </c>
      <c r="F10" s="110"/>
    </row>
    <row r="11" spans="1:7">
      <c r="A11" s="2" t="s">
        <v>77</v>
      </c>
      <c r="B11" s="17" t="s">
        <v>271</v>
      </c>
      <c r="C11" s="109">
        <v>836</v>
      </c>
      <c r="D11" s="109">
        <v>486</v>
      </c>
      <c r="E11" s="109">
        <v>306</v>
      </c>
      <c r="F11" s="110"/>
    </row>
    <row r="12" spans="1:7">
      <c r="A12" s="2" t="s">
        <v>77</v>
      </c>
      <c r="B12" s="19" t="s">
        <v>294</v>
      </c>
      <c r="C12" s="111">
        <f>SUM(C10:C11)</f>
        <v>1702</v>
      </c>
      <c r="D12" s="111">
        <f>SUM(D10:D11)</f>
        <v>1009</v>
      </c>
      <c r="E12" s="111">
        <f>SUM(E10:E11)</f>
        <v>684</v>
      </c>
      <c r="F12" s="110"/>
    </row>
    <row r="14" spans="1:7" ht="15.75">
      <c r="B14" s="549" t="s">
        <v>295</v>
      </c>
      <c r="C14" s="489"/>
    </row>
    <row r="15" spans="1:7">
      <c r="A15" s="2" t="s">
        <v>78</v>
      </c>
      <c r="B15" s="552" t="s">
        <v>296</v>
      </c>
      <c r="C15" s="552"/>
      <c r="D15" s="552"/>
    </row>
    <row r="16" spans="1:7" ht="15">
      <c r="A16" s="2" t="s">
        <v>78</v>
      </c>
      <c r="B16" s="114" t="s">
        <v>297</v>
      </c>
      <c r="C16" s="116" t="s">
        <v>1061</v>
      </c>
    </row>
    <row r="17" spans="1:7" ht="15">
      <c r="A17" s="2" t="s">
        <v>78</v>
      </c>
      <c r="B17" s="114" t="s">
        <v>81</v>
      </c>
      <c r="C17" s="116"/>
    </row>
    <row r="18" spans="1:7" ht="15">
      <c r="A18" s="2" t="s">
        <v>78</v>
      </c>
      <c r="B18" s="114" t="s">
        <v>298</v>
      </c>
      <c r="C18" s="116" t="s">
        <v>1061</v>
      </c>
    </row>
    <row r="19" spans="1:7" ht="15">
      <c r="A19" s="2" t="s">
        <v>78</v>
      </c>
      <c r="B19" s="114" t="s">
        <v>299</v>
      </c>
      <c r="C19" s="116" t="s">
        <v>1061</v>
      </c>
    </row>
    <row r="21" spans="1:7" ht="12.75" customHeight="1">
      <c r="A21" s="2" t="s">
        <v>79</v>
      </c>
      <c r="B21" s="468"/>
      <c r="C21" s="469"/>
      <c r="D21" s="470"/>
      <c r="E21" s="32" t="s">
        <v>544</v>
      </c>
      <c r="F21" s="32" t="s">
        <v>545</v>
      </c>
      <c r="G21" s="28"/>
    </row>
    <row r="22" spans="1:7" ht="40.5" customHeight="1">
      <c r="A22" s="2" t="s">
        <v>79</v>
      </c>
      <c r="B22" s="447" t="s">
        <v>300</v>
      </c>
      <c r="C22" s="471"/>
      <c r="D22" s="472"/>
      <c r="E22" s="32" t="s">
        <v>1059</v>
      </c>
      <c r="F22" s="32"/>
      <c r="G22" s="28"/>
    </row>
    <row r="23" spans="1:7" ht="24.75" customHeight="1">
      <c r="A23" s="2" t="s">
        <v>79</v>
      </c>
      <c r="B23" s="474" t="s">
        <v>82</v>
      </c>
      <c r="C23" s="474"/>
      <c r="D23" s="474"/>
      <c r="E23" s="319">
        <v>24</v>
      </c>
      <c r="F23" s="105"/>
      <c r="G23" s="28"/>
    </row>
    <row r="25" spans="1:7">
      <c r="A25" s="2" t="s">
        <v>80</v>
      </c>
      <c r="B25" s="551" t="s">
        <v>527</v>
      </c>
      <c r="C25" s="466"/>
      <c r="D25" s="466"/>
      <c r="E25" s="466"/>
      <c r="F25" s="84"/>
    </row>
    <row r="26" spans="1:7" ht="22.5">
      <c r="A26" s="2" t="s">
        <v>80</v>
      </c>
      <c r="B26" s="115"/>
      <c r="C26" s="117" t="s">
        <v>528</v>
      </c>
      <c r="D26" s="117" t="s">
        <v>529</v>
      </c>
      <c r="E26" s="117" t="s">
        <v>530</v>
      </c>
      <c r="F26" s="117" t="s">
        <v>531</v>
      </c>
      <c r="G26" s="117" t="s">
        <v>532</v>
      </c>
    </row>
    <row r="27" spans="1:7">
      <c r="A27" s="2" t="s">
        <v>80</v>
      </c>
      <c r="B27" s="8" t="s">
        <v>533</v>
      </c>
      <c r="C27" s="32"/>
      <c r="D27" s="32"/>
      <c r="E27" s="32"/>
      <c r="F27" s="32" t="s">
        <v>1059</v>
      </c>
      <c r="G27" s="32"/>
    </row>
    <row r="28" spans="1:7">
      <c r="A28" s="2" t="s">
        <v>80</v>
      </c>
      <c r="B28" s="8" t="s">
        <v>534</v>
      </c>
      <c r="C28" s="32" t="s">
        <v>1059</v>
      </c>
      <c r="D28" s="32"/>
      <c r="E28" s="32"/>
      <c r="F28" s="32"/>
      <c r="G28" s="32"/>
    </row>
    <row r="29" spans="1:7" ht="25.5">
      <c r="A29" s="2" t="s">
        <v>80</v>
      </c>
      <c r="B29" s="8" t="s">
        <v>535</v>
      </c>
      <c r="C29" s="32"/>
      <c r="D29" s="32"/>
      <c r="E29" s="32"/>
      <c r="F29" s="32" t="s">
        <v>1059</v>
      </c>
      <c r="G29" s="32"/>
    </row>
    <row r="30" spans="1:7">
      <c r="A30" s="2" t="s">
        <v>80</v>
      </c>
      <c r="B30" s="8" t="s">
        <v>989</v>
      </c>
      <c r="C30" s="32"/>
      <c r="D30" s="32"/>
      <c r="E30" s="32"/>
      <c r="F30" s="32"/>
      <c r="G30" s="32" t="s">
        <v>1059</v>
      </c>
    </row>
    <row r="31" spans="1:7">
      <c r="A31" s="2" t="s">
        <v>80</v>
      </c>
      <c r="B31" s="8" t="s">
        <v>987</v>
      </c>
      <c r="C31" s="32"/>
      <c r="D31" s="32"/>
      <c r="E31" s="32"/>
      <c r="F31" s="32" t="s">
        <v>1059</v>
      </c>
      <c r="G31" s="32"/>
    </row>
    <row r="32" spans="1:7" ht="40.5" customHeight="1">
      <c r="A32" s="2" t="s">
        <v>80</v>
      </c>
      <c r="B32" s="8" t="s">
        <v>536</v>
      </c>
      <c r="C32" s="32" t="s">
        <v>1059</v>
      </c>
      <c r="D32" s="32"/>
      <c r="E32" s="32"/>
      <c r="F32" s="32"/>
      <c r="G32" s="32"/>
    </row>
    <row r="34" spans="1:7" ht="27" customHeight="1">
      <c r="A34" s="2" t="s">
        <v>85</v>
      </c>
      <c r="B34" s="474" t="s">
        <v>83</v>
      </c>
      <c r="C34" s="474"/>
      <c r="D34" s="474"/>
      <c r="E34" s="118" t="s">
        <v>1062</v>
      </c>
      <c r="F34" s="69"/>
      <c r="G34" s="28"/>
    </row>
    <row r="36" spans="1:7" ht="26.25" customHeight="1">
      <c r="A36" s="2" t="s">
        <v>86</v>
      </c>
      <c r="B36" s="474" t="s">
        <v>84</v>
      </c>
      <c r="C36" s="474"/>
      <c r="D36" s="474"/>
      <c r="E36" s="118">
        <v>2</v>
      </c>
      <c r="F36" s="69"/>
      <c r="G36" s="28"/>
    </row>
    <row r="38" spans="1:7">
      <c r="A38" s="2" t="s">
        <v>87</v>
      </c>
      <c r="B38" s="475" t="s">
        <v>537</v>
      </c>
      <c r="C38" s="476"/>
      <c r="D38" s="476"/>
      <c r="E38" s="476"/>
      <c r="F38" s="476"/>
      <c r="G38" s="546"/>
    </row>
    <row r="39" spans="1:7">
      <c r="A39" s="2"/>
      <c r="B39" s="465"/>
      <c r="C39" s="547"/>
      <c r="D39" s="547"/>
      <c r="E39" s="547"/>
      <c r="F39" s="547"/>
      <c r="G39" s="548"/>
    </row>
    <row r="41" spans="1:7" ht="37.5" customHeight="1">
      <c r="A41" s="2" t="s">
        <v>89</v>
      </c>
      <c r="B41" s="547" t="s">
        <v>88</v>
      </c>
      <c r="C41" s="547"/>
      <c r="D41" s="547"/>
      <c r="E41" s="547"/>
      <c r="F41" s="547"/>
      <c r="G41" s="547"/>
    </row>
    <row r="42" spans="1:7" ht="22.5">
      <c r="A42" s="2" t="s">
        <v>89</v>
      </c>
      <c r="B42" s="115"/>
      <c r="C42" s="226" t="s">
        <v>538</v>
      </c>
      <c r="D42" s="226" t="s">
        <v>539</v>
      </c>
      <c r="E42" s="226" t="s">
        <v>540</v>
      </c>
      <c r="F42" s="226" t="s">
        <v>541</v>
      </c>
      <c r="G42" s="226" t="s">
        <v>542</v>
      </c>
    </row>
    <row r="43" spans="1:7">
      <c r="A43" s="2" t="s">
        <v>89</v>
      </c>
      <c r="B43" s="9" t="s">
        <v>297</v>
      </c>
      <c r="C43" s="119"/>
      <c r="D43" s="119"/>
      <c r="E43" s="119"/>
      <c r="F43" s="119"/>
      <c r="G43" s="93" t="s">
        <v>1059</v>
      </c>
    </row>
    <row r="44" spans="1:7">
      <c r="A44" s="2" t="s">
        <v>89</v>
      </c>
      <c r="B44" s="9" t="s">
        <v>81</v>
      </c>
      <c r="C44" s="119"/>
      <c r="D44" s="119"/>
      <c r="E44" s="119"/>
      <c r="F44" s="119"/>
      <c r="G44" s="93"/>
    </row>
    <row r="45" spans="1:7">
      <c r="A45" s="2" t="s">
        <v>89</v>
      </c>
      <c r="B45" s="9" t="s">
        <v>298</v>
      </c>
      <c r="C45" s="119"/>
      <c r="D45" s="119"/>
      <c r="E45" s="119"/>
      <c r="F45" s="119"/>
      <c r="G45" s="93" t="s">
        <v>1059</v>
      </c>
    </row>
    <row r="46" spans="1:7">
      <c r="A46" s="2" t="s">
        <v>89</v>
      </c>
      <c r="B46" s="9" t="s">
        <v>299</v>
      </c>
      <c r="C46" s="119"/>
      <c r="D46" s="119"/>
      <c r="E46" s="119"/>
      <c r="F46" s="119"/>
      <c r="G46" s="93" t="s">
        <v>1059</v>
      </c>
    </row>
    <row r="48" spans="1:7" ht="12.75" customHeight="1">
      <c r="A48" s="2" t="s">
        <v>90</v>
      </c>
      <c r="B48" s="468"/>
      <c r="C48" s="469"/>
      <c r="D48" s="470"/>
      <c r="E48" s="32" t="s">
        <v>544</v>
      </c>
      <c r="F48" s="32" t="s">
        <v>545</v>
      </c>
      <c r="G48" s="112"/>
    </row>
    <row r="49" spans="1:7" ht="26.25" customHeight="1">
      <c r="A49" s="2" t="s">
        <v>90</v>
      </c>
      <c r="B49" s="447" t="s">
        <v>70</v>
      </c>
      <c r="C49" s="471"/>
      <c r="D49" s="472"/>
      <c r="E49" s="32" t="s">
        <v>1063</v>
      </c>
      <c r="F49" s="32"/>
      <c r="G49" s="46"/>
    </row>
    <row r="50" spans="1:7">
      <c r="B50" s="97"/>
      <c r="C50" s="97"/>
      <c r="D50" s="97"/>
      <c r="E50" s="105"/>
      <c r="F50" s="105"/>
    </row>
    <row r="51" spans="1:7">
      <c r="A51" s="2" t="s">
        <v>91</v>
      </c>
      <c r="B51" s="475" t="s">
        <v>92</v>
      </c>
      <c r="C51" s="476"/>
      <c r="D51" s="476"/>
      <c r="E51" s="476"/>
      <c r="F51" s="476"/>
      <c r="G51" s="546"/>
    </row>
    <row r="52" spans="1:7">
      <c r="A52" s="2"/>
      <c r="B52" s="465"/>
      <c r="C52" s="547"/>
      <c r="D52" s="547"/>
      <c r="E52" s="547"/>
      <c r="F52" s="547"/>
      <c r="G52" s="548"/>
    </row>
    <row r="54" spans="1:7" ht="15.75">
      <c r="B54" s="549" t="s">
        <v>93</v>
      </c>
      <c r="C54" s="489"/>
    </row>
    <row r="55" spans="1:7" ht="27.75" customHeight="1">
      <c r="A55" s="2" t="s">
        <v>94</v>
      </c>
      <c r="B55" s="474" t="s">
        <v>95</v>
      </c>
      <c r="C55" s="474"/>
      <c r="D55" s="474"/>
      <c r="E55" s="320" t="s">
        <v>1064</v>
      </c>
      <c r="G55" s="28"/>
    </row>
    <row r="57" spans="1:7">
      <c r="A57" s="2" t="s">
        <v>884</v>
      </c>
      <c r="B57" s="468"/>
      <c r="C57" s="469"/>
      <c r="D57" s="470"/>
      <c r="E57" s="32" t="s">
        <v>71</v>
      </c>
      <c r="F57" s="32" t="s">
        <v>96</v>
      </c>
    </row>
    <row r="58" spans="1:7" ht="26.25" customHeight="1">
      <c r="A58" s="2" t="s">
        <v>884</v>
      </c>
      <c r="B58" s="447" t="s">
        <v>883</v>
      </c>
      <c r="C58" s="471"/>
      <c r="D58" s="472"/>
      <c r="E58" s="32" t="s">
        <v>1065</v>
      </c>
      <c r="F58" s="32"/>
    </row>
    <row r="60" spans="1:7">
      <c r="A60" s="2" t="s">
        <v>886</v>
      </c>
      <c r="B60" s="468"/>
      <c r="C60" s="469"/>
      <c r="D60" s="470"/>
      <c r="E60" s="32" t="s">
        <v>71</v>
      </c>
      <c r="F60" s="32" t="s">
        <v>96</v>
      </c>
    </row>
    <row r="61" spans="1:7" ht="27" customHeight="1">
      <c r="A61" s="2" t="s">
        <v>886</v>
      </c>
      <c r="B61" s="447" t="s">
        <v>885</v>
      </c>
      <c r="C61" s="471"/>
      <c r="D61" s="472"/>
      <c r="E61" s="32" t="s">
        <v>1065</v>
      </c>
      <c r="F61" s="32"/>
    </row>
    <row r="62" spans="1:7">
      <c r="B62" s="6"/>
      <c r="C62" s="6"/>
      <c r="D62" s="6"/>
      <c r="E62" s="6"/>
      <c r="F62" s="6"/>
      <c r="G62" s="6"/>
    </row>
    <row r="63" spans="1:7" ht="27.75" customHeight="1">
      <c r="A63" s="2" t="s">
        <v>887</v>
      </c>
      <c r="B63" s="474" t="s">
        <v>72</v>
      </c>
      <c r="C63" s="474"/>
      <c r="D63" s="474"/>
      <c r="E63" s="118" t="s">
        <v>1066</v>
      </c>
      <c r="F63" s="27"/>
      <c r="G63" s="28"/>
    </row>
    <row r="64" spans="1:7">
      <c r="A64" s="2"/>
      <c r="B64" s="27"/>
      <c r="C64" s="27"/>
      <c r="D64" s="27"/>
      <c r="E64" s="27"/>
      <c r="F64" s="27"/>
      <c r="G64" s="28"/>
    </row>
    <row r="65" spans="1:7" ht="26.25" customHeight="1">
      <c r="A65" s="2" t="s">
        <v>888</v>
      </c>
      <c r="B65" s="474" t="s">
        <v>889</v>
      </c>
      <c r="C65" s="474"/>
      <c r="D65" s="474"/>
      <c r="E65" s="118" t="s">
        <v>1067</v>
      </c>
      <c r="F65" s="27"/>
      <c r="G65" s="28"/>
    </row>
    <row r="66" spans="1:7">
      <c r="A66" s="2"/>
      <c r="B66" s="27"/>
      <c r="C66" s="27"/>
      <c r="D66" s="27"/>
      <c r="E66" s="27"/>
      <c r="F66" s="27"/>
      <c r="G66" s="28"/>
    </row>
    <row r="67" spans="1:7">
      <c r="A67" s="2" t="s">
        <v>890</v>
      </c>
      <c r="B67" s="475" t="s">
        <v>73</v>
      </c>
      <c r="C67" s="476"/>
      <c r="D67" s="476"/>
      <c r="E67" s="476"/>
      <c r="F67" s="476"/>
      <c r="G67" s="546"/>
    </row>
    <row r="68" spans="1:7">
      <c r="A68" s="2"/>
      <c r="B68" s="465"/>
      <c r="C68" s="547"/>
      <c r="D68" s="547"/>
      <c r="E68" s="547"/>
      <c r="F68" s="547"/>
      <c r="G68" s="548"/>
    </row>
  </sheetData>
  <mergeCells count="27">
    <mergeCell ref="A1:G1"/>
    <mergeCell ref="B8:G8"/>
    <mergeCell ref="B25:E25"/>
    <mergeCell ref="B34:D34"/>
    <mergeCell ref="B4:D4"/>
    <mergeCell ref="B5:D5"/>
    <mergeCell ref="B6:D6"/>
    <mergeCell ref="B23:D23"/>
    <mergeCell ref="B14:C14"/>
    <mergeCell ref="B15:D15"/>
    <mergeCell ref="B21:D21"/>
    <mergeCell ref="B22:D22"/>
    <mergeCell ref="B48:D48"/>
    <mergeCell ref="B49:D49"/>
    <mergeCell ref="B51:G52"/>
    <mergeCell ref="B54:C54"/>
    <mergeCell ref="B36:D36"/>
    <mergeCell ref="B38:G39"/>
    <mergeCell ref="B41:G41"/>
    <mergeCell ref="B61:D61"/>
    <mergeCell ref="B63:D63"/>
    <mergeCell ref="B65:D65"/>
    <mergeCell ref="B67:G68"/>
    <mergeCell ref="B55:D55"/>
    <mergeCell ref="B57:D57"/>
    <mergeCell ref="B58:D58"/>
    <mergeCell ref="B60:D60"/>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6.xml><?xml version="1.0" encoding="utf-8"?>
<worksheet xmlns="http://schemas.openxmlformats.org/spreadsheetml/2006/main" xmlns:r="http://schemas.openxmlformats.org/officeDocument/2006/relationships">
  <dimension ref="A1:C39"/>
  <sheetViews>
    <sheetView zoomScaleNormal="100" workbookViewId="0">
      <selection activeCell="B11" sqref="B11"/>
    </sheetView>
  </sheetViews>
  <sheetFormatPr defaultRowHeight="12.75"/>
  <cols>
    <col min="1" max="1" width="4.42578125" style="1" customWidth="1"/>
    <col min="2" max="2" width="66.28515625" customWidth="1"/>
    <col min="3" max="3" width="12.7109375" customWidth="1"/>
  </cols>
  <sheetData>
    <row r="1" spans="1:3" ht="18">
      <c r="A1" s="425" t="s">
        <v>864</v>
      </c>
      <c r="B1" s="425"/>
      <c r="C1" s="425"/>
    </row>
    <row r="2" spans="1:3" ht="28.5" customHeight="1">
      <c r="A2" s="2" t="s">
        <v>712</v>
      </c>
      <c r="B2" s="553" t="s">
        <v>865</v>
      </c>
      <c r="C2" s="554"/>
    </row>
    <row r="3" spans="1:3">
      <c r="A3" s="2" t="s">
        <v>712</v>
      </c>
      <c r="B3" s="411" t="s">
        <v>866</v>
      </c>
      <c r="C3" s="85" t="s">
        <v>1061</v>
      </c>
    </row>
    <row r="4" spans="1:3">
      <c r="A4" s="2" t="s">
        <v>712</v>
      </c>
      <c r="B4" s="218" t="s">
        <v>501</v>
      </c>
      <c r="C4" s="85" t="s">
        <v>1061</v>
      </c>
    </row>
    <row r="5" spans="1:3">
      <c r="A5" s="2" t="s">
        <v>712</v>
      </c>
      <c r="B5" s="411" t="s">
        <v>867</v>
      </c>
      <c r="C5" s="85"/>
    </row>
    <row r="6" spans="1:3">
      <c r="A6" s="2" t="s">
        <v>712</v>
      </c>
      <c r="B6" s="411" t="s">
        <v>868</v>
      </c>
      <c r="C6" s="85" t="s">
        <v>1061</v>
      </c>
    </row>
    <row r="7" spans="1:3">
      <c r="A7" s="2" t="s">
        <v>712</v>
      </c>
      <c r="B7" s="411" t="s">
        <v>869</v>
      </c>
      <c r="C7" s="85" t="s">
        <v>1061</v>
      </c>
    </row>
    <row r="8" spans="1:3">
      <c r="A8" s="2" t="s">
        <v>712</v>
      </c>
      <c r="B8" s="411" t="s">
        <v>870</v>
      </c>
      <c r="C8" s="85" t="s">
        <v>1061</v>
      </c>
    </row>
    <row r="9" spans="1:3">
      <c r="A9" s="2" t="s">
        <v>712</v>
      </c>
      <c r="B9" s="411" t="s">
        <v>871</v>
      </c>
      <c r="C9" s="85" t="s">
        <v>1061</v>
      </c>
    </row>
    <row r="10" spans="1:3">
      <c r="A10" s="2" t="s">
        <v>712</v>
      </c>
      <c r="B10" s="411" t="s">
        <v>50</v>
      </c>
      <c r="C10" s="85"/>
    </row>
    <row r="11" spans="1:3">
      <c r="A11" s="2" t="s">
        <v>712</v>
      </c>
      <c r="B11" s="418" t="s">
        <v>51</v>
      </c>
      <c r="C11" s="85" t="s">
        <v>1061</v>
      </c>
    </row>
    <row r="12" spans="1:3">
      <c r="A12" s="2" t="s">
        <v>712</v>
      </c>
      <c r="B12" s="411" t="s">
        <v>52</v>
      </c>
      <c r="C12" s="85" t="s">
        <v>1061</v>
      </c>
    </row>
    <row r="13" spans="1:3">
      <c r="A13" s="2" t="s">
        <v>712</v>
      </c>
      <c r="B13" s="411" t="s">
        <v>53</v>
      </c>
      <c r="C13" s="85" t="s">
        <v>1061</v>
      </c>
    </row>
    <row r="14" spans="1:3">
      <c r="A14" s="2" t="s">
        <v>712</v>
      </c>
      <c r="B14" s="411" t="s">
        <v>54</v>
      </c>
      <c r="C14" s="85" t="s">
        <v>1061</v>
      </c>
    </row>
    <row r="15" spans="1:3">
      <c r="A15" s="2" t="s">
        <v>712</v>
      </c>
      <c r="B15" s="411" t="s">
        <v>55</v>
      </c>
      <c r="C15" s="85" t="s">
        <v>1061</v>
      </c>
    </row>
    <row r="16" spans="1:3">
      <c r="A16" s="2" t="s">
        <v>712</v>
      </c>
      <c r="B16" s="411" t="s">
        <v>56</v>
      </c>
      <c r="C16" s="85" t="s">
        <v>1061</v>
      </c>
    </row>
    <row r="17" spans="1:3">
      <c r="A17" s="2" t="s">
        <v>712</v>
      </c>
      <c r="B17" s="411" t="s">
        <v>57</v>
      </c>
      <c r="C17" s="85" t="s">
        <v>1061</v>
      </c>
    </row>
    <row r="18" spans="1:3">
      <c r="A18" s="2" t="s">
        <v>712</v>
      </c>
      <c r="B18" s="411" t="s">
        <v>58</v>
      </c>
      <c r="C18" s="85" t="s">
        <v>1061</v>
      </c>
    </row>
    <row r="19" spans="1:3">
      <c r="A19" s="2" t="s">
        <v>712</v>
      </c>
      <c r="B19" s="411" t="s">
        <v>59</v>
      </c>
      <c r="C19" s="85"/>
    </row>
    <row r="20" spans="1:3">
      <c r="A20" s="2" t="s">
        <v>712</v>
      </c>
      <c r="B20" s="86" t="s">
        <v>60</v>
      </c>
      <c r="C20" s="85"/>
    </row>
    <row r="21" spans="1:3">
      <c r="B21" s="555"/>
      <c r="C21" s="504"/>
    </row>
    <row r="22" spans="1:3">
      <c r="B22" s="409"/>
      <c r="C22" s="409"/>
    </row>
    <row r="23" spans="1:3">
      <c r="A23" s="2" t="s">
        <v>713</v>
      </c>
      <c r="B23" s="3" t="s">
        <v>805</v>
      </c>
      <c r="C23" s="412"/>
    </row>
    <row r="24" spans="1:3">
      <c r="B24" s="412"/>
      <c r="C24" s="412"/>
    </row>
    <row r="25" spans="1:3" ht="24.75" customHeight="1">
      <c r="A25" s="87" t="s">
        <v>714</v>
      </c>
      <c r="B25" s="410" t="s">
        <v>61</v>
      </c>
      <c r="C25" s="410"/>
    </row>
    <row r="26" spans="1:3">
      <c r="A26" s="87" t="s">
        <v>714</v>
      </c>
      <c r="B26" s="411" t="s">
        <v>62</v>
      </c>
      <c r="C26" s="85" t="s">
        <v>1061</v>
      </c>
    </row>
    <row r="27" spans="1:3">
      <c r="A27" s="87" t="s">
        <v>714</v>
      </c>
      <c r="B27" s="411" t="s">
        <v>63</v>
      </c>
      <c r="C27" s="85"/>
    </row>
    <row r="28" spans="1:3">
      <c r="A28" s="87" t="s">
        <v>714</v>
      </c>
      <c r="B28" s="411" t="s">
        <v>64</v>
      </c>
      <c r="C28" s="85" t="s">
        <v>1061</v>
      </c>
    </row>
    <row r="29" spans="1:3">
      <c r="A29" s="87" t="s">
        <v>714</v>
      </c>
      <c r="B29" s="411" t="s">
        <v>65</v>
      </c>
      <c r="C29" s="85"/>
    </row>
    <row r="30" spans="1:3">
      <c r="A30" s="87" t="s">
        <v>714</v>
      </c>
      <c r="B30" s="411" t="s">
        <v>976</v>
      </c>
      <c r="C30" s="85" t="s">
        <v>1061</v>
      </c>
    </row>
    <row r="31" spans="1:3">
      <c r="A31" s="87" t="s">
        <v>714</v>
      </c>
      <c r="B31" s="411" t="s">
        <v>66</v>
      </c>
      <c r="C31" s="85" t="s">
        <v>1061</v>
      </c>
    </row>
    <row r="32" spans="1:3">
      <c r="A32" s="87" t="s">
        <v>714</v>
      </c>
      <c r="B32" s="411" t="s">
        <v>972</v>
      </c>
      <c r="C32" s="85" t="s">
        <v>1061</v>
      </c>
    </row>
    <row r="33" spans="1:3">
      <c r="A33" s="87" t="s">
        <v>714</v>
      </c>
      <c r="B33" s="411" t="s">
        <v>67</v>
      </c>
      <c r="C33" s="85"/>
    </row>
    <row r="34" spans="1:3">
      <c r="A34" s="87" t="s">
        <v>714</v>
      </c>
      <c r="B34" s="411" t="s">
        <v>68</v>
      </c>
      <c r="C34" s="85" t="s">
        <v>1061</v>
      </c>
    </row>
    <row r="35" spans="1:3">
      <c r="A35" s="87" t="s">
        <v>714</v>
      </c>
      <c r="B35" s="411" t="s">
        <v>69</v>
      </c>
      <c r="C35" s="85" t="s">
        <v>1061</v>
      </c>
    </row>
    <row r="36" spans="1:3">
      <c r="A36" s="87" t="s">
        <v>714</v>
      </c>
      <c r="B36" s="86" t="s">
        <v>257</v>
      </c>
      <c r="C36" s="85"/>
    </row>
    <row r="37" spans="1:3">
      <c r="B37" s="556"/>
      <c r="C37" s="557"/>
    </row>
    <row r="39" spans="1:3" ht="28.5">
      <c r="B39" s="284" t="s">
        <v>721</v>
      </c>
    </row>
  </sheetData>
  <mergeCells count="4">
    <mergeCell ref="A1:C1"/>
    <mergeCell ref="B2:C2"/>
    <mergeCell ref="B21:C21"/>
    <mergeCell ref="B37:C37"/>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7.xml><?xml version="1.0" encoding="utf-8"?>
<worksheet xmlns="http://schemas.openxmlformats.org/spreadsheetml/2006/main" xmlns:r="http://schemas.openxmlformats.org/officeDocument/2006/relationships">
  <dimension ref="A1:H56"/>
  <sheetViews>
    <sheetView zoomScaleNormal="100" workbookViewId="0">
      <selection activeCell="E20" sqref="E20"/>
    </sheetView>
  </sheetViews>
  <sheetFormatPr defaultRowHeight="12.75"/>
  <cols>
    <col min="1" max="1" width="3.85546875" style="1" customWidth="1"/>
    <col min="2" max="2" width="27" customWidth="1"/>
    <col min="3" max="3" width="4.7109375" customWidth="1"/>
    <col min="4" max="4" width="10.7109375" customWidth="1"/>
    <col min="5" max="6" width="16.7109375" customWidth="1"/>
  </cols>
  <sheetData>
    <row r="1" spans="1:6" ht="18">
      <c r="A1" s="425" t="s">
        <v>891</v>
      </c>
      <c r="B1" s="425"/>
      <c r="C1" s="425"/>
      <c r="D1" s="425"/>
      <c r="E1" s="426"/>
      <c r="F1" s="426"/>
    </row>
    <row r="3" spans="1:6" ht="28.5" customHeight="1">
      <c r="A3" s="2" t="s">
        <v>362</v>
      </c>
      <c r="B3" s="569" t="s">
        <v>1022</v>
      </c>
      <c r="C3" s="569"/>
      <c r="D3" s="569"/>
      <c r="E3" s="570"/>
      <c r="F3" s="570"/>
    </row>
    <row r="4" spans="1:6" ht="37.5" customHeight="1">
      <c r="A4" s="2" t="s">
        <v>362</v>
      </c>
      <c r="B4" s="493"/>
      <c r="C4" s="504"/>
      <c r="D4" s="504"/>
      <c r="E4" s="126" t="s">
        <v>650</v>
      </c>
      <c r="F4" s="121" t="s">
        <v>272</v>
      </c>
    </row>
    <row r="5" spans="1:6" ht="39.75" customHeight="1">
      <c r="A5" s="2" t="s">
        <v>362</v>
      </c>
      <c r="B5" s="486" t="s">
        <v>502</v>
      </c>
      <c r="C5" s="509"/>
      <c r="D5" s="509"/>
      <c r="E5" s="377">
        <v>0.13300000000000001</v>
      </c>
      <c r="F5" s="378">
        <v>0.113</v>
      </c>
    </row>
    <row r="6" spans="1:6">
      <c r="A6" s="2" t="s">
        <v>362</v>
      </c>
      <c r="B6" s="446" t="s">
        <v>892</v>
      </c>
      <c r="C6" s="504"/>
      <c r="D6" s="504"/>
      <c r="E6" s="376">
        <v>0.08</v>
      </c>
      <c r="F6" s="378">
        <v>0.09</v>
      </c>
    </row>
    <row r="7" spans="1:6">
      <c r="A7" s="2" t="s">
        <v>362</v>
      </c>
      <c r="B7" s="446" t="s">
        <v>893</v>
      </c>
      <c r="C7" s="504"/>
      <c r="D7" s="504"/>
      <c r="E7" s="376">
        <v>0.09</v>
      </c>
      <c r="F7" s="378">
        <v>0.1</v>
      </c>
    </row>
    <row r="8" spans="1:6" ht="24.75" customHeight="1">
      <c r="A8" s="2" t="s">
        <v>362</v>
      </c>
      <c r="B8" s="446" t="s">
        <v>894</v>
      </c>
      <c r="C8" s="504"/>
      <c r="D8" s="504"/>
      <c r="E8" s="376">
        <v>0.93</v>
      </c>
      <c r="F8" s="378">
        <v>0.43</v>
      </c>
    </row>
    <row r="9" spans="1:6">
      <c r="A9" s="2" t="s">
        <v>362</v>
      </c>
      <c r="B9" s="446" t="s">
        <v>895</v>
      </c>
      <c r="C9" s="504"/>
      <c r="D9" s="504"/>
      <c r="E9" s="376">
        <v>7.0000000000000007E-2</v>
      </c>
      <c r="F9" s="378">
        <v>0.56999999999999995</v>
      </c>
    </row>
    <row r="10" spans="1:6">
      <c r="A10" s="2" t="s">
        <v>362</v>
      </c>
      <c r="B10" s="446" t="s">
        <v>896</v>
      </c>
      <c r="C10" s="504"/>
      <c r="D10" s="504"/>
      <c r="E10" s="376">
        <v>0</v>
      </c>
      <c r="F10" s="378">
        <v>0.05</v>
      </c>
    </row>
    <row r="11" spans="1:6">
      <c r="A11" s="2" t="s">
        <v>362</v>
      </c>
      <c r="B11" s="446" t="s">
        <v>897</v>
      </c>
      <c r="C11" s="504"/>
      <c r="D11" s="504"/>
      <c r="E11" s="379">
        <v>18</v>
      </c>
      <c r="F11" s="379">
        <v>20</v>
      </c>
    </row>
    <row r="12" spans="1:6">
      <c r="A12" s="2" t="s">
        <v>362</v>
      </c>
      <c r="B12" s="446" t="s">
        <v>898</v>
      </c>
      <c r="C12" s="504"/>
      <c r="D12" s="504"/>
      <c r="E12" s="379">
        <v>18</v>
      </c>
      <c r="F12" s="379">
        <v>21</v>
      </c>
    </row>
    <row r="14" spans="1:6">
      <c r="A14" s="2" t="s">
        <v>361</v>
      </c>
      <c r="B14" s="558" t="s">
        <v>651</v>
      </c>
      <c r="C14" s="427"/>
      <c r="D14" s="427"/>
      <c r="E14" s="559"/>
      <c r="F14" s="559"/>
    </row>
    <row r="15" spans="1:6" ht="15.75">
      <c r="A15" s="2" t="s">
        <v>361</v>
      </c>
      <c r="B15" s="299" t="s">
        <v>646</v>
      </c>
      <c r="C15" s="413" t="s">
        <v>1061</v>
      </c>
      <c r="D15" s="7"/>
      <c r="E15" s="151"/>
      <c r="F15" s="151"/>
    </row>
    <row r="16" spans="1:6" ht="15.75">
      <c r="A16" s="2" t="s">
        <v>361</v>
      </c>
      <c r="B16" s="8" t="s">
        <v>899</v>
      </c>
      <c r="C16" s="413" t="s">
        <v>1061</v>
      </c>
    </row>
    <row r="17" spans="1:3" ht="15.75">
      <c r="A17" s="2" t="s">
        <v>361</v>
      </c>
      <c r="B17" s="8" t="s">
        <v>900</v>
      </c>
      <c r="C17" s="413" t="s">
        <v>1061</v>
      </c>
    </row>
    <row r="18" spans="1:3" ht="15.75">
      <c r="A18" s="2" t="s">
        <v>361</v>
      </c>
      <c r="B18" s="8" t="s">
        <v>333</v>
      </c>
      <c r="C18" s="413" t="s">
        <v>1061</v>
      </c>
    </row>
    <row r="19" spans="1:3" ht="15.75">
      <c r="A19" s="2" t="s">
        <v>361</v>
      </c>
      <c r="B19" s="8" t="s">
        <v>334</v>
      </c>
      <c r="C19" s="413" t="s">
        <v>1061</v>
      </c>
    </row>
    <row r="20" spans="1:3" ht="25.5">
      <c r="A20" s="2" t="s">
        <v>361</v>
      </c>
      <c r="B20" s="275" t="s">
        <v>647</v>
      </c>
      <c r="C20" s="413" t="s">
        <v>1061</v>
      </c>
    </row>
    <row r="21" spans="1:3" ht="15.75">
      <c r="A21" s="2" t="s">
        <v>361</v>
      </c>
      <c r="B21" s="8" t="s">
        <v>335</v>
      </c>
      <c r="C21" s="413" t="s">
        <v>1061</v>
      </c>
    </row>
    <row r="22" spans="1:3" ht="15.75">
      <c r="A22" s="2" t="s">
        <v>361</v>
      </c>
      <c r="B22" s="8" t="s">
        <v>336</v>
      </c>
      <c r="C22" s="413" t="s">
        <v>1061</v>
      </c>
    </row>
    <row r="23" spans="1:3" ht="15.75">
      <c r="A23" s="2" t="s">
        <v>361</v>
      </c>
      <c r="B23" s="8" t="s">
        <v>337</v>
      </c>
      <c r="C23" s="413" t="s">
        <v>1061</v>
      </c>
    </row>
    <row r="24" spans="1:3" ht="15.75">
      <c r="A24" s="2" t="s">
        <v>361</v>
      </c>
      <c r="B24" s="265" t="s">
        <v>648</v>
      </c>
      <c r="C24" s="413"/>
    </row>
    <row r="25" spans="1:3" ht="15.75">
      <c r="A25" s="2" t="s">
        <v>361</v>
      </c>
      <c r="B25" s="8" t="s">
        <v>338</v>
      </c>
      <c r="C25" s="413" t="s">
        <v>1061</v>
      </c>
    </row>
    <row r="26" spans="1:3" ht="15.75">
      <c r="A26" s="2" t="s">
        <v>361</v>
      </c>
      <c r="B26" s="8" t="s">
        <v>339</v>
      </c>
      <c r="C26" s="413" t="s">
        <v>1061</v>
      </c>
    </row>
    <row r="27" spans="1:3" ht="15.75">
      <c r="A27" s="2" t="s">
        <v>361</v>
      </c>
      <c r="B27" s="8" t="s">
        <v>340</v>
      </c>
      <c r="C27" s="413" t="s">
        <v>1061</v>
      </c>
    </row>
    <row r="28" spans="1:3" ht="15.75">
      <c r="A28" s="2" t="s">
        <v>361</v>
      </c>
      <c r="B28" s="8" t="s">
        <v>341</v>
      </c>
      <c r="C28" s="413" t="s">
        <v>1061</v>
      </c>
    </row>
    <row r="29" spans="1:3" ht="15.75">
      <c r="A29" s="2" t="s">
        <v>361</v>
      </c>
      <c r="B29" s="8" t="s">
        <v>342</v>
      </c>
      <c r="C29" s="413" t="s">
        <v>1061</v>
      </c>
    </row>
    <row r="30" spans="1:3" ht="15.75">
      <c r="A30" s="2" t="s">
        <v>361</v>
      </c>
      <c r="B30" s="8" t="s">
        <v>343</v>
      </c>
      <c r="C30" s="413" t="s">
        <v>1061</v>
      </c>
    </row>
    <row r="31" spans="1:3" ht="15.75">
      <c r="A31" s="2" t="s">
        <v>361</v>
      </c>
      <c r="B31" s="8" t="s">
        <v>344</v>
      </c>
      <c r="C31" s="413" t="s">
        <v>1061</v>
      </c>
    </row>
    <row r="32" spans="1:3" ht="15.75">
      <c r="A32" s="2" t="s">
        <v>361</v>
      </c>
      <c r="B32" s="8" t="s">
        <v>345</v>
      </c>
      <c r="C32" s="413" t="s">
        <v>1061</v>
      </c>
    </row>
    <row r="33" spans="1:8" ht="15.75">
      <c r="A33" s="2" t="s">
        <v>361</v>
      </c>
      <c r="B33" s="8" t="s">
        <v>346</v>
      </c>
      <c r="C33" s="413" t="s">
        <v>1061</v>
      </c>
    </row>
    <row r="34" spans="1:8" ht="15.75">
      <c r="A34" s="2" t="s">
        <v>361</v>
      </c>
      <c r="B34" s="8" t="s">
        <v>347</v>
      </c>
      <c r="C34" s="413" t="s">
        <v>1061</v>
      </c>
    </row>
    <row r="35" spans="1:8" ht="15.75">
      <c r="A35" s="2" t="s">
        <v>361</v>
      </c>
      <c r="B35" s="8" t="s">
        <v>348</v>
      </c>
      <c r="C35" s="375"/>
    </row>
    <row r="37" spans="1:8" ht="12.75" customHeight="1">
      <c r="A37" s="2" t="s">
        <v>360</v>
      </c>
      <c r="B37" s="564" t="s">
        <v>806</v>
      </c>
      <c r="C37" s="547"/>
      <c r="D37" s="547"/>
      <c r="E37" s="565"/>
      <c r="F37" s="566"/>
      <c r="G37" s="200"/>
    </row>
    <row r="38" spans="1:8" s="122" customFormat="1" ht="25.5" customHeight="1">
      <c r="A38" s="2" t="s">
        <v>360</v>
      </c>
      <c r="B38" s="123"/>
      <c r="C38" s="563" t="s">
        <v>655</v>
      </c>
      <c r="D38" s="563"/>
      <c r="E38" s="124" t="s">
        <v>657</v>
      </c>
      <c r="F38" s="567" t="s">
        <v>656</v>
      </c>
      <c r="G38" s="568"/>
      <c r="H38" s="125"/>
    </row>
    <row r="39" spans="1:8">
      <c r="A39" s="2" t="s">
        <v>360</v>
      </c>
      <c r="B39" s="80" t="s">
        <v>652</v>
      </c>
      <c r="C39" s="561" t="s">
        <v>544</v>
      </c>
      <c r="D39" s="562"/>
      <c r="E39" s="222" t="s">
        <v>544</v>
      </c>
      <c r="F39" s="447" t="s">
        <v>1060</v>
      </c>
      <c r="G39" s="472"/>
      <c r="H39" s="49"/>
    </row>
    <row r="40" spans="1:8">
      <c r="A40" s="2" t="s">
        <v>360</v>
      </c>
      <c r="B40" s="80" t="s">
        <v>653</v>
      </c>
      <c r="C40" s="561" t="s">
        <v>545</v>
      </c>
      <c r="D40" s="562"/>
      <c r="E40" s="222" t="s">
        <v>545</v>
      </c>
      <c r="F40" s="447"/>
      <c r="G40" s="472"/>
      <c r="H40" s="49"/>
    </row>
    <row r="41" spans="1:8">
      <c r="A41" s="2" t="s">
        <v>360</v>
      </c>
      <c r="B41" s="80" t="s">
        <v>654</v>
      </c>
      <c r="C41" s="561" t="s">
        <v>545</v>
      </c>
      <c r="D41" s="562"/>
      <c r="E41" s="222" t="s">
        <v>545</v>
      </c>
      <c r="F41" s="447"/>
      <c r="G41" s="472"/>
      <c r="H41" s="49"/>
    </row>
    <row r="43" spans="1:8" ht="26.25" customHeight="1">
      <c r="A43" s="2" t="s">
        <v>359</v>
      </c>
      <c r="B43" s="558" t="s">
        <v>602</v>
      </c>
      <c r="C43" s="427"/>
      <c r="D43" s="427"/>
      <c r="E43" s="427"/>
      <c r="F43" s="427"/>
    </row>
    <row r="44" spans="1:8">
      <c r="A44" s="2" t="s">
        <v>359</v>
      </c>
      <c r="B44" s="8" t="s">
        <v>349</v>
      </c>
      <c r="C44" s="344" t="s">
        <v>1059</v>
      </c>
    </row>
    <row r="45" spans="1:8">
      <c r="A45" s="2" t="s">
        <v>359</v>
      </c>
      <c r="B45" s="8" t="s">
        <v>350</v>
      </c>
      <c r="C45" s="344" t="s">
        <v>1059</v>
      </c>
    </row>
    <row r="46" spans="1:8">
      <c r="A46" s="2" t="s">
        <v>359</v>
      </c>
      <c r="B46" s="8" t="s">
        <v>351</v>
      </c>
      <c r="C46" s="344" t="s">
        <v>1059</v>
      </c>
    </row>
    <row r="47" spans="1:8" ht="25.5">
      <c r="A47" s="2" t="s">
        <v>359</v>
      </c>
      <c r="B47" s="8" t="s">
        <v>352</v>
      </c>
      <c r="C47" s="344" t="s">
        <v>1059</v>
      </c>
    </row>
    <row r="48" spans="1:8">
      <c r="A48" s="2" t="s">
        <v>359</v>
      </c>
      <c r="B48" s="8" t="s">
        <v>353</v>
      </c>
      <c r="C48" s="344" t="s">
        <v>1059</v>
      </c>
    </row>
    <row r="49" spans="1:4" ht="27.75" customHeight="1">
      <c r="A49" s="2" t="s">
        <v>359</v>
      </c>
      <c r="B49" s="8" t="s">
        <v>354</v>
      </c>
      <c r="C49" s="344" t="s">
        <v>1059</v>
      </c>
    </row>
    <row r="50" spans="1:4" ht="24.75" customHeight="1">
      <c r="A50" s="2" t="s">
        <v>359</v>
      </c>
      <c r="B50" s="8" t="s">
        <v>355</v>
      </c>
      <c r="C50" s="344" t="s">
        <v>1059</v>
      </c>
    </row>
    <row r="51" spans="1:4">
      <c r="A51" s="2" t="s">
        <v>359</v>
      </c>
      <c r="B51" s="8" t="s">
        <v>356</v>
      </c>
      <c r="C51" s="343"/>
    </row>
    <row r="52" spans="1:4">
      <c r="A52" s="2" t="s">
        <v>359</v>
      </c>
      <c r="B52" s="8" t="s">
        <v>357</v>
      </c>
      <c r="C52" s="343"/>
    </row>
    <row r="53" spans="1:4">
      <c r="A53" s="2" t="s">
        <v>359</v>
      </c>
      <c r="B53" s="265" t="s">
        <v>179</v>
      </c>
      <c r="C53" s="344" t="s">
        <v>1059</v>
      </c>
    </row>
    <row r="54" spans="1:4">
      <c r="A54" s="2" t="s">
        <v>359</v>
      </c>
      <c r="B54" s="307" t="s">
        <v>180</v>
      </c>
      <c r="C54" s="344" t="s">
        <v>1059</v>
      </c>
    </row>
    <row r="55" spans="1:4" ht="15.75" customHeight="1">
      <c r="A55" s="2" t="s">
        <v>359</v>
      </c>
      <c r="B55" s="127" t="s">
        <v>358</v>
      </c>
      <c r="C55" s="344" t="s">
        <v>1059</v>
      </c>
      <c r="D55" s="28"/>
    </row>
    <row r="56" spans="1:4">
      <c r="A56" s="2"/>
      <c r="B56" s="560" t="s">
        <v>1076</v>
      </c>
      <c r="C56" s="467"/>
    </row>
  </sheetData>
  <mergeCells count="23">
    <mergeCell ref="B8:D8"/>
    <mergeCell ref="A1:F1"/>
    <mergeCell ref="B4:D4"/>
    <mergeCell ref="B5:D5"/>
    <mergeCell ref="B7:D7"/>
    <mergeCell ref="B6:D6"/>
    <mergeCell ref="B3:F3"/>
    <mergeCell ref="B14:F14"/>
    <mergeCell ref="B43:F43"/>
    <mergeCell ref="B56:C56"/>
    <mergeCell ref="B9:D9"/>
    <mergeCell ref="B10:D10"/>
    <mergeCell ref="B11:D11"/>
    <mergeCell ref="B12:D12"/>
    <mergeCell ref="C39:D39"/>
    <mergeCell ref="C40:D40"/>
    <mergeCell ref="C41:D41"/>
    <mergeCell ref="F39:G39"/>
    <mergeCell ref="F40:G40"/>
    <mergeCell ref="F41:G41"/>
    <mergeCell ref="C38:D38"/>
    <mergeCell ref="B37:F37"/>
    <mergeCell ref="F38:G38"/>
  </mergeCells>
  <phoneticPr fontId="0" type="noConversion"/>
  <pageMargins left="0.75" right="0.75" top="1" bottom="1" header="0.5" footer="0.5"/>
  <pageSetup orientation="portrait" r:id="rId1"/>
  <headerFooter alignWithMargins="0">
    <oddHeader>&amp;CCommon Data Set 2011-2012</oddHeader>
    <oddFooter>&amp;C&amp;A&amp;RPage &amp;P</oddFooter>
  </headerFooter>
</worksheet>
</file>

<file path=xl/worksheets/sheet8.xml><?xml version="1.0" encoding="utf-8"?>
<worksheet xmlns="http://schemas.openxmlformats.org/spreadsheetml/2006/main" xmlns:r="http://schemas.openxmlformats.org/officeDocument/2006/relationships">
  <dimension ref="A1:E56"/>
  <sheetViews>
    <sheetView zoomScaleNormal="100" workbookViewId="0">
      <selection activeCell="E54" sqref="E54"/>
    </sheetView>
  </sheetViews>
  <sheetFormatPr defaultRowHeight="12.75"/>
  <cols>
    <col min="1" max="1" width="3.85546875" style="390" customWidth="1"/>
    <col min="2" max="2" width="29.28515625" style="402" customWidth="1"/>
    <col min="3" max="5" width="18.7109375" style="402" customWidth="1"/>
    <col min="6" max="16384" width="9.140625" style="402"/>
  </cols>
  <sheetData>
    <row r="1" spans="1:5" ht="18">
      <c r="A1" s="425" t="s">
        <v>603</v>
      </c>
      <c r="B1" s="425"/>
      <c r="C1" s="425"/>
      <c r="D1" s="425"/>
      <c r="E1" s="425"/>
    </row>
    <row r="2" spans="1:5" ht="18">
      <c r="A2" s="405"/>
      <c r="B2" s="405"/>
      <c r="C2" s="405"/>
      <c r="D2" s="405"/>
      <c r="E2" s="405"/>
    </row>
    <row r="3" spans="1:5" s="254" customFormat="1">
      <c r="A3" s="236" t="s">
        <v>786</v>
      </c>
      <c r="B3" s="317" t="s">
        <v>171</v>
      </c>
      <c r="C3" s="317"/>
      <c r="D3" s="317"/>
      <c r="E3" s="317"/>
    </row>
    <row r="4" spans="1:5">
      <c r="B4" s="412" t="s">
        <v>1102</v>
      </c>
    </row>
    <row r="5" spans="1:5" ht="27.75" customHeight="1">
      <c r="B5" s="558" t="s">
        <v>1009</v>
      </c>
      <c r="C5" s="558"/>
      <c r="D5" s="558"/>
      <c r="E5" s="558"/>
    </row>
    <row r="6" spans="1:5" s="200" customFormat="1">
      <c r="A6" s="396"/>
      <c r="B6" s="394"/>
      <c r="C6" s="394"/>
      <c r="D6" s="394"/>
      <c r="E6" s="394"/>
    </row>
    <row r="7" spans="1:5" s="200" customFormat="1" ht="38.25" customHeight="1">
      <c r="A7" s="208"/>
      <c r="B7" s="580" t="s">
        <v>1010</v>
      </c>
      <c r="C7" s="522"/>
      <c r="D7" s="522"/>
      <c r="E7" s="522"/>
    </row>
    <row r="8" spans="1:5" s="200" customFormat="1">
      <c r="A8" s="396"/>
      <c r="B8" s="395"/>
      <c r="C8" s="394"/>
      <c r="D8" s="391"/>
      <c r="E8" s="209"/>
    </row>
    <row r="9" spans="1:5">
      <c r="A9" s="404"/>
      <c r="B9" s="404"/>
      <c r="C9" s="404"/>
      <c r="D9" s="404"/>
      <c r="E9" s="404"/>
    </row>
    <row r="10" spans="1:5" ht="117" customHeight="1">
      <c r="A10" s="404" t="s">
        <v>617</v>
      </c>
      <c r="B10" s="575" t="s">
        <v>1011</v>
      </c>
      <c r="C10" s="522"/>
      <c r="D10" s="522"/>
      <c r="E10" s="522"/>
    </row>
    <row r="11" spans="1:5">
      <c r="A11" s="404"/>
      <c r="C11" s="53"/>
      <c r="D11" s="404"/>
      <c r="E11" s="404"/>
    </row>
    <row r="12" spans="1:5">
      <c r="A12" s="404" t="s">
        <v>617</v>
      </c>
      <c r="B12" s="399"/>
      <c r="C12" s="131" t="s">
        <v>604</v>
      </c>
      <c r="D12" s="131" t="s">
        <v>272</v>
      </c>
    </row>
    <row r="13" spans="1:5" ht="25.5">
      <c r="A13" s="404" t="s">
        <v>617</v>
      </c>
      <c r="B13" s="389" t="s">
        <v>510</v>
      </c>
      <c r="C13" s="133"/>
      <c r="D13" s="133"/>
    </row>
    <row r="14" spans="1:5" ht="38.25">
      <c r="A14" s="404" t="s">
        <v>617</v>
      </c>
      <c r="B14" s="389" t="s">
        <v>511</v>
      </c>
      <c r="C14" s="133">
        <v>8318</v>
      </c>
      <c r="D14" s="133">
        <v>8318</v>
      </c>
    </row>
    <row r="15" spans="1:5" ht="25.5">
      <c r="A15" s="404" t="s">
        <v>617</v>
      </c>
      <c r="B15" s="389" t="s">
        <v>512</v>
      </c>
      <c r="C15" s="133">
        <v>8318</v>
      </c>
      <c r="D15" s="133">
        <v>8318</v>
      </c>
    </row>
    <row r="16" spans="1:5" ht="25.5">
      <c r="A16" s="404" t="s">
        <v>617</v>
      </c>
      <c r="B16" s="389" t="s">
        <v>513</v>
      </c>
      <c r="C16" s="133">
        <v>22988</v>
      </c>
      <c r="D16" s="133">
        <v>22988</v>
      </c>
    </row>
    <row r="17" spans="1:5" ht="25.5">
      <c r="A17" s="404" t="s">
        <v>617</v>
      </c>
      <c r="B17" s="387" t="s">
        <v>514</v>
      </c>
      <c r="C17" s="133"/>
      <c r="D17" s="133"/>
    </row>
    <row r="18" spans="1:5">
      <c r="A18" s="404"/>
      <c r="B18" s="132"/>
      <c r="C18" s="134"/>
      <c r="D18" s="135"/>
    </row>
    <row r="19" spans="1:5">
      <c r="A19" s="404" t="s">
        <v>617</v>
      </c>
      <c r="B19" s="387" t="s">
        <v>301</v>
      </c>
      <c r="C19" s="133">
        <v>662</v>
      </c>
      <c r="D19" s="133">
        <v>662</v>
      </c>
    </row>
    <row r="20" spans="1:5">
      <c r="A20" s="404"/>
      <c r="B20" s="132"/>
      <c r="C20" s="134"/>
      <c r="D20" s="135"/>
    </row>
    <row r="21" spans="1:5" ht="25.5">
      <c r="A21" s="404" t="s">
        <v>617</v>
      </c>
      <c r="B21" s="387" t="s">
        <v>302</v>
      </c>
      <c r="C21" s="133">
        <v>8714</v>
      </c>
      <c r="D21" s="133">
        <v>8714</v>
      </c>
    </row>
    <row r="22" spans="1:5" ht="25.5">
      <c r="A22" s="404" t="s">
        <v>617</v>
      </c>
      <c r="B22" s="387" t="s">
        <v>303</v>
      </c>
      <c r="C22" s="133"/>
      <c r="D22" s="133"/>
    </row>
    <row r="23" spans="1:5" ht="25.5">
      <c r="A23" s="404" t="s">
        <v>617</v>
      </c>
      <c r="B23" s="387" t="s">
        <v>304</v>
      </c>
      <c r="C23" s="133"/>
      <c r="D23" s="133"/>
    </row>
    <row r="25" spans="1:5" ht="38.25" customHeight="1">
      <c r="A25" s="404" t="s">
        <v>617</v>
      </c>
      <c r="B25" s="498" t="s">
        <v>305</v>
      </c>
      <c r="C25" s="449"/>
      <c r="D25" s="136"/>
    </row>
    <row r="26" spans="1:5">
      <c r="A26" s="404"/>
      <c r="B26" s="392"/>
      <c r="C26" s="392"/>
      <c r="D26" s="137"/>
    </row>
    <row r="27" spans="1:5">
      <c r="A27" s="404" t="s">
        <v>617</v>
      </c>
      <c r="B27" s="576" t="s">
        <v>306</v>
      </c>
      <c r="C27" s="517"/>
      <c r="D27" s="517"/>
      <c r="E27" s="577"/>
    </row>
    <row r="28" spans="1:5">
      <c r="A28" s="404"/>
      <c r="B28" s="578"/>
      <c r="C28" s="428"/>
      <c r="D28" s="428"/>
      <c r="E28" s="579"/>
    </row>
    <row r="30" spans="1:5">
      <c r="A30" s="404" t="s">
        <v>307</v>
      </c>
      <c r="B30" s="468"/>
      <c r="C30" s="470"/>
      <c r="D30" s="339" t="s">
        <v>606</v>
      </c>
      <c r="E30" s="339" t="s">
        <v>607</v>
      </c>
    </row>
    <row r="31" spans="1:5" ht="25.5" customHeight="1">
      <c r="A31" s="404" t="s">
        <v>307</v>
      </c>
      <c r="B31" s="571" t="s">
        <v>605</v>
      </c>
      <c r="C31" s="572"/>
      <c r="D31" s="379">
        <v>12</v>
      </c>
      <c r="E31" s="379">
        <v>18</v>
      </c>
    </row>
    <row r="33" spans="1:5">
      <c r="A33" s="404" t="s">
        <v>308</v>
      </c>
      <c r="B33" s="468"/>
      <c r="C33" s="470"/>
      <c r="D33" s="339" t="s">
        <v>544</v>
      </c>
      <c r="E33" s="339" t="s">
        <v>545</v>
      </c>
    </row>
    <row r="34" spans="1:5" ht="27.75" customHeight="1">
      <c r="A34" s="404" t="s">
        <v>308</v>
      </c>
      <c r="B34" s="571" t="s">
        <v>311</v>
      </c>
      <c r="C34" s="572"/>
      <c r="D34" s="343"/>
      <c r="E34" s="343" t="s">
        <v>1059</v>
      </c>
    </row>
    <row r="36" spans="1:5">
      <c r="A36" s="404" t="s">
        <v>309</v>
      </c>
      <c r="D36" s="339" t="s">
        <v>544</v>
      </c>
      <c r="E36" s="339" t="s">
        <v>545</v>
      </c>
    </row>
    <row r="37" spans="1:5" ht="28.5" customHeight="1">
      <c r="A37" s="404" t="s">
        <v>309</v>
      </c>
      <c r="B37" s="573" t="s">
        <v>172</v>
      </c>
      <c r="C37" s="574"/>
      <c r="D37" s="344" t="s">
        <v>1059</v>
      </c>
      <c r="E37" s="343"/>
    </row>
    <row r="38" spans="1:5" ht="28.5" customHeight="1">
      <c r="A38" s="404" t="s">
        <v>309</v>
      </c>
      <c r="B38" s="573"/>
      <c r="C38" s="574"/>
      <c r="D38" s="309"/>
      <c r="E38" s="309"/>
    </row>
    <row r="39" spans="1:5" ht="28.5" customHeight="1">
      <c r="A39" s="404" t="s">
        <v>309</v>
      </c>
      <c r="B39" s="573" t="s">
        <v>173</v>
      </c>
      <c r="C39" s="574"/>
      <c r="D39" s="310">
        <v>0.02</v>
      </c>
      <c r="E39" s="309"/>
    </row>
    <row r="40" spans="1:5">
      <c r="B40" s="434"/>
      <c r="C40" s="434"/>
      <c r="D40" s="434"/>
      <c r="E40" s="434"/>
    </row>
    <row r="41" spans="1:5" ht="19.5" customHeight="1">
      <c r="A41" s="404" t="s">
        <v>310</v>
      </c>
      <c r="B41" s="547" t="s">
        <v>608</v>
      </c>
      <c r="C41" s="428"/>
      <c r="D41" s="428"/>
      <c r="E41" s="428"/>
    </row>
    <row r="42" spans="1:5" ht="25.5">
      <c r="A42" s="404" t="s">
        <v>310</v>
      </c>
      <c r="B42" s="399"/>
      <c r="C42" s="397" t="s">
        <v>609</v>
      </c>
      <c r="D42" s="397" t="s">
        <v>610</v>
      </c>
      <c r="E42" s="397" t="s">
        <v>611</v>
      </c>
    </row>
    <row r="43" spans="1:5">
      <c r="A43" s="404" t="s">
        <v>310</v>
      </c>
      <c r="B43" s="400" t="s">
        <v>612</v>
      </c>
      <c r="C43" s="136">
        <v>1020</v>
      </c>
      <c r="D43" s="136">
        <v>1020</v>
      </c>
      <c r="E43" s="136">
        <v>1020</v>
      </c>
    </row>
    <row r="44" spans="1:5">
      <c r="A44" s="404" t="s">
        <v>310</v>
      </c>
      <c r="B44" s="400" t="s">
        <v>613</v>
      </c>
      <c r="C44" s="138"/>
      <c r="D44" s="138"/>
      <c r="E44" s="136"/>
    </row>
    <row r="45" spans="1:5">
      <c r="A45" s="404" t="s">
        <v>310</v>
      </c>
      <c r="B45" s="400" t="s">
        <v>614</v>
      </c>
      <c r="C45" s="138"/>
      <c r="D45" s="136">
        <v>1212</v>
      </c>
      <c r="E45" s="136"/>
    </row>
    <row r="46" spans="1:5" ht="51">
      <c r="A46" s="404" t="s">
        <v>310</v>
      </c>
      <c r="B46" s="300" t="s">
        <v>649</v>
      </c>
      <c r="C46" s="138"/>
      <c r="D46" s="138"/>
      <c r="E46" s="133">
        <v>8714</v>
      </c>
    </row>
    <row r="47" spans="1:5">
      <c r="A47" s="404" t="s">
        <v>310</v>
      </c>
      <c r="B47" s="400" t="s">
        <v>615</v>
      </c>
      <c r="C47" s="136">
        <v>1084</v>
      </c>
      <c r="D47" s="136">
        <v>2446</v>
      </c>
      <c r="E47" s="136">
        <v>1084</v>
      </c>
    </row>
    <row r="48" spans="1:5">
      <c r="A48" s="404" t="s">
        <v>310</v>
      </c>
      <c r="B48" s="400" t="s">
        <v>616</v>
      </c>
      <c r="C48" s="136">
        <v>1630</v>
      </c>
      <c r="D48" s="136">
        <v>1630</v>
      </c>
      <c r="E48" s="136">
        <v>1630</v>
      </c>
    </row>
    <row r="51" spans="1:3" ht="12.75" customHeight="1">
      <c r="A51" s="404" t="s">
        <v>439</v>
      </c>
      <c r="B51" s="569" t="s">
        <v>722</v>
      </c>
      <c r="C51" s="569"/>
    </row>
    <row r="52" spans="1:3" ht="25.5">
      <c r="A52" s="404" t="s">
        <v>439</v>
      </c>
      <c r="B52" s="389" t="s">
        <v>902</v>
      </c>
      <c r="C52" s="139"/>
    </row>
    <row r="53" spans="1:3" ht="25.5">
      <c r="A53" s="404" t="s">
        <v>439</v>
      </c>
      <c r="B53" s="407" t="s">
        <v>905</v>
      </c>
      <c r="C53" s="408">
        <v>270</v>
      </c>
    </row>
    <row r="54" spans="1:3" ht="25.5">
      <c r="A54" s="404" t="s">
        <v>439</v>
      </c>
      <c r="B54" s="407" t="s">
        <v>512</v>
      </c>
      <c r="C54" s="408">
        <v>270</v>
      </c>
    </row>
    <row r="55" spans="1:3" ht="25.5">
      <c r="A55" s="404" t="s">
        <v>439</v>
      </c>
      <c r="B55" s="407" t="s">
        <v>904</v>
      </c>
      <c r="C55" s="408">
        <v>906</v>
      </c>
    </row>
    <row r="56" spans="1:3" ht="25.5">
      <c r="A56" s="404" t="s">
        <v>439</v>
      </c>
      <c r="B56" s="389" t="s">
        <v>903</v>
      </c>
      <c r="C56" s="139"/>
    </row>
  </sheetData>
  <mergeCells count="16">
    <mergeCell ref="A1:E1"/>
    <mergeCell ref="B40:E40"/>
    <mergeCell ref="B5:E5"/>
    <mergeCell ref="B10:E10"/>
    <mergeCell ref="B25:C25"/>
    <mergeCell ref="B30:C30"/>
    <mergeCell ref="B27:E28"/>
    <mergeCell ref="B7:E7"/>
    <mergeCell ref="B41:E41"/>
    <mergeCell ref="B51:C51"/>
    <mergeCell ref="B31:C31"/>
    <mergeCell ref="B33:C33"/>
    <mergeCell ref="B34:C34"/>
    <mergeCell ref="B37:C37"/>
    <mergeCell ref="B38:C38"/>
    <mergeCell ref="B39:C39"/>
  </mergeCells>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xl/worksheets/sheet9.xml><?xml version="1.0" encoding="utf-8"?>
<worksheet xmlns="http://schemas.openxmlformats.org/spreadsheetml/2006/main" xmlns:r="http://schemas.openxmlformats.org/officeDocument/2006/relationships">
  <dimension ref="A1:F158"/>
  <sheetViews>
    <sheetView zoomScaleNormal="100" workbookViewId="0">
      <selection activeCell="J96" sqref="J96"/>
    </sheetView>
  </sheetViews>
  <sheetFormatPr defaultRowHeight="12.75"/>
  <cols>
    <col min="1" max="1" width="4.7109375" style="390" customWidth="1"/>
    <col min="2" max="2" width="2.5703125" style="402" customWidth="1"/>
    <col min="3" max="3" width="41" style="402" customWidth="1"/>
    <col min="4" max="6" width="14.28515625" style="402" customWidth="1"/>
    <col min="7" max="16384" width="9.140625" style="402"/>
  </cols>
  <sheetData>
    <row r="1" spans="1:6" ht="18">
      <c r="A1" s="425" t="s">
        <v>440</v>
      </c>
      <c r="B1" s="425"/>
      <c r="C1" s="425"/>
      <c r="D1" s="425"/>
      <c r="E1" s="425"/>
      <c r="F1" s="425"/>
    </row>
    <row r="3" spans="1:6" ht="15.75">
      <c r="B3" s="549" t="s">
        <v>441</v>
      </c>
      <c r="C3" s="489"/>
      <c r="D3" s="489"/>
    </row>
    <row r="4" spans="1:6" ht="116.25" customHeight="1">
      <c r="A4" s="404"/>
      <c r="B4" s="483" t="s">
        <v>1033</v>
      </c>
      <c r="C4" s="427"/>
      <c r="D4" s="427"/>
      <c r="E4" s="427"/>
      <c r="F4" s="427"/>
    </row>
    <row r="5" spans="1:6">
      <c r="A5" s="404"/>
      <c r="B5" s="388"/>
      <c r="C5" s="385"/>
      <c r="D5" s="385"/>
      <c r="E5" s="385"/>
      <c r="F5" s="385"/>
    </row>
    <row r="6" spans="1:6" ht="25.5">
      <c r="A6" s="404" t="s">
        <v>378</v>
      </c>
      <c r="B6" s="604"/>
      <c r="C6" s="605"/>
      <c r="D6" s="605"/>
      <c r="E6" s="335" t="s">
        <v>1023</v>
      </c>
      <c r="F6" s="124" t="s">
        <v>1034</v>
      </c>
    </row>
    <row r="7" spans="1:6" ht="27" customHeight="1">
      <c r="A7" s="404" t="s">
        <v>378</v>
      </c>
      <c r="B7" s="487" t="s">
        <v>234</v>
      </c>
      <c r="C7" s="446"/>
      <c r="D7" s="446"/>
      <c r="E7" s="406" t="s">
        <v>1059</v>
      </c>
      <c r="F7" s="150"/>
    </row>
    <row r="8" spans="1:6">
      <c r="A8" s="404"/>
      <c r="B8" s="210"/>
      <c r="C8" s="392"/>
      <c r="D8" s="392"/>
      <c r="E8" s="211"/>
      <c r="F8" s="211"/>
    </row>
    <row r="9" spans="1:6">
      <c r="A9" s="404" t="s">
        <v>380</v>
      </c>
      <c r="B9" s="522" t="s">
        <v>217</v>
      </c>
      <c r="C9" s="522"/>
      <c r="D9" s="522"/>
      <c r="E9" s="522"/>
      <c r="F9" s="522"/>
    </row>
    <row r="10" spans="1:6">
      <c r="A10" s="404" t="s">
        <v>380</v>
      </c>
      <c r="B10" s="603" t="s">
        <v>218</v>
      </c>
      <c r="C10" s="603"/>
      <c r="D10" s="344" t="s">
        <v>1059</v>
      </c>
    </row>
    <row r="11" spans="1:6">
      <c r="A11" s="404" t="s">
        <v>380</v>
      </c>
      <c r="B11" s="473" t="s">
        <v>219</v>
      </c>
      <c r="C11" s="473"/>
      <c r="D11" s="343"/>
    </row>
    <row r="12" spans="1:6">
      <c r="A12" s="404" t="s">
        <v>380</v>
      </c>
      <c r="B12" s="473" t="s">
        <v>220</v>
      </c>
      <c r="C12" s="473"/>
      <c r="D12" s="343"/>
    </row>
    <row r="14" spans="1:6" ht="59.25">
      <c r="A14" s="404" t="s">
        <v>378</v>
      </c>
      <c r="B14" s="600"/>
      <c r="C14" s="601"/>
      <c r="D14" s="602"/>
      <c r="E14" s="403" t="s">
        <v>446</v>
      </c>
      <c r="F14" s="403" t="s">
        <v>447</v>
      </c>
    </row>
    <row r="15" spans="1:6" ht="15">
      <c r="A15" s="404" t="s">
        <v>378</v>
      </c>
      <c r="B15" s="597" t="s">
        <v>442</v>
      </c>
      <c r="C15" s="598"/>
      <c r="D15" s="598"/>
      <c r="E15" s="598"/>
      <c r="F15" s="599"/>
    </row>
    <row r="16" spans="1:6">
      <c r="A16" s="404" t="s">
        <v>378</v>
      </c>
      <c r="B16" s="498" t="s">
        <v>443</v>
      </c>
      <c r="C16" s="448"/>
      <c r="D16" s="449"/>
      <c r="E16" s="380">
        <v>24954612</v>
      </c>
      <c r="F16" s="380">
        <v>3038337</v>
      </c>
    </row>
    <row r="17" spans="1:6" ht="26.25" customHeight="1">
      <c r="A17" s="404" t="s">
        <v>378</v>
      </c>
      <c r="B17" s="498" t="s">
        <v>515</v>
      </c>
      <c r="C17" s="448"/>
      <c r="D17" s="449"/>
      <c r="E17" s="380">
        <v>11738817</v>
      </c>
      <c r="F17" s="380">
        <v>8874289</v>
      </c>
    </row>
    <row r="18" spans="1:6" ht="40.5" customHeight="1">
      <c r="A18" s="404" t="s">
        <v>378</v>
      </c>
      <c r="B18" s="573" t="s">
        <v>845</v>
      </c>
      <c r="C18" s="593"/>
      <c r="D18" s="574"/>
      <c r="E18" s="380">
        <v>4007379</v>
      </c>
      <c r="F18" s="380">
        <v>20826378</v>
      </c>
    </row>
    <row r="19" spans="1:6" ht="27.75" customHeight="1">
      <c r="A19" s="404" t="s">
        <v>378</v>
      </c>
      <c r="B19" s="498" t="s">
        <v>235</v>
      </c>
      <c r="C19" s="448"/>
      <c r="D19" s="449"/>
      <c r="E19" s="380">
        <v>152259</v>
      </c>
      <c r="F19" s="380">
        <v>4539631</v>
      </c>
    </row>
    <row r="20" spans="1:6">
      <c r="A20" s="404" t="s">
        <v>378</v>
      </c>
      <c r="B20" s="594" t="s">
        <v>563</v>
      </c>
      <c r="C20" s="595"/>
      <c r="D20" s="596"/>
      <c r="E20" s="140">
        <f>SUM(E16:E19)</f>
        <v>40853067</v>
      </c>
      <c r="F20" s="140">
        <f>SUM(F16:F19)</f>
        <v>37278635</v>
      </c>
    </row>
    <row r="21" spans="1:6" ht="15">
      <c r="A21" s="404" t="s">
        <v>378</v>
      </c>
      <c r="B21" s="597" t="s">
        <v>564</v>
      </c>
      <c r="C21" s="598"/>
      <c r="D21" s="598"/>
      <c r="E21" s="598"/>
      <c r="F21" s="599"/>
    </row>
    <row r="22" spans="1:6">
      <c r="A22" s="404" t="s">
        <v>378</v>
      </c>
      <c r="B22" s="498" t="s">
        <v>565</v>
      </c>
      <c r="C22" s="448"/>
      <c r="D22" s="449"/>
      <c r="E22" s="383">
        <v>42668746</v>
      </c>
      <c r="F22" s="383">
        <v>55922938</v>
      </c>
    </row>
    <row r="23" spans="1:6">
      <c r="A23" s="404" t="s">
        <v>378</v>
      </c>
      <c r="B23" s="498" t="s">
        <v>906</v>
      </c>
      <c r="C23" s="448"/>
      <c r="D23" s="449"/>
      <c r="E23" s="383">
        <v>2039913</v>
      </c>
      <c r="F23" s="399"/>
    </row>
    <row r="24" spans="1:6" ht="25.5" customHeight="1">
      <c r="A24" s="404" t="s">
        <v>378</v>
      </c>
      <c r="B24" s="498" t="s">
        <v>516</v>
      </c>
      <c r="C24" s="448"/>
      <c r="D24" s="449"/>
      <c r="E24" s="381">
        <v>545047</v>
      </c>
      <c r="F24" s="382">
        <v>8882509</v>
      </c>
    </row>
    <row r="25" spans="1:6">
      <c r="A25" s="404" t="s">
        <v>378</v>
      </c>
      <c r="B25" s="594" t="s">
        <v>566</v>
      </c>
      <c r="C25" s="595"/>
      <c r="D25" s="596"/>
      <c r="E25" s="140">
        <f>SUM(E22:E24)</f>
        <v>45253706</v>
      </c>
      <c r="F25" s="140">
        <f>SUM(F22,F24)</f>
        <v>64805447</v>
      </c>
    </row>
    <row r="26" spans="1:6" ht="15">
      <c r="A26" s="404" t="s">
        <v>378</v>
      </c>
      <c r="B26" s="597" t="s">
        <v>369</v>
      </c>
      <c r="C26" s="598"/>
      <c r="D26" s="598"/>
      <c r="E26" s="598"/>
      <c r="F26" s="599"/>
    </row>
    <row r="27" spans="1:6">
      <c r="A27" s="404" t="s">
        <v>378</v>
      </c>
      <c r="B27" s="447" t="s">
        <v>567</v>
      </c>
      <c r="C27" s="471"/>
      <c r="D27" s="472"/>
      <c r="E27" s="383">
        <v>0</v>
      </c>
      <c r="F27" s="383">
        <v>108823422</v>
      </c>
    </row>
    <row r="28" spans="1:6" ht="38.25" customHeight="1">
      <c r="A28" s="404" t="s">
        <v>378</v>
      </c>
      <c r="B28" s="447" t="s">
        <v>517</v>
      </c>
      <c r="C28" s="471"/>
      <c r="D28" s="472"/>
      <c r="E28" s="383">
        <v>0</v>
      </c>
      <c r="F28" s="383">
        <v>1595699</v>
      </c>
    </row>
    <row r="29" spans="1:6">
      <c r="A29" s="404" t="s">
        <v>378</v>
      </c>
      <c r="B29" s="447" t="s">
        <v>568</v>
      </c>
      <c r="C29" s="471"/>
      <c r="D29" s="472"/>
      <c r="E29" s="383">
        <v>0</v>
      </c>
      <c r="F29" s="383">
        <v>5615923</v>
      </c>
    </row>
    <row r="31" spans="1:6" ht="87" customHeight="1">
      <c r="A31" s="404" t="s">
        <v>379</v>
      </c>
      <c r="B31" s="558" t="s">
        <v>181</v>
      </c>
      <c r="C31" s="522"/>
      <c r="D31" s="522"/>
      <c r="E31" s="522"/>
      <c r="F31" s="522"/>
    </row>
    <row r="32" spans="1:6" ht="36">
      <c r="A32" s="404" t="s">
        <v>379</v>
      </c>
      <c r="B32" s="152"/>
      <c r="C32" s="153"/>
      <c r="D32" s="29" t="s">
        <v>569</v>
      </c>
      <c r="E32" s="29" t="s">
        <v>570</v>
      </c>
      <c r="F32" s="29" t="s">
        <v>571</v>
      </c>
    </row>
    <row r="33" spans="1:6" ht="36">
      <c r="A33" s="404" t="s">
        <v>379</v>
      </c>
      <c r="B33" s="141" t="s">
        <v>572</v>
      </c>
      <c r="C33" s="142" t="s">
        <v>1024</v>
      </c>
      <c r="D33" s="143">
        <v>3830</v>
      </c>
      <c r="E33" s="143">
        <v>16197</v>
      </c>
      <c r="F33" s="143">
        <v>946</v>
      </c>
    </row>
    <row r="34" spans="1:6" ht="24.75" customHeight="1">
      <c r="A34" s="404" t="s">
        <v>379</v>
      </c>
      <c r="B34" s="141" t="s">
        <v>575</v>
      </c>
      <c r="C34" s="142" t="s">
        <v>518</v>
      </c>
      <c r="D34" s="143">
        <v>3498</v>
      </c>
      <c r="E34" s="143">
        <v>13106</v>
      </c>
      <c r="F34" s="143">
        <v>580</v>
      </c>
    </row>
    <row r="35" spans="1:6" ht="24">
      <c r="A35" s="404" t="s">
        <v>379</v>
      </c>
      <c r="B35" s="141" t="s">
        <v>576</v>
      </c>
      <c r="C35" s="142" t="s">
        <v>577</v>
      </c>
      <c r="D35" s="143">
        <v>2694</v>
      </c>
      <c r="E35" s="143">
        <v>10449</v>
      </c>
      <c r="F35" s="143">
        <v>475</v>
      </c>
    </row>
    <row r="36" spans="1:6" ht="24">
      <c r="A36" s="404" t="s">
        <v>379</v>
      </c>
      <c r="B36" s="141" t="s">
        <v>578</v>
      </c>
      <c r="C36" s="142" t="s">
        <v>519</v>
      </c>
      <c r="D36" s="143">
        <v>2689</v>
      </c>
      <c r="E36" s="143">
        <v>10367</v>
      </c>
      <c r="F36" s="143">
        <v>454</v>
      </c>
    </row>
    <row r="37" spans="1:6" ht="24">
      <c r="A37" s="404" t="s">
        <v>379</v>
      </c>
      <c r="B37" s="141" t="s">
        <v>579</v>
      </c>
      <c r="C37" s="142" t="s">
        <v>277</v>
      </c>
      <c r="D37" s="143">
        <v>1596</v>
      </c>
      <c r="E37" s="143">
        <v>6059</v>
      </c>
      <c r="F37" s="143">
        <v>325</v>
      </c>
    </row>
    <row r="38" spans="1:6" ht="24">
      <c r="A38" s="404" t="s">
        <v>379</v>
      </c>
      <c r="B38" s="141" t="s">
        <v>580</v>
      </c>
      <c r="C38" s="142" t="s">
        <v>278</v>
      </c>
      <c r="D38" s="143">
        <v>2482</v>
      </c>
      <c r="E38" s="143">
        <v>9555</v>
      </c>
      <c r="F38" s="143">
        <v>389</v>
      </c>
    </row>
    <row r="39" spans="1:6" ht="24">
      <c r="A39" s="404" t="s">
        <v>379</v>
      </c>
      <c r="B39" s="141" t="s">
        <v>581</v>
      </c>
      <c r="C39" s="142" t="s">
        <v>279</v>
      </c>
      <c r="D39" s="143">
        <v>1436</v>
      </c>
      <c r="E39" s="143">
        <v>4143</v>
      </c>
      <c r="F39" s="143">
        <v>61</v>
      </c>
    </row>
    <row r="40" spans="1:6" ht="36">
      <c r="A40" s="404" t="s">
        <v>379</v>
      </c>
      <c r="B40" s="141" t="s">
        <v>582</v>
      </c>
      <c r="C40" s="142" t="s">
        <v>594</v>
      </c>
      <c r="D40" s="143">
        <v>487</v>
      </c>
      <c r="E40" s="143">
        <v>2153</v>
      </c>
      <c r="F40" s="143">
        <v>40</v>
      </c>
    </row>
    <row r="41" spans="1:6" ht="72">
      <c r="A41" s="404" t="s">
        <v>379</v>
      </c>
      <c r="B41" s="141" t="s">
        <v>583</v>
      </c>
      <c r="C41" s="142" t="s">
        <v>280</v>
      </c>
      <c r="D41" s="144">
        <v>0.5</v>
      </c>
      <c r="E41" s="144">
        <v>0.55700000000000005</v>
      </c>
      <c r="F41" s="144">
        <v>0.53500000000000003</v>
      </c>
    </row>
    <row r="42" spans="1:6" ht="48">
      <c r="A42" s="404" t="s">
        <v>379</v>
      </c>
      <c r="B42" s="141" t="s">
        <v>584</v>
      </c>
      <c r="C42" s="142" t="s">
        <v>962</v>
      </c>
      <c r="D42" s="145">
        <v>10592</v>
      </c>
      <c r="E42" s="145">
        <v>10653</v>
      </c>
      <c r="F42" s="145">
        <v>7614</v>
      </c>
    </row>
    <row r="43" spans="1:6" ht="24">
      <c r="A43" s="404" t="s">
        <v>379</v>
      </c>
      <c r="B43" s="146" t="s">
        <v>585</v>
      </c>
      <c r="C43" s="147" t="s">
        <v>281</v>
      </c>
      <c r="D43" s="145">
        <v>6401</v>
      </c>
      <c r="E43" s="145">
        <v>6370</v>
      </c>
      <c r="F43" s="145">
        <v>4153</v>
      </c>
    </row>
    <row r="44" spans="1:6" ht="36.75" customHeight="1">
      <c r="A44" s="404" t="s">
        <v>379</v>
      </c>
      <c r="B44" s="141" t="s">
        <v>586</v>
      </c>
      <c r="C44" s="142" t="s">
        <v>963</v>
      </c>
      <c r="D44" s="145">
        <v>3666</v>
      </c>
      <c r="E44" s="145">
        <v>4447</v>
      </c>
      <c r="F44" s="145">
        <v>4425</v>
      </c>
    </row>
    <row r="45" spans="1:6" ht="48">
      <c r="A45" s="404" t="s">
        <v>379</v>
      </c>
      <c r="B45" s="141" t="s">
        <v>587</v>
      </c>
      <c r="C45" s="142" t="s">
        <v>282</v>
      </c>
      <c r="D45" s="145">
        <v>3507</v>
      </c>
      <c r="E45" s="145">
        <v>4245</v>
      </c>
      <c r="F45" s="145">
        <v>4292</v>
      </c>
    </row>
    <row r="47" spans="1:6" ht="75" customHeight="1">
      <c r="A47" s="404" t="s">
        <v>593</v>
      </c>
      <c r="B47" s="607" t="s">
        <v>846</v>
      </c>
      <c r="C47" s="569"/>
      <c r="D47" s="569"/>
      <c r="E47" s="569"/>
      <c r="F47" s="569"/>
    </row>
    <row r="48" spans="1:6" ht="36">
      <c r="A48" s="404" t="s">
        <v>593</v>
      </c>
      <c r="B48" s="152"/>
      <c r="C48" s="153"/>
      <c r="D48" s="29" t="s">
        <v>569</v>
      </c>
      <c r="E48" s="29" t="s">
        <v>588</v>
      </c>
      <c r="F48" s="29" t="s">
        <v>589</v>
      </c>
    </row>
    <row r="49" spans="1:6" ht="49.5" customHeight="1">
      <c r="A49" s="404" t="s">
        <v>593</v>
      </c>
      <c r="B49" s="141" t="s">
        <v>590</v>
      </c>
      <c r="C49" s="142" t="s">
        <v>283</v>
      </c>
      <c r="D49" s="143">
        <v>435</v>
      </c>
      <c r="E49" s="143">
        <v>1528</v>
      </c>
      <c r="F49" s="143">
        <v>27</v>
      </c>
    </row>
    <row r="50" spans="1:6" ht="36">
      <c r="A50" s="404" t="s">
        <v>593</v>
      </c>
      <c r="B50" s="141" t="s">
        <v>591</v>
      </c>
      <c r="C50" s="142" t="s">
        <v>472</v>
      </c>
      <c r="D50" s="148">
        <v>6133</v>
      </c>
      <c r="E50" s="148">
        <v>6933</v>
      </c>
      <c r="F50" s="148">
        <v>5443</v>
      </c>
    </row>
    <row r="51" spans="1:6" ht="36">
      <c r="A51" s="404" t="s">
        <v>593</v>
      </c>
      <c r="B51" s="141" t="s">
        <v>592</v>
      </c>
      <c r="C51" s="142" t="s">
        <v>473</v>
      </c>
      <c r="D51" s="143">
        <v>53</v>
      </c>
      <c r="E51" s="143">
        <v>319</v>
      </c>
      <c r="F51" s="143">
        <v>5</v>
      </c>
    </row>
    <row r="52" spans="1:6" ht="36">
      <c r="A52" s="404" t="s">
        <v>593</v>
      </c>
      <c r="B52" s="141" t="s">
        <v>216</v>
      </c>
      <c r="C52" s="142" t="s">
        <v>474</v>
      </c>
      <c r="D52" s="148">
        <v>14204</v>
      </c>
      <c r="E52" s="148">
        <v>17384</v>
      </c>
      <c r="F52" s="148">
        <v>14140</v>
      </c>
    </row>
    <row r="53" spans="1:6">
      <c r="A53" s="402"/>
    </row>
    <row r="54" spans="1:6">
      <c r="A54" s="404" t="s">
        <v>380</v>
      </c>
      <c r="B54" s="223" t="s">
        <v>164</v>
      </c>
      <c r="C54" s="224"/>
      <c r="D54" s="225"/>
      <c r="E54" s="225"/>
      <c r="F54" s="225"/>
    </row>
    <row r="55" spans="1:6">
      <c r="A55" s="404"/>
      <c r="B55" s="223"/>
      <c r="C55" s="223"/>
      <c r="D55" s="225"/>
      <c r="E55" s="225"/>
      <c r="F55" s="225"/>
    </row>
    <row r="56" spans="1:6" ht="27" customHeight="1">
      <c r="A56" s="404"/>
      <c r="B56" s="223"/>
      <c r="C56" s="583" t="s">
        <v>449</v>
      </c>
      <c r="D56" s="584"/>
      <c r="E56" s="584"/>
      <c r="F56" s="584"/>
    </row>
    <row r="57" spans="1:6" ht="114.75">
      <c r="A57" s="404"/>
      <c r="B57" s="223"/>
      <c r="C57" s="398" t="s">
        <v>1101</v>
      </c>
      <c r="D57" s="225"/>
      <c r="E57" s="225"/>
      <c r="F57" s="225"/>
    </row>
    <row r="58" spans="1:6" ht="38.25">
      <c r="A58" s="404"/>
      <c r="B58" s="223"/>
      <c r="C58" s="398" t="s">
        <v>847</v>
      </c>
      <c r="D58" s="225"/>
      <c r="E58" s="225"/>
      <c r="F58" s="225"/>
    </row>
    <row r="59" spans="1:6">
      <c r="B59" s="384"/>
      <c r="C59" s="384"/>
      <c r="D59" s="384"/>
      <c r="E59" s="384"/>
      <c r="F59" s="384"/>
    </row>
    <row r="60" spans="1:6" ht="66" customHeight="1">
      <c r="A60" s="404" t="s">
        <v>381</v>
      </c>
      <c r="B60" s="606" t="s">
        <v>848</v>
      </c>
      <c r="C60" s="606"/>
      <c r="D60" s="606"/>
      <c r="E60" s="606"/>
      <c r="F60" s="154">
        <v>0.7</v>
      </c>
    </row>
    <row r="61" spans="1:6" ht="63" customHeight="1">
      <c r="A61" s="404" t="s">
        <v>849</v>
      </c>
      <c r="B61" s="585" t="s">
        <v>851</v>
      </c>
      <c r="C61" s="585"/>
      <c r="D61" s="585"/>
      <c r="E61" s="586"/>
      <c r="F61" s="154">
        <v>0.69</v>
      </c>
    </row>
    <row r="62" spans="1:6" ht="30" customHeight="1">
      <c r="A62" s="404" t="s">
        <v>382</v>
      </c>
      <c r="B62" s="606" t="s">
        <v>166</v>
      </c>
      <c r="C62" s="606"/>
      <c r="D62" s="606"/>
      <c r="E62" s="606"/>
      <c r="F62" s="155">
        <v>25667</v>
      </c>
    </row>
    <row r="63" spans="1:6" ht="64.5" customHeight="1">
      <c r="A63" s="404" t="s">
        <v>850</v>
      </c>
      <c r="B63" s="587" t="s">
        <v>167</v>
      </c>
      <c r="C63" s="587"/>
      <c r="D63" s="587"/>
      <c r="E63" s="588"/>
      <c r="F63" s="155">
        <v>21745</v>
      </c>
    </row>
    <row r="64" spans="1:6">
      <c r="A64" s="404"/>
      <c r="B64" s="386"/>
      <c r="C64" s="386"/>
      <c r="D64" s="386"/>
      <c r="E64" s="386"/>
    </row>
    <row r="65" spans="1:6" ht="27.75" customHeight="1">
      <c r="B65" s="608" t="s">
        <v>946</v>
      </c>
      <c r="C65" s="427"/>
      <c r="D65" s="427"/>
      <c r="E65" s="427"/>
      <c r="F65" s="427"/>
    </row>
    <row r="66" spans="1:6" ht="15.75">
      <c r="B66" s="401"/>
      <c r="C66" s="385"/>
      <c r="D66" s="385"/>
      <c r="E66" s="385"/>
      <c r="F66" s="385"/>
    </row>
    <row r="67" spans="1:6" ht="26.25" customHeight="1">
      <c r="A67" s="404" t="s">
        <v>383</v>
      </c>
      <c r="B67" s="522" t="s">
        <v>165</v>
      </c>
      <c r="C67" s="522"/>
      <c r="D67" s="522"/>
      <c r="E67" s="522"/>
      <c r="F67" s="522"/>
    </row>
    <row r="68" spans="1:6">
      <c r="A68" s="404" t="s">
        <v>383</v>
      </c>
      <c r="B68" s="473" t="s">
        <v>475</v>
      </c>
      <c r="C68" s="473"/>
      <c r="D68" s="473"/>
      <c r="E68" s="343"/>
    </row>
    <row r="69" spans="1:6">
      <c r="A69" s="404" t="s">
        <v>383</v>
      </c>
      <c r="B69" s="473" t="s">
        <v>476</v>
      </c>
      <c r="C69" s="473"/>
      <c r="D69" s="473"/>
      <c r="E69" s="343"/>
    </row>
    <row r="70" spans="1:6">
      <c r="A70" s="404" t="s">
        <v>383</v>
      </c>
      <c r="B70" s="473" t="s">
        <v>477</v>
      </c>
      <c r="C70" s="473"/>
      <c r="D70" s="473"/>
      <c r="E70" s="343" t="s">
        <v>1059</v>
      </c>
    </row>
    <row r="72" spans="1:6" ht="40.5" customHeight="1">
      <c r="A72" s="404" t="s">
        <v>383</v>
      </c>
      <c r="B72" s="446" t="s">
        <v>478</v>
      </c>
      <c r="C72" s="446"/>
      <c r="D72" s="446"/>
      <c r="E72" s="446"/>
      <c r="F72" s="379"/>
    </row>
    <row r="73" spans="1:6">
      <c r="B73" s="385"/>
      <c r="C73" s="53"/>
      <c r="D73" s="385"/>
      <c r="E73" s="385"/>
      <c r="F73" s="28"/>
    </row>
    <row r="74" spans="1:6" ht="25.5" customHeight="1">
      <c r="A74" s="404" t="s">
        <v>383</v>
      </c>
      <c r="B74" s="446" t="s">
        <v>479</v>
      </c>
      <c r="C74" s="446"/>
      <c r="D74" s="446"/>
      <c r="E74" s="446"/>
      <c r="F74" s="136"/>
    </row>
    <row r="75" spans="1:6">
      <c r="F75" s="156"/>
    </row>
    <row r="76" spans="1:6" ht="26.25" customHeight="1">
      <c r="A76" s="404" t="s">
        <v>383</v>
      </c>
      <c r="B76" s="446" t="s">
        <v>877</v>
      </c>
      <c r="C76" s="446"/>
      <c r="D76" s="446"/>
      <c r="E76" s="446"/>
      <c r="F76" s="136"/>
    </row>
    <row r="77" spans="1:6" ht="26.25" customHeight="1">
      <c r="A77" s="404"/>
      <c r="B77" s="392"/>
      <c r="C77" s="392"/>
      <c r="D77" s="392"/>
      <c r="E77" s="392"/>
      <c r="F77" s="137"/>
    </row>
    <row r="78" spans="1:6" ht="12.75" customHeight="1">
      <c r="A78" s="404" t="s">
        <v>384</v>
      </c>
      <c r="B78" s="522" t="s">
        <v>947</v>
      </c>
      <c r="C78" s="522"/>
      <c r="D78" s="522"/>
      <c r="E78" s="522"/>
      <c r="F78" s="522"/>
    </row>
    <row r="79" spans="1:6">
      <c r="A79" s="404" t="s">
        <v>384</v>
      </c>
      <c r="B79" s="590" t="s">
        <v>948</v>
      </c>
      <c r="C79" s="469"/>
      <c r="D79" s="470"/>
      <c r="E79" s="400"/>
    </row>
    <row r="80" spans="1:6">
      <c r="A80" s="404" t="s">
        <v>384</v>
      </c>
      <c r="B80" s="590" t="s">
        <v>224</v>
      </c>
      <c r="C80" s="469"/>
      <c r="D80" s="470"/>
      <c r="E80" s="400"/>
    </row>
    <row r="81" spans="1:6">
      <c r="A81" s="404" t="s">
        <v>384</v>
      </c>
      <c r="B81" s="591" t="s">
        <v>723</v>
      </c>
      <c r="C81" s="485"/>
      <c r="D81" s="442"/>
      <c r="E81" s="400"/>
    </row>
    <row r="82" spans="1:6">
      <c r="A82" s="404" t="s">
        <v>384</v>
      </c>
      <c r="B82" s="591" t="s">
        <v>724</v>
      </c>
      <c r="C82" s="485"/>
      <c r="D82" s="442"/>
      <c r="E82" s="400"/>
    </row>
    <row r="83" spans="1:6">
      <c r="A83" s="404" t="s">
        <v>384</v>
      </c>
      <c r="B83" s="576" t="s">
        <v>60</v>
      </c>
      <c r="C83" s="517"/>
      <c r="D83" s="577"/>
      <c r="E83" s="400"/>
    </row>
    <row r="84" spans="1:6">
      <c r="A84" s="404"/>
      <c r="B84" s="578"/>
      <c r="C84" s="428"/>
      <c r="D84" s="428"/>
      <c r="E84" s="66"/>
    </row>
    <row r="86" spans="1:6" ht="15.75">
      <c r="B86" s="34" t="s">
        <v>221</v>
      </c>
    </row>
    <row r="87" spans="1:6" ht="12.75" customHeight="1">
      <c r="B87" s="34"/>
    </row>
    <row r="88" spans="1:6">
      <c r="A88" s="404" t="s">
        <v>385</v>
      </c>
      <c r="B88" s="522" t="s">
        <v>878</v>
      </c>
      <c r="C88" s="522"/>
      <c r="D88" s="522"/>
      <c r="E88" s="522"/>
      <c r="F88" s="522"/>
    </row>
    <row r="89" spans="1:6">
      <c r="A89" s="404" t="s">
        <v>385</v>
      </c>
      <c r="B89" s="590" t="s">
        <v>222</v>
      </c>
      <c r="C89" s="469"/>
      <c r="D89" s="470"/>
      <c r="E89" s="362" t="s">
        <v>1059</v>
      </c>
    </row>
    <row r="90" spans="1:6">
      <c r="A90" s="404" t="s">
        <v>385</v>
      </c>
      <c r="B90" s="590" t="s">
        <v>223</v>
      </c>
      <c r="C90" s="469"/>
      <c r="D90" s="470"/>
      <c r="E90" s="400"/>
    </row>
    <row r="91" spans="1:6">
      <c r="A91" s="404" t="s">
        <v>385</v>
      </c>
      <c r="B91" s="590" t="s">
        <v>224</v>
      </c>
      <c r="C91" s="469"/>
      <c r="D91" s="470"/>
      <c r="E91" s="400"/>
    </row>
    <row r="92" spans="1:6">
      <c r="A92" s="404" t="s">
        <v>385</v>
      </c>
      <c r="B92" s="590" t="s">
        <v>225</v>
      </c>
      <c r="C92" s="469"/>
      <c r="D92" s="470"/>
      <c r="E92" s="400"/>
    </row>
    <row r="93" spans="1:6">
      <c r="A93" s="404" t="s">
        <v>385</v>
      </c>
      <c r="B93" s="591" t="s">
        <v>725</v>
      </c>
      <c r="C93" s="485"/>
      <c r="D93" s="442"/>
      <c r="E93" s="400"/>
    </row>
    <row r="94" spans="1:6">
      <c r="A94" s="404" t="s">
        <v>385</v>
      </c>
      <c r="B94" s="590" t="s">
        <v>226</v>
      </c>
      <c r="C94" s="469"/>
      <c r="D94" s="470"/>
      <c r="E94" s="400"/>
    </row>
    <row r="95" spans="1:6">
      <c r="A95" s="404" t="s">
        <v>385</v>
      </c>
      <c r="B95" s="576" t="s">
        <v>60</v>
      </c>
      <c r="C95" s="517"/>
      <c r="D95" s="577"/>
      <c r="E95" s="400"/>
    </row>
    <row r="96" spans="1:6">
      <c r="A96" s="404"/>
      <c r="B96" s="578"/>
      <c r="C96" s="428"/>
      <c r="D96" s="428"/>
      <c r="E96" s="66"/>
    </row>
    <row r="98" spans="1:6">
      <c r="A98" s="404" t="s">
        <v>386</v>
      </c>
      <c r="B98" s="552" t="s">
        <v>227</v>
      </c>
      <c r="C98" s="552"/>
      <c r="D98" s="552"/>
      <c r="E98" s="552"/>
      <c r="F98" s="552"/>
    </row>
    <row r="99" spans="1:6">
      <c r="A99" s="404" t="s">
        <v>386</v>
      </c>
      <c r="B99" s="473" t="s">
        <v>228</v>
      </c>
      <c r="C99" s="473"/>
      <c r="D99" s="473"/>
      <c r="E99" s="119">
        <v>40612</v>
      </c>
      <c r="F99" s="157"/>
    </row>
    <row r="100" spans="1:6">
      <c r="A100" s="404" t="s">
        <v>386</v>
      </c>
      <c r="B100" s="473" t="s">
        <v>229</v>
      </c>
      <c r="C100" s="473"/>
      <c r="D100" s="473"/>
      <c r="E100" s="119"/>
      <c r="F100" s="46"/>
    </row>
    <row r="101" spans="1:6" ht="27" customHeight="1">
      <c r="A101" s="404" t="s">
        <v>386</v>
      </c>
      <c r="B101" s="446" t="s">
        <v>230</v>
      </c>
      <c r="C101" s="446"/>
      <c r="D101" s="446"/>
      <c r="E101" s="343" t="s">
        <v>1059</v>
      </c>
      <c r="F101" s="46"/>
    </row>
    <row r="103" spans="1:6">
      <c r="A103" s="404" t="s">
        <v>387</v>
      </c>
      <c r="B103" s="522" t="s">
        <v>950</v>
      </c>
      <c r="C103" s="522"/>
      <c r="D103" s="522"/>
      <c r="E103" s="522"/>
      <c r="F103" s="522"/>
    </row>
    <row r="104" spans="1:6">
      <c r="A104" s="404" t="s">
        <v>387</v>
      </c>
      <c r="B104" s="393" t="s">
        <v>572</v>
      </c>
      <c r="C104" s="473" t="s">
        <v>949</v>
      </c>
      <c r="D104" s="473"/>
      <c r="E104" s="159"/>
      <c r="F104" s="158"/>
    </row>
    <row r="105" spans="1:6">
      <c r="A105" s="404" t="s">
        <v>387</v>
      </c>
      <c r="B105" s="493"/>
      <c r="C105" s="493"/>
      <c r="D105" s="160" t="s">
        <v>544</v>
      </c>
      <c r="E105" s="339" t="s">
        <v>545</v>
      </c>
      <c r="F105" s="158"/>
    </row>
    <row r="106" spans="1:6">
      <c r="A106" s="404" t="s">
        <v>387</v>
      </c>
      <c r="B106" s="161" t="s">
        <v>575</v>
      </c>
      <c r="C106" s="80" t="s">
        <v>951</v>
      </c>
      <c r="D106" s="343" t="s">
        <v>1059</v>
      </c>
      <c r="E106" s="343"/>
      <c r="F106" s="158"/>
    </row>
    <row r="107" spans="1:6">
      <c r="A107" s="404" t="s">
        <v>387</v>
      </c>
      <c r="B107" s="162"/>
      <c r="C107" s="80" t="s">
        <v>952</v>
      </c>
      <c r="D107" s="163">
        <v>40634</v>
      </c>
    </row>
    <row r="109" spans="1:6">
      <c r="A109" s="404" t="s">
        <v>388</v>
      </c>
      <c r="B109" s="552" t="s">
        <v>953</v>
      </c>
      <c r="C109" s="552"/>
    </row>
    <row r="110" spans="1:6">
      <c r="A110" s="404" t="s">
        <v>388</v>
      </c>
      <c r="B110" s="473" t="s">
        <v>954</v>
      </c>
      <c r="C110" s="473"/>
      <c r="D110" s="119"/>
    </row>
    <row r="111" spans="1:6">
      <c r="A111" s="404" t="s">
        <v>388</v>
      </c>
      <c r="B111" s="473" t="s">
        <v>955</v>
      </c>
      <c r="C111" s="473"/>
      <c r="D111" s="164"/>
    </row>
    <row r="113" spans="1:5" ht="15.75">
      <c r="B113" s="34" t="s">
        <v>106</v>
      </c>
    </row>
    <row r="114" spans="1:5" ht="12.75" customHeight="1">
      <c r="A114" s="396"/>
      <c r="B114" s="221" t="s">
        <v>879</v>
      </c>
      <c r="C114" s="200"/>
      <c r="D114" s="200"/>
      <c r="E114" s="200"/>
    </row>
    <row r="115" spans="1:5">
      <c r="A115" s="404" t="s">
        <v>389</v>
      </c>
      <c r="B115" s="609" t="s">
        <v>107</v>
      </c>
      <c r="C115" s="609"/>
    </row>
    <row r="116" spans="1:5">
      <c r="A116" s="404" t="s">
        <v>389</v>
      </c>
      <c r="B116" s="466" t="s">
        <v>108</v>
      </c>
      <c r="C116" s="466"/>
      <c r="D116" s="466"/>
    </row>
    <row r="117" spans="1:5">
      <c r="A117" s="404" t="s">
        <v>389</v>
      </c>
      <c r="B117" s="473" t="s">
        <v>109</v>
      </c>
      <c r="C117" s="473"/>
      <c r="D117" s="504"/>
      <c r="E117" s="343" t="s">
        <v>1059</v>
      </c>
    </row>
    <row r="118" spans="1:5">
      <c r="A118" s="404" t="s">
        <v>389</v>
      </c>
      <c r="B118" s="473" t="s">
        <v>110</v>
      </c>
      <c r="C118" s="473"/>
      <c r="D118" s="473"/>
      <c r="E118" s="343" t="s">
        <v>1059</v>
      </c>
    </row>
    <row r="119" spans="1:5">
      <c r="A119" s="404" t="s">
        <v>389</v>
      </c>
      <c r="B119" s="473" t="s">
        <v>111</v>
      </c>
      <c r="C119" s="473"/>
      <c r="D119" s="473"/>
      <c r="E119" s="343" t="s">
        <v>1059</v>
      </c>
    </row>
    <row r="121" spans="1:5">
      <c r="A121" s="404" t="s">
        <v>389</v>
      </c>
      <c r="B121" s="473" t="s">
        <v>112</v>
      </c>
      <c r="C121" s="473"/>
      <c r="D121" s="473"/>
      <c r="E121" s="343" t="s">
        <v>1059</v>
      </c>
    </row>
    <row r="122" spans="1:5">
      <c r="A122" s="404" t="s">
        <v>389</v>
      </c>
      <c r="B122" s="473" t="s">
        <v>811</v>
      </c>
      <c r="C122" s="473"/>
      <c r="D122" s="473"/>
      <c r="E122" s="343"/>
    </row>
    <row r="123" spans="1:5">
      <c r="A123" s="404" t="s">
        <v>389</v>
      </c>
      <c r="B123" s="473" t="s">
        <v>812</v>
      </c>
      <c r="C123" s="473"/>
      <c r="D123" s="473"/>
      <c r="E123" s="343"/>
    </row>
    <row r="124" spans="1:5">
      <c r="A124" s="404" t="s">
        <v>389</v>
      </c>
      <c r="B124" s="473" t="s">
        <v>813</v>
      </c>
      <c r="C124" s="473"/>
      <c r="D124" s="473"/>
      <c r="E124" s="343"/>
    </row>
    <row r="125" spans="1:5" ht="12.75" customHeight="1">
      <c r="A125" s="404" t="s">
        <v>389</v>
      </c>
      <c r="B125" s="576" t="s">
        <v>60</v>
      </c>
      <c r="C125" s="517"/>
      <c r="D125" s="577"/>
      <c r="E125" s="400"/>
    </row>
    <row r="126" spans="1:5">
      <c r="A126" s="404"/>
      <c r="B126" s="578"/>
      <c r="C126" s="428"/>
      <c r="D126" s="428"/>
      <c r="E126" s="66"/>
    </row>
    <row r="128" spans="1:5">
      <c r="A128" s="404" t="s">
        <v>390</v>
      </c>
      <c r="B128" s="552" t="s">
        <v>814</v>
      </c>
      <c r="C128" s="552"/>
    </row>
    <row r="129" spans="1:6">
      <c r="A129" s="404" t="s">
        <v>390</v>
      </c>
      <c r="B129" s="552" t="s">
        <v>956</v>
      </c>
      <c r="C129" s="489"/>
    </row>
    <row r="130" spans="1:6">
      <c r="A130" s="404" t="s">
        <v>390</v>
      </c>
      <c r="B130" s="473" t="s">
        <v>815</v>
      </c>
      <c r="C130" s="473"/>
      <c r="D130" s="473"/>
      <c r="E130" s="343" t="s">
        <v>1059</v>
      </c>
    </row>
    <row r="131" spans="1:6">
      <c r="A131" s="404" t="s">
        <v>390</v>
      </c>
      <c r="B131" s="473" t="s">
        <v>816</v>
      </c>
      <c r="C131" s="473"/>
      <c r="D131" s="473"/>
      <c r="E131" s="343" t="s">
        <v>1059</v>
      </c>
    </row>
    <row r="132" spans="1:6">
      <c r="A132" s="404" t="s">
        <v>390</v>
      </c>
      <c r="B132" s="473" t="s">
        <v>817</v>
      </c>
      <c r="C132" s="473"/>
      <c r="D132" s="473"/>
      <c r="E132" s="343" t="s">
        <v>1059</v>
      </c>
    </row>
    <row r="133" spans="1:6">
      <c r="A133" s="404" t="s">
        <v>390</v>
      </c>
      <c r="B133" s="473" t="s">
        <v>818</v>
      </c>
      <c r="C133" s="473"/>
      <c r="D133" s="473"/>
      <c r="E133" s="343" t="s">
        <v>1059</v>
      </c>
    </row>
    <row r="134" spans="1:6">
      <c r="A134" s="404" t="s">
        <v>390</v>
      </c>
      <c r="B134" s="473" t="s">
        <v>480</v>
      </c>
      <c r="C134" s="473"/>
      <c r="D134" s="473"/>
      <c r="E134" s="343" t="s">
        <v>1059</v>
      </c>
    </row>
    <row r="135" spans="1:6">
      <c r="A135" s="404" t="s">
        <v>390</v>
      </c>
      <c r="B135" s="473" t="s">
        <v>819</v>
      </c>
      <c r="C135" s="473"/>
      <c r="D135" s="473"/>
      <c r="E135" s="343"/>
    </row>
    <row r="136" spans="1:6">
      <c r="A136" s="404" t="s">
        <v>390</v>
      </c>
      <c r="B136" s="473" t="s">
        <v>820</v>
      </c>
      <c r="C136" s="473"/>
      <c r="D136" s="473"/>
      <c r="E136" s="343"/>
    </row>
    <row r="137" spans="1:6">
      <c r="A137" s="404" t="s">
        <v>390</v>
      </c>
      <c r="B137" s="576" t="s">
        <v>60</v>
      </c>
      <c r="C137" s="517"/>
      <c r="D137" s="577"/>
      <c r="E137" s="400"/>
    </row>
    <row r="138" spans="1:6">
      <c r="A138" s="404"/>
      <c r="B138" s="578"/>
      <c r="C138" s="428"/>
      <c r="D138" s="428"/>
      <c r="E138" s="66"/>
    </row>
    <row r="140" spans="1:6">
      <c r="A140" s="404" t="s">
        <v>391</v>
      </c>
      <c r="B140" s="552" t="s">
        <v>182</v>
      </c>
      <c r="C140" s="489"/>
      <c r="D140" s="489"/>
      <c r="E140" s="489"/>
      <c r="F140" s="489"/>
    </row>
    <row r="141" spans="1:6">
      <c r="A141" s="404" t="s">
        <v>391</v>
      </c>
      <c r="B141" s="589"/>
      <c r="C141" s="589"/>
      <c r="D141" s="166" t="s">
        <v>821</v>
      </c>
      <c r="E141" s="166" t="s">
        <v>822</v>
      </c>
    </row>
    <row r="142" spans="1:6">
      <c r="A142" s="404" t="s">
        <v>391</v>
      </c>
      <c r="B142" s="592" t="s">
        <v>823</v>
      </c>
      <c r="C142" s="592"/>
      <c r="D142" s="362" t="s">
        <v>1059</v>
      </c>
      <c r="E142" s="362" t="s">
        <v>1059</v>
      </c>
    </row>
    <row r="143" spans="1:6">
      <c r="A143" s="404" t="s">
        <v>391</v>
      </c>
      <c r="B143" s="592" t="s">
        <v>824</v>
      </c>
      <c r="C143" s="592"/>
      <c r="D143" s="362"/>
      <c r="E143" s="362" t="s">
        <v>1059</v>
      </c>
    </row>
    <row r="144" spans="1:6">
      <c r="A144" s="404" t="s">
        <v>391</v>
      </c>
      <c r="B144" s="592" t="s">
        <v>825</v>
      </c>
      <c r="C144" s="592"/>
      <c r="D144" s="362"/>
      <c r="E144" s="362" t="s">
        <v>1059</v>
      </c>
    </row>
    <row r="145" spans="1:5">
      <c r="A145" s="404" t="s">
        <v>391</v>
      </c>
      <c r="B145" s="592" t="s">
        <v>826</v>
      </c>
      <c r="C145" s="592"/>
      <c r="D145" s="362" t="s">
        <v>1059</v>
      </c>
      <c r="E145" s="362"/>
    </row>
    <row r="146" spans="1:5">
      <c r="A146" s="404" t="s">
        <v>391</v>
      </c>
      <c r="B146" s="592" t="s">
        <v>827</v>
      </c>
      <c r="C146" s="592"/>
      <c r="D146" s="362"/>
      <c r="E146" s="362"/>
    </row>
    <row r="147" spans="1:5">
      <c r="A147" s="404" t="s">
        <v>391</v>
      </c>
      <c r="B147" s="592" t="s">
        <v>828</v>
      </c>
      <c r="C147" s="592"/>
      <c r="D147" s="362" t="s">
        <v>1059</v>
      </c>
      <c r="E147" s="149"/>
    </row>
    <row r="148" spans="1:5">
      <c r="A148" s="404" t="s">
        <v>391</v>
      </c>
      <c r="B148" s="592" t="s">
        <v>829</v>
      </c>
      <c r="C148" s="592"/>
      <c r="D148" s="362" t="s">
        <v>1059</v>
      </c>
      <c r="E148" s="362" t="s">
        <v>1059</v>
      </c>
    </row>
    <row r="149" spans="1:5">
      <c r="A149" s="404" t="s">
        <v>391</v>
      </c>
      <c r="B149" s="592" t="s">
        <v>997</v>
      </c>
      <c r="C149" s="592"/>
      <c r="D149" s="362" t="s">
        <v>1059</v>
      </c>
      <c r="E149" s="362" t="s">
        <v>1059</v>
      </c>
    </row>
    <row r="150" spans="1:5">
      <c r="A150" s="404" t="s">
        <v>391</v>
      </c>
      <c r="B150" s="592" t="s">
        <v>830</v>
      </c>
      <c r="C150" s="592"/>
      <c r="D150" s="362" t="s">
        <v>1059</v>
      </c>
      <c r="E150" s="362" t="s">
        <v>1059</v>
      </c>
    </row>
    <row r="151" spans="1:5">
      <c r="A151" s="404" t="s">
        <v>391</v>
      </c>
      <c r="B151" s="592" t="s">
        <v>831</v>
      </c>
      <c r="C151" s="592"/>
      <c r="D151" s="362"/>
      <c r="E151" s="362"/>
    </row>
    <row r="152" spans="1:5">
      <c r="A152" s="404" t="s">
        <v>391</v>
      </c>
      <c r="B152" s="592" t="s">
        <v>832</v>
      </c>
      <c r="C152" s="592"/>
      <c r="D152" s="362" t="s">
        <v>1059</v>
      </c>
      <c r="E152" s="362" t="s">
        <v>1059</v>
      </c>
    </row>
    <row r="154" spans="1:5" ht="55.5" customHeight="1">
      <c r="A154" s="236" t="s">
        <v>643</v>
      </c>
      <c r="B154" s="581" t="s">
        <v>644</v>
      </c>
      <c r="C154" s="582"/>
      <c r="D154" s="582"/>
      <c r="E154" s="582"/>
    </row>
    <row r="155" spans="1:5">
      <c r="B155" s="559"/>
      <c r="C155" s="559"/>
      <c r="D155" s="559"/>
      <c r="E155" s="559"/>
    </row>
    <row r="156" spans="1:5">
      <c r="B156" s="559"/>
      <c r="C156" s="559"/>
      <c r="D156" s="559"/>
      <c r="E156" s="559"/>
    </row>
    <row r="157" spans="1:5">
      <c r="B157" s="559"/>
      <c r="C157" s="559"/>
      <c r="D157" s="559"/>
      <c r="E157" s="559"/>
    </row>
    <row r="158" spans="1:5">
      <c r="B158" s="559"/>
      <c r="C158" s="559"/>
      <c r="D158" s="559"/>
      <c r="E158" s="559"/>
    </row>
  </sheetData>
  <mergeCells count="103">
    <mergeCell ref="B80:D80"/>
    <mergeCell ref="B81:D81"/>
    <mergeCell ref="B70:D70"/>
    <mergeCell ref="B74:E74"/>
    <mergeCell ref="B78:F78"/>
    <mergeCell ref="B79:D79"/>
    <mergeCell ref="B128:C128"/>
    <mergeCell ref="B116:D116"/>
    <mergeCell ref="B129:C129"/>
    <mergeCell ref="B117:D117"/>
    <mergeCell ref="B118:D118"/>
    <mergeCell ref="B119:D119"/>
    <mergeCell ref="B125:D125"/>
    <mergeCell ref="B109:C109"/>
    <mergeCell ref="B126:D126"/>
    <mergeCell ref="B122:D122"/>
    <mergeCell ref="B123:D123"/>
    <mergeCell ref="B124:D124"/>
    <mergeCell ref="B121:D121"/>
    <mergeCell ref="B110:C110"/>
    <mergeCell ref="B111:C111"/>
    <mergeCell ref="B115:C115"/>
    <mergeCell ref="B144:C144"/>
    <mergeCell ref="B101:D101"/>
    <mergeCell ref="B103:F103"/>
    <mergeCell ref="B91:D91"/>
    <mergeCell ref="B84:D84"/>
    <mergeCell ref="B88:F88"/>
    <mergeCell ref="B82:D82"/>
    <mergeCell ref="B83:D83"/>
    <mergeCell ref="B105:C105"/>
    <mergeCell ref="C104:D104"/>
    <mergeCell ref="B89:D89"/>
    <mergeCell ref="B90:D90"/>
    <mergeCell ref="B136:D136"/>
    <mergeCell ref="B140:F140"/>
    <mergeCell ref="B137:D137"/>
    <mergeCell ref="B138:D138"/>
    <mergeCell ref="B130:D130"/>
    <mergeCell ref="B131:D131"/>
    <mergeCell ref="B132:D132"/>
    <mergeCell ref="B133:D133"/>
    <mergeCell ref="B134:D134"/>
    <mergeCell ref="B135:D135"/>
    <mergeCell ref="B29:D29"/>
    <mergeCell ref="B62:E62"/>
    <mergeCell ref="B67:F67"/>
    <mergeCell ref="B31:F31"/>
    <mergeCell ref="B47:F47"/>
    <mergeCell ref="B60:E60"/>
    <mergeCell ref="B65:F65"/>
    <mergeCell ref="B72:E72"/>
    <mergeCell ref="B76:E76"/>
    <mergeCell ref="B68:D68"/>
    <mergeCell ref="B69:D69"/>
    <mergeCell ref="B27:D27"/>
    <mergeCell ref="B28:D28"/>
    <mergeCell ref="B17:D17"/>
    <mergeCell ref="B18:D18"/>
    <mergeCell ref="B19:D19"/>
    <mergeCell ref="B20:D20"/>
    <mergeCell ref="B21:F21"/>
    <mergeCell ref="B22:D22"/>
    <mergeCell ref="A1:F1"/>
    <mergeCell ref="B14:D14"/>
    <mergeCell ref="B15:F15"/>
    <mergeCell ref="B16:D16"/>
    <mergeCell ref="B12:C12"/>
    <mergeCell ref="B9:F9"/>
    <mergeCell ref="B10:C10"/>
    <mergeCell ref="B11:C11"/>
    <mergeCell ref="B3:D3"/>
    <mergeCell ref="B4:F4"/>
    <mergeCell ref="B6:D6"/>
    <mergeCell ref="B7:D7"/>
    <mergeCell ref="B23:D23"/>
    <mergeCell ref="B24:D24"/>
    <mergeCell ref="B25:D25"/>
    <mergeCell ref="B26:F26"/>
    <mergeCell ref="B154:E154"/>
    <mergeCell ref="B155:E158"/>
    <mergeCell ref="C56:F56"/>
    <mergeCell ref="B61:E61"/>
    <mergeCell ref="B63:E63"/>
    <mergeCell ref="B141:C141"/>
    <mergeCell ref="B94:D94"/>
    <mergeCell ref="B95:D95"/>
    <mergeCell ref="B92:D92"/>
    <mergeCell ref="B93:D93"/>
    <mergeCell ref="B152:C152"/>
    <mergeCell ref="B146:C146"/>
    <mergeCell ref="B147:C147"/>
    <mergeCell ref="B148:C148"/>
    <mergeCell ref="B96:D96"/>
    <mergeCell ref="B98:F98"/>
    <mergeCell ref="B145:C145"/>
    <mergeCell ref="B150:C150"/>
    <mergeCell ref="B151:C151"/>
    <mergeCell ref="B99:D99"/>
    <mergeCell ref="B100:D100"/>
    <mergeCell ref="B149:C149"/>
    <mergeCell ref="B142:C142"/>
    <mergeCell ref="B143:C143"/>
  </mergeCells>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xl/worksheets/sheet10.xml><?xml version="1.0" encoding="utf-8"?>
<worksheet xmlns="http://schemas.openxmlformats.org/spreadsheetml/2006/main" xmlns:r="http://schemas.openxmlformats.org/officeDocument/2006/relationships">
  <dimension ref="A1:Q51"/>
  <sheetViews>
    <sheetView tabSelected="1" topLeftCell="A43" zoomScaleNormal="100" workbookViewId="0">
      <selection activeCell="L27" sqref="L27"/>
    </sheetView>
  </sheetViews>
  <sheetFormatPr defaultRowHeight="12.75"/>
  <cols>
    <col min="1" max="2" width="3.85546875" customWidth="1"/>
    <col min="3" max="3" width="10.7109375" customWidth="1"/>
    <col min="4" max="11" width="9" customWidth="1"/>
  </cols>
  <sheetData>
    <row r="1" spans="1:17" ht="18">
      <c r="A1" s="425" t="s">
        <v>183</v>
      </c>
      <c r="B1" s="425"/>
      <c r="C1" s="425"/>
      <c r="D1" s="425"/>
      <c r="E1" s="425"/>
      <c r="F1" s="425"/>
      <c r="G1" s="425"/>
      <c r="H1" s="425"/>
      <c r="I1" s="425"/>
      <c r="J1" s="425"/>
      <c r="K1" s="425"/>
    </row>
    <row r="3" spans="1:17" ht="38.25" customHeight="1">
      <c r="A3" s="3" t="s">
        <v>212</v>
      </c>
      <c r="B3" s="618" t="s">
        <v>1025</v>
      </c>
      <c r="C3" s="619"/>
      <c r="D3" s="619"/>
      <c r="E3" s="619"/>
      <c r="F3" s="619"/>
      <c r="G3" s="619"/>
      <c r="H3" s="619"/>
      <c r="I3" s="619"/>
      <c r="J3" s="619"/>
      <c r="K3" s="619"/>
    </row>
    <row r="4" spans="1:17" ht="66" customHeight="1">
      <c r="B4" s="611" t="s">
        <v>852</v>
      </c>
      <c r="C4" s="611"/>
      <c r="D4" s="611"/>
      <c r="E4" s="611"/>
      <c r="F4" s="611"/>
      <c r="G4" s="611"/>
      <c r="H4" s="611"/>
      <c r="I4" s="611"/>
      <c r="J4" s="611"/>
      <c r="K4" s="611"/>
    </row>
    <row r="5" spans="1:17" s="249" customFormat="1">
      <c r="B5" s="250"/>
      <c r="C5" s="251"/>
      <c r="D5" s="248"/>
      <c r="E5" s="248"/>
      <c r="F5" s="248"/>
      <c r="G5" s="248"/>
      <c r="H5" s="248"/>
      <c r="I5" s="252"/>
      <c r="J5" s="250" t="s">
        <v>914</v>
      </c>
      <c r="K5" s="250" t="s">
        <v>915</v>
      </c>
    </row>
    <row r="6" spans="1:17" s="246" customFormat="1" ht="55.5" customHeight="1">
      <c r="B6" s="247"/>
      <c r="C6" s="611" t="s">
        <v>907</v>
      </c>
      <c r="D6" s="611"/>
      <c r="E6" s="611"/>
      <c r="F6" s="611"/>
      <c r="G6" s="611"/>
      <c r="H6" s="611"/>
      <c r="I6" s="611"/>
      <c r="J6" s="253" t="s">
        <v>916</v>
      </c>
      <c r="K6" s="253" t="s">
        <v>917</v>
      </c>
    </row>
    <row r="7" spans="1:17" s="246" customFormat="1" ht="46.5" customHeight="1">
      <c r="B7" s="247"/>
      <c r="C7" s="611" t="s">
        <v>908</v>
      </c>
      <c r="D7" s="611"/>
      <c r="E7" s="611"/>
      <c r="F7" s="611"/>
      <c r="G7" s="611"/>
      <c r="H7" s="611"/>
      <c r="I7" s="611"/>
      <c r="J7" s="253" t="s">
        <v>916</v>
      </c>
      <c r="K7" s="253" t="s">
        <v>506</v>
      </c>
    </row>
    <row r="8" spans="1:17" s="246" customFormat="1" ht="24.75" customHeight="1">
      <c r="B8" s="247"/>
      <c r="C8" s="611" t="s">
        <v>909</v>
      </c>
      <c r="D8" s="611"/>
      <c r="E8" s="611"/>
      <c r="F8" s="611"/>
      <c r="G8" s="611"/>
      <c r="H8" s="611"/>
      <c r="I8" s="611"/>
      <c r="J8" s="253" t="s">
        <v>916</v>
      </c>
      <c r="K8" s="253" t="s">
        <v>918</v>
      </c>
    </row>
    <row r="9" spans="1:17" s="246" customFormat="1" ht="25.5" customHeight="1">
      <c r="B9" s="247"/>
      <c r="C9" s="611" t="s">
        <v>910</v>
      </c>
      <c r="D9" s="611"/>
      <c r="E9" s="611"/>
      <c r="F9" s="611"/>
      <c r="G9" s="611"/>
      <c r="H9" s="611"/>
      <c r="I9" s="611"/>
      <c r="J9" s="253" t="s">
        <v>916</v>
      </c>
      <c r="K9" s="253" t="s">
        <v>916</v>
      </c>
    </row>
    <row r="10" spans="1:17" s="246" customFormat="1">
      <c r="B10" s="247"/>
      <c r="C10" s="611" t="s">
        <v>911</v>
      </c>
      <c r="D10" s="611"/>
      <c r="E10" s="611"/>
      <c r="F10" s="611"/>
      <c r="G10" s="611"/>
      <c r="H10" s="611"/>
      <c r="I10" s="611"/>
      <c r="J10" s="253" t="s">
        <v>918</v>
      </c>
      <c r="K10" s="253" t="s">
        <v>916</v>
      </c>
    </row>
    <row r="11" spans="1:17" s="246" customFormat="1">
      <c r="B11" s="247"/>
      <c r="C11" s="611" t="s">
        <v>912</v>
      </c>
      <c r="D11" s="611"/>
      <c r="E11" s="611"/>
      <c r="F11" s="611"/>
      <c r="G11" s="611"/>
      <c r="H11" s="611"/>
      <c r="I11" s="611"/>
      <c r="J11" s="253" t="s">
        <v>916</v>
      </c>
      <c r="K11" s="253" t="s">
        <v>916</v>
      </c>
    </row>
    <row r="12" spans="1:17" s="246" customFormat="1">
      <c r="B12" s="247"/>
      <c r="C12" s="611" t="s">
        <v>913</v>
      </c>
      <c r="D12" s="611"/>
      <c r="E12" s="611"/>
      <c r="F12" s="611"/>
      <c r="G12" s="611"/>
      <c r="H12" s="611"/>
      <c r="I12" s="611"/>
      <c r="J12" s="253" t="s">
        <v>916</v>
      </c>
      <c r="K12" s="253" t="s">
        <v>918</v>
      </c>
    </row>
    <row r="13" spans="1:17" ht="12.75" customHeight="1">
      <c r="B13" s="171"/>
      <c r="C13" s="171"/>
      <c r="D13" s="171"/>
      <c r="E13" s="171"/>
      <c r="F13" s="171"/>
      <c r="G13" s="171"/>
      <c r="H13" s="171"/>
      <c r="I13" s="171"/>
      <c r="J13" s="171"/>
      <c r="K13" s="171"/>
      <c r="Q13" s="311"/>
    </row>
    <row r="14" spans="1:17" s="254" customFormat="1" ht="25.5" customHeight="1">
      <c r="B14" s="612" t="s">
        <v>919</v>
      </c>
      <c r="C14" s="613"/>
      <c r="D14" s="613"/>
      <c r="E14" s="613"/>
      <c r="F14" s="613"/>
      <c r="G14" s="613"/>
      <c r="H14" s="613"/>
      <c r="I14" s="613"/>
      <c r="J14" s="613"/>
      <c r="K14" s="613"/>
    </row>
    <row r="15" spans="1:17" s="254" customFormat="1" ht="49.5" customHeight="1">
      <c r="B15" s="612" t="s">
        <v>920</v>
      </c>
      <c r="C15" s="613"/>
      <c r="D15" s="613"/>
      <c r="E15" s="613"/>
      <c r="F15" s="613"/>
      <c r="G15" s="613"/>
      <c r="H15" s="613"/>
      <c r="I15" s="613"/>
      <c r="J15" s="613"/>
      <c r="K15" s="613"/>
    </row>
    <row r="16" spans="1:17" ht="25.5" customHeight="1">
      <c r="B16" s="612" t="s">
        <v>872</v>
      </c>
      <c r="C16" s="612"/>
      <c r="D16" s="612"/>
      <c r="E16" s="612"/>
      <c r="F16" s="612"/>
      <c r="G16" s="612"/>
      <c r="H16" s="612"/>
      <c r="I16" s="612"/>
      <c r="J16" s="612"/>
      <c r="K16" s="612"/>
    </row>
    <row r="17" spans="1:11" ht="64.5" customHeight="1">
      <c r="B17" s="612" t="s">
        <v>168</v>
      </c>
      <c r="C17" s="613"/>
      <c r="D17" s="613"/>
      <c r="E17" s="613"/>
      <c r="F17" s="613"/>
      <c r="G17" s="613"/>
      <c r="H17" s="613"/>
      <c r="I17" s="613"/>
      <c r="J17" s="613"/>
      <c r="K17" s="613"/>
    </row>
    <row r="18" spans="1:11" ht="12.75" customHeight="1">
      <c r="B18" s="614" t="s">
        <v>802</v>
      </c>
      <c r="C18" s="615"/>
      <c r="D18" s="615"/>
      <c r="E18" s="615"/>
      <c r="F18" s="615"/>
      <c r="G18" s="615"/>
      <c r="H18" s="615"/>
      <c r="I18" s="615"/>
      <c r="J18" s="615"/>
      <c r="K18" s="615"/>
    </row>
    <row r="19" spans="1:11" ht="12.75" customHeight="1">
      <c r="B19" s="615"/>
      <c r="C19" s="615"/>
      <c r="D19" s="615"/>
      <c r="E19" s="615"/>
      <c r="F19" s="615"/>
      <c r="G19" s="615"/>
      <c r="H19" s="615"/>
      <c r="I19" s="615"/>
      <c r="J19" s="615"/>
      <c r="K19" s="615"/>
    </row>
    <row r="20" spans="1:11">
      <c r="C20" s="151"/>
      <c r="D20" s="151"/>
      <c r="E20" s="151"/>
      <c r="F20" s="151"/>
      <c r="G20" s="151"/>
      <c r="H20" s="151"/>
      <c r="I20" s="151"/>
      <c r="J20" s="151"/>
      <c r="K20" s="151"/>
    </row>
    <row r="21" spans="1:11">
      <c r="A21" s="3" t="s">
        <v>212</v>
      </c>
      <c r="B21" s="600"/>
      <c r="C21" s="601"/>
      <c r="D21" s="601"/>
      <c r="E21" s="601"/>
      <c r="F21" s="601"/>
      <c r="G21" s="601"/>
      <c r="H21" s="602"/>
      <c r="I21" s="166" t="s">
        <v>184</v>
      </c>
      <c r="J21" s="166" t="s">
        <v>185</v>
      </c>
      <c r="K21" s="166" t="s">
        <v>294</v>
      </c>
    </row>
    <row r="22" spans="1:11">
      <c r="A22" s="3" t="s">
        <v>212</v>
      </c>
      <c r="B22" s="167" t="s">
        <v>186</v>
      </c>
      <c r="C22" s="448" t="s">
        <v>187</v>
      </c>
      <c r="D22" s="448"/>
      <c r="E22" s="448"/>
      <c r="F22" s="448"/>
      <c r="G22" s="448"/>
      <c r="H22" s="449"/>
      <c r="I22" s="100">
        <v>938</v>
      </c>
      <c r="J22" s="100">
        <v>207</v>
      </c>
      <c r="K22" s="100">
        <f>SUM(I22:J22)</f>
        <v>1145</v>
      </c>
    </row>
    <row r="23" spans="1:11">
      <c r="A23" s="3" t="s">
        <v>212</v>
      </c>
      <c r="B23" s="167" t="s">
        <v>188</v>
      </c>
      <c r="C23" s="448" t="s">
        <v>189</v>
      </c>
      <c r="D23" s="448"/>
      <c r="E23" s="448"/>
      <c r="F23" s="448"/>
      <c r="G23" s="448"/>
      <c r="H23" s="449"/>
      <c r="I23" s="100">
        <v>95</v>
      </c>
      <c r="J23" s="100">
        <v>7</v>
      </c>
      <c r="K23" s="100">
        <f t="shared" ref="K23:K31" si="0">SUM(I23:J23)</f>
        <v>102</v>
      </c>
    </row>
    <row r="24" spans="1:11">
      <c r="A24" s="3" t="s">
        <v>212</v>
      </c>
      <c r="B24" s="167" t="s">
        <v>190</v>
      </c>
      <c r="C24" s="448" t="s">
        <v>191</v>
      </c>
      <c r="D24" s="448"/>
      <c r="E24" s="448"/>
      <c r="F24" s="448"/>
      <c r="G24" s="448"/>
      <c r="H24" s="449"/>
      <c r="I24" s="100">
        <v>423</v>
      </c>
      <c r="J24" s="100">
        <v>117</v>
      </c>
      <c r="K24" s="100">
        <f t="shared" si="0"/>
        <v>540</v>
      </c>
    </row>
    <row r="25" spans="1:11">
      <c r="A25" s="3" t="s">
        <v>212</v>
      </c>
      <c r="B25" s="167" t="s">
        <v>192</v>
      </c>
      <c r="C25" s="448" t="s">
        <v>193</v>
      </c>
      <c r="D25" s="448"/>
      <c r="E25" s="448"/>
      <c r="F25" s="448"/>
      <c r="G25" s="448"/>
      <c r="H25" s="449"/>
      <c r="I25" s="100">
        <v>515</v>
      </c>
      <c r="J25" s="100">
        <v>90</v>
      </c>
      <c r="K25" s="100">
        <f t="shared" si="0"/>
        <v>605</v>
      </c>
    </row>
    <row r="26" spans="1:11" ht="14.25" customHeight="1">
      <c r="A26" s="3" t="s">
        <v>212</v>
      </c>
      <c r="B26" s="167" t="s">
        <v>194</v>
      </c>
      <c r="C26" s="448" t="s">
        <v>195</v>
      </c>
      <c r="D26" s="448"/>
      <c r="E26" s="448"/>
      <c r="F26" s="448"/>
      <c r="G26" s="448"/>
      <c r="H26" s="449"/>
      <c r="I26" s="100"/>
      <c r="J26" s="100"/>
      <c r="K26" s="100"/>
    </row>
    <row r="27" spans="1:11" ht="25.5" customHeight="1">
      <c r="A27" s="3" t="s">
        <v>212</v>
      </c>
      <c r="B27" s="168" t="s">
        <v>196</v>
      </c>
      <c r="C27" s="593" t="s">
        <v>169</v>
      </c>
      <c r="D27" s="593"/>
      <c r="E27" s="593"/>
      <c r="F27" s="593"/>
      <c r="G27" s="593"/>
      <c r="H27" s="574"/>
      <c r="I27" s="625">
        <v>705</v>
      </c>
      <c r="J27" s="100">
        <v>61</v>
      </c>
      <c r="K27" s="100">
        <f t="shared" si="0"/>
        <v>766</v>
      </c>
    </row>
    <row r="28" spans="1:11" ht="26.25" customHeight="1">
      <c r="A28" s="3" t="s">
        <v>212</v>
      </c>
      <c r="B28" s="168" t="s">
        <v>197</v>
      </c>
      <c r="C28" s="448" t="s">
        <v>198</v>
      </c>
      <c r="D28" s="448"/>
      <c r="E28" s="448"/>
      <c r="F28" s="448"/>
      <c r="G28" s="448"/>
      <c r="H28" s="449"/>
      <c r="I28" s="625">
        <v>216</v>
      </c>
      <c r="J28" s="100">
        <v>116</v>
      </c>
      <c r="K28" s="100">
        <f t="shared" si="0"/>
        <v>332</v>
      </c>
    </row>
    <row r="29" spans="1:11">
      <c r="A29" s="3" t="s">
        <v>212</v>
      </c>
      <c r="B29" s="167" t="s">
        <v>199</v>
      </c>
      <c r="C29" s="448" t="s">
        <v>200</v>
      </c>
      <c r="D29" s="448"/>
      <c r="E29" s="448"/>
      <c r="F29" s="448"/>
      <c r="G29" s="448"/>
      <c r="H29" s="449"/>
      <c r="I29" s="625">
        <v>12</v>
      </c>
      <c r="J29" s="100">
        <v>18</v>
      </c>
      <c r="K29" s="100">
        <f t="shared" si="0"/>
        <v>30</v>
      </c>
    </row>
    <row r="30" spans="1:11" ht="25.5" customHeight="1">
      <c r="A30" s="3" t="s">
        <v>212</v>
      </c>
      <c r="B30" s="167" t="s">
        <v>201</v>
      </c>
      <c r="C30" s="448" t="s">
        <v>438</v>
      </c>
      <c r="D30" s="448"/>
      <c r="E30" s="448"/>
      <c r="F30" s="448"/>
      <c r="G30" s="448"/>
      <c r="H30" s="449"/>
      <c r="I30" s="625">
        <v>3</v>
      </c>
      <c r="J30" s="100">
        <v>12</v>
      </c>
      <c r="K30" s="100">
        <f t="shared" si="0"/>
        <v>15</v>
      </c>
    </row>
    <row r="31" spans="1:11" ht="25.5" customHeight="1">
      <c r="A31" s="3" t="s">
        <v>212</v>
      </c>
      <c r="B31" s="233" t="s">
        <v>231</v>
      </c>
      <c r="C31" s="486" t="s">
        <v>921</v>
      </c>
      <c r="D31" s="486"/>
      <c r="E31" s="486"/>
      <c r="F31" s="486"/>
      <c r="G31" s="486"/>
      <c r="H31" s="486"/>
      <c r="I31" s="625">
        <v>7</v>
      </c>
      <c r="J31" s="100">
        <v>11</v>
      </c>
      <c r="K31" s="100">
        <f t="shared" si="0"/>
        <v>18</v>
      </c>
    </row>
    <row r="33" spans="1:11">
      <c r="A33" s="3" t="s">
        <v>213</v>
      </c>
      <c r="B33" s="620" t="s">
        <v>215</v>
      </c>
      <c r="C33" s="489"/>
      <c r="D33" s="489"/>
      <c r="E33" s="489"/>
      <c r="F33" s="489"/>
      <c r="G33" s="489"/>
      <c r="H33" s="489"/>
      <c r="I33" s="489"/>
      <c r="J33" s="489"/>
      <c r="K33" s="489"/>
    </row>
    <row r="34" spans="1:11" ht="64.5" customHeight="1">
      <c r="B34" s="427" t="s">
        <v>1026</v>
      </c>
      <c r="C34" s="427"/>
      <c r="D34" s="427"/>
      <c r="E34" s="427"/>
      <c r="F34" s="427"/>
      <c r="G34" s="427"/>
      <c r="H34" s="427"/>
      <c r="I34" s="427"/>
      <c r="J34" s="427"/>
      <c r="K34" s="427"/>
    </row>
    <row r="35" spans="1:11">
      <c r="B35" s="7"/>
      <c r="C35" s="7"/>
      <c r="D35" s="7"/>
      <c r="E35" s="7"/>
      <c r="F35" s="7"/>
      <c r="G35" s="7"/>
      <c r="H35" s="7"/>
      <c r="I35" s="7"/>
      <c r="J35" s="7"/>
      <c r="K35" s="7"/>
    </row>
    <row r="36" spans="1:11" s="221" customFormat="1">
      <c r="A36" s="89" t="s">
        <v>213</v>
      </c>
      <c r="B36" s="621" t="s">
        <v>1027</v>
      </c>
      <c r="C36" s="621"/>
      <c r="D36" s="621"/>
      <c r="E36" s="621"/>
      <c r="F36" s="621"/>
      <c r="G36" s="234">
        <v>18.350000000000001</v>
      </c>
      <c r="H36" s="235" t="s">
        <v>232</v>
      </c>
      <c r="I36" s="255" t="s">
        <v>922</v>
      </c>
      <c r="J36" s="256">
        <v>18482</v>
      </c>
      <c r="K36" s="255" t="s">
        <v>923</v>
      </c>
    </row>
    <row r="37" spans="1:11" s="221" customFormat="1">
      <c r="I37" s="257" t="s">
        <v>924</v>
      </c>
      <c r="J37" s="256">
        <v>1007</v>
      </c>
      <c r="K37" s="255" t="s">
        <v>233</v>
      </c>
    </row>
    <row r="38" spans="1:11" ht="16.5" customHeight="1">
      <c r="A38" s="3" t="s">
        <v>214</v>
      </c>
      <c r="B38" s="620" t="s">
        <v>202</v>
      </c>
      <c r="C38" s="489"/>
      <c r="D38" s="489"/>
      <c r="E38" s="489"/>
      <c r="F38" s="489"/>
      <c r="G38" s="489"/>
      <c r="H38" s="489"/>
      <c r="I38" s="489"/>
      <c r="J38" s="489"/>
      <c r="K38" s="489"/>
    </row>
    <row r="39" spans="1:11" ht="27" customHeight="1">
      <c r="A39" s="3"/>
      <c r="B39" s="522" t="s">
        <v>1028</v>
      </c>
      <c r="C39" s="427"/>
      <c r="D39" s="427"/>
      <c r="E39" s="427"/>
      <c r="F39" s="427"/>
      <c r="G39" s="427"/>
      <c r="H39" s="427"/>
      <c r="I39" s="427"/>
      <c r="J39" s="427"/>
      <c r="K39" s="427"/>
    </row>
    <row r="40" spans="1:11" ht="115.5" customHeight="1">
      <c r="A40" s="3"/>
      <c r="B40" s="610" t="s">
        <v>833</v>
      </c>
      <c r="C40" s="427"/>
      <c r="D40" s="427"/>
      <c r="E40" s="427"/>
      <c r="F40" s="427"/>
      <c r="G40" s="427"/>
      <c r="H40" s="427"/>
      <c r="I40" s="427"/>
      <c r="J40" s="427"/>
      <c r="K40" s="427"/>
    </row>
    <row r="41" spans="1:11" ht="93" customHeight="1">
      <c r="A41" s="3"/>
      <c r="B41" s="610" t="s">
        <v>834</v>
      </c>
      <c r="C41" s="522"/>
      <c r="D41" s="522"/>
      <c r="E41" s="522"/>
      <c r="F41" s="522"/>
      <c r="G41" s="522"/>
      <c r="H41" s="522"/>
      <c r="I41" s="522"/>
      <c r="J41" s="522"/>
      <c r="K41" s="522"/>
    </row>
    <row r="42" spans="1:11" ht="68.25" customHeight="1">
      <c r="A42" s="3"/>
      <c r="B42" s="522" t="s">
        <v>1029</v>
      </c>
      <c r="C42" s="427"/>
      <c r="D42" s="427"/>
      <c r="E42" s="427"/>
      <c r="F42" s="427"/>
      <c r="G42" s="427"/>
      <c r="H42" s="427"/>
      <c r="I42" s="427"/>
      <c r="J42" s="427"/>
      <c r="K42" s="427"/>
    </row>
    <row r="43" spans="1:11">
      <c r="A43" s="3"/>
      <c r="B43" s="170"/>
      <c r="C43" s="170"/>
      <c r="D43" s="170"/>
      <c r="E43" s="170"/>
      <c r="F43" s="170"/>
      <c r="G43" s="170"/>
      <c r="H43" s="170"/>
      <c r="I43" s="170"/>
      <c r="J43" s="170"/>
      <c r="K43" s="170"/>
    </row>
    <row r="44" spans="1:11">
      <c r="A44" s="3" t="s">
        <v>214</v>
      </c>
      <c r="B44" s="622" t="s">
        <v>469</v>
      </c>
      <c r="C44" s="500"/>
      <c r="D44" s="500"/>
      <c r="E44" s="500"/>
      <c r="F44" s="500"/>
      <c r="G44" s="500"/>
      <c r="H44" s="500"/>
      <c r="I44" s="500"/>
      <c r="J44" s="500"/>
      <c r="K44" s="500"/>
    </row>
    <row r="46" spans="1:11">
      <c r="A46" s="3" t="s">
        <v>214</v>
      </c>
      <c r="B46" s="623" t="s">
        <v>470</v>
      </c>
      <c r="C46" s="623"/>
      <c r="D46" s="623"/>
      <c r="E46" s="623"/>
      <c r="F46" s="623"/>
      <c r="G46" s="623"/>
      <c r="H46" s="623"/>
      <c r="I46" s="623"/>
      <c r="J46" s="623"/>
      <c r="K46" s="623"/>
    </row>
    <row r="47" spans="1:11">
      <c r="A47" s="3" t="s">
        <v>214</v>
      </c>
      <c r="B47" s="617" t="s">
        <v>203</v>
      </c>
      <c r="C47" s="617"/>
      <c r="D47" s="169" t="s">
        <v>204</v>
      </c>
      <c r="E47" s="169" t="s">
        <v>205</v>
      </c>
      <c r="F47" s="169" t="s">
        <v>206</v>
      </c>
      <c r="G47" s="169" t="s">
        <v>207</v>
      </c>
      <c r="H47" s="169" t="s">
        <v>208</v>
      </c>
      <c r="I47" s="169" t="s">
        <v>209</v>
      </c>
      <c r="J47" s="169" t="s">
        <v>210</v>
      </c>
      <c r="K47" s="169" t="s">
        <v>294</v>
      </c>
    </row>
    <row r="48" spans="1:11">
      <c r="A48" s="3" t="s">
        <v>214</v>
      </c>
      <c r="B48" s="617"/>
      <c r="C48" s="617"/>
      <c r="D48" s="26">
        <v>142</v>
      </c>
      <c r="E48" s="26">
        <v>606</v>
      </c>
      <c r="F48" s="26">
        <v>769</v>
      </c>
      <c r="G48" s="26">
        <v>352</v>
      </c>
      <c r="H48" s="26">
        <v>159</v>
      </c>
      <c r="I48" s="26">
        <v>153</v>
      </c>
      <c r="J48" s="26">
        <v>97</v>
      </c>
      <c r="K48" s="26">
        <v>2278</v>
      </c>
    </row>
    <row r="49" spans="1:11">
      <c r="B49" s="616"/>
      <c r="C49" s="616"/>
    </row>
    <row r="50" spans="1:11">
      <c r="A50" s="3" t="s">
        <v>214</v>
      </c>
      <c r="B50" s="617" t="s">
        <v>211</v>
      </c>
      <c r="C50" s="617"/>
      <c r="D50" s="169" t="s">
        <v>204</v>
      </c>
      <c r="E50" s="169" t="s">
        <v>205</v>
      </c>
      <c r="F50" s="169" t="s">
        <v>206</v>
      </c>
      <c r="G50" s="169" t="s">
        <v>207</v>
      </c>
      <c r="H50" s="169" t="s">
        <v>208</v>
      </c>
      <c r="I50" s="169" t="s">
        <v>209</v>
      </c>
      <c r="J50" s="169" t="s">
        <v>210</v>
      </c>
      <c r="K50" s="169" t="s">
        <v>294</v>
      </c>
    </row>
    <row r="51" spans="1:11">
      <c r="A51" s="3" t="s">
        <v>214</v>
      </c>
      <c r="B51" s="617"/>
      <c r="C51" s="617"/>
      <c r="D51" s="26"/>
      <c r="E51" s="26"/>
      <c r="F51" s="26"/>
      <c r="G51" s="26"/>
      <c r="H51" s="26"/>
      <c r="I51" s="26"/>
      <c r="J51" s="26"/>
      <c r="K51" s="26">
        <f>SUM(D51:J51)</f>
        <v>0</v>
      </c>
    </row>
  </sheetData>
  <mergeCells count="40">
    <mergeCell ref="C9:I9"/>
    <mergeCell ref="C10:I10"/>
    <mergeCell ref="C11:I11"/>
    <mergeCell ref="C26:H26"/>
    <mergeCell ref="C23:H23"/>
    <mergeCell ref="C24:H24"/>
    <mergeCell ref="B19:K19"/>
    <mergeCell ref="C25:H25"/>
    <mergeCell ref="B49:C49"/>
    <mergeCell ref="B50:C51"/>
    <mergeCell ref="B3:K3"/>
    <mergeCell ref="B33:K33"/>
    <mergeCell ref="B34:K34"/>
    <mergeCell ref="B36:F36"/>
    <mergeCell ref="B38:K38"/>
    <mergeCell ref="B44:K44"/>
    <mergeCell ref="B46:K46"/>
    <mergeCell ref="B40:K40"/>
    <mergeCell ref="B47:C48"/>
    <mergeCell ref="C27:H27"/>
    <mergeCell ref="C28:H28"/>
    <mergeCell ref="C29:H29"/>
    <mergeCell ref="C30:H30"/>
    <mergeCell ref="C7:I7"/>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C8:I8"/>
  </mergeCells>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F45"/>
  <sheetViews>
    <sheetView zoomScaleNormal="100" workbookViewId="0">
      <selection activeCell="E18" sqref="E18"/>
    </sheetView>
  </sheetViews>
  <sheetFormatPr defaultRowHeight="12.75"/>
  <cols>
    <col min="1" max="1" width="3.85546875" style="1" customWidth="1"/>
    <col min="2" max="2" width="42" customWidth="1"/>
    <col min="3" max="3" width="20.140625" customWidth="1"/>
    <col min="4" max="5" width="15.42578125" customWidth="1"/>
    <col min="6" max="6" width="19.7109375" bestFit="1" customWidth="1"/>
  </cols>
  <sheetData>
    <row r="1" spans="1:6" ht="18">
      <c r="A1" s="624" t="s">
        <v>618</v>
      </c>
      <c r="B1" s="624"/>
      <c r="C1" s="624"/>
      <c r="D1" s="624"/>
      <c r="E1" s="624"/>
    </row>
    <row r="3" spans="1:6">
      <c r="A3" s="87" t="s">
        <v>619</v>
      </c>
      <c r="B3" s="89" t="s">
        <v>1035</v>
      </c>
    </row>
    <row r="4" spans="1:6" s="232" customFormat="1" ht="72" customHeight="1">
      <c r="A4" s="27" t="s">
        <v>619</v>
      </c>
      <c r="B4" s="569" t="s">
        <v>505</v>
      </c>
      <c r="C4" s="569"/>
      <c r="D4" s="569"/>
      <c r="E4" s="569"/>
      <c r="F4" s="569"/>
    </row>
    <row r="5" spans="1:6" ht="26.25" thickBot="1">
      <c r="A5" s="87" t="s">
        <v>619</v>
      </c>
      <c r="B5" s="90" t="s">
        <v>620</v>
      </c>
      <c r="C5" s="35" t="s">
        <v>621</v>
      </c>
      <c r="D5" s="35" t="s">
        <v>260</v>
      </c>
      <c r="E5" s="35" t="s">
        <v>622</v>
      </c>
      <c r="F5" s="316" t="s">
        <v>1051</v>
      </c>
    </row>
    <row r="6" spans="1:6" ht="13.5" thickBot="1">
      <c r="A6" s="87" t="s">
        <v>619</v>
      </c>
      <c r="B6" s="258" t="s">
        <v>623</v>
      </c>
      <c r="C6" s="414"/>
      <c r="D6" s="414"/>
      <c r="E6" s="414"/>
      <c r="F6" s="259">
        <v>1</v>
      </c>
    </row>
    <row r="7" spans="1:6" ht="13.5" thickBot="1">
      <c r="A7" s="87" t="s">
        <v>619</v>
      </c>
      <c r="B7" s="312" t="s">
        <v>1054</v>
      </c>
      <c r="C7" s="415"/>
      <c r="D7" s="415"/>
      <c r="E7" s="415">
        <v>6.0000000000000001E-3</v>
      </c>
      <c r="F7" s="261">
        <v>3</v>
      </c>
    </row>
    <row r="8" spans="1:6" ht="13.5" thickBot="1">
      <c r="A8" s="87" t="s">
        <v>619</v>
      </c>
      <c r="B8" s="260" t="s">
        <v>624</v>
      </c>
      <c r="C8" s="415"/>
      <c r="D8" s="415"/>
      <c r="E8" s="415">
        <v>3.6999999999999998E-2</v>
      </c>
      <c r="F8" s="261">
        <v>4</v>
      </c>
    </row>
    <row r="9" spans="1:6" ht="13.5" thickBot="1">
      <c r="A9" s="87" t="s">
        <v>619</v>
      </c>
      <c r="B9" s="312" t="s">
        <v>1055</v>
      </c>
      <c r="C9" s="416"/>
      <c r="D9" s="416"/>
      <c r="E9" s="416">
        <v>1E-3</v>
      </c>
      <c r="F9" s="313">
        <v>5</v>
      </c>
    </row>
    <row r="10" spans="1:6" ht="13.5" thickBot="1">
      <c r="A10" s="87" t="s">
        <v>619</v>
      </c>
      <c r="B10" s="285" t="s">
        <v>787</v>
      </c>
      <c r="C10" s="416"/>
      <c r="D10" s="416"/>
      <c r="E10" s="416">
        <v>9.8000000000000004E-2</v>
      </c>
      <c r="F10" s="313">
        <v>9</v>
      </c>
    </row>
    <row r="11" spans="1:6" ht="13.5" thickBot="1">
      <c r="A11" s="87" t="s">
        <v>619</v>
      </c>
      <c r="B11" s="285" t="s">
        <v>726</v>
      </c>
      <c r="C11" s="416"/>
      <c r="D11" s="416"/>
      <c r="E11" s="416"/>
      <c r="F11" s="313">
        <v>10</v>
      </c>
    </row>
    <row r="12" spans="1:6" ht="13.5" thickBot="1">
      <c r="A12" s="87" t="s">
        <v>619</v>
      </c>
      <c r="B12" s="285" t="s">
        <v>627</v>
      </c>
      <c r="C12" s="416"/>
      <c r="D12" s="416"/>
      <c r="E12" s="416">
        <v>4.0000000000000001E-3</v>
      </c>
      <c r="F12" s="313">
        <v>11</v>
      </c>
    </row>
    <row r="13" spans="1:6" ht="13.5" thickBot="1">
      <c r="A13" s="87" t="s">
        <v>619</v>
      </c>
      <c r="B13" s="285" t="s">
        <v>727</v>
      </c>
      <c r="C13" s="416"/>
      <c r="D13" s="416"/>
      <c r="E13" s="416"/>
      <c r="F13" s="313">
        <v>12</v>
      </c>
    </row>
    <row r="14" spans="1:6" ht="13.5" thickBot="1">
      <c r="A14" s="87" t="s">
        <v>619</v>
      </c>
      <c r="B14" s="285" t="s">
        <v>628</v>
      </c>
      <c r="C14" s="416"/>
      <c r="D14" s="416"/>
      <c r="E14" s="416">
        <v>0.14000000000000001</v>
      </c>
      <c r="F14" s="313">
        <v>13</v>
      </c>
    </row>
    <row r="15" spans="1:6" ht="13.5" thickBot="1">
      <c r="A15" s="87" t="s">
        <v>619</v>
      </c>
      <c r="B15" s="285" t="s">
        <v>728</v>
      </c>
      <c r="C15" s="416"/>
      <c r="D15" s="416"/>
      <c r="E15" s="416"/>
      <c r="F15" s="313">
        <v>14</v>
      </c>
    </row>
    <row r="16" spans="1:6" ht="13.5" thickBot="1">
      <c r="A16" s="87" t="s">
        <v>619</v>
      </c>
      <c r="B16" s="285" t="s">
        <v>729</v>
      </c>
      <c r="C16" s="416"/>
      <c r="D16" s="416"/>
      <c r="E16" s="416">
        <v>2.4E-2</v>
      </c>
      <c r="F16" s="313">
        <v>15</v>
      </c>
    </row>
    <row r="17" spans="1:6" ht="13.5" thickBot="1">
      <c r="A17" s="87" t="s">
        <v>619</v>
      </c>
      <c r="B17" s="312" t="s">
        <v>1056</v>
      </c>
      <c r="C17" s="416"/>
      <c r="D17" s="416"/>
      <c r="E17" s="416">
        <v>1.7999999999999999E-2</v>
      </c>
      <c r="F17" s="313">
        <v>16</v>
      </c>
    </row>
    <row r="18" spans="1:6" ht="13.5" thickBot="1">
      <c r="A18" s="87" t="s">
        <v>619</v>
      </c>
      <c r="B18" s="285" t="s">
        <v>730</v>
      </c>
      <c r="C18" s="416"/>
      <c r="D18" s="416"/>
      <c r="E18" s="416">
        <v>4.4999999999999998E-2</v>
      </c>
      <c r="F18" s="313">
        <v>19</v>
      </c>
    </row>
    <row r="19" spans="1:6" ht="13.5" thickBot="1">
      <c r="A19" s="87" t="s">
        <v>619</v>
      </c>
      <c r="B19" s="285" t="s">
        <v>957</v>
      </c>
      <c r="C19" s="416"/>
      <c r="D19" s="416"/>
      <c r="E19" s="416">
        <v>7.0000000000000001E-3</v>
      </c>
      <c r="F19" s="313">
        <v>22</v>
      </c>
    </row>
    <row r="20" spans="1:6" ht="13.5" thickBot="1">
      <c r="A20" s="87" t="s">
        <v>619</v>
      </c>
      <c r="B20" s="285" t="s">
        <v>971</v>
      </c>
      <c r="C20" s="416"/>
      <c r="D20" s="416"/>
      <c r="E20" s="416">
        <v>3.4000000000000002E-2</v>
      </c>
      <c r="F20" s="313">
        <v>23</v>
      </c>
    </row>
    <row r="21" spans="1:6" ht="13.5" thickBot="1">
      <c r="A21" s="87" t="s">
        <v>619</v>
      </c>
      <c r="B21" s="285" t="s">
        <v>958</v>
      </c>
      <c r="C21" s="416"/>
      <c r="D21" s="416">
        <v>0.60799999999999998</v>
      </c>
      <c r="E21" s="416">
        <v>0.114</v>
      </c>
      <c r="F21" s="313">
        <v>24</v>
      </c>
    </row>
    <row r="22" spans="1:6" ht="13.5" thickBot="1">
      <c r="A22" s="87" t="s">
        <v>619</v>
      </c>
      <c r="B22" s="285" t="s">
        <v>959</v>
      </c>
      <c r="C22" s="416"/>
      <c r="D22" s="416"/>
      <c r="E22" s="416">
        <v>1E-3</v>
      </c>
      <c r="F22" s="313">
        <v>25</v>
      </c>
    </row>
    <row r="23" spans="1:6" ht="13.5" thickBot="1">
      <c r="A23" s="87" t="s">
        <v>619</v>
      </c>
      <c r="B23" s="285" t="s">
        <v>625</v>
      </c>
      <c r="C23" s="416"/>
      <c r="D23" s="416"/>
      <c r="E23" s="416">
        <v>2.3E-2</v>
      </c>
      <c r="F23" s="313">
        <v>26</v>
      </c>
    </row>
    <row r="24" spans="1:6" ht="13.5" thickBot="1">
      <c r="A24" s="87" t="s">
        <v>619</v>
      </c>
      <c r="B24" s="285" t="s">
        <v>174</v>
      </c>
      <c r="C24" s="416"/>
      <c r="D24" s="416"/>
      <c r="E24" s="416">
        <v>8.0000000000000002E-3</v>
      </c>
      <c r="F24" s="313">
        <v>27</v>
      </c>
    </row>
    <row r="25" spans="1:6" ht="13.5" thickBot="1">
      <c r="A25" s="87" t="s">
        <v>619</v>
      </c>
      <c r="B25" s="285" t="s">
        <v>175</v>
      </c>
      <c r="C25" s="416"/>
      <c r="D25" s="416"/>
      <c r="E25" s="416"/>
      <c r="F25" s="313" t="s">
        <v>176</v>
      </c>
    </row>
    <row r="26" spans="1:6" ht="13.5" thickBot="1">
      <c r="A26" s="87" t="s">
        <v>619</v>
      </c>
      <c r="B26" s="285" t="s">
        <v>629</v>
      </c>
      <c r="C26" s="416"/>
      <c r="D26" s="416"/>
      <c r="E26" s="416"/>
      <c r="F26" s="313">
        <v>30</v>
      </c>
    </row>
    <row r="27" spans="1:6" ht="13.5" thickBot="1">
      <c r="A27" s="87" t="s">
        <v>619</v>
      </c>
      <c r="B27" s="285" t="s">
        <v>365</v>
      </c>
      <c r="C27" s="416"/>
      <c r="D27" s="416"/>
      <c r="E27" s="416"/>
      <c r="F27" s="313">
        <v>31</v>
      </c>
    </row>
    <row r="28" spans="1:6" ht="13.5" thickBot="1">
      <c r="A28" s="87" t="s">
        <v>619</v>
      </c>
      <c r="B28" s="285" t="s">
        <v>731</v>
      </c>
      <c r="C28" s="416"/>
      <c r="D28" s="416"/>
      <c r="E28" s="416">
        <v>6.0000000000000001E-3</v>
      </c>
      <c r="F28" s="313">
        <v>38</v>
      </c>
    </row>
    <row r="29" spans="1:6" ht="13.5" thickBot="1">
      <c r="A29" s="87" t="s">
        <v>619</v>
      </c>
      <c r="B29" s="285" t="s">
        <v>732</v>
      </c>
      <c r="C29" s="416"/>
      <c r="D29" s="416"/>
      <c r="E29" s="416"/>
      <c r="F29" s="313">
        <v>39</v>
      </c>
    </row>
    <row r="30" spans="1:6" ht="13.5" thickBot="1">
      <c r="A30" s="87" t="s">
        <v>619</v>
      </c>
      <c r="B30" s="285" t="s">
        <v>366</v>
      </c>
      <c r="C30" s="416"/>
      <c r="D30" s="416"/>
      <c r="E30" s="416">
        <v>1.2999999999999999E-2</v>
      </c>
      <c r="F30" s="313">
        <v>40</v>
      </c>
    </row>
    <row r="31" spans="1:6" ht="13.5" thickBot="1">
      <c r="A31" s="87" t="s">
        <v>619</v>
      </c>
      <c r="B31" s="285" t="s">
        <v>733</v>
      </c>
      <c r="C31" s="416"/>
      <c r="D31" s="416"/>
      <c r="E31" s="416"/>
      <c r="F31" s="313">
        <v>41</v>
      </c>
    </row>
    <row r="32" spans="1:6" ht="13.5" thickBot="1">
      <c r="A32" s="87" t="s">
        <v>619</v>
      </c>
      <c r="B32" s="285" t="s">
        <v>367</v>
      </c>
      <c r="C32" s="416"/>
      <c r="D32" s="416"/>
      <c r="E32" s="416">
        <v>3.1E-2</v>
      </c>
      <c r="F32" s="313">
        <v>42</v>
      </c>
    </row>
    <row r="33" spans="1:6" ht="26.25" thickBot="1">
      <c r="A33" s="87" t="s">
        <v>619</v>
      </c>
      <c r="B33" s="285" t="s">
        <v>177</v>
      </c>
      <c r="C33" s="416"/>
      <c r="D33" s="416">
        <v>4.0000000000000001E-3</v>
      </c>
      <c r="E33" s="416">
        <v>3.3000000000000002E-2</v>
      </c>
      <c r="F33" s="313">
        <v>43</v>
      </c>
    </row>
    <row r="34" spans="1:6" ht="13.5" thickBot="1">
      <c r="A34" s="87" t="s">
        <v>619</v>
      </c>
      <c r="B34" s="285" t="s">
        <v>734</v>
      </c>
      <c r="C34" s="416"/>
      <c r="D34" s="416"/>
      <c r="E34" s="416">
        <v>1.4999999999999999E-2</v>
      </c>
      <c r="F34" s="313">
        <v>44</v>
      </c>
    </row>
    <row r="35" spans="1:6" ht="13.5" thickBot="1">
      <c r="A35" s="87" t="s">
        <v>619</v>
      </c>
      <c r="B35" s="285" t="s">
        <v>735</v>
      </c>
      <c r="C35" s="416"/>
      <c r="D35" s="416"/>
      <c r="E35" s="416">
        <v>4.1000000000000002E-2</v>
      </c>
      <c r="F35" s="313">
        <v>45</v>
      </c>
    </row>
    <row r="36" spans="1:6" ht="13.5" thickBot="1">
      <c r="A36" s="87" t="s">
        <v>619</v>
      </c>
      <c r="B36" s="285" t="s">
        <v>736</v>
      </c>
      <c r="C36" s="416"/>
      <c r="D36" s="416"/>
      <c r="E36" s="416"/>
      <c r="F36" s="313">
        <v>46</v>
      </c>
    </row>
    <row r="37" spans="1:6" ht="13.5" thickBot="1">
      <c r="A37" s="87" t="s">
        <v>619</v>
      </c>
      <c r="B37" s="285" t="s">
        <v>737</v>
      </c>
      <c r="C37" s="416"/>
      <c r="D37" s="416"/>
      <c r="E37" s="416"/>
      <c r="F37" s="313">
        <v>47</v>
      </c>
    </row>
    <row r="38" spans="1:6" ht="13.5" thickBot="1">
      <c r="A38" s="87" t="s">
        <v>619</v>
      </c>
      <c r="B38" s="285" t="s">
        <v>738</v>
      </c>
      <c r="C38" s="416"/>
      <c r="D38" s="416"/>
      <c r="E38" s="416"/>
      <c r="F38" s="313">
        <v>48</v>
      </c>
    </row>
    <row r="39" spans="1:6" ht="13.5" thickBot="1">
      <c r="A39" s="87" t="s">
        <v>619</v>
      </c>
      <c r="B39" s="285" t="s">
        <v>739</v>
      </c>
      <c r="C39" s="416"/>
      <c r="D39" s="416"/>
      <c r="E39" s="416"/>
      <c r="F39" s="313">
        <v>49</v>
      </c>
    </row>
    <row r="40" spans="1:6" ht="13.5" thickBot="1">
      <c r="A40" s="87" t="s">
        <v>619</v>
      </c>
      <c r="B40" s="285" t="s">
        <v>368</v>
      </c>
      <c r="C40" s="416"/>
      <c r="D40" s="416"/>
      <c r="E40" s="416">
        <v>6.7000000000000004E-2</v>
      </c>
      <c r="F40" s="313">
        <v>50</v>
      </c>
    </row>
    <row r="41" spans="1:6" ht="13.5" thickBot="1">
      <c r="A41" s="87" t="s">
        <v>619</v>
      </c>
      <c r="B41" s="312" t="s">
        <v>1057</v>
      </c>
      <c r="C41" s="416"/>
      <c r="D41" s="416">
        <v>5.1999999999999998E-2</v>
      </c>
      <c r="E41" s="416">
        <v>8.5000000000000006E-2</v>
      </c>
      <c r="F41" s="313">
        <v>51</v>
      </c>
    </row>
    <row r="42" spans="1:6" ht="13.5" thickBot="1">
      <c r="A42" s="87" t="s">
        <v>619</v>
      </c>
      <c r="B42" s="285" t="s">
        <v>626</v>
      </c>
      <c r="C42" s="416"/>
      <c r="D42" s="416">
        <v>0.33600000000000002</v>
      </c>
      <c r="E42" s="416">
        <v>0.13700000000000001</v>
      </c>
      <c r="F42" s="313">
        <v>52</v>
      </c>
    </row>
    <row r="43" spans="1:6" ht="13.5" thickBot="1">
      <c r="A43" s="87" t="s">
        <v>619</v>
      </c>
      <c r="B43" s="285" t="s">
        <v>976</v>
      </c>
      <c r="C43" s="416"/>
      <c r="D43" s="416"/>
      <c r="E43" s="416">
        <v>1.2E-2</v>
      </c>
      <c r="F43" s="313">
        <v>54</v>
      </c>
    </row>
    <row r="44" spans="1:6">
      <c r="A44" s="87" t="s">
        <v>619</v>
      </c>
      <c r="B44" s="314" t="s">
        <v>369</v>
      </c>
      <c r="C44" s="417"/>
      <c r="D44" s="417"/>
      <c r="E44" s="417"/>
      <c r="F44" s="315"/>
    </row>
    <row r="45" spans="1:6">
      <c r="A45" s="87" t="s">
        <v>619</v>
      </c>
      <c r="B45" s="19" t="s">
        <v>880</v>
      </c>
      <c r="C45" s="219">
        <f>SUM(C6:C44)</f>
        <v>0</v>
      </c>
      <c r="D45" s="219">
        <f>SUM(D6:D44)</f>
        <v>1</v>
      </c>
      <c r="E45" s="219">
        <f>SUM(E6:E44)</f>
        <v>1.0000000000000002</v>
      </c>
      <c r="F45" s="91"/>
    </row>
  </sheetData>
  <mergeCells count="2">
    <mergeCell ref="A1:E1"/>
    <mergeCell ref="B4:F4"/>
  </mergeCells>
  <phoneticPr fontId="0" type="noConversion"/>
  <pageMargins left="0.75" right="0.75" top="1" bottom="1" header="0.5" footer="0.5"/>
  <pageSetup scale="66" orientation="landscape" r:id="rId1"/>
  <headerFooter alignWithMargins="0">
    <oddHeader>&amp;CCommon Data Set 2011-2012</oddHeader>
    <oddFooter>&amp;C&amp;A&amp;RPage &amp;P</oddFooter>
  </headerFooter>
</worksheet>
</file>

<file path=xl/worksheets/sheet12.xml><?xml version="1.0" encoding="utf-8"?>
<worksheet xmlns="http://schemas.openxmlformats.org/spreadsheetml/2006/main" xmlns:r="http://schemas.openxmlformats.org/officeDocument/2006/relationships">
  <dimension ref="A1:A155"/>
  <sheetViews>
    <sheetView view="pageLayout" topLeftCell="A77" zoomScaleNormal="100" workbookViewId="0">
      <selection activeCell="A81" sqref="A81"/>
    </sheetView>
  </sheetViews>
  <sheetFormatPr defaultRowHeight="12.75"/>
  <cols>
    <col min="1" max="1" width="88.7109375" style="179" customWidth="1"/>
    <col min="2" max="16384" width="9.140625" style="151"/>
  </cols>
  <sheetData>
    <row r="1" spans="1:1" ht="18">
      <c r="A1" s="173" t="s">
        <v>481</v>
      </c>
    </row>
    <row r="2" spans="1:1" ht="25.5">
      <c r="A2" s="174" t="s">
        <v>573</v>
      </c>
    </row>
    <row r="3" spans="1:1">
      <c r="A3" s="174"/>
    </row>
    <row r="4" spans="1:1" ht="25.5">
      <c r="A4" s="175" t="s">
        <v>574</v>
      </c>
    </row>
    <row r="5" spans="1:1">
      <c r="A5" s="176"/>
    </row>
    <row r="6" spans="1:1" ht="38.25">
      <c r="A6" s="174" t="s">
        <v>374</v>
      </c>
    </row>
    <row r="7" spans="1:1" ht="38.25">
      <c r="A7" s="174" t="s">
        <v>375</v>
      </c>
    </row>
    <row r="8" spans="1:1">
      <c r="A8" s="174" t="s">
        <v>376</v>
      </c>
    </row>
    <row r="9" spans="1:1" ht="25.5">
      <c r="A9" s="174" t="s">
        <v>377</v>
      </c>
    </row>
    <row r="10" spans="1:1" ht="44.25" customHeight="1">
      <c r="A10" s="296" t="s">
        <v>788</v>
      </c>
    </row>
    <row r="11" spans="1:1" ht="51">
      <c r="A11" s="174" t="s">
        <v>491</v>
      </c>
    </row>
    <row r="12" spans="1:1" ht="38.25">
      <c r="A12" s="174" t="s">
        <v>492</v>
      </c>
    </row>
    <row r="13" spans="1:1" ht="38.25">
      <c r="A13" s="174" t="s">
        <v>493</v>
      </c>
    </row>
    <row r="14" spans="1:1" ht="25.5">
      <c r="A14" s="174" t="s">
        <v>494</v>
      </c>
    </row>
    <row r="15" spans="1:1" ht="89.25">
      <c r="A15" s="174" t="s">
        <v>504</v>
      </c>
    </row>
    <row r="16" spans="1:1" ht="25.5">
      <c r="A16" s="174" t="s">
        <v>689</v>
      </c>
    </row>
    <row r="17" spans="1:1">
      <c r="A17" s="174" t="s">
        <v>690</v>
      </c>
    </row>
    <row r="18" spans="1:1" ht="38.25">
      <c r="A18" s="174" t="s">
        <v>691</v>
      </c>
    </row>
    <row r="19" spans="1:1" ht="25.5">
      <c r="A19" s="174" t="s">
        <v>692</v>
      </c>
    </row>
    <row r="20" spans="1:1" ht="38.25">
      <c r="A20" s="297" t="s">
        <v>450</v>
      </c>
    </row>
    <row r="21" spans="1:1" ht="63.75">
      <c r="A21" s="174" t="s">
        <v>693</v>
      </c>
    </row>
    <row r="22" spans="1:1">
      <c r="A22" s="174" t="s">
        <v>694</v>
      </c>
    </row>
    <row r="23" spans="1:1">
      <c r="A23" s="174" t="s">
        <v>695</v>
      </c>
    </row>
    <row r="24" spans="1:1" ht="25.5">
      <c r="A24" s="174" t="s">
        <v>696</v>
      </c>
    </row>
    <row r="25" spans="1:1" ht="38.25">
      <c r="A25" s="174" t="s">
        <v>697</v>
      </c>
    </row>
    <row r="26" spans="1:1" ht="38.25">
      <c r="A26" s="174" t="s">
        <v>420</v>
      </c>
    </row>
    <row r="27" spans="1:1" ht="25.5">
      <c r="A27" s="174" t="s">
        <v>421</v>
      </c>
    </row>
    <row r="28" spans="1:1" ht="38.25">
      <c r="A28" s="174" t="s">
        <v>422</v>
      </c>
    </row>
    <row r="29" spans="1:1" ht="25.5">
      <c r="A29" s="174" t="s">
        <v>423</v>
      </c>
    </row>
    <row r="30" spans="1:1" ht="51">
      <c r="A30" s="174" t="s">
        <v>424</v>
      </c>
    </row>
    <row r="31" spans="1:1" ht="25.5">
      <c r="A31" s="296" t="s">
        <v>856</v>
      </c>
    </row>
    <row r="32" spans="1:1" ht="25.5">
      <c r="A32" s="174" t="s">
        <v>425</v>
      </c>
    </row>
    <row r="33" spans="1:1" ht="25.5">
      <c r="A33" s="174" t="s">
        <v>426</v>
      </c>
    </row>
    <row r="34" spans="1:1" ht="38.25">
      <c r="A34" s="174" t="s">
        <v>427</v>
      </c>
    </row>
    <row r="35" spans="1:1" ht="25.5">
      <c r="A35" s="174" t="s">
        <v>428</v>
      </c>
    </row>
    <row r="36" spans="1:1" ht="51">
      <c r="A36" s="174" t="s">
        <v>429</v>
      </c>
    </row>
    <row r="37" spans="1:1" ht="25.5">
      <c r="A37" s="174" t="s">
        <v>430</v>
      </c>
    </row>
    <row r="38" spans="1:1" ht="25.5">
      <c r="A38" s="174" t="s">
        <v>431</v>
      </c>
    </row>
    <row r="39" spans="1:1" ht="25.5">
      <c r="A39" s="174" t="s">
        <v>432</v>
      </c>
    </row>
    <row r="40" spans="1:1" ht="38.25">
      <c r="A40" s="174" t="s">
        <v>433</v>
      </c>
    </row>
    <row r="41" spans="1:1" ht="63.75">
      <c r="A41" s="174" t="s">
        <v>434</v>
      </c>
    </row>
    <row r="42" spans="1:1">
      <c r="A42" s="174" t="s">
        <v>435</v>
      </c>
    </row>
    <row r="43" spans="1:1" ht="25.5">
      <c r="A43" s="174" t="s">
        <v>436</v>
      </c>
    </row>
    <row r="44" spans="1:1" ht="69" customHeight="1">
      <c r="A44" s="296" t="s">
        <v>170</v>
      </c>
    </row>
    <row r="45" spans="1:1" ht="110.25" customHeight="1">
      <c r="A45" s="296" t="s">
        <v>873</v>
      </c>
    </row>
    <row r="46" spans="1:1" ht="34.5" customHeight="1">
      <c r="A46" s="296" t="s">
        <v>874</v>
      </c>
    </row>
    <row r="47" spans="1:1" ht="25.5">
      <c r="A47" s="174" t="s">
        <v>760</v>
      </c>
    </row>
    <row r="48" spans="1:1" ht="38.25">
      <c r="A48" s="174" t="s">
        <v>761</v>
      </c>
    </row>
    <row r="49" spans="1:1" ht="38.25">
      <c r="A49" s="174" t="s">
        <v>762</v>
      </c>
    </row>
    <row r="50" spans="1:1" ht="25.5">
      <c r="A50" s="174" t="s">
        <v>455</v>
      </c>
    </row>
    <row r="51" spans="1:1" ht="63.75">
      <c r="A51" s="174" t="s">
        <v>932</v>
      </c>
    </row>
    <row r="52" spans="1:1" ht="25.5">
      <c r="A52" s="174" t="s">
        <v>933</v>
      </c>
    </row>
    <row r="53" spans="1:1" ht="38.25">
      <c r="A53" s="174" t="s">
        <v>934</v>
      </c>
    </row>
    <row r="54" spans="1:1" ht="38.25">
      <c r="A54" s="174" t="s">
        <v>935</v>
      </c>
    </row>
    <row r="55" spans="1:1" ht="38.25">
      <c r="A55" s="174" t="s">
        <v>936</v>
      </c>
    </row>
    <row r="56" spans="1:1" ht="51">
      <c r="A56" s="174" t="s">
        <v>937</v>
      </c>
    </row>
    <row r="57" spans="1:1" ht="51">
      <c r="A57" s="174" t="s">
        <v>938</v>
      </c>
    </row>
    <row r="58" spans="1:1" ht="38.25">
      <c r="A58" s="174" t="s">
        <v>939</v>
      </c>
    </row>
    <row r="59" spans="1:1">
      <c r="A59" s="174" t="s">
        <v>940</v>
      </c>
    </row>
    <row r="60" spans="1:1" ht="38.25">
      <c r="A60" s="174" t="s">
        <v>941</v>
      </c>
    </row>
    <row r="61" spans="1:1" ht="25.5">
      <c r="A61" s="174" t="s">
        <v>942</v>
      </c>
    </row>
    <row r="62" spans="1:1" ht="25.5">
      <c r="A62" s="174" t="s">
        <v>943</v>
      </c>
    </row>
    <row r="63" spans="1:1" ht="63.75">
      <c r="A63" s="174" t="s">
        <v>715</v>
      </c>
    </row>
    <row r="64" spans="1:1" ht="25.5">
      <c r="A64" s="296" t="s">
        <v>875</v>
      </c>
    </row>
    <row r="65" spans="1:1" ht="25.5">
      <c r="A65" s="174" t="s">
        <v>716</v>
      </c>
    </row>
    <row r="66" spans="1:1" ht="38.25">
      <c r="A66" s="174" t="s">
        <v>925</v>
      </c>
    </row>
    <row r="67" spans="1:1" ht="25.5">
      <c r="A67" s="174" t="s">
        <v>926</v>
      </c>
    </row>
    <row r="68" spans="1:1" ht="25.5">
      <c r="A68" s="174" t="s">
        <v>927</v>
      </c>
    </row>
    <row r="69" spans="1:1" ht="38.25">
      <c r="A69" s="174" t="s">
        <v>928</v>
      </c>
    </row>
    <row r="70" spans="1:1" ht="25.5">
      <c r="A70" s="174" t="s">
        <v>929</v>
      </c>
    </row>
    <row r="71" spans="1:1">
      <c r="A71" s="174" t="s">
        <v>930</v>
      </c>
    </row>
    <row r="72" spans="1:1" ht="25.5">
      <c r="A72" s="295" t="s">
        <v>708</v>
      </c>
    </row>
    <row r="73" spans="1:1" ht="38.25">
      <c r="A73" s="174" t="s">
        <v>843</v>
      </c>
    </row>
    <row r="74" spans="1:1" ht="38.25">
      <c r="A74" s="174" t="s">
        <v>808</v>
      </c>
    </row>
    <row r="75" spans="1:1">
      <c r="A75" s="174" t="s">
        <v>809</v>
      </c>
    </row>
    <row r="76" spans="1:1" ht="38.25">
      <c r="A76" s="174" t="s">
        <v>844</v>
      </c>
    </row>
    <row r="77" spans="1:1" ht="59.25" customHeight="1">
      <c r="A77" s="296" t="s">
        <v>876</v>
      </c>
    </row>
    <row r="78" spans="1:1" ht="25.5">
      <c r="A78" s="174" t="s">
        <v>97</v>
      </c>
    </row>
    <row r="79" spans="1:1" ht="25.5">
      <c r="A79" s="174" t="s">
        <v>98</v>
      </c>
    </row>
    <row r="80" spans="1:1" ht="38.25">
      <c r="A80" s="297" t="s">
        <v>451</v>
      </c>
    </row>
    <row r="81" spans="1:1" ht="25.5">
      <c r="A81" s="174" t="s">
        <v>99</v>
      </c>
    </row>
    <row r="82" spans="1:1" ht="25.5">
      <c r="A82" s="174" t="s">
        <v>100</v>
      </c>
    </row>
    <row r="83" spans="1:1" ht="38.25">
      <c r="A83" s="174" t="s">
        <v>101</v>
      </c>
    </row>
    <row r="84" spans="1:1" ht="25.5">
      <c r="A84" s="174" t="s">
        <v>102</v>
      </c>
    </row>
    <row r="85" spans="1:1" ht="25.5">
      <c r="A85" s="174" t="s">
        <v>103</v>
      </c>
    </row>
    <row r="86" spans="1:1" ht="25.5">
      <c r="A86" s="174" t="s">
        <v>104</v>
      </c>
    </row>
    <row r="87" spans="1:1" ht="25.5">
      <c r="A87" s="174" t="s">
        <v>105</v>
      </c>
    </row>
    <row r="88" spans="1:1" ht="51">
      <c r="A88" s="174" t="s">
        <v>717</v>
      </c>
    </row>
    <row r="89" spans="1:1" ht="38.25">
      <c r="A89" s="174" t="s">
        <v>718</v>
      </c>
    </row>
    <row r="90" spans="1:1" ht="38.25">
      <c r="A90" s="174" t="s">
        <v>719</v>
      </c>
    </row>
    <row r="91" spans="1:1" ht="38.25">
      <c r="A91" s="177" t="s">
        <v>720</v>
      </c>
    </row>
    <row r="92" spans="1:1" ht="51">
      <c r="A92" s="177" t="s">
        <v>43</v>
      </c>
    </row>
    <row r="93" spans="1:1" ht="51">
      <c r="A93" s="177" t="s">
        <v>44</v>
      </c>
    </row>
    <row r="94" spans="1:1" ht="38.25">
      <c r="A94" s="174" t="s">
        <v>45</v>
      </c>
    </row>
    <row r="95" spans="1:1" ht="25.5">
      <c r="A95" s="174" t="s">
        <v>46</v>
      </c>
    </row>
    <row r="96" spans="1:1" ht="38.25">
      <c r="A96" s="174" t="s">
        <v>47</v>
      </c>
    </row>
    <row r="97" spans="1:1">
      <c r="A97" s="174" t="s">
        <v>48</v>
      </c>
    </row>
    <row r="98" spans="1:1" ht="25.5">
      <c r="A98" s="174" t="s">
        <v>789</v>
      </c>
    </row>
    <row r="99" spans="1:1" ht="38.25">
      <c r="A99" s="174" t="s">
        <v>790</v>
      </c>
    </row>
    <row r="100" spans="1:1" ht="38.25">
      <c r="A100" s="174" t="s">
        <v>791</v>
      </c>
    </row>
    <row r="101" spans="1:1" ht="25.5">
      <c r="A101" s="174" t="s">
        <v>792</v>
      </c>
    </row>
    <row r="102" spans="1:1" ht="38.25">
      <c r="A102" s="174" t="s">
        <v>793</v>
      </c>
    </row>
    <row r="103" spans="1:1" ht="25.5">
      <c r="A103" s="174" t="s">
        <v>794</v>
      </c>
    </row>
    <row r="104" spans="1:1" ht="25.5">
      <c r="A104" s="174" t="s">
        <v>795</v>
      </c>
    </row>
    <row r="105" spans="1:1" ht="38.25">
      <c r="A105" s="174" t="s">
        <v>796</v>
      </c>
    </row>
    <row r="106" spans="1:1" ht="76.5">
      <c r="A106" s="174" t="s">
        <v>127</v>
      </c>
    </row>
    <row r="107" spans="1:1" ht="25.5">
      <c r="A107" s="174" t="s">
        <v>128</v>
      </c>
    </row>
    <row r="108" spans="1:1" ht="38.25">
      <c r="A108" s="174" t="s">
        <v>129</v>
      </c>
    </row>
    <row r="109" spans="1:1" ht="38.25">
      <c r="A109" s="174" t="s">
        <v>130</v>
      </c>
    </row>
    <row r="110" spans="1:1" ht="25.5">
      <c r="A110" s="174" t="s">
        <v>131</v>
      </c>
    </row>
    <row r="111" spans="1:1" ht="38.25">
      <c r="A111" s="174" t="s">
        <v>132</v>
      </c>
    </row>
    <row r="112" spans="1:1" ht="63.75">
      <c r="A112" s="174" t="s">
        <v>133</v>
      </c>
    </row>
    <row r="113" spans="1:1" ht="25.5">
      <c r="A113" s="174" t="s">
        <v>686</v>
      </c>
    </row>
    <row r="114" spans="1:1" ht="25.5">
      <c r="A114" s="174" t="s">
        <v>687</v>
      </c>
    </row>
    <row r="115" spans="1:1" ht="38.25">
      <c r="A115" s="174" t="s">
        <v>688</v>
      </c>
    </row>
    <row r="116" spans="1:1" ht="38.25">
      <c r="A116" s="174" t="s">
        <v>145</v>
      </c>
    </row>
    <row r="117" spans="1:1" ht="25.5">
      <c r="A117" s="174" t="s">
        <v>146</v>
      </c>
    </row>
    <row r="118" spans="1:1">
      <c r="A118" s="174" t="s">
        <v>147</v>
      </c>
    </row>
    <row r="119" spans="1:1" ht="25.5">
      <c r="A119" s="174" t="s">
        <v>148</v>
      </c>
    </row>
    <row r="120" spans="1:1" ht="38.25">
      <c r="A120" s="174" t="s">
        <v>149</v>
      </c>
    </row>
    <row r="121" spans="1:1" ht="25.5">
      <c r="A121" s="174" t="s">
        <v>150</v>
      </c>
    </row>
    <row r="122" spans="1:1" ht="25.5">
      <c r="A122" s="174" t="s">
        <v>151</v>
      </c>
    </row>
    <row r="123" spans="1:1" ht="38.25">
      <c r="A123" s="174" t="s">
        <v>964</v>
      </c>
    </row>
    <row r="124" spans="1:1" ht="25.5">
      <c r="A124" s="174" t="s">
        <v>965</v>
      </c>
    </row>
    <row r="125" spans="1:1" ht="38.25">
      <c r="A125" s="174" t="s">
        <v>966</v>
      </c>
    </row>
    <row r="126" spans="1:1" ht="25.5">
      <c r="A126" s="174" t="s">
        <v>931</v>
      </c>
    </row>
    <row r="127" spans="1:1" ht="25.5">
      <c r="A127" s="174" t="s">
        <v>810</v>
      </c>
    </row>
    <row r="128" spans="1:1" ht="25.5">
      <c r="A128" s="174" t="s">
        <v>524</v>
      </c>
    </row>
    <row r="129" spans="1:1" ht="25.5">
      <c r="A129" s="174" t="s">
        <v>525</v>
      </c>
    </row>
    <row r="130" spans="1:1" ht="38.25">
      <c r="A130" s="174" t="s">
        <v>526</v>
      </c>
    </row>
    <row r="132" spans="1:1">
      <c r="A132" s="178" t="s">
        <v>641</v>
      </c>
    </row>
    <row r="134" spans="1:1">
      <c r="A134" s="286" t="s">
        <v>454</v>
      </c>
    </row>
    <row r="135" spans="1:1" ht="51">
      <c r="A135" s="295" t="s">
        <v>854</v>
      </c>
    </row>
    <row r="136" spans="1:1" ht="25.5">
      <c r="A136" s="174" t="s">
        <v>881</v>
      </c>
    </row>
    <row r="137" spans="1:1" ht="51">
      <c r="A137" s="174" t="s">
        <v>855</v>
      </c>
    </row>
    <row r="138" spans="1:1" ht="25.5">
      <c r="A138" s="295" t="s">
        <v>853</v>
      </c>
    </row>
    <row r="139" spans="1:1" ht="25.5">
      <c r="A139" s="174" t="s">
        <v>642</v>
      </c>
    </row>
    <row r="140" spans="1:1" ht="38.25">
      <c r="A140" s="174" t="s">
        <v>740</v>
      </c>
    </row>
    <row r="141" spans="1:1" ht="25.5">
      <c r="A141" s="174" t="s">
        <v>482</v>
      </c>
    </row>
    <row r="142" spans="1:1" ht="25.5">
      <c r="A142" s="174" t="s">
        <v>709</v>
      </c>
    </row>
    <row r="143" spans="1:1" ht="63.75">
      <c r="A143" s="174" t="s">
        <v>483</v>
      </c>
    </row>
    <row r="144" spans="1:1">
      <c r="A144" s="174" t="s">
        <v>471</v>
      </c>
    </row>
    <row r="145" spans="1:1">
      <c r="A145" s="175" t="s">
        <v>632</v>
      </c>
    </row>
    <row r="146" spans="1:1">
      <c r="A146" s="175" t="s">
        <v>633</v>
      </c>
    </row>
    <row r="147" spans="1:1">
      <c r="A147" s="175" t="s">
        <v>634</v>
      </c>
    </row>
    <row r="148" spans="1:1">
      <c r="A148" s="175" t="s">
        <v>635</v>
      </c>
    </row>
    <row r="149" spans="1:1">
      <c r="A149" s="175" t="s">
        <v>636</v>
      </c>
    </row>
    <row r="150" spans="1:1">
      <c r="A150" s="175" t="s">
        <v>637</v>
      </c>
    </row>
    <row r="151" spans="1:1">
      <c r="A151" s="175" t="s">
        <v>638</v>
      </c>
    </row>
    <row r="152" spans="1:1">
      <c r="A152" s="175" t="s">
        <v>639</v>
      </c>
    </row>
    <row r="153" spans="1:1">
      <c r="A153" s="175" t="s">
        <v>640</v>
      </c>
    </row>
    <row r="154" spans="1:1" ht="25.5">
      <c r="A154" s="174" t="s">
        <v>710</v>
      </c>
    </row>
    <row r="155" spans="1:1" ht="25.5">
      <c r="A155" s="174" t="s">
        <v>754</v>
      </c>
    </row>
  </sheetData>
  <phoneticPr fontId="0" type="noConversion"/>
  <pageMargins left="0.75" right="0.75" top="1" bottom="1" header="0.5" footer="0.5"/>
  <pageSetup orientation="portrait" r:id="rId1"/>
  <headerFooter alignWithMargins="0">
    <oddHeader>&amp;CCommon Data Set 2011-2012</oddHeader>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CDS-CHANGES</vt:lpstr>
      <vt:lpstr>CDS-A</vt:lpstr>
      <vt:lpstr>CDS-B</vt:lpstr>
      <vt:lpstr>CDS-C</vt:lpstr>
      <vt:lpstr>CDS-D</vt:lpstr>
      <vt:lpstr>CDS-E</vt:lpstr>
      <vt:lpstr>CDS-F</vt:lpstr>
      <vt:lpstr>CDS-G</vt:lpstr>
      <vt:lpstr>CDS-H</vt:lpstr>
      <vt:lpstr>CDS-I</vt:lpstr>
      <vt:lpstr>CDS-J</vt:lpstr>
      <vt:lpstr>CDS Definitions</vt:lpstr>
    </vt:vector>
  </TitlesOfParts>
  <Company>Your Company Name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Jolene</cp:lastModifiedBy>
  <cp:lastPrinted>2011-12-09T16:21:31Z</cp:lastPrinted>
  <dcterms:created xsi:type="dcterms:W3CDTF">2001-06-11T17:38:48Z</dcterms:created>
  <dcterms:modified xsi:type="dcterms:W3CDTF">2011-12-09T18:53:29Z</dcterms:modified>
</cp:coreProperties>
</file>